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State" sheetId="1" state="visible" r:id="rId1"/>
    <sheet name="Dashboard_Trends" sheetId="2" state="visible" r:id="rId2"/>
    <sheet name="Watchlist" sheetId="3" state="visible" r:id="rId3"/>
    <sheet name="Raw_CFPB" sheetId="4" state="visible" r:id="rId4"/>
    <sheet name="_config" sheetId="5" state="visible" r:id="rId5"/>
    <sheet name="_code_py" sheetId="6" state="visible" r:id="rId6"/>
    <sheet name="_code_vba" sheetId="7" state="visible" r:id="rId7"/>
    <sheet name="_readme" sheetId="8" state="visible" r:id="rId8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+0.00;-0.00;0.0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  <border>
      <bottom style="thin">
        <color rgb="0016130F"/>
      </bottom>
    </border>
    <border>
      <bottom style="thin">
        <color rgb="00E7E2D8"/>
      </bottom>
    </border>
  </borders>
  <cellStyleXfs count="1">
    <xf numFmtId="0" fontId="0" fillId="0" borderId="0"/>
  </cellStyleXfs>
  <cellXfs count="36">
    <xf numFmtId="0" fontId="0" fillId="0" borderId="0" pivotButton="0" quotePrefix="0" xfId="0"/>
    <xf numFmtId="0" fontId="5" fillId="3" borderId="0" applyAlignment="1" pivotButton="0" quotePrefix="0" xfId="0">
      <alignment horizontal="left" vertical="center" indent="1"/>
    </xf>
    <xf numFmtId="0" fontId="9" fillId="0" borderId="0" applyAlignment="1" pivotButton="0" quotePrefix="0" xfId="0">
      <alignment horizontal="left" vertical="center"/>
    </xf>
    <xf numFmtId="0" fontId="6" fillId="3" borderId="1" applyAlignment="1" pivotButton="0" quotePrefix="0" xfId="0">
      <alignment horizontal="left" vertical="top" indent="1"/>
    </xf>
    <xf numFmtId="0" fontId="0" fillId="0" borderId="1" pivotButton="0" quotePrefix="0" xfId="0"/>
    <xf numFmtId="0" fontId="7" fillId="4" borderId="2" applyAlignment="1" pivotButton="0" quotePrefix="0" xfId="0">
      <alignment horizontal="left" vertical="center" indent="1"/>
    </xf>
    <xf numFmtId="0" fontId="0" fillId="0" borderId="2" pivotButton="0" quotePrefix="0" xfId="0"/>
    <xf numFmtId="0" fontId="7" fillId="4" borderId="3" applyAlignment="1" pivotButton="0" quotePrefix="0" xfId="0">
      <alignment horizontal="left" vertical="center" indent="1"/>
    </xf>
    <xf numFmtId="0" fontId="0" fillId="0" borderId="3" pivotButton="0" quotePrefix="0" xfId="0"/>
    <xf numFmtId="0" fontId="8" fillId="4" borderId="0" applyAlignment="1" pivotButton="0" quotePrefix="0" xfId="0">
      <alignment horizontal="left" vertical="center" indent="1"/>
    </xf>
    <xf numFmtId="0" fontId="9" fillId="4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4" fillId="3" borderId="4" applyAlignment="1" pivotButton="0" quotePrefix="0" xfId="0">
      <alignment horizontal="right" vertical="center"/>
    </xf>
    <xf numFmtId="0" fontId="2" fillId="0" borderId="5" pivotButton="0" quotePrefix="0" xfId="0"/>
    <xf numFmtId="0" fontId="11" fillId="0" borderId="5" pivotButton="0" quotePrefix="0" xfId="0"/>
    <xf numFmtId="2" fontId="0" fillId="0" borderId="5" applyAlignment="1" pivotButton="0" quotePrefix="0" xfId="0">
      <alignment horizontal="right" vertical="center"/>
    </xf>
    <xf numFmtId="164" fontId="0" fillId="0" borderId="5" applyAlignment="1" pivotButton="0" quotePrefix="0" xfId="0">
      <alignment horizontal="right" vertical="center"/>
    </xf>
    <xf numFmtId="0" fontId="11" fillId="0" borderId="5" applyAlignment="1" pivotButton="0" quotePrefix="0" xfId="0">
      <alignment horizontal="center" vertical="center"/>
    </xf>
    <xf numFmtId="0" fontId="10" fillId="0" borderId="5" pivotButton="0" quotePrefix="0" xfId="0"/>
    <xf numFmtId="0" fontId="1" fillId="0" borderId="0" applyAlignment="1" pivotButton="0" quotePrefix="0" xfId="0">
      <alignment vertical="top" wrapText="1"/>
    </xf>
    <xf numFmtId="0" fontId="1" fillId="0" borderId="0" pivotButton="0" quotePrefix="0" xfId="0"/>
    <xf numFmtId="0" fontId="4" fillId="3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pivotButton="0" quotePrefix="0" xfId="0"/>
    <xf numFmtId="0" fontId="11" fillId="0" borderId="0" pivotButton="0" quotePrefix="0" xfId="0"/>
    <xf numFmtId="2" fontId="0" fillId="0" borderId="0" applyAlignment="1" pivotButton="0" quotePrefix="0" xfId="0">
      <alignment horizontal="right" vertical="center"/>
    </xf>
    <xf numFmtId="49" fontId="11" fillId="0" borderId="5" pivotButton="0" quotePrefix="0" xfId="0"/>
    <xf numFmtId="0" fontId="12" fillId="5" borderId="0" applyAlignment="1" pivotButton="0" quotePrefix="0" xfId="0">
      <alignment vertical="top" wrapText="1"/>
    </xf>
    <xf numFmtId="0" fontId="4" fillId="3" borderId="4" applyAlignment="1" pivotButton="0" quotePrefix="0" xfId="0">
      <alignment horizontal="center" vertical="center"/>
    </xf>
    <xf numFmtId="0" fontId="3" fillId="0" borderId="0" pivotButton="0" quotePrefix="0" xfId="0"/>
    <xf numFmtId="0" fontId="9" fillId="0" borderId="5" pivotButton="0" quotePrefix="0" xfId="0"/>
    <xf numFmtId="1" fontId="0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5" applyAlignment="1" pivotButton="0" quotePrefix="0" xfId="0">
      <alignment horizontal="center" vertical="center"/>
    </xf>
    <xf numFmtId="0" fontId="4" fillId="2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Calibri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8" customWidth="1" min="2" max="2"/>
    <col width="11" customWidth="1" min="3" max="3"/>
    <col width="12" customWidth="1" min="4" max="4"/>
    <col width="14" customWidth="1" min="5" max="5"/>
    <col width="11" customWidth="1" min="6" max="6"/>
    <col width="12" customWidth="1" min="7" max="7"/>
    <col width="14" customWidth="1" min="8" max="8"/>
    <col width="46" customWidth="1" min="12" max="12"/>
  </cols>
  <sheetData>
    <row r="1" ht="27.6" customHeight="1">
      <c r="A1" s="1" t="inlineStr">
        <is>
          <t>County Mortgage Delinquency Monitor</t>
        </is>
      </c>
      <c r="L1" s="2" t="n"/>
    </row>
    <row r="2" ht="18.4" customHeight="1">
      <c r="A2" s="3" t="inlineStr">
        <is>
          <t>CFPB Mortgage Performance Trends (NMDB 5% sample) -- monthly 30-89 and 90+ DPD shares, ~6-7 months lagged by design (trap C6): the CONFIRMING outcome lane, not a nowcast. National + footprint states below; the county watchlist is its own tab.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COUNTIES IN ALERT</t>
        </is>
      </c>
      <c r="B3" s="6" t="n"/>
      <c r="C3" s="6" t="n"/>
      <c r="D3" s="5" t="inlineStr">
        <is>
          <t>COUNTIES IN WATCH</t>
        </is>
      </c>
      <c r="E3" s="6" t="n"/>
      <c r="F3" s="6" t="n"/>
      <c r="G3" s="7" t="inlineStr">
        <is>
          <t>SUPPRESSED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COUNTIF(Watchlist!$H$5:$H$44,"SUPPRESSED*")</f>
        <v/>
      </c>
      <c r="L4" s="2" t="n"/>
    </row>
    <row r="5">
      <c r="A5" s="10" t="inlineStr">
        <is>
          <t>of 12 active footprint counties</t>
        </is>
      </c>
      <c r="D5" s="10" t="inlineStr">
        <is>
          <t>elevated</t>
        </is>
      </c>
      <c r="G5" s="10" t="inlineStr">
        <is>
          <t>absent from vintage -- use state rows</t>
        </is>
      </c>
      <c r="L5" s="11" t="n"/>
    </row>
    <row r="6" ht="8" customHeight="1"/>
    <row r="7" ht="22" customHeight="1">
      <c r="A7" s="12" t="inlineStr">
        <is>
          <t>Geo</t>
        </is>
      </c>
      <c r="B7" s="12" t="inlineStr">
        <is>
          <t>FIPS</t>
        </is>
      </c>
      <c r="C7" s="13" t="inlineStr">
        <is>
          <t>30-89 latest</t>
        </is>
      </c>
      <c r="D7" s="13" t="inlineStr">
        <is>
          <t>30-89 dev 12m</t>
        </is>
      </c>
      <c r="E7" s="13" t="inlineStr">
        <is>
          <t>30-89 trend 12m</t>
        </is>
      </c>
      <c r="F7" s="13" t="inlineStr">
        <is>
          <t>90+ latest</t>
        </is>
      </c>
      <c r="G7" s="13" t="inlineStr">
        <is>
          <t>90+ dev 12m</t>
        </is>
      </c>
      <c r="H7" s="13" t="inlineStr">
        <is>
          <t>90+ trend 12m</t>
        </is>
      </c>
    </row>
    <row r="8">
      <c r="A8" s="14" t="inlineStr">
        <is>
          <t>NATIONAL (benchmark)</t>
        </is>
      </c>
      <c r="B8" s="15" t="inlineStr">
        <is>
          <t>-----</t>
        </is>
      </c>
      <c r="C8" s="16">
        <f>IF(Raw_CFPB!B4="","",Raw_CFPB!B4)</f>
        <v/>
      </c>
      <c r="D8" s="17">
        <f>IF(OR(Raw_CFPB!B4="",COUNT(Raw_CFPB!B5:B16)=0),"",Raw_CFPB!B4-AVERAGE(Raw_CFPB!B5:B16))</f>
        <v/>
      </c>
      <c r="E8" s="18">
        <f>IF(COUNT(Raw_CFPB!B4:B16)&lt;13,"",IF(Raw_CFPB!B4&gt;Raw_CFPB!B5,"^",IF(Raw_CFPB!B4&lt;Raw_CFPB!B5,"v","-"))&amp;IF(Raw_CFPB!B5&gt;Raw_CFPB!B6,"^",IF(Raw_CFPB!B5&lt;Raw_CFPB!B6,"v","-"))&amp;IF(Raw_CFPB!B6&gt;Raw_CFPB!B7,"^",IF(Raw_CFPB!B6&lt;Raw_CFPB!B7,"v","-"))&amp;IF(Raw_CFPB!B7&gt;Raw_CFPB!B8,"^",IF(Raw_CFPB!B7&lt;Raw_CFPB!B8,"v","-"))&amp;IF(Raw_CFPB!B8&gt;Raw_CFPB!B9,"^",IF(Raw_CFPB!B8&lt;Raw_CFPB!B9,"v","-"))&amp;IF(Raw_CFPB!B9&gt;Raw_CFPB!B10,"^",IF(Raw_CFPB!B9&lt;Raw_CFPB!B10,"v","-"))&amp;IF(Raw_CFPB!B10&gt;Raw_CFPB!B11,"^",IF(Raw_CFPB!B10&lt;Raw_CFPB!B11,"v","-"))&amp;IF(Raw_CFPB!B11&gt;Raw_CFPB!B12,"^",IF(Raw_CFPB!B11&lt;Raw_CFPB!B12,"v","-"))&amp;IF(Raw_CFPB!B12&gt;Raw_CFPB!B13,"^",IF(Raw_CFPB!B12&lt;Raw_CFPB!B13,"v","-"))&amp;IF(Raw_CFPB!B13&gt;Raw_CFPB!B14,"^",IF(Raw_CFPB!B13&lt;Raw_CFPB!B14,"v","-"))&amp;IF(Raw_CFPB!B14&gt;Raw_CFPB!B15,"^",IF(Raw_CFPB!B14&lt;Raw_CFPB!B15,"v","-"))&amp;IF(Raw_CFPB!B15&gt;Raw_CFPB!B16,"^",IF(Raw_CFPB!B15&lt;Raw_CFPB!B16,"v","-")))</f>
        <v/>
      </c>
      <c r="F8" s="16">
        <f>IF(Raw_CFPB!C4="","",Raw_CFPB!C4)</f>
        <v/>
      </c>
      <c r="G8" s="17">
        <f>IF(OR(Raw_CFPB!C4="",COUNT(Raw_CFPB!C5:C16)=0),"",Raw_CFPB!C4-AVERAGE(Raw_CFPB!C5:C16))</f>
        <v/>
      </c>
      <c r="H8" s="18">
        <f>IF(COUNT(Raw_CFPB!C4:C16)&lt;13,"",IF(Raw_CFPB!C4&gt;Raw_CFPB!C5,"^",IF(Raw_CFPB!C4&lt;Raw_CFPB!C5,"v","-"))&amp;IF(Raw_CFPB!C5&gt;Raw_CFPB!C6,"^",IF(Raw_CFPB!C5&lt;Raw_CFPB!C6,"v","-"))&amp;IF(Raw_CFPB!C6&gt;Raw_CFPB!C7,"^",IF(Raw_CFPB!C6&lt;Raw_CFPB!C7,"v","-"))&amp;IF(Raw_CFPB!C7&gt;Raw_CFPB!C8,"^",IF(Raw_CFPB!C7&lt;Raw_CFPB!C8,"v","-"))&amp;IF(Raw_CFPB!C8&gt;Raw_CFPB!C9,"^",IF(Raw_CFPB!C8&lt;Raw_CFPB!C9,"v","-"))&amp;IF(Raw_CFPB!C9&gt;Raw_CFPB!C10,"^",IF(Raw_CFPB!C9&lt;Raw_CFPB!C10,"v","-"))&amp;IF(Raw_CFPB!C10&gt;Raw_CFPB!C11,"^",IF(Raw_CFPB!C10&lt;Raw_CFPB!C11,"v","-"))&amp;IF(Raw_CFPB!C11&gt;Raw_CFPB!C12,"^",IF(Raw_CFPB!C11&lt;Raw_CFPB!C12,"v","-"))&amp;IF(Raw_CFPB!C12&gt;Raw_CFPB!C13,"^",IF(Raw_CFPB!C12&lt;Raw_CFPB!C13,"v","-"))&amp;IF(Raw_CFPB!C13&gt;Raw_CFPB!C14,"^",IF(Raw_CFPB!C13&lt;Raw_CFPB!C14,"v","-"))&amp;IF(Raw_CFPB!C14&gt;Raw_CFPB!C15,"^",IF(Raw_CFPB!C14&lt;Raw_CFPB!C15,"v","-"))&amp;IF(Raw_CFPB!C15&gt;Raw_CFPB!C16,"^",IF(Raw_CFPB!C15&lt;Raw_CFPB!C16,"v","-")))</f>
        <v/>
      </c>
    </row>
    <row r="9">
      <c r="A9" s="19">
        <f>IF(Raw_CFPB!$C$78="","",Raw_CFPB!$C$78)</f>
        <v/>
      </c>
      <c r="B9" s="15">
        <f>IF(Raw_CFPB!$D$78="","",Raw_CFPB!$D$78)</f>
        <v/>
      </c>
      <c r="C9" s="16">
        <f>IF(Raw_CFPB!B80="","",Raw_CFPB!B80)</f>
        <v/>
      </c>
      <c r="D9" s="17">
        <f>IF(OR(Raw_CFPB!B80="",COUNT(Raw_CFPB!B81:B92)=0),"",Raw_CFPB!B80-AVERAGE(Raw_CFPB!B81:B92))</f>
        <v/>
      </c>
      <c r="E9" s="18">
        <f>IF(COUNT(Raw_CFPB!B80:B92)&lt;13,"",IF(Raw_CFPB!B80&gt;Raw_CFPB!B81,"^",IF(Raw_CFPB!B80&lt;Raw_CFPB!B81,"v","-"))&amp;IF(Raw_CFPB!B81&gt;Raw_CFPB!B82,"^",IF(Raw_CFPB!B81&lt;Raw_CFPB!B82,"v","-"))&amp;IF(Raw_CFPB!B82&gt;Raw_CFPB!B83,"^",IF(Raw_CFPB!B82&lt;Raw_CFPB!B83,"v","-"))&amp;IF(Raw_CFPB!B83&gt;Raw_CFPB!B84,"^",IF(Raw_CFPB!B83&lt;Raw_CFPB!B84,"v","-"))&amp;IF(Raw_CFPB!B84&gt;Raw_CFPB!B85,"^",IF(Raw_CFPB!B84&lt;Raw_CFPB!B85,"v","-"))&amp;IF(Raw_CFPB!B85&gt;Raw_CFPB!B86,"^",IF(Raw_CFPB!B85&lt;Raw_CFPB!B86,"v","-"))&amp;IF(Raw_CFPB!B86&gt;Raw_CFPB!B87,"^",IF(Raw_CFPB!B86&lt;Raw_CFPB!B87,"v","-"))&amp;IF(Raw_CFPB!B87&gt;Raw_CFPB!B88,"^",IF(Raw_CFPB!B87&lt;Raw_CFPB!B88,"v","-"))&amp;IF(Raw_CFPB!B88&gt;Raw_CFPB!B89,"^",IF(Raw_CFPB!B88&lt;Raw_CFPB!B89,"v","-"))&amp;IF(Raw_CFPB!B89&gt;Raw_CFPB!B90,"^",IF(Raw_CFPB!B89&lt;Raw_CFPB!B90,"v","-"))&amp;IF(Raw_CFPB!B90&gt;Raw_CFPB!B91,"^",IF(Raw_CFPB!B90&lt;Raw_CFPB!B91,"v","-"))&amp;IF(Raw_CFPB!B91&gt;Raw_CFPB!B92,"^",IF(Raw_CFPB!B91&lt;Raw_CFPB!B92,"v","-")))</f>
        <v/>
      </c>
      <c r="F9" s="16">
        <f>IF(Raw_CFPB!C80="","",Raw_CFPB!C80)</f>
        <v/>
      </c>
      <c r="G9" s="17">
        <f>IF(OR(Raw_CFPB!C80="",COUNT(Raw_CFPB!C81:C92)=0),"",Raw_CFPB!C80-AVERAGE(Raw_CFPB!C81:C92))</f>
        <v/>
      </c>
      <c r="H9" s="18">
        <f>IF(COUNT(Raw_CFPB!C80:C92)&lt;13,"",IF(Raw_CFPB!C80&gt;Raw_CFPB!C81,"^",IF(Raw_CFPB!C80&lt;Raw_CFPB!C81,"v","-"))&amp;IF(Raw_CFPB!C81&gt;Raw_CFPB!C82,"^",IF(Raw_CFPB!C81&lt;Raw_CFPB!C82,"v","-"))&amp;IF(Raw_CFPB!C82&gt;Raw_CFPB!C83,"^",IF(Raw_CFPB!C82&lt;Raw_CFPB!C83,"v","-"))&amp;IF(Raw_CFPB!C83&gt;Raw_CFPB!C84,"^",IF(Raw_CFPB!C83&lt;Raw_CFPB!C84,"v","-"))&amp;IF(Raw_CFPB!C84&gt;Raw_CFPB!C85,"^",IF(Raw_CFPB!C84&lt;Raw_CFPB!C85,"v","-"))&amp;IF(Raw_CFPB!C85&gt;Raw_CFPB!C86,"^",IF(Raw_CFPB!C85&lt;Raw_CFPB!C86,"v","-"))&amp;IF(Raw_CFPB!C86&gt;Raw_CFPB!C87,"^",IF(Raw_CFPB!C86&lt;Raw_CFPB!C87,"v","-"))&amp;IF(Raw_CFPB!C87&gt;Raw_CFPB!C88,"^",IF(Raw_CFPB!C87&lt;Raw_CFPB!C88,"v","-"))&amp;IF(Raw_CFPB!C88&gt;Raw_CFPB!C89,"^",IF(Raw_CFPB!C88&lt;Raw_CFPB!C89,"v","-"))&amp;IF(Raw_CFPB!C89&gt;Raw_CFPB!C90,"^",IF(Raw_CFPB!C89&lt;Raw_CFPB!C90,"v","-"))&amp;IF(Raw_CFPB!C90&gt;Raw_CFPB!C91,"^",IF(Raw_CFPB!C90&lt;Raw_CFPB!C91,"v","-"))&amp;IF(Raw_CFPB!C91&gt;Raw_CFPB!C92,"^",IF(Raw_CFPB!C91&lt;Raw_CFPB!C92,"v","-")))</f>
        <v/>
      </c>
    </row>
    <row r="10">
      <c r="A10" s="19">
        <f>IF(Raw_CFPB!$C$154="","",Raw_CFPB!$C$154)</f>
        <v/>
      </c>
      <c r="B10" s="15">
        <f>IF(Raw_CFPB!$D$154="","",Raw_CFPB!$D$154)</f>
        <v/>
      </c>
      <c r="C10" s="16">
        <f>IF(Raw_CFPB!B156="","",Raw_CFPB!B156)</f>
        <v/>
      </c>
      <c r="D10" s="17">
        <f>IF(OR(Raw_CFPB!B156="",COUNT(Raw_CFPB!B157:B168)=0),"",Raw_CFPB!B156-AVERAGE(Raw_CFPB!B157:B168))</f>
        <v/>
      </c>
      <c r="E10" s="18">
        <f>IF(COUNT(Raw_CFPB!B156:B168)&lt;13,"",IF(Raw_CFPB!B156&gt;Raw_CFPB!B157,"^",IF(Raw_CFPB!B156&lt;Raw_CFPB!B157,"v","-"))&amp;IF(Raw_CFPB!B157&gt;Raw_CFPB!B158,"^",IF(Raw_CFPB!B157&lt;Raw_CFPB!B158,"v","-"))&amp;IF(Raw_CFPB!B158&gt;Raw_CFPB!B159,"^",IF(Raw_CFPB!B158&lt;Raw_CFPB!B159,"v","-"))&amp;IF(Raw_CFPB!B159&gt;Raw_CFPB!B160,"^",IF(Raw_CFPB!B159&lt;Raw_CFPB!B160,"v","-"))&amp;IF(Raw_CFPB!B160&gt;Raw_CFPB!B161,"^",IF(Raw_CFPB!B160&lt;Raw_CFPB!B161,"v","-"))&amp;IF(Raw_CFPB!B161&gt;Raw_CFPB!B162,"^",IF(Raw_CFPB!B161&lt;Raw_CFPB!B162,"v","-"))&amp;IF(Raw_CFPB!B162&gt;Raw_CFPB!B163,"^",IF(Raw_CFPB!B162&lt;Raw_CFPB!B163,"v","-"))&amp;IF(Raw_CFPB!B163&gt;Raw_CFPB!B164,"^",IF(Raw_CFPB!B163&lt;Raw_CFPB!B164,"v","-"))&amp;IF(Raw_CFPB!B164&gt;Raw_CFPB!B165,"^",IF(Raw_CFPB!B164&lt;Raw_CFPB!B165,"v","-"))&amp;IF(Raw_CFPB!B165&gt;Raw_CFPB!B166,"^",IF(Raw_CFPB!B165&lt;Raw_CFPB!B166,"v","-"))&amp;IF(Raw_CFPB!B166&gt;Raw_CFPB!B167,"^",IF(Raw_CFPB!B166&lt;Raw_CFPB!B167,"v","-"))&amp;IF(Raw_CFPB!B167&gt;Raw_CFPB!B168,"^",IF(Raw_CFPB!B167&lt;Raw_CFPB!B168,"v","-")))</f>
        <v/>
      </c>
      <c r="F10" s="16">
        <f>IF(Raw_CFPB!C156="","",Raw_CFPB!C156)</f>
        <v/>
      </c>
      <c r="G10" s="17">
        <f>IF(OR(Raw_CFPB!C156="",COUNT(Raw_CFPB!C157:C168)=0),"",Raw_CFPB!C156-AVERAGE(Raw_CFPB!C157:C168))</f>
        <v/>
      </c>
      <c r="H10" s="18">
        <f>IF(COUNT(Raw_CFPB!C156:C168)&lt;13,"",IF(Raw_CFPB!C156&gt;Raw_CFPB!C157,"^",IF(Raw_CFPB!C156&lt;Raw_CFPB!C157,"v","-"))&amp;IF(Raw_CFPB!C157&gt;Raw_CFPB!C158,"^",IF(Raw_CFPB!C157&lt;Raw_CFPB!C158,"v","-"))&amp;IF(Raw_CFPB!C158&gt;Raw_CFPB!C159,"^",IF(Raw_CFPB!C158&lt;Raw_CFPB!C159,"v","-"))&amp;IF(Raw_CFPB!C159&gt;Raw_CFPB!C160,"^",IF(Raw_CFPB!C159&lt;Raw_CFPB!C160,"v","-"))&amp;IF(Raw_CFPB!C160&gt;Raw_CFPB!C161,"^",IF(Raw_CFPB!C160&lt;Raw_CFPB!C161,"v","-"))&amp;IF(Raw_CFPB!C161&gt;Raw_CFPB!C162,"^",IF(Raw_CFPB!C161&lt;Raw_CFPB!C162,"v","-"))&amp;IF(Raw_CFPB!C162&gt;Raw_CFPB!C163,"^",IF(Raw_CFPB!C162&lt;Raw_CFPB!C163,"v","-"))&amp;IF(Raw_CFPB!C163&gt;Raw_CFPB!C164,"^",IF(Raw_CFPB!C163&lt;Raw_CFPB!C164,"v","-"))&amp;IF(Raw_CFPB!C164&gt;Raw_CFPB!C165,"^",IF(Raw_CFPB!C164&lt;Raw_CFPB!C165,"v","-"))&amp;IF(Raw_CFPB!C165&gt;Raw_CFPB!C166,"^",IF(Raw_CFPB!C165&lt;Raw_CFPB!C166,"v","-"))&amp;IF(Raw_CFPB!C166&gt;Raw_CFPB!C167,"^",IF(Raw_CFPB!C166&lt;Raw_CFPB!C167,"v","-"))&amp;IF(Raw_CFPB!C167&gt;Raw_CFPB!C168,"^",IF(Raw_CFPB!C167&lt;Raw_CFPB!C168,"v","-")))</f>
        <v/>
      </c>
    </row>
    <row r="11">
      <c r="A11" s="19">
        <f>IF(Raw_CFPB!$C$230="","",Raw_CFPB!$C$230)</f>
        <v/>
      </c>
      <c r="B11" s="15">
        <f>IF(Raw_CFPB!$D$230="","",Raw_CFPB!$D$230)</f>
        <v/>
      </c>
      <c r="C11" s="16">
        <f>IF(Raw_CFPB!B232="","",Raw_CFPB!B232)</f>
        <v/>
      </c>
      <c r="D11" s="17">
        <f>IF(OR(Raw_CFPB!B232="",COUNT(Raw_CFPB!B233:B244)=0),"",Raw_CFPB!B232-AVERAGE(Raw_CFPB!B233:B244))</f>
        <v/>
      </c>
      <c r="E11" s="18">
        <f>IF(COUNT(Raw_CFPB!B232:B244)&lt;13,"",IF(Raw_CFPB!B232&gt;Raw_CFPB!B233,"^",IF(Raw_CFPB!B232&lt;Raw_CFPB!B233,"v","-"))&amp;IF(Raw_CFPB!B233&gt;Raw_CFPB!B234,"^",IF(Raw_CFPB!B233&lt;Raw_CFPB!B234,"v","-"))&amp;IF(Raw_CFPB!B234&gt;Raw_CFPB!B235,"^",IF(Raw_CFPB!B234&lt;Raw_CFPB!B235,"v","-"))&amp;IF(Raw_CFPB!B235&gt;Raw_CFPB!B236,"^",IF(Raw_CFPB!B235&lt;Raw_CFPB!B236,"v","-"))&amp;IF(Raw_CFPB!B236&gt;Raw_CFPB!B237,"^",IF(Raw_CFPB!B236&lt;Raw_CFPB!B237,"v","-"))&amp;IF(Raw_CFPB!B237&gt;Raw_CFPB!B238,"^",IF(Raw_CFPB!B237&lt;Raw_CFPB!B238,"v","-"))&amp;IF(Raw_CFPB!B238&gt;Raw_CFPB!B239,"^",IF(Raw_CFPB!B238&lt;Raw_CFPB!B239,"v","-"))&amp;IF(Raw_CFPB!B239&gt;Raw_CFPB!B240,"^",IF(Raw_CFPB!B239&lt;Raw_CFPB!B240,"v","-"))&amp;IF(Raw_CFPB!B240&gt;Raw_CFPB!B241,"^",IF(Raw_CFPB!B240&lt;Raw_CFPB!B241,"v","-"))&amp;IF(Raw_CFPB!B241&gt;Raw_CFPB!B242,"^",IF(Raw_CFPB!B241&lt;Raw_CFPB!B242,"v","-"))&amp;IF(Raw_CFPB!B242&gt;Raw_CFPB!B243,"^",IF(Raw_CFPB!B242&lt;Raw_CFPB!B243,"v","-"))&amp;IF(Raw_CFPB!B243&gt;Raw_CFPB!B244,"^",IF(Raw_CFPB!B243&lt;Raw_CFPB!B244,"v","-")))</f>
        <v/>
      </c>
      <c r="F11" s="16">
        <f>IF(Raw_CFPB!C232="","",Raw_CFPB!C232)</f>
        <v/>
      </c>
      <c r="G11" s="17">
        <f>IF(OR(Raw_CFPB!C232="",COUNT(Raw_CFPB!C233:C244)=0),"",Raw_CFPB!C232-AVERAGE(Raw_CFPB!C233:C244))</f>
        <v/>
      </c>
      <c r="H11" s="18">
        <f>IF(COUNT(Raw_CFPB!C232:C244)&lt;13,"",IF(Raw_CFPB!C232&gt;Raw_CFPB!C233,"^",IF(Raw_CFPB!C232&lt;Raw_CFPB!C233,"v","-"))&amp;IF(Raw_CFPB!C233&gt;Raw_CFPB!C234,"^",IF(Raw_CFPB!C233&lt;Raw_CFPB!C234,"v","-"))&amp;IF(Raw_CFPB!C234&gt;Raw_CFPB!C235,"^",IF(Raw_CFPB!C234&lt;Raw_CFPB!C235,"v","-"))&amp;IF(Raw_CFPB!C235&gt;Raw_CFPB!C236,"^",IF(Raw_CFPB!C235&lt;Raw_CFPB!C236,"v","-"))&amp;IF(Raw_CFPB!C236&gt;Raw_CFPB!C237,"^",IF(Raw_CFPB!C236&lt;Raw_CFPB!C237,"v","-"))&amp;IF(Raw_CFPB!C237&gt;Raw_CFPB!C238,"^",IF(Raw_CFPB!C237&lt;Raw_CFPB!C238,"v","-"))&amp;IF(Raw_CFPB!C238&gt;Raw_CFPB!C239,"^",IF(Raw_CFPB!C238&lt;Raw_CFPB!C239,"v","-"))&amp;IF(Raw_CFPB!C239&gt;Raw_CFPB!C240,"^",IF(Raw_CFPB!C239&lt;Raw_CFPB!C240,"v","-"))&amp;IF(Raw_CFPB!C240&gt;Raw_CFPB!C241,"^",IF(Raw_CFPB!C240&lt;Raw_CFPB!C241,"v","-"))&amp;IF(Raw_CFPB!C241&gt;Raw_CFPB!C242,"^",IF(Raw_CFPB!C241&lt;Raw_CFPB!C242,"v","-"))&amp;IF(Raw_CFPB!C242&gt;Raw_CFPB!C243,"^",IF(Raw_CFPB!C242&lt;Raw_CFPB!C243,"v","-"))&amp;IF(Raw_CFPB!C243&gt;Raw_CFPB!C244,"^",IF(Raw_CFPB!C243&lt;Raw_CFPB!C244,"v","-")))</f>
        <v/>
      </c>
    </row>
    <row r="12">
      <c r="A12" s="19">
        <f>IF(Raw_CFPB!$C$306="","",Raw_CFPB!$C$306)</f>
        <v/>
      </c>
      <c r="B12" s="15">
        <f>IF(Raw_CFPB!$D$306="","",Raw_CFPB!$D$306)</f>
        <v/>
      </c>
      <c r="C12" s="16">
        <f>IF(Raw_CFPB!B308="","",Raw_CFPB!B308)</f>
        <v/>
      </c>
      <c r="D12" s="17">
        <f>IF(OR(Raw_CFPB!B308="",COUNT(Raw_CFPB!B309:B320)=0),"",Raw_CFPB!B308-AVERAGE(Raw_CFPB!B309:B320))</f>
        <v/>
      </c>
      <c r="E12" s="18">
        <f>IF(COUNT(Raw_CFPB!B308:B320)&lt;13,"",IF(Raw_CFPB!B308&gt;Raw_CFPB!B309,"^",IF(Raw_CFPB!B308&lt;Raw_CFPB!B309,"v","-"))&amp;IF(Raw_CFPB!B309&gt;Raw_CFPB!B310,"^",IF(Raw_CFPB!B309&lt;Raw_CFPB!B310,"v","-"))&amp;IF(Raw_CFPB!B310&gt;Raw_CFPB!B311,"^",IF(Raw_CFPB!B310&lt;Raw_CFPB!B311,"v","-"))&amp;IF(Raw_CFPB!B311&gt;Raw_CFPB!B312,"^",IF(Raw_CFPB!B311&lt;Raw_CFPB!B312,"v","-"))&amp;IF(Raw_CFPB!B312&gt;Raw_CFPB!B313,"^",IF(Raw_CFPB!B312&lt;Raw_CFPB!B313,"v","-"))&amp;IF(Raw_CFPB!B313&gt;Raw_CFPB!B314,"^",IF(Raw_CFPB!B313&lt;Raw_CFPB!B314,"v","-"))&amp;IF(Raw_CFPB!B314&gt;Raw_CFPB!B315,"^",IF(Raw_CFPB!B314&lt;Raw_CFPB!B315,"v","-"))&amp;IF(Raw_CFPB!B315&gt;Raw_CFPB!B316,"^",IF(Raw_CFPB!B315&lt;Raw_CFPB!B316,"v","-"))&amp;IF(Raw_CFPB!B316&gt;Raw_CFPB!B317,"^",IF(Raw_CFPB!B316&lt;Raw_CFPB!B317,"v","-"))&amp;IF(Raw_CFPB!B317&gt;Raw_CFPB!B318,"^",IF(Raw_CFPB!B317&lt;Raw_CFPB!B318,"v","-"))&amp;IF(Raw_CFPB!B318&gt;Raw_CFPB!B319,"^",IF(Raw_CFPB!B318&lt;Raw_CFPB!B319,"v","-"))&amp;IF(Raw_CFPB!B319&gt;Raw_CFPB!B320,"^",IF(Raw_CFPB!B319&lt;Raw_CFPB!B320,"v","-")))</f>
        <v/>
      </c>
      <c r="F12" s="16">
        <f>IF(Raw_CFPB!C308="","",Raw_CFPB!C308)</f>
        <v/>
      </c>
      <c r="G12" s="17">
        <f>IF(OR(Raw_CFPB!C308="",COUNT(Raw_CFPB!C309:C320)=0),"",Raw_CFPB!C308-AVERAGE(Raw_CFPB!C309:C320))</f>
        <v/>
      </c>
      <c r="H12" s="18">
        <f>IF(COUNT(Raw_CFPB!C308:C320)&lt;13,"",IF(Raw_CFPB!C308&gt;Raw_CFPB!C309,"^",IF(Raw_CFPB!C308&lt;Raw_CFPB!C309,"v","-"))&amp;IF(Raw_CFPB!C309&gt;Raw_CFPB!C310,"^",IF(Raw_CFPB!C309&lt;Raw_CFPB!C310,"v","-"))&amp;IF(Raw_CFPB!C310&gt;Raw_CFPB!C311,"^",IF(Raw_CFPB!C310&lt;Raw_CFPB!C311,"v","-"))&amp;IF(Raw_CFPB!C311&gt;Raw_CFPB!C312,"^",IF(Raw_CFPB!C311&lt;Raw_CFPB!C312,"v","-"))&amp;IF(Raw_CFPB!C312&gt;Raw_CFPB!C313,"^",IF(Raw_CFPB!C312&lt;Raw_CFPB!C313,"v","-"))&amp;IF(Raw_CFPB!C313&gt;Raw_CFPB!C314,"^",IF(Raw_CFPB!C313&lt;Raw_CFPB!C314,"v","-"))&amp;IF(Raw_CFPB!C314&gt;Raw_CFPB!C315,"^",IF(Raw_CFPB!C314&lt;Raw_CFPB!C315,"v","-"))&amp;IF(Raw_CFPB!C315&gt;Raw_CFPB!C316,"^",IF(Raw_CFPB!C315&lt;Raw_CFPB!C316,"v","-"))&amp;IF(Raw_CFPB!C316&gt;Raw_CFPB!C317,"^",IF(Raw_CFPB!C316&lt;Raw_CFPB!C317,"v","-"))&amp;IF(Raw_CFPB!C317&gt;Raw_CFPB!C318,"^",IF(Raw_CFPB!C317&lt;Raw_CFPB!C318,"v","-"))&amp;IF(Raw_CFPB!C318&gt;Raw_CFPB!C319,"^",IF(Raw_CFPB!C318&lt;Raw_CFPB!C319,"v","-"))&amp;IF(Raw_CFPB!C319&gt;Raw_CFPB!C320,"^",IF(Raw_CFPB!C319&lt;Raw_CFPB!C320,"v","-")))</f>
        <v/>
      </c>
    </row>
    <row r="13">
      <c r="A13" s="19">
        <f>IF(Raw_CFPB!$C$382="","",Raw_CFPB!$C$382)</f>
        <v/>
      </c>
      <c r="B13" s="15">
        <f>IF(Raw_CFPB!$D$382="","",Raw_CFPB!$D$382)</f>
        <v/>
      </c>
      <c r="C13" s="16">
        <f>IF(Raw_CFPB!B384="","",Raw_CFPB!B384)</f>
        <v/>
      </c>
      <c r="D13" s="17">
        <f>IF(OR(Raw_CFPB!B384="",COUNT(Raw_CFPB!B385:B396)=0),"",Raw_CFPB!B384-AVERAGE(Raw_CFPB!B385:B396))</f>
        <v/>
      </c>
      <c r="E13" s="18">
        <f>IF(COUNT(Raw_CFPB!B384:B396)&lt;13,"",IF(Raw_CFPB!B384&gt;Raw_CFPB!B385,"^",IF(Raw_CFPB!B384&lt;Raw_CFPB!B385,"v","-"))&amp;IF(Raw_CFPB!B385&gt;Raw_CFPB!B386,"^",IF(Raw_CFPB!B385&lt;Raw_CFPB!B386,"v","-"))&amp;IF(Raw_CFPB!B386&gt;Raw_CFPB!B387,"^",IF(Raw_CFPB!B386&lt;Raw_CFPB!B387,"v","-"))&amp;IF(Raw_CFPB!B387&gt;Raw_CFPB!B388,"^",IF(Raw_CFPB!B387&lt;Raw_CFPB!B388,"v","-"))&amp;IF(Raw_CFPB!B388&gt;Raw_CFPB!B389,"^",IF(Raw_CFPB!B388&lt;Raw_CFPB!B389,"v","-"))&amp;IF(Raw_CFPB!B389&gt;Raw_CFPB!B390,"^",IF(Raw_CFPB!B389&lt;Raw_CFPB!B390,"v","-"))&amp;IF(Raw_CFPB!B390&gt;Raw_CFPB!B391,"^",IF(Raw_CFPB!B390&lt;Raw_CFPB!B391,"v","-"))&amp;IF(Raw_CFPB!B391&gt;Raw_CFPB!B392,"^",IF(Raw_CFPB!B391&lt;Raw_CFPB!B392,"v","-"))&amp;IF(Raw_CFPB!B392&gt;Raw_CFPB!B393,"^",IF(Raw_CFPB!B392&lt;Raw_CFPB!B393,"v","-"))&amp;IF(Raw_CFPB!B393&gt;Raw_CFPB!B394,"^",IF(Raw_CFPB!B393&lt;Raw_CFPB!B394,"v","-"))&amp;IF(Raw_CFPB!B394&gt;Raw_CFPB!B395,"^",IF(Raw_CFPB!B394&lt;Raw_CFPB!B395,"v","-"))&amp;IF(Raw_CFPB!B395&gt;Raw_CFPB!B396,"^",IF(Raw_CFPB!B395&lt;Raw_CFPB!B396,"v","-")))</f>
        <v/>
      </c>
      <c r="F13" s="16">
        <f>IF(Raw_CFPB!C384="","",Raw_CFPB!C384)</f>
        <v/>
      </c>
      <c r="G13" s="17">
        <f>IF(OR(Raw_CFPB!C384="",COUNT(Raw_CFPB!C385:C396)=0),"",Raw_CFPB!C384-AVERAGE(Raw_CFPB!C385:C396))</f>
        <v/>
      </c>
      <c r="H13" s="18">
        <f>IF(COUNT(Raw_CFPB!C384:C396)&lt;13,"",IF(Raw_CFPB!C384&gt;Raw_CFPB!C385,"^",IF(Raw_CFPB!C384&lt;Raw_CFPB!C385,"v","-"))&amp;IF(Raw_CFPB!C385&gt;Raw_CFPB!C386,"^",IF(Raw_CFPB!C385&lt;Raw_CFPB!C386,"v","-"))&amp;IF(Raw_CFPB!C386&gt;Raw_CFPB!C387,"^",IF(Raw_CFPB!C386&lt;Raw_CFPB!C387,"v","-"))&amp;IF(Raw_CFPB!C387&gt;Raw_CFPB!C388,"^",IF(Raw_CFPB!C387&lt;Raw_CFPB!C388,"v","-"))&amp;IF(Raw_CFPB!C388&gt;Raw_CFPB!C389,"^",IF(Raw_CFPB!C388&lt;Raw_CFPB!C389,"v","-"))&amp;IF(Raw_CFPB!C389&gt;Raw_CFPB!C390,"^",IF(Raw_CFPB!C389&lt;Raw_CFPB!C390,"v","-"))&amp;IF(Raw_CFPB!C390&gt;Raw_CFPB!C391,"^",IF(Raw_CFPB!C390&lt;Raw_CFPB!C391,"v","-"))&amp;IF(Raw_CFPB!C391&gt;Raw_CFPB!C392,"^",IF(Raw_CFPB!C391&lt;Raw_CFPB!C392,"v","-"))&amp;IF(Raw_CFPB!C392&gt;Raw_CFPB!C393,"^",IF(Raw_CFPB!C392&lt;Raw_CFPB!C393,"v","-"))&amp;IF(Raw_CFPB!C393&gt;Raw_CFPB!C394,"^",IF(Raw_CFPB!C393&lt;Raw_CFPB!C394,"v","-"))&amp;IF(Raw_CFPB!C394&gt;Raw_CFPB!C395,"^",IF(Raw_CFPB!C394&lt;Raw_CFPB!C395,"v","-"))&amp;IF(Raw_CFPB!C395&gt;Raw_CFPB!C396,"^",IF(Raw_CFPB!C395&lt;Raw_CFPB!C396,"v","-")))</f>
        <v/>
      </c>
    </row>
    <row r="14">
      <c r="A14" s="19">
        <f>IF(Raw_CFPB!$C$458="","",Raw_CFPB!$C$458)</f>
        <v/>
      </c>
      <c r="B14" s="15">
        <f>IF(Raw_CFPB!$D$458="","",Raw_CFPB!$D$458)</f>
        <v/>
      </c>
      <c r="C14" s="16">
        <f>IF(Raw_CFPB!B460="","",Raw_CFPB!B460)</f>
        <v/>
      </c>
      <c r="D14" s="17">
        <f>IF(OR(Raw_CFPB!B460="",COUNT(Raw_CFPB!B461:B472)=0),"",Raw_CFPB!B460-AVERAGE(Raw_CFPB!B461:B472))</f>
        <v/>
      </c>
      <c r="E14" s="18">
        <f>IF(COUNT(Raw_CFPB!B460:B472)&lt;13,"",IF(Raw_CFPB!B460&gt;Raw_CFPB!B461,"^",IF(Raw_CFPB!B460&lt;Raw_CFPB!B461,"v","-"))&amp;IF(Raw_CFPB!B461&gt;Raw_CFPB!B462,"^",IF(Raw_CFPB!B461&lt;Raw_CFPB!B462,"v","-"))&amp;IF(Raw_CFPB!B462&gt;Raw_CFPB!B463,"^",IF(Raw_CFPB!B462&lt;Raw_CFPB!B463,"v","-"))&amp;IF(Raw_CFPB!B463&gt;Raw_CFPB!B464,"^",IF(Raw_CFPB!B463&lt;Raw_CFPB!B464,"v","-"))&amp;IF(Raw_CFPB!B464&gt;Raw_CFPB!B465,"^",IF(Raw_CFPB!B464&lt;Raw_CFPB!B465,"v","-"))&amp;IF(Raw_CFPB!B465&gt;Raw_CFPB!B466,"^",IF(Raw_CFPB!B465&lt;Raw_CFPB!B466,"v","-"))&amp;IF(Raw_CFPB!B466&gt;Raw_CFPB!B467,"^",IF(Raw_CFPB!B466&lt;Raw_CFPB!B467,"v","-"))&amp;IF(Raw_CFPB!B467&gt;Raw_CFPB!B468,"^",IF(Raw_CFPB!B467&lt;Raw_CFPB!B468,"v","-"))&amp;IF(Raw_CFPB!B468&gt;Raw_CFPB!B469,"^",IF(Raw_CFPB!B468&lt;Raw_CFPB!B469,"v","-"))&amp;IF(Raw_CFPB!B469&gt;Raw_CFPB!B470,"^",IF(Raw_CFPB!B469&lt;Raw_CFPB!B470,"v","-"))&amp;IF(Raw_CFPB!B470&gt;Raw_CFPB!B471,"^",IF(Raw_CFPB!B470&lt;Raw_CFPB!B471,"v","-"))&amp;IF(Raw_CFPB!B471&gt;Raw_CFPB!B472,"^",IF(Raw_CFPB!B471&lt;Raw_CFPB!B472,"v","-")))</f>
        <v/>
      </c>
      <c r="F14" s="16">
        <f>IF(Raw_CFPB!C460="","",Raw_CFPB!C460)</f>
        <v/>
      </c>
      <c r="G14" s="17">
        <f>IF(OR(Raw_CFPB!C460="",COUNT(Raw_CFPB!C461:C472)=0),"",Raw_CFPB!C460-AVERAGE(Raw_CFPB!C461:C472))</f>
        <v/>
      </c>
      <c r="H14" s="18">
        <f>IF(COUNT(Raw_CFPB!C460:C472)&lt;13,"",IF(Raw_CFPB!C460&gt;Raw_CFPB!C461,"^",IF(Raw_CFPB!C460&lt;Raw_CFPB!C461,"v","-"))&amp;IF(Raw_CFPB!C461&gt;Raw_CFPB!C462,"^",IF(Raw_CFPB!C461&lt;Raw_CFPB!C462,"v","-"))&amp;IF(Raw_CFPB!C462&gt;Raw_CFPB!C463,"^",IF(Raw_CFPB!C462&lt;Raw_CFPB!C463,"v","-"))&amp;IF(Raw_CFPB!C463&gt;Raw_CFPB!C464,"^",IF(Raw_CFPB!C463&lt;Raw_CFPB!C464,"v","-"))&amp;IF(Raw_CFPB!C464&gt;Raw_CFPB!C465,"^",IF(Raw_CFPB!C464&lt;Raw_CFPB!C465,"v","-"))&amp;IF(Raw_CFPB!C465&gt;Raw_CFPB!C466,"^",IF(Raw_CFPB!C465&lt;Raw_CFPB!C466,"v","-"))&amp;IF(Raw_CFPB!C466&gt;Raw_CFPB!C467,"^",IF(Raw_CFPB!C466&lt;Raw_CFPB!C467,"v","-"))&amp;IF(Raw_CFPB!C467&gt;Raw_CFPB!C468,"^",IF(Raw_CFPB!C467&lt;Raw_CFPB!C468,"v","-"))&amp;IF(Raw_CFPB!C468&gt;Raw_CFPB!C469,"^",IF(Raw_CFPB!C468&lt;Raw_CFPB!C469,"v","-"))&amp;IF(Raw_CFPB!C469&gt;Raw_CFPB!C470,"^",IF(Raw_CFPB!C469&lt;Raw_CFPB!C470,"v","-"))&amp;IF(Raw_CFPB!C470&gt;Raw_CFPB!C471,"^",IF(Raw_CFPB!C470&lt;Raw_CFPB!C471,"v","-"))&amp;IF(Raw_CFPB!C471&gt;Raw_CFPB!C472,"^",IF(Raw_CFPB!C471&lt;Raw_CFPB!C472,"v","-")))</f>
        <v/>
      </c>
    </row>
    <row r="15">
      <c r="A15" s="19">
        <f>IF(Raw_CFPB!$C$534="","",Raw_CFPB!$C$534)</f>
        <v/>
      </c>
      <c r="B15" s="15">
        <f>IF(Raw_CFPB!$D$534="","",Raw_CFPB!$D$534)</f>
        <v/>
      </c>
      <c r="C15" s="16">
        <f>IF(Raw_CFPB!B536="","",Raw_CFPB!B536)</f>
        <v/>
      </c>
      <c r="D15" s="17">
        <f>IF(OR(Raw_CFPB!B536="",COUNT(Raw_CFPB!B537:B548)=0),"",Raw_CFPB!B536-AVERAGE(Raw_CFPB!B537:B548))</f>
        <v/>
      </c>
      <c r="E15" s="18">
        <f>IF(COUNT(Raw_CFPB!B536:B548)&lt;13,"",IF(Raw_CFPB!B536&gt;Raw_CFPB!B537,"^",IF(Raw_CFPB!B536&lt;Raw_CFPB!B537,"v","-"))&amp;IF(Raw_CFPB!B537&gt;Raw_CFPB!B538,"^",IF(Raw_CFPB!B537&lt;Raw_CFPB!B538,"v","-"))&amp;IF(Raw_CFPB!B538&gt;Raw_CFPB!B539,"^",IF(Raw_CFPB!B538&lt;Raw_CFPB!B539,"v","-"))&amp;IF(Raw_CFPB!B539&gt;Raw_CFPB!B540,"^",IF(Raw_CFPB!B539&lt;Raw_CFPB!B540,"v","-"))&amp;IF(Raw_CFPB!B540&gt;Raw_CFPB!B541,"^",IF(Raw_CFPB!B540&lt;Raw_CFPB!B541,"v","-"))&amp;IF(Raw_CFPB!B541&gt;Raw_CFPB!B542,"^",IF(Raw_CFPB!B541&lt;Raw_CFPB!B542,"v","-"))&amp;IF(Raw_CFPB!B542&gt;Raw_CFPB!B543,"^",IF(Raw_CFPB!B542&lt;Raw_CFPB!B543,"v","-"))&amp;IF(Raw_CFPB!B543&gt;Raw_CFPB!B544,"^",IF(Raw_CFPB!B543&lt;Raw_CFPB!B544,"v","-"))&amp;IF(Raw_CFPB!B544&gt;Raw_CFPB!B545,"^",IF(Raw_CFPB!B544&lt;Raw_CFPB!B545,"v","-"))&amp;IF(Raw_CFPB!B545&gt;Raw_CFPB!B546,"^",IF(Raw_CFPB!B545&lt;Raw_CFPB!B546,"v","-"))&amp;IF(Raw_CFPB!B546&gt;Raw_CFPB!B547,"^",IF(Raw_CFPB!B546&lt;Raw_CFPB!B547,"v","-"))&amp;IF(Raw_CFPB!B547&gt;Raw_CFPB!B548,"^",IF(Raw_CFPB!B547&lt;Raw_CFPB!B548,"v","-")))</f>
        <v/>
      </c>
      <c r="F15" s="16">
        <f>IF(Raw_CFPB!C536="","",Raw_CFPB!C536)</f>
        <v/>
      </c>
      <c r="G15" s="17">
        <f>IF(OR(Raw_CFPB!C536="",COUNT(Raw_CFPB!C537:C548)=0),"",Raw_CFPB!C536-AVERAGE(Raw_CFPB!C537:C548))</f>
        <v/>
      </c>
      <c r="H15" s="18">
        <f>IF(COUNT(Raw_CFPB!C536:C548)&lt;13,"",IF(Raw_CFPB!C536&gt;Raw_CFPB!C537,"^",IF(Raw_CFPB!C536&lt;Raw_CFPB!C537,"v","-"))&amp;IF(Raw_CFPB!C537&gt;Raw_CFPB!C538,"^",IF(Raw_CFPB!C537&lt;Raw_CFPB!C538,"v","-"))&amp;IF(Raw_CFPB!C538&gt;Raw_CFPB!C539,"^",IF(Raw_CFPB!C538&lt;Raw_CFPB!C539,"v","-"))&amp;IF(Raw_CFPB!C539&gt;Raw_CFPB!C540,"^",IF(Raw_CFPB!C539&lt;Raw_CFPB!C540,"v","-"))&amp;IF(Raw_CFPB!C540&gt;Raw_CFPB!C541,"^",IF(Raw_CFPB!C540&lt;Raw_CFPB!C541,"v","-"))&amp;IF(Raw_CFPB!C541&gt;Raw_CFPB!C542,"^",IF(Raw_CFPB!C541&lt;Raw_CFPB!C542,"v","-"))&amp;IF(Raw_CFPB!C542&gt;Raw_CFPB!C543,"^",IF(Raw_CFPB!C542&lt;Raw_CFPB!C543,"v","-"))&amp;IF(Raw_CFPB!C543&gt;Raw_CFPB!C544,"^",IF(Raw_CFPB!C543&lt;Raw_CFPB!C544,"v","-"))&amp;IF(Raw_CFPB!C544&gt;Raw_CFPB!C545,"^",IF(Raw_CFPB!C544&lt;Raw_CFPB!C545,"v","-"))&amp;IF(Raw_CFPB!C545&gt;Raw_CFPB!C546,"^",IF(Raw_CFPB!C545&lt;Raw_CFPB!C546,"v","-"))&amp;IF(Raw_CFPB!C546&gt;Raw_CFPB!C547,"^",IF(Raw_CFPB!C546&lt;Raw_CFPB!C547,"v","-"))&amp;IF(Raw_CFPB!C547&gt;Raw_CFPB!C548,"^",IF(Raw_CFPB!C547&lt;Raw_CFPB!C548,"v","-")))</f>
        <v/>
      </c>
    </row>
    <row r="16">
      <c r="A16" s="19">
        <f>IF(Raw_CFPB!$C$610="","",Raw_CFPB!$C$610)</f>
        <v/>
      </c>
      <c r="B16" s="15">
        <f>IF(Raw_CFPB!$D$610="","",Raw_CFPB!$D$610)</f>
        <v/>
      </c>
      <c r="C16" s="16">
        <f>IF(Raw_CFPB!B612="","",Raw_CFPB!B612)</f>
        <v/>
      </c>
      <c r="D16" s="17">
        <f>IF(OR(Raw_CFPB!B612="",COUNT(Raw_CFPB!B613:B624)=0),"",Raw_CFPB!B612-AVERAGE(Raw_CFPB!B613:B624))</f>
        <v/>
      </c>
      <c r="E16" s="18">
        <f>IF(COUNT(Raw_CFPB!B612:B624)&lt;13,"",IF(Raw_CFPB!B612&gt;Raw_CFPB!B613,"^",IF(Raw_CFPB!B612&lt;Raw_CFPB!B613,"v","-"))&amp;IF(Raw_CFPB!B613&gt;Raw_CFPB!B614,"^",IF(Raw_CFPB!B613&lt;Raw_CFPB!B614,"v","-"))&amp;IF(Raw_CFPB!B614&gt;Raw_CFPB!B615,"^",IF(Raw_CFPB!B614&lt;Raw_CFPB!B615,"v","-"))&amp;IF(Raw_CFPB!B615&gt;Raw_CFPB!B616,"^",IF(Raw_CFPB!B615&lt;Raw_CFPB!B616,"v","-"))&amp;IF(Raw_CFPB!B616&gt;Raw_CFPB!B617,"^",IF(Raw_CFPB!B616&lt;Raw_CFPB!B617,"v","-"))&amp;IF(Raw_CFPB!B617&gt;Raw_CFPB!B618,"^",IF(Raw_CFPB!B617&lt;Raw_CFPB!B618,"v","-"))&amp;IF(Raw_CFPB!B618&gt;Raw_CFPB!B619,"^",IF(Raw_CFPB!B618&lt;Raw_CFPB!B619,"v","-"))&amp;IF(Raw_CFPB!B619&gt;Raw_CFPB!B620,"^",IF(Raw_CFPB!B619&lt;Raw_CFPB!B620,"v","-"))&amp;IF(Raw_CFPB!B620&gt;Raw_CFPB!B621,"^",IF(Raw_CFPB!B620&lt;Raw_CFPB!B621,"v","-"))&amp;IF(Raw_CFPB!B621&gt;Raw_CFPB!B622,"^",IF(Raw_CFPB!B621&lt;Raw_CFPB!B622,"v","-"))&amp;IF(Raw_CFPB!B622&gt;Raw_CFPB!B623,"^",IF(Raw_CFPB!B622&lt;Raw_CFPB!B623,"v","-"))&amp;IF(Raw_CFPB!B623&gt;Raw_CFPB!B624,"^",IF(Raw_CFPB!B623&lt;Raw_CFPB!B624,"v","-")))</f>
        <v/>
      </c>
      <c r="F16" s="16">
        <f>IF(Raw_CFPB!C612="","",Raw_CFPB!C612)</f>
        <v/>
      </c>
      <c r="G16" s="17">
        <f>IF(OR(Raw_CFPB!C612="",COUNT(Raw_CFPB!C613:C624)=0),"",Raw_CFPB!C612-AVERAGE(Raw_CFPB!C613:C624))</f>
        <v/>
      </c>
      <c r="H16" s="18">
        <f>IF(COUNT(Raw_CFPB!C612:C624)&lt;13,"",IF(Raw_CFPB!C612&gt;Raw_CFPB!C613,"^",IF(Raw_CFPB!C612&lt;Raw_CFPB!C613,"v","-"))&amp;IF(Raw_CFPB!C613&gt;Raw_CFPB!C614,"^",IF(Raw_CFPB!C613&lt;Raw_CFPB!C614,"v","-"))&amp;IF(Raw_CFPB!C614&gt;Raw_CFPB!C615,"^",IF(Raw_CFPB!C614&lt;Raw_CFPB!C615,"v","-"))&amp;IF(Raw_CFPB!C615&gt;Raw_CFPB!C616,"^",IF(Raw_CFPB!C615&lt;Raw_CFPB!C616,"v","-"))&amp;IF(Raw_CFPB!C616&gt;Raw_CFPB!C617,"^",IF(Raw_CFPB!C616&lt;Raw_CFPB!C617,"v","-"))&amp;IF(Raw_CFPB!C617&gt;Raw_CFPB!C618,"^",IF(Raw_CFPB!C617&lt;Raw_CFPB!C618,"v","-"))&amp;IF(Raw_CFPB!C618&gt;Raw_CFPB!C619,"^",IF(Raw_CFPB!C618&lt;Raw_CFPB!C619,"v","-"))&amp;IF(Raw_CFPB!C619&gt;Raw_CFPB!C620,"^",IF(Raw_CFPB!C619&lt;Raw_CFPB!C620,"v","-"))&amp;IF(Raw_CFPB!C620&gt;Raw_CFPB!C621,"^",IF(Raw_CFPB!C620&lt;Raw_CFPB!C621,"v","-"))&amp;IF(Raw_CFPB!C621&gt;Raw_CFPB!C622,"^",IF(Raw_CFPB!C621&lt;Raw_CFPB!C622,"v","-"))&amp;IF(Raw_CFPB!C622&gt;Raw_CFPB!C623,"^",IF(Raw_CFPB!C622&lt;Raw_CFPB!C623,"v","-"))&amp;IF(Raw_CFPB!C623&gt;Raw_CFPB!C624,"^",IF(Raw_CFPB!C623&lt;Raw_CFPB!C624,"v","-")))</f>
        <v/>
      </c>
    </row>
    <row r="17">
      <c r="A17" s="19">
        <f>IF(Raw_CFPB!$C$686="","",Raw_CFPB!$C$686)</f>
        <v/>
      </c>
      <c r="B17" s="15">
        <f>IF(Raw_CFPB!$D$686="","",Raw_CFPB!$D$686)</f>
        <v/>
      </c>
      <c r="C17" s="16">
        <f>IF(Raw_CFPB!B688="","",Raw_CFPB!B688)</f>
        <v/>
      </c>
      <c r="D17" s="17">
        <f>IF(OR(Raw_CFPB!B688="",COUNT(Raw_CFPB!B689:B700)=0),"",Raw_CFPB!B688-AVERAGE(Raw_CFPB!B689:B700))</f>
        <v/>
      </c>
      <c r="E17" s="18">
        <f>IF(COUNT(Raw_CFPB!B688:B700)&lt;13,"",IF(Raw_CFPB!B688&gt;Raw_CFPB!B689,"^",IF(Raw_CFPB!B688&lt;Raw_CFPB!B689,"v","-"))&amp;IF(Raw_CFPB!B689&gt;Raw_CFPB!B690,"^",IF(Raw_CFPB!B689&lt;Raw_CFPB!B690,"v","-"))&amp;IF(Raw_CFPB!B690&gt;Raw_CFPB!B691,"^",IF(Raw_CFPB!B690&lt;Raw_CFPB!B691,"v","-"))&amp;IF(Raw_CFPB!B691&gt;Raw_CFPB!B692,"^",IF(Raw_CFPB!B691&lt;Raw_CFPB!B692,"v","-"))&amp;IF(Raw_CFPB!B692&gt;Raw_CFPB!B693,"^",IF(Raw_CFPB!B692&lt;Raw_CFPB!B693,"v","-"))&amp;IF(Raw_CFPB!B693&gt;Raw_CFPB!B694,"^",IF(Raw_CFPB!B693&lt;Raw_CFPB!B694,"v","-"))&amp;IF(Raw_CFPB!B694&gt;Raw_CFPB!B695,"^",IF(Raw_CFPB!B694&lt;Raw_CFPB!B695,"v","-"))&amp;IF(Raw_CFPB!B695&gt;Raw_CFPB!B696,"^",IF(Raw_CFPB!B695&lt;Raw_CFPB!B696,"v","-"))&amp;IF(Raw_CFPB!B696&gt;Raw_CFPB!B697,"^",IF(Raw_CFPB!B696&lt;Raw_CFPB!B697,"v","-"))&amp;IF(Raw_CFPB!B697&gt;Raw_CFPB!B698,"^",IF(Raw_CFPB!B697&lt;Raw_CFPB!B698,"v","-"))&amp;IF(Raw_CFPB!B698&gt;Raw_CFPB!B699,"^",IF(Raw_CFPB!B698&lt;Raw_CFPB!B699,"v","-"))&amp;IF(Raw_CFPB!B699&gt;Raw_CFPB!B700,"^",IF(Raw_CFPB!B699&lt;Raw_CFPB!B700,"v","-")))</f>
        <v/>
      </c>
      <c r="F17" s="16">
        <f>IF(Raw_CFPB!C688="","",Raw_CFPB!C688)</f>
        <v/>
      </c>
      <c r="G17" s="17">
        <f>IF(OR(Raw_CFPB!C688="",COUNT(Raw_CFPB!C689:C700)=0),"",Raw_CFPB!C688-AVERAGE(Raw_CFPB!C689:C700))</f>
        <v/>
      </c>
      <c r="H17" s="18">
        <f>IF(COUNT(Raw_CFPB!C688:C700)&lt;13,"",IF(Raw_CFPB!C688&gt;Raw_CFPB!C689,"^",IF(Raw_CFPB!C688&lt;Raw_CFPB!C689,"v","-"))&amp;IF(Raw_CFPB!C689&gt;Raw_CFPB!C690,"^",IF(Raw_CFPB!C689&lt;Raw_CFPB!C690,"v","-"))&amp;IF(Raw_CFPB!C690&gt;Raw_CFPB!C691,"^",IF(Raw_CFPB!C690&lt;Raw_CFPB!C691,"v","-"))&amp;IF(Raw_CFPB!C691&gt;Raw_CFPB!C692,"^",IF(Raw_CFPB!C691&lt;Raw_CFPB!C692,"v","-"))&amp;IF(Raw_CFPB!C692&gt;Raw_CFPB!C693,"^",IF(Raw_CFPB!C692&lt;Raw_CFPB!C693,"v","-"))&amp;IF(Raw_CFPB!C693&gt;Raw_CFPB!C694,"^",IF(Raw_CFPB!C693&lt;Raw_CFPB!C694,"v","-"))&amp;IF(Raw_CFPB!C694&gt;Raw_CFPB!C695,"^",IF(Raw_CFPB!C694&lt;Raw_CFPB!C695,"v","-"))&amp;IF(Raw_CFPB!C695&gt;Raw_CFPB!C696,"^",IF(Raw_CFPB!C695&lt;Raw_CFPB!C696,"v","-"))&amp;IF(Raw_CFPB!C696&gt;Raw_CFPB!C697,"^",IF(Raw_CFPB!C696&lt;Raw_CFPB!C697,"v","-"))&amp;IF(Raw_CFPB!C697&gt;Raw_CFPB!C698,"^",IF(Raw_CFPB!C697&lt;Raw_CFPB!C698,"v","-"))&amp;IF(Raw_CFPB!C698&gt;Raw_CFPB!C699,"^",IF(Raw_CFPB!C698&lt;Raw_CFPB!C699,"v","-"))&amp;IF(Raw_CFPB!C699&gt;Raw_CFPB!C700,"^",IF(Raw_CFPB!C699&lt;Raw_CFPB!C700,"v","-")))</f>
        <v/>
      </c>
    </row>
    <row r="18">
      <c r="A18" s="19">
        <f>IF(Raw_CFPB!$C$762="","",Raw_CFPB!$C$762)</f>
        <v/>
      </c>
      <c r="B18" s="15">
        <f>IF(Raw_CFPB!$D$762="","",Raw_CFPB!$D$762)</f>
        <v/>
      </c>
      <c r="C18" s="16">
        <f>IF(Raw_CFPB!B764="","",Raw_CFPB!B764)</f>
        <v/>
      </c>
      <c r="D18" s="17">
        <f>IF(OR(Raw_CFPB!B764="",COUNT(Raw_CFPB!B765:B776)=0),"",Raw_CFPB!B764-AVERAGE(Raw_CFPB!B765:B776))</f>
        <v/>
      </c>
      <c r="E18" s="18">
        <f>IF(COUNT(Raw_CFPB!B764:B776)&lt;13,"",IF(Raw_CFPB!B764&gt;Raw_CFPB!B765,"^",IF(Raw_CFPB!B764&lt;Raw_CFPB!B765,"v","-"))&amp;IF(Raw_CFPB!B765&gt;Raw_CFPB!B766,"^",IF(Raw_CFPB!B765&lt;Raw_CFPB!B766,"v","-"))&amp;IF(Raw_CFPB!B766&gt;Raw_CFPB!B767,"^",IF(Raw_CFPB!B766&lt;Raw_CFPB!B767,"v","-"))&amp;IF(Raw_CFPB!B767&gt;Raw_CFPB!B768,"^",IF(Raw_CFPB!B767&lt;Raw_CFPB!B768,"v","-"))&amp;IF(Raw_CFPB!B768&gt;Raw_CFPB!B769,"^",IF(Raw_CFPB!B768&lt;Raw_CFPB!B769,"v","-"))&amp;IF(Raw_CFPB!B769&gt;Raw_CFPB!B770,"^",IF(Raw_CFPB!B769&lt;Raw_CFPB!B770,"v","-"))&amp;IF(Raw_CFPB!B770&gt;Raw_CFPB!B771,"^",IF(Raw_CFPB!B770&lt;Raw_CFPB!B771,"v","-"))&amp;IF(Raw_CFPB!B771&gt;Raw_CFPB!B772,"^",IF(Raw_CFPB!B771&lt;Raw_CFPB!B772,"v","-"))&amp;IF(Raw_CFPB!B772&gt;Raw_CFPB!B773,"^",IF(Raw_CFPB!B772&lt;Raw_CFPB!B773,"v","-"))&amp;IF(Raw_CFPB!B773&gt;Raw_CFPB!B774,"^",IF(Raw_CFPB!B773&lt;Raw_CFPB!B774,"v","-"))&amp;IF(Raw_CFPB!B774&gt;Raw_CFPB!B775,"^",IF(Raw_CFPB!B774&lt;Raw_CFPB!B775,"v","-"))&amp;IF(Raw_CFPB!B775&gt;Raw_CFPB!B776,"^",IF(Raw_CFPB!B775&lt;Raw_CFPB!B776,"v","-")))</f>
        <v/>
      </c>
      <c r="F18" s="16">
        <f>IF(Raw_CFPB!C764="","",Raw_CFPB!C764)</f>
        <v/>
      </c>
      <c r="G18" s="17">
        <f>IF(OR(Raw_CFPB!C764="",COUNT(Raw_CFPB!C765:C776)=0),"",Raw_CFPB!C764-AVERAGE(Raw_CFPB!C765:C776))</f>
        <v/>
      </c>
      <c r="H18" s="18">
        <f>IF(COUNT(Raw_CFPB!C764:C776)&lt;13,"",IF(Raw_CFPB!C764&gt;Raw_CFPB!C765,"^",IF(Raw_CFPB!C764&lt;Raw_CFPB!C765,"v","-"))&amp;IF(Raw_CFPB!C765&gt;Raw_CFPB!C766,"^",IF(Raw_CFPB!C765&lt;Raw_CFPB!C766,"v","-"))&amp;IF(Raw_CFPB!C766&gt;Raw_CFPB!C767,"^",IF(Raw_CFPB!C766&lt;Raw_CFPB!C767,"v","-"))&amp;IF(Raw_CFPB!C767&gt;Raw_CFPB!C768,"^",IF(Raw_CFPB!C767&lt;Raw_CFPB!C768,"v","-"))&amp;IF(Raw_CFPB!C768&gt;Raw_CFPB!C769,"^",IF(Raw_CFPB!C768&lt;Raw_CFPB!C769,"v","-"))&amp;IF(Raw_CFPB!C769&gt;Raw_CFPB!C770,"^",IF(Raw_CFPB!C769&lt;Raw_CFPB!C770,"v","-"))&amp;IF(Raw_CFPB!C770&gt;Raw_CFPB!C771,"^",IF(Raw_CFPB!C770&lt;Raw_CFPB!C771,"v","-"))&amp;IF(Raw_CFPB!C771&gt;Raw_CFPB!C772,"^",IF(Raw_CFPB!C771&lt;Raw_CFPB!C772,"v","-"))&amp;IF(Raw_CFPB!C772&gt;Raw_CFPB!C773,"^",IF(Raw_CFPB!C772&lt;Raw_CFPB!C773,"v","-"))&amp;IF(Raw_CFPB!C773&gt;Raw_CFPB!C774,"^",IF(Raw_CFPB!C773&lt;Raw_CFPB!C774,"v","-"))&amp;IF(Raw_CFPB!C774&gt;Raw_CFPB!C775,"^",IF(Raw_CFPB!C774&lt;Raw_CFPB!C775,"v","-"))&amp;IF(Raw_CFPB!C775&gt;Raw_CFPB!C776,"^",IF(Raw_CFPB!C775&lt;Raw_CFPB!C776,"v","-")))</f>
        <v/>
      </c>
    </row>
    <row r="19">
      <c r="A19" s="19">
        <f>IF(Raw_CFPB!$C$838="","",Raw_CFPB!$C$838)</f>
        <v/>
      </c>
      <c r="B19" s="15">
        <f>IF(Raw_CFPB!$D$838="","",Raw_CFPB!$D$838)</f>
        <v/>
      </c>
      <c r="C19" s="16">
        <f>IF(Raw_CFPB!B840="","",Raw_CFPB!B840)</f>
        <v/>
      </c>
      <c r="D19" s="17">
        <f>IF(OR(Raw_CFPB!B840="",COUNT(Raw_CFPB!B841:B852)=0),"",Raw_CFPB!B840-AVERAGE(Raw_CFPB!B841:B852))</f>
        <v/>
      </c>
      <c r="E19" s="18">
        <f>IF(COUNT(Raw_CFPB!B840:B852)&lt;13,"",IF(Raw_CFPB!B840&gt;Raw_CFPB!B841,"^",IF(Raw_CFPB!B840&lt;Raw_CFPB!B841,"v","-"))&amp;IF(Raw_CFPB!B841&gt;Raw_CFPB!B842,"^",IF(Raw_CFPB!B841&lt;Raw_CFPB!B842,"v","-"))&amp;IF(Raw_CFPB!B842&gt;Raw_CFPB!B843,"^",IF(Raw_CFPB!B842&lt;Raw_CFPB!B843,"v","-"))&amp;IF(Raw_CFPB!B843&gt;Raw_CFPB!B844,"^",IF(Raw_CFPB!B843&lt;Raw_CFPB!B844,"v","-"))&amp;IF(Raw_CFPB!B844&gt;Raw_CFPB!B845,"^",IF(Raw_CFPB!B844&lt;Raw_CFPB!B845,"v","-"))&amp;IF(Raw_CFPB!B845&gt;Raw_CFPB!B846,"^",IF(Raw_CFPB!B845&lt;Raw_CFPB!B846,"v","-"))&amp;IF(Raw_CFPB!B846&gt;Raw_CFPB!B847,"^",IF(Raw_CFPB!B846&lt;Raw_CFPB!B847,"v","-"))&amp;IF(Raw_CFPB!B847&gt;Raw_CFPB!B848,"^",IF(Raw_CFPB!B847&lt;Raw_CFPB!B848,"v","-"))&amp;IF(Raw_CFPB!B848&gt;Raw_CFPB!B849,"^",IF(Raw_CFPB!B848&lt;Raw_CFPB!B849,"v","-"))&amp;IF(Raw_CFPB!B849&gt;Raw_CFPB!B850,"^",IF(Raw_CFPB!B849&lt;Raw_CFPB!B850,"v","-"))&amp;IF(Raw_CFPB!B850&gt;Raw_CFPB!B851,"^",IF(Raw_CFPB!B850&lt;Raw_CFPB!B851,"v","-"))&amp;IF(Raw_CFPB!B851&gt;Raw_CFPB!B852,"^",IF(Raw_CFPB!B851&lt;Raw_CFPB!B852,"v","-")))</f>
        <v/>
      </c>
      <c r="F19" s="16">
        <f>IF(Raw_CFPB!C840="","",Raw_CFPB!C840)</f>
        <v/>
      </c>
      <c r="G19" s="17">
        <f>IF(OR(Raw_CFPB!C840="",COUNT(Raw_CFPB!C841:C852)=0),"",Raw_CFPB!C840-AVERAGE(Raw_CFPB!C841:C852))</f>
        <v/>
      </c>
      <c r="H19" s="18">
        <f>IF(COUNT(Raw_CFPB!C840:C852)&lt;13,"",IF(Raw_CFPB!C840&gt;Raw_CFPB!C841,"^",IF(Raw_CFPB!C840&lt;Raw_CFPB!C841,"v","-"))&amp;IF(Raw_CFPB!C841&gt;Raw_CFPB!C842,"^",IF(Raw_CFPB!C841&lt;Raw_CFPB!C842,"v","-"))&amp;IF(Raw_CFPB!C842&gt;Raw_CFPB!C843,"^",IF(Raw_CFPB!C842&lt;Raw_CFPB!C843,"v","-"))&amp;IF(Raw_CFPB!C843&gt;Raw_CFPB!C844,"^",IF(Raw_CFPB!C843&lt;Raw_CFPB!C844,"v","-"))&amp;IF(Raw_CFPB!C844&gt;Raw_CFPB!C845,"^",IF(Raw_CFPB!C844&lt;Raw_CFPB!C845,"v","-"))&amp;IF(Raw_CFPB!C845&gt;Raw_CFPB!C846,"^",IF(Raw_CFPB!C845&lt;Raw_CFPB!C846,"v","-"))&amp;IF(Raw_CFPB!C846&gt;Raw_CFPB!C847,"^",IF(Raw_CFPB!C846&lt;Raw_CFPB!C847,"v","-"))&amp;IF(Raw_CFPB!C847&gt;Raw_CFPB!C848,"^",IF(Raw_CFPB!C847&lt;Raw_CFPB!C848,"v","-"))&amp;IF(Raw_CFPB!C848&gt;Raw_CFPB!C849,"^",IF(Raw_CFPB!C848&lt;Raw_CFPB!C849,"v","-"))&amp;IF(Raw_CFPB!C849&gt;Raw_CFPB!C850,"^",IF(Raw_CFPB!C849&lt;Raw_CFPB!C850,"v","-"))&amp;IF(Raw_CFPB!C850&gt;Raw_CFPB!C851,"^",IF(Raw_CFPB!C850&lt;Raw_CFPB!C851,"v","-"))&amp;IF(Raw_CFPB!C851&gt;Raw_CFPB!C852,"^",IF(Raw_CFPB!C851&lt;Raw_CFPB!C852,"v","-")))</f>
        <v/>
      </c>
    </row>
    <row r="20">
      <c r="A20" s="19">
        <f>IF(Raw_CFPB!$C$914="","",Raw_CFPB!$C$914)</f>
        <v/>
      </c>
      <c r="B20" s="15">
        <f>IF(Raw_CFPB!$D$914="","",Raw_CFPB!$D$914)</f>
        <v/>
      </c>
      <c r="C20" s="16">
        <f>IF(Raw_CFPB!B916="","",Raw_CFPB!B916)</f>
        <v/>
      </c>
      <c r="D20" s="17">
        <f>IF(OR(Raw_CFPB!B916="",COUNT(Raw_CFPB!B917:B928)=0),"",Raw_CFPB!B916-AVERAGE(Raw_CFPB!B917:B928))</f>
        <v/>
      </c>
      <c r="E20" s="18">
        <f>IF(COUNT(Raw_CFPB!B916:B928)&lt;13,"",IF(Raw_CFPB!B916&gt;Raw_CFPB!B917,"^",IF(Raw_CFPB!B916&lt;Raw_CFPB!B917,"v","-"))&amp;IF(Raw_CFPB!B917&gt;Raw_CFPB!B918,"^",IF(Raw_CFPB!B917&lt;Raw_CFPB!B918,"v","-"))&amp;IF(Raw_CFPB!B918&gt;Raw_CFPB!B919,"^",IF(Raw_CFPB!B918&lt;Raw_CFPB!B919,"v","-"))&amp;IF(Raw_CFPB!B919&gt;Raw_CFPB!B920,"^",IF(Raw_CFPB!B919&lt;Raw_CFPB!B920,"v","-"))&amp;IF(Raw_CFPB!B920&gt;Raw_CFPB!B921,"^",IF(Raw_CFPB!B920&lt;Raw_CFPB!B921,"v","-"))&amp;IF(Raw_CFPB!B921&gt;Raw_CFPB!B922,"^",IF(Raw_CFPB!B921&lt;Raw_CFPB!B922,"v","-"))&amp;IF(Raw_CFPB!B922&gt;Raw_CFPB!B923,"^",IF(Raw_CFPB!B922&lt;Raw_CFPB!B923,"v","-"))&amp;IF(Raw_CFPB!B923&gt;Raw_CFPB!B924,"^",IF(Raw_CFPB!B923&lt;Raw_CFPB!B924,"v","-"))&amp;IF(Raw_CFPB!B924&gt;Raw_CFPB!B925,"^",IF(Raw_CFPB!B924&lt;Raw_CFPB!B925,"v","-"))&amp;IF(Raw_CFPB!B925&gt;Raw_CFPB!B926,"^",IF(Raw_CFPB!B925&lt;Raw_CFPB!B926,"v","-"))&amp;IF(Raw_CFPB!B926&gt;Raw_CFPB!B927,"^",IF(Raw_CFPB!B926&lt;Raw_CFPB!B927,"v","-"))&amp;IF(Raw_CFPB!B927&gt;Raw_CFPB!B928,"^",IF(Raw_CFPB!B927&lt;Raw_CFPB!B928,"v","-")))</f>
        <v/>
      </c>
      <c r="F20" s="16">
        <f>IF(Raw_CFPB!C916="","",Raw_CFPB!C916)</f>
        <v/>
      </c>
      <c r="G20" s="17">
        <f>IF(OR(Raw_CFPB!C916="",COUNT(Raw_CFPB!C917:C928)=0),"",Raw_CFPB!C916-AVERAGE(Raw_CFPB!C917:C928))</f>
        <v/>
      </c>
      <c r="H20" s="18">
        <f>IF(COUNT(Raw_CFPB!C916:C928)&lt;13,"",IF(Raw_CFPB!C916&gt;Raw_CFPB!C917,"^",IF(Raw_CFPB!C916&lt;Raw_CFPB!C917,"v","-"))&amp;IF(Raw_CFPB!C917&gt;Raw_CFPB!C918,"^",IF(Raw_CFPB!C917&lt;Raw_CFPB!C918,"v","-"))&amp;IF(Raw_CFPB!C918&gt;Raw_CFPB!C919,"^",IF(Raw_CFPB!C918&lt;Raw_CFPB!C919,"v","-"))&amp;IF(Raw_CFPB!C919&gt;Raw_CFPB!C920,"^",IF(Raw_CFPB!C919&lt;Raw_CFPB!C920,"v","-"))&amp;IF(Raw_CFPB!C920&gt;Raw_CFPB!C921,"^",IF(Raw_CFPB!C920&lt;Raw_CFPB!C921,"v","-"))&amp;IF(Raw_CFPB!C921&gt;Raw_CFPB!C922,"^",IF(Raw_CFPB!C921&lt;Raw_CFPB!C922,"v","-"))&amp;IF(Raw_CFPB!C922&gt;Raw_CFPB!C923,"^",IF(Raw_CFPB!C922&lt;Raw_CFPB!C923,"v","-"))&amp;IF(Raw_CFPB!C923&gt;Raw_CFPB!C924,"^",IF(Raw_CFPB!C923&lt;Raw_CFPB!C924,"v","-"))&amp;IF(Raw_CFPB!C924&gt;Raw_CFPB!C925,"^",IF(Raw_CFPB!C924&lt;Raw_CFPB!C925,"v","-"))&amp;IF(Raw_CFPB!C925&gt;Raw_CFPB!C926,"^",IF(Raw_CFPB!C925&lt;Raw_CFPB!C926,"v","-"))&amp;IF(Raw_CFPB!C926&gt;Raw_CFPB!C927,"^",IF(Raw_CFPB!C926&lt;Raw_CFPB!C927,"v","-"))&amp;IF(Raw_CFPB!C927&gt;Raw_CFPB!C928,"^",IF(Raw_CFPB!C927&lt;Raw_CFPB!C928,"v","-")))</f>
        <v/>
      </c>
    </row>
    <row r="21">
      <c r="A21" s="19">
        <f>IF(Raw_CFPB!$C$990="","",Raw_CFPB!$C$990)</f>
        <v/>
      </c>
      <c r="B21" s="15">
        <f>IF(Raw_CFPB!$D$990="","",Raw_CFPB!$D$990)</f>
        <v/>
      </c>
      <c r="C21" s="16">
        <f>IF(Raw_CFPB!B992="","",Raw_CFPB!B992)</f>
        <v/>
      </c>
      <c r="D21" s="17">
        <f>IF(OR(Raw_CFPB!B992="",COUNT(Raw_CFPB!B993:B1004)=0),"",Raw_CFPB!B992-AVERAGE(Raw_CFPB!B993:B1004))</f>
        <v/>
      </c>
      <c r="E21" s="18">
        <f>IF(COUNT(Raw_CFPB!B992:B1004)&lt;13,"",IF(Raw_CFPB!B992&gt;Raw_CFPB!B993,"^",IF(Raw_CFPB!B992&lt;Raw_CFPB!B993,"v","-"))&amp;IF(Raw_CFPB!B993&gt;Raw_CFPB!B994,"^",IF(Raw_CFPB!B993&lt;Raw_CFPB!B994,"v","-"))&amp;IF(Raw_CFPB!B994&gt;Raw_CFPB!B995,"^",IF(Raw_CFPB!B994&lt;Raw_CFPB!B995,"v","-"))&amp;IF(Raw_CFPB!B995&gt;Raw_CFPB!B996,"^",IF(Raw_CFPB!B995&lt;Raw_CFPB!B996,"v","-"))&amp;IF(Raw_CFPB!B996&gt;Raw_CFPB!B997,"^",IF(Raw_CFPB!B996&lt;Raw_CFPB!B997,"v","-"))&amp;IF(Raw_CFPB!B997&gt;Raw_CFPB!B998,"^",IF(Raw_CFPB!B997&lt;Raw_CFPB!B998,"v","-"))&amp;IF(Raw_CFPB!B998&gt;Raw_CFPB!B999,"^",IF(Raw_CFPB!B998&lt;Raw_CFPB!B999,"v","-"))&amp;IF(Raw_CFPB!B999&gt;Raw_CFPB!B1000,"^",IF(Raw_CFPB!B999&lt;Raw_CFPB!B1000,"v","-"))&amp;IF(Raw_CFPB!B1000&gt;Raw_CFPB!B1001,"^",IF(Raw_CFPB!B1000&lt;Raw_CFPB!B1001,"v","-"))&amp;IF(Raw_CFPB!B1001&gt;Raw_CFPB!B1002,"^",IF(Raw_CFPB!B1001&lt;Raw_CFPB!B1002,"v","-"))&amp;IF(Raw_CFPB!B1002&gt;Raw_CFPB!B1003,"^",IF(Raw_CFPB!B1002&lt;Raw_CFPB!B1003,"v","-"))&amp;IF(Raw_CFPB!B1003&gt;Raw_CFPB!B1004,"^",IF(Raw_CFPB!B1003&lt;Raw_CFPB!B1004,"v","-")))</f>
        <v/>
      </c>
      <c r="F21" s="16">
        <f>IF(Raw_CFPB!C992="","",Raw_CFPB!C992)</f>
        <v/>
      </c>
      <c r="G21" s="17">
        <f>IF(OR(Raw_CFPB!C992="",COUNT(Raw_CFPB!C993:C1004)=0),"",Raw_CFPB!C992-AVERAGE(Raw_CFPB!C993:C1004))</f>
        <v/>
      </c>
      <c r="H21" s="18">
        <f>IF(COUNT(Raw_CFPB!C992:C1004)&lt;13,"",IF(Raw_CFPB!C992&gt;Raw_CFPB!C993,"^",IF(Raw_CFPB!C992&lt;Raw_CFPB!C993,"v","-"))&amp;IF(Raw_CFPB!C993&gt;Raw_CFPB!C994,"^",IF(Raw_CFPB!C993&lt;Raw_CFPB!C994,"v","-"))&amp;IF(Raw_CFPB!C994&gt;Raw_CFPB!C995,"^",IF(Raw_CFPB!C994&lt;Raw_CFPB!C995,"v","-"))&amp;IF(Raw_CFPB!C995&gt;Raw_CFPB!C996,"^",IF(Raw_CFPB!C995&lt;Raw_CFPB!C996,"v","-"))&amp;IF(Raw_CFPB!C996&gt;Raw_CFPB!C997,"^",IF(Raw_CFPB!C996&lt;Raw_CFPB!C997,"v","-"))&amp;IF(Raw_CFPB!C997&gt;Raw_CFPB!C998,"^",IF(Raw_CFPB!C997&lt;Raw_CFPB!C998,"v","-"))&amp;IF(Raw_CFPB!C998&gt;Raw_CFPB!C999,"^",IF(Raw_CFPB!C998&lt;Raw_CFPB!C999,"v","-"))&amp;IF(Raw_CFPB!C999&gt;Raw_CFPB!C1000,"^",IF(Raw_CFPB!C999&lt;Raw_CFPB!C1000,"v","-"))&amp;IF(Raw_CFPB!C1000&gt;Raw_CFPB!C1001,"^",IF(Raw_CFPB!C1000&lt;Raw_CFPB!C1001,"v","-"))&amp;IF(Raw_CFPB!C1001&gt;Raw_CFPB!C1002,"^",IF(Raw_CFPB!C1001&lt;Raw_CFPB!C1002,"v","-"))&amp;IF(Raw_CFPB!C1002&gt;Raw_CFPB!C1003,"^",IF(Raw_CFPB!C1002&lt;Raw_CFPB!C1003,"v","-"))&amp;IF(Raw_CFPB!C1003&gt;Raw_CFPB!C1004,"^",IF(Raw_CFPB!C1003&lt;Raw_CFPB!C1004,"v","-")))</f>
        <v/>
      </c>
    </row>
    <row r="22">
      <c r="A22" s="19">
        <f>IF(Raw_CFPB!$C$1066="","",Raw_CFPB!$C$1066)</f>
        <v/>
      </c>
      <c r="B22" s="15">
        <f>IF(Raw_CFPB!$D$1066="","",Raw_CFPB!$D$1066)</f>
        <v/>
      </c>
      <c r="C22" s="16">
        <f>IF(Raw_CFPB!B1068="","",Raw_CFPB!B1068)</f>
        <v/>
      </c>
      <c r="D22" s="17">
        <f>IF(OR(Raw_CFPB!B1068="",COUNT(Raw_CFPB!B1069:B1080)=0),"",Raw_CFPB!B1068-AVERAGE(Raw_CFPB!B1069:B1080))</f>
        <v/>
      </c>
      <c r="E22" s="18">
        <f>IF(COUNT(Raw_CFPB!B1068:B1080)&lt;13,"",IF(Raw_CFPB!B1068&gt;Raw_CFPB!B1069,"^",IF(Raw_CFPB!B1068&lt;Raw_CFPB!B1069,"v","-"))&amp;IF(Raw_CFPB!B1069&gt;Raw_CFPB!B1070,"^",IF(Raw_CFPB!B1069&lt;Raw_CFPB!B1070,"v","-"))&amp;IF(Raw_CFPB!B1070&gt;Raw_CFPB!B1071,"^",IF(Raw_CFPB!B1070&lt;Raw_CFPB!B1071,"v","-"))&amp;IF(Raw_CFPB!B1071&gt;Raw_CFPB!B1072,"^",IF(Raw_CFPB!B1071&lt;Raw_CFPB!B1072,"v","-"))&amp;IF(Raw_CFPB!B1072&gt;Raw_CFPB!B1073,"^",IF(Raw_CFPB!B1072&lt;Raw_CFPB!B1073,"v","-"))&amp;IF(Raw_CFPB!B1073&gt;Raw_CFPB!B1074,"^",IF(Raw_CFPB!B1073&lt;Raw_CFPB!B1074,"v","-"))&amp;IF(Raw_CFPB!B1074&gt;Raw_CFPB!B1075,"^",IF(Raw_CFPB!B1074&lt;Raw_CFPB!B1075,"v","-"))&amp;IF(Raw_CFPB!B1075&gt;Raw_CFPB!B1076,"^",IF(Raw_CFPB!B1075&lt;Raw_CFPB!B1076,"v","-"))&amp;IF(Raw_CFPB!B1076&gt;Raw_CFPB!B1077,"^",IF(Raw_CFPB!B1076&lt;Raw_CFPB!B1077,"v","-"))&amp;IF(Raw_CFPB!B1077&gt;Raw_CFPB!B1078,"^",IF(Raw_CFPB!B1077&lt;Raw_CFPB!B1078,"v","-"))&amp;IF(Raw_CFPB!B1078&gt;Raw_CFPB!B1079,"^",IF(Raw_CFPB!B1078&lt;Raw_CFPB!B1079,"v","-"))&amp;IF(Raw_CFPB!B1079&gt;Raw_CFPB!B1080,"^",IF(Raw_CFPB!B1079&lt;Raw_CFPB!B1080,"v","-")))</f>
        <v/>
      </c>
      <c r="F22" s="16">
        <f>IF(Raw_CFPB!C1068="","",Raw_CFPB!C1068)</f>
        <v/>
      </c>
      <c r="G22" s="17">
        <f>IF(OR(Raw_CFPB!C1068="",COUNT(Raw_CFPB!C1069:C1080)=0),"",Raw_CFPB!C1068-AVERAGE(Raw_CFPB!C1069:C1080))</f>
        <v/>
      </c>
      <c r="H22" s="18">
        <f>IF(COUNT(Raw_CFPB!C1068:C1080)&lt;13,"",IF(Raw_CFPB!C1068&gt;Raw_CFPB!C1069,"^",IF(Raw_CFPB!C1068&lt;Raw_CFPB!C1069,"v","-"))&amp;IF(Raw_CFPB!C1069&gt;Raw_CFPB!C1070,"^",IF(Raw_CFPB!C1069&lt;Raw_CFPB!C1070,"v","-"))&amp;IF(Raw_CFPB!C1070&gt;Raw_CFPB!C1071,"^",IF(Raw_CFPB!C1070&lt;Raw_CFPB!C1071,"v","-"))&amp;IF(Raw_CFPB!C1071&gt;Raw_CFPB!C1072,"^",IF(Raw_CFPB!C1071&lt;Raw_CFPB!C1072,"v","-"))&amp;IF(Raw_CFPB!C1072&gt;Raw_CFPB!C1073,"^",IF(Raw_CFPB!C1072&lt;Raw_CFPB!C1073,"v","-"))&amp;IF(Raw_CFPB!C1073&gt;Raw_CFPB!C1074,"^",IF(Raw_CFPB!C1073&lt;Raw_CFPB!C1074,"v","-"))&amp;IF(Raw_CFPB!C1074&gt;Raw_CFPB!C1075,"^",IF(Raw_CFPB!C1074&lt;Raw_CFPB!C1075,"v","-"))&amp;IF(Raw_CFPB!C1075&gt;Raw_CFPB!C1076,"^",IF(Raw_CFPB!C1075&lt;Raw_CFPB!C1076,"v","-"))&amp;IF(Raw_CFPB!C1076&gt;Raw_CFPB!C1077,"^",IF(Raw_CFPB!C1076&lt;Raw_CFPB!C1077,"v","-"))&amp;IF(Raw_CFPB!C1077&gt;Raw_CFPB!C1078,"^",IF(Raw_CFPB!C1077&lt;Raw_CFPB!C1078,"v","-"))&amp;IF(Raw_CFPB!C1078&gt;Raw_CFPB!C1079,"^",IF(Raw_CFPB!C1078&lt;Raw_CFPB!C1079,"v","-"))&amp;IF(Raw_CFPB!C1079&gt;Raw_CFPB!C1080,"^",IF(Raw_CFPB!C1079&lt;Raw_CFPB!C1080,"v","-")))</f>
        <v/>
      </c>
    </row>
    <row r="23">
      <c r="A23" s="19">
        <f>IF(Raw_CFPB!$C$1142="","",Raw_CFPB!$C$1142)</f>
        <v/>
      </c>
      <c r="B23" s="15">
        <f>IF(Raw_CFPB!$D$1142="","",Raw_CFPB!$D$1142)</f>
        <v/>
      </c>
      <c r="C23" s="16">
        <f>IF(Raw_CFPB!B1144="","",Raw_CFPB!B1144)</f>
        <v/>
      </c>
      <c r="D23" s="17">
        <f>IF(OR(Raw_CFPB!B1144="",COUNT(Raw_CFPB!B1145:B1156)=0),"",Raw_CFPB!B1144-AVERAGE(Raw_CFPB!B1145:B1156))</f>
        <v/>
      </c>
      <c r="E23" s="18">
        <f>IF(COUNT(Raw_CFPB!B1144:B1156)&lt;13,"",IF(Raw_CFPB!B1144&gt;Raw_CFPB!B1145,"^",IF(Raw_CFPB!B1144&lt;Raw_CFPB!B1145,"v","-"))&amp;IF(Raw_CFPB!B1145&gt;Raw_CFPB!B1146,"^",IF(Raw_CFPB!B1145&lt;Raw_CFPB!B1146,"v","-"))&amp;IF(Raw_CFPB!B1146&gt;Raw_CFPB!B1147,"^",IF(Raw_CFPB!B1146&lt;Raw_CFPB!B1147,"v","-"))&amp;IF(Raw_CFPB!B1147&gt;Raw_CFPB!B1148,"^",IF(Raw_CFPB!B1147&lt;Raw_CFPB!B1148,"v","-"))&amp;IF(Raw_CFPB!B1148&gt;Raw_CFPB!B1149,"^",IF(Raw_CFPB!B1148&lt;Raw_CFPB!B1149,"v","-"))&amp;IF(Raw_CFPB!B1149&gt;Raw_CFPB!B1150,"^",IF(Raw_CFPB!B1149&lt;Raw_CFPB!B1150,"v","-"))&amp;IF(Raw_CFPB!B1150&gt;Raw_CFPB!B1151,"^",IF(Raw_CFPB!B1150&lt;Raw_CFPB!B1151,"v","-"))&amp;IF(Raw_CFPB!B1151&gt;Raw_CFPB!B1152,"^",IF(Raw_CFPB!B1151&lt;Raw_CFPB!B1152,"v","-"))&amp;IF(Raw_CFPB!B1152&gt;Raw_CFPB!B1153,"^",IF(Raw_CFPB!B1152&lt;Raw_CFPB!B1153,"v","-"))&amp;IF(Raw_CFPB!B1153&gt;Raw_CFPB!B1154,"^",IF(Raw_CFPB!B1153&lt;Raw_CFPB!B1154,"v","-"))&amp;IF(Raw_CFPB!B1154&gt;Raw_CFPB!B1155,"^",IF(Raw_CFPB!B1154&lt;Raw_CFPB!B1155,"v","-"))&amp;IF(Raw_CFPB!B1155&gt;Raw_CFPB!B1156,"^",IF(Raw_CFPB!B1155&lt;Raw_CFPB!B1156,"v","-")))</f>
        <v/>
      </c>
      <c r="F23" s="16">
        <f>IF(Raw_CFPB!C1144="","",Raw_CFPB!C1144)</f>
        <v/>
      </c>
      <c r="G23" s="17">
        <f>IF(OR(Raw_CFPB!C1144="",COUNT(Raw_CFPB!C1145:C1156)=0),"",Raw_CFPB!C1144-AVERAGE(Raw_CFPB!C1145:C1156))</f>
        <v/>
      </c>
      <c r="H23" s="18">
        <f>IF(COUNT(Raw_CFPB!C1144:C1156)&lt;13,"",IF(Raw_CFPB!C1144&gt;Raw_CFPB!C1145,"^",IF(Raw_CFPB!C1144&lt;Raw_CFPB!C1145,"v","-"))&amp;IF(Raw_CFPB!C1145&gt;Raw_CFPB!C1146,"^",IF(Raw_CFPB!C1145&lt;Raw_CFPB!C1146,"v","-"))&amp;IF(Raw_CFPB!C1146&gt;Raw_CFPB!C1147,"^",IF(Raw_CFPB!C1146&lt;Raw_CFPB!C1147,"v","-"))&amp;IF(Raw_CFPB!C1147&gt;Raw_CFPB!C1148,"^",IF(Raw_CFPB!C1147&lt;Raw_CFPB!C1148,"v","-"))&amp;IF(Raw_CFPB!C1148&gt;Raw_CFPB!C1149,"^",IF(Raw_CFPB!C1148&lt;Raw_CFPB!C1149,"v","-"))&amp;IF(Raw_CFPB!C1149&gt;Raw_CFPB!C1150,"^",IF(Raw_CFPB!C1149&lt;Raw_CFPB!C1150,"v","-"))&amp;IF(Raw_CFPB!C1150&gt;Raw_CFPB!C1151,"^",IF(Raw_CFPB!C1150&lt;Raw_CFPB!C1151,"v","-"))&amp;IF(Raw_CFPB!C1151&gt;Raw_CFPB!C1152,"^",IF(Raw_CFPB!C1151&lt;Raw_CFPB!C1152,"v","-"))&amp;IF(Raw_CFPB!C1152&gt;Raw_CFPB!C1153,"^",IF(Raw_CFPB!C1152&lt;Raw_CFPB!C1153,"v","-"))&amp;IF(Raw_CFPB!C1153&gt;Raw_CFPB!C1154,"^",IF(Raw_CFPB!C1153&lt;Raw_CFPB!C1154,"v","-"))&amp;IF(Raw_CFPB!C1154&gt;Raw_CFPB!C1155,"^",IF(Raw_CFPB!C1154&lt;Raw_CFPB!C1155,"v","-"))&amp;IF(Raw_CFPB!C1155&gt;Raw_CFPB!C1156,"^",IF(Raw_CFPB!C1155&lt;Raw_CFPB!C1156,"v","-")))</f>
        <v/>
      </c>
    </row>
    <row r="25" ht="42" customHeight="1">
      <c r="A25" s="20" t="inlineStr">
        <is>
          <t>State rows are dashboard CONTEXT (10 states derived from the seed footprint at build; 15 slots provisioned) -- the fallback lane for SUPPRESSED counties. dev 12m = latest minus own trailing-12 average, in percentage points. Trend strip: '^' rise / 'v' fall / '-' flat, newest on the left.</t>
        </is>
      </c>
    </row>
  </sheetData>
  <mergeCells count="12">
    <mergeCell ref="D5:F5"/>
    <mergeCell ref="A5:C5"/>
    <mergeCell ref="G5:I5"/>
    <mergeCell ref="A25:H2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D8:D23">
    <cfRule type="expression" priority="1" dxfId="0" stopIfTrue="1">
      <formula>AND(ISNUMBER(D8),D8&gt;=_config!$C$16)</formula>
    </cfRule>
    <cfRule type="expression" priority="2" dxfId="1" stopIfTrue="1">
      <formula>AND(ISNUMBER(D8),D8&gt;=_config!$B$16)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23">
    <cfRule type="expression" priority="3" dxfId="0" stopIfTrue="1">
      <formula>AND(ISNUMBER(F8),F8&gt;=_config!$C$18)</formula>
    </cfRule>
    <cfRule type="expression" priority="4" dxfId="1" stopIfTrue="1">
      <formula>AND(ISNUMBER(F8),F8&gt;=_config!$B$18)</formula>
    </cfRule>
    <cfRule type="colorScale" priority="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C8:C23">
    <cfRule type="colorScale" priority="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23">
    <cfRule type="colorScale" priority="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B13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min="1" max="1"/>
    <col width="8" customWidth="1" min="2" max="2"/>
    <col width="9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</cols>
  <sheetData>
    <row r="1" ht="27.6" customHeight="1">
      <c r="A1" s="1" t="inlineStr">
        <is>
          <t>Trends -- 90+ DPD, National vs Worst Footprint Counties</t>
        </is>
      </c>
      <c r="L1" s="2" t="n"/>
    </row>
    <row r="2" ht="18.4" customHeight="1">
      <c r="A2" s="3" t="inlineStr">
        <is>
          <t>Worst-5 footprint counties by latest 90+ share (formula-ranked off the Watchlist; ties keep the first match). 24 months, newest on the left. Values are percent of outstanding mortgages 90+ days late.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L3" s="2" t="n"/>
    </row>
    <row r="4">
      <c r="A4" s="21" t="inlineStr">
        <is>
          <t>Every vintage revises the FULL history (trap C3) -- these are the CURRENT vintage's readings, not a stitched archive. ~6-7 month lag by design.</t>
        </is>
      </c>
      <c r="L4" s="2" t="n"/>
    </row>
    <row r="5" ht="22" customHeight="1">
      <c r="A5" s="22" t="inlineStr">
        <is>
          <t>Series</t>
        </is>
      </c>
      <c r="B5" s="22" t="inlineStr">
        <is>
          <t>FIPS</t>
        </is>
      </c>
      <c r="C5" s="23">
        <f>IF(Raw_CFPB!$A$4="","",Raw_CFPB!$A$4)</f>
        <v/>
      </c>
      <c r="D5" s="23">
        <f>IF(Raw_CFPB!$A$5="","",Raw_CFPB!$A$5)</f>
        <v/>
      </c>
      <c r="E5" s="23">
        <f>IF(Raw_CFPB!$A$6="","",Raw_CFPB!$A$6)</f>
        <v/>
      </c>
      <c r="F5" s="23">
        <f>IF(Raw_CFPB!$A$7="","",Raw_CFPB!$A$7)</f>
        <v/>
      </c>
      <c r="G5" s="23">
        <f>IF(Raw_CFPB!$A$8="","",Raw_CFPB!$A$8)</f>
        <v/>
      </c>
      <c r="H5" s="23">
        <f>IF(Raw_CFPB!$A$9="","",Raw_CFPB!$A$9)</f>
        <v/>
      </c>
      <c r="I5" s="23">
        <f>IF(Raw_CFPB!$A$10="","",Raw_CFPB!$A$10)</f>
        <v/>
      </c>
      <c r="J5" s="23">
        <f>IF(Raw_CFPB!$A$11="","",Raw_CFPB!$A$11)</f>
        <v/>
      </c>
      <c r="K5" s="23">
        <f>IF(Raw_CFPB!$A$12="","",Raw_CFPB!$A$12)</f>
        <v/>
      </c>
      <c r="L5" s="23">
        <f>IF(Raw_CFPB!$A$13="","",Raw_CFPB!$A$13)</f>
        <v/>
      </c>
      <c r="M5" s="23">
        <f>IF(Raw_CFPB!$A$14="","",Raw_CFPB!$A$14)</f>
        <v/>
      </c>
      <c r="N5" s="23">
        <f>IF(Raw_CFPB!$A$15="","",Raw_CFPB!$A$15)</f>
        <v/>
      </c>
      <c r="O5" s="23">
        <f>IF(Raw_CFPB!$A$16="","",Raw_CFPB!$A$16)</f>
        <v/>
      </c>
      <c r="P5" s="23">
        <f>IF(Raw_CFPB!$A$17="","",Raw_CFPB!$A$17)</f>
        <v/>
      </c>
      <c r="Q5" s="23">
        <f>IF(Raw_CFPB!$A$18="","",Raw_CFPB!$A$18)</f>
        <v/>
      </c>
      <c r="R5" s="23">
        <f>IF(Raw_CFPB!$A$19="","",Raw_CFPB!$A$19)</f>
        <v/>
      </c>
      <c r="S5" s="23">
        <f>IF(Raw_CFPB!$A$20="","",Raw_CFPB!$A$20)</f>
        <v/>
      </c>
      <c r="T5" s="23">
        <f>IF(Raw_CFPB!$A$21="","",Raw_CFPB!$A$21)</f>
        <v/>
      </c>
      <c r="U5" s="23">
        <f>IF(Raw_CFPB!$A$22="","",Raw_CFPB!$A$22)</f>
        <v/>
      </c>
      <c r="V5" s="23">
        <f>IF(Raw_CFPB!$A$23="","",Raw_CFPB!$A$23)</f>
        <v/>
      </c>
      <c r="W5" s="23">
        <f>IF(Raw_CFPB!$A$24="","",Raw_CFPB!$A$24)</f>
        <v/>
      </c>
      <c r="X5" s="23">
        <f>IF(Raw_CFPB!$A$25="","",Raw_CFPB!$A$25)</f>
        <v/>
      </c>
      <c r="Y5" s="23">
        <f>IF(Raw_CFPB!$A$26="","",Raw_CFPB!$A$26)</f>
        <v/>
      </c>
      <c r="Z5" s="23">
        <f>IF(Raw_CFPB!$A$27="","",Raw_CFPB!$A$27)</f>
        <v/>
      </c>
    </row>
    <row r="6">
      <c r="A6" s="24" t="inlineStr">
        <is>
          <t>NATIONAL (benchmark)</t>
        </is>
      </c>
      <c r="B6" s="25" t="inlineStr">
        <is>
          <t>-----</t>
        </is>
      </c>
      <c r="C6" s="26">
        <f>IF(Raw_CFPB!$C$4="","",Raw_CFPB!$C$4)</f>
        <v/>
      </c>
      <c r="D6" s="26">
        <f>IF(Raw_CFPB!$C$5="","",Raw_CFPB!$C$5)</f>
        <v/>
      </c>
      <c r="E6" s="26">
        <f>IF(Raw_CFPB!$C$6="","",Raw_CFPB!$C$6)</f>
        <v/>
      </c>
      <c r="F6" s="26">
        <f>IF(Raw_CFPB!$C$7="","",Raw_CFPB!$C$7)</f>
        <v/>
      </c>
      <c r="G6" s="26">
        <f>IF(Raw_CFPB!$C$8="","",Raw_CFPB!$C$8)</f>
        <v/>
      </c>
      <c r="H6" s="26">
        <f>IF(Raw_CFPB!$C$9="","",Raw_CFPB!$C$9)</f>
        <v/>
      </c>
      <c r="I6" s="26">
        <f>IF(Raw_CFPB!$C$10="","",Raw_CFPB!$C$10)</f>
        <v/>
      </c>
      <c r="J6" s="26">
        <f>IF(Raw_CFPB!$C$11="","",Raw_CFPB!$C$11)</f>
        <v/>
      </c>
      <c r="K6" s="26">
        <f>IF(Raw_CFPB!$C$12="","",Raw_CFPB!$C$12)</f>
        <v/>
      </c>
      <c r="L6" s="26">
        <f>IF(Raw_CFPB!$C$13="","",Raw_CFPB!$C$13)</f>
        <v/>
      </c>
      <c r="M6" s="26">
        <f>IF(Raw_CFPB!$C$14="","",Raw_CFPB!$C$14)</f>
        <v/>
      </c>
      <c r="N6" s="26">
        <f>IF(Raw_CFPB!$C$15="","",Raw_CFPB!$C$15)</f>
        <v/>
      </c>
      <c r="O6" s="26">
        <f>IF(Raw_CFPB!$C$16="","",Raw_CFPB!$C$16)</f>
        <v/>
      </c>
      <c r="P6" s="26">
        <f>IF(Raw_CFPB!$C$17="","",Raw_CFPB!$C$17)</f>
        <v/>
      </c>
      <c r="Q6" s="26">
        <f>IF(Raw_CFPB!$C$18="","",Raw_CFPB!$C$18)</f>
        <v/>
      </c>
      <c r="R6" s="26">
        <f>IF(Raw_CFPB!$C$19="","",Raw_CFPB!$C$19)</f>
        <v/>
      </c>
      <c r="S6" s="26">
        <f>IF(Raw_CFPB!$C$20="","",Raw_CFPB!$C$20)</f>
        <v/>
      </c>
      <c r="T6" s="26">
        <f>IF(Raw_CFPB!$C$21="","",Raw_CFPB!$C$21)</f>
        <v/>
      </c>
      <c r="U6" s="26">
        <f>IF(Raw_CFPB!$C$22="","",Raw_CFPB!$C$22)</f>
        <v/>
      </c>
      <c r="V6" s="26">
        <f>IF(Raw_CFPB!$C$23="","",Raw_CFPB!$C$23)</f>
        <v/>
      </c>
      <c r="W6" s="26">
        <f>IF(Raw_CFPB!$C$24="","",Raw_CFPB!$C$24)</f>
        <v/>
      </c>
      <c r="X6" s="26">
        <f>IF(Raw_CFPB!$C$25="","",Raw_CFPB!$C$25)</f>
        <v/>
      </c>
      <c r="Y6" s="26">
        <f>IF(Raw_CFPB!$C$26="","",Raw_CFPB!$C$26)</f>
        <v/>
      </c>
      <c r="Z6" s="26">
        <f>IF(Raw_CFPB!$C$27="","",Raw_CFPB!$C$27)</f>
        <v/>
      </c>
    </row>
    <row r="7">
      <c r="A7" s="19">
        <f>IF($AB7="","",INDEX(Watchlist!$A$5:$A$44,$AB7))</f>
        <v/>
      </c>
      <c r="B7" s="27">
        <f>IF($AB7="","",INDEX(Watchlist!$C$5:$C$44,$AB7))</f>
        <v/>
      </c>
      <c r="C7" s="16">
        <f>IF($AB7="","",IF(INDEX(Raw_CFPB!$C$1:$C$4256,1220+($AB7-1)*76+0)="","",INDEX(Raw_CFPB!$C$1:$C$4256,1220+($AB7-1)*76+0)))</f>
        <v/>
      </c>
      <c r="D7" s="16">
        <f>IF($AB7="","",IF(INDEX(Raw_CFPB!$C$1:$C$4256,1220+($AB7-1)*76+1)="","",INDEX(Raw_CFPB!$C$1:$C$4256,1220+($AB7-1)*76+1)))</f>
        <v/>
      </c>
      <c r="E7" s="16">
        <f>IF($AB7="","",IF(INDEX(Raw_CFPB!$C$1:$C$4256,1220+($AB7-1)*76+2)="","",INDEX(Raw_CFPB!$C$1:$C$4256,1220+($AB7-1)*76+2)))</f>
        <v/>
      </c>
      <c r="F7" s="16">
        <f>IF($AB7="","",IF(INDEX(Raw_CFPB!$C$1:$C$4256,1220+($AB7-1)*76+3)="","",INDEX(Raw_CFPB!$C$1:$C$4256,1220+($AB7-1)*76+3)))</f>
        <v/>
      </c>
      <c r="G7" s="16">
        <f>IF($AB7="","",IF(INDEX(Raw_CFPB!$C$1:$C$4256,1220+($AB7-1)*76+4)="","",INDEX(Raw_CFPB!$C$1:$C$4256,1220+($AB7-1)*76+4)))</f>
        <v/>
      </c>
      <c r="H7" s="16">
        <f>IF($AB7="","",IF(INDEX(Raw_CFPB!$C$1:$C$4256,1220+($AB7-1)*76+5)="","",INDEX(Raw_CFPB!$C$1:$C$4256,1220+($AB7-1)*76+5)))</f>
        <v/>
      </c>
      <c r="I7" s="16">
        <f>IF($AB7="","",IF(INDEX(Raw_CFPB!$C$1:$C$4256,1220+($AB7-1)*76+6)="","",INDEX(Raw_CFPB!$C$1:$C$4256,1220+($AB7-1)*76+6)))</f>
        <v/>
      </c>
      <c r="J7" s="16">
        <f>IF($AB7="","",IF(INDEX(Raw_CFPB!$C$1:$C$4256,1220+($AB7-1)*76+7)="","",INDEX(Raw_CFPB!$C$1:$C$4256,1220+($AB7-1)*76+7)))</f>
        <v/>
      </c>
      <c r="K7" s="16">
        <f>IF($AB7="","",IF(INDEX(Raw_CFPB!$C$1:$C$4256,1220+($AB7-1)*76+8)="","",INDEX(Raw_CFPB!$C$1:$C$4256,1220+($AB7-1)*76+8)))</f>
        <v/>
      </c>
      <c r="L7" s="16">
        <f>IF($AB7="","",IF(INDEX(Raw_CFPB!$C$1:$C$4256,1220+($AB7-1)*76+9)="","",INDEX(Raw_CFPB!$C$1:$C$4256,1220+($AB7-1)*76+9)))</f>
        <v/>
      </c>
      <c r="M7" s="16">
        <f>IF($AB7="","",IF(INDEX(Raw_CFPB!$C$1:$C$4256,1220+($AB7-1)*76+10)="","",INDEX(Raw_CFPB!$C$1:$C$4256,1220+($AB7-1)*76+10)))</f>
        <v/>
      </c>
      <c r="N7" s="16">
        <f>IF($AB7="","",IF(INDEX(Raw_CFPB!$C$1:$C$4256,1220+($AB7-1)*76+11)="","",INDEX(Raw_CFPB!$C$1:$C$4256,1220+($AB7-1)*76+11)))</f>
        <v/>
      </c>
      <c r="O7" s="16">
        <f>IF($AB7="","",IF(INDEX(Raw_CFPB!$C$1:$C$4256,1220+($AB7-1)*76+12)="","",INDEX(Raw_CFPB!$C$1:$C$4256,1220+($AB7-1)*76+12)))</f>
        <v/>
      </c>
      <c r="P7" s="16">
        <f>IF($AB7="","",IF(INDEX(Raw_CFPB!$C$1:$C$4256,1220+($AB7-1)*76+13)="","",INDEX(Raw_CFPB!$C$1:$C$4256,1220+($AB7-1)*76+13)))</f>
        <v/>
      </c>
      <c r="Q7" s="16">
        <f>IF($AB7="","",IF(INDEX(Raw_CFPB!$C$1:$C$4256,1220+($AB7-1)*76+14)="","",INDEX(Raw_CFPB!$C$1:$C$4256,1220+($AB7-1)*76+14)))</f>
        <v/>
      </c>
      <c r="R7" s="16">
        <f>IF($AB7="","",IF(INDEX(Raw_CFPB!$C$1:$C$4256,1220+($AB7-1)*76+15)="","",INDEX(Raw_CFPB!$C$1:$C$4256,1220+($AB7-1)*76+15)))</f>
        <v/>
      </c>
      <c r="S7" s="16">
        <f>IF($AB7="","",IF(INDEX(Raw_CFPB!$C$1:$C$4256,1220+($AB7-1)*76+16)="","",INDEX(Raw_CFPB!$C$1:$C$4256,1220+($AB7-1)*76+16)))</f>
        <v/>
      </c>
      <c r="T7" s="16">
        <f>IF($AB7="","",IF(INDEX(Raw_CFPB!$C$1:$C$4256,1220+($AB7-1)*76+17)="","",INDEX(Raw_CFPB!$C$1:$C$4256,1220+($AB7-1)*76+17)))</f>
        <v/>
      </c>
      <c r="U7" s="16">
        <f>IF($AB7="","",IF(INDEX(Raw_CFPB!$C$1:$C$4256,1220+($AB7-1)*76+18)="","",INDEX(Raw_CFPB!$C$1:$C$4256,1220+($AB7-1)*76+18)))</f>
        <v/>
      </c>
      <c r="V7" s="16">
        <f>IF($AB7="","",IF(INDEX(Raw_CFPB!$C$1:$C$4256,1220+($AB7-1)*76+19)="","",INDEX(Raw_CFPB!$C$1:$C$4256,1220+($AB7-1)*76+19)))</f>
        <v/>
      </c>
      <c r="W7" s="16">
        <f>IF($AB7="","",IF(INDEX(Raw_CFPB!$C$1:$C$4256,1220+($AB7-1)*76+20)="","",INDEX(Raw_CFPB!$C$1:$C$4256,1220+($AB7-1)*76+20)))</f>
        <v/>
      </c>
      <c r="X7" s="16">
        <f>IF($AB7="","",IF(INDEX(Raw_CFPB!$C$1:$C$4256,1220+($AB7-1)*76+21)="","",INDEX(Raw_CFPB!$C$1:$C$4256,1220+($AB7-1)*76+21)))</f>
        <v/>
      </c>
      <c r="Y7" s="16">
        <f>IF($AB7="","",IF(INDEX(Raw_CFPB!$C$1:$C$4256,1220+($AB7-1)*76+22)="","",INDEX(Raw_CFPB!$C$1:$C$4256,1220+($AB7-1)*76+22)))</f>
        <v/>
      </c>
      <c r="Z7" s="16">
        <f>IF($AB7="","",IF(INDEX(Raw_CFPB!$C$1:$C$4256,1220+($AB7-1)*76+23)="","",INDEX(Raw_CFPB!$C$1:$C$4256,1220+($AB7-1)*76+23)))</f>
        <v/>
      </c>
      <c r="AB7" s="21">
        <f>IFERROR(MATCH(LARGE(Watchlist!$F$5:$F$44,1),Watchlist!$F$5:$F$44,0),"")</f>
        <v/>
      </c>
    </row>
    <row r="8">
      <c r="A8" s="19">
        <f>IF($AB8="","",INDEX(Watchlist!$A$5:$A$44,$AB8))</f>
        <v/>
      </c>
      <c r="B8" s="27">
        <f>IF($AB8="","",INDEX(Watchlist!$C$5:$C$44,$AB8))</f>
        <v/>
      </c>
      <c r="C8" s="16">
        <f>IF($AB8="","",IF(INDEX(Raw_CFPB!$C$1:$C$4256,1220+($AB8-1)*76+0)="","",INDEX(Raw_CFPB!$C$1:$C$4256,1220+($AB8-1)*76+0)))</f>
        <v/>
      </c>
      <c r="D8" s="16">
        <f>IF($AB8="","",IF(INDEX(Raw_CFPB!$C$1:$C$4256,1220+($AB8-1)*76+1)="","",INDEX(Raw_CFPB!$C$1:$C$4256,1220+($AB8-1)*76+1)))</f>
        <v/>
      </c>
      <c r="E8" s="16">
        <f>IF($AB8="","",IF(INDEX(Raw_CFPB!$C$1:$C$4256,1220+($AB8-1)*76+2)="","",INDEX(Raw_CFPB!$C$1:$C$4256,1220+($AB8-1)*76+2)))</f>
        <v/>
      </c>
      <c r="F8" s="16">
        <f>IF($AB8="","",IF(INDEX(Raw_CFPB!$C$1:$C$4256,1220+($AB8-1)*76+3)="","",INDEX(Raw_CFPB!$C$1:$C$4256,1220+($AB8-1)*76+3)))</f>
        <v/>
      </c>
      <c r="G8" s="16">
        <f>IF($AB8="","",IF(INDEX(Raw_CFPB!$C$1:$C$4256,1220+($AB8-1)*76+4)="","",INDEX(Raw_CFPB!$C$1:$C$4256,1220+($AB8-1)*76+4)))</f>
        <v/>
      </c>
      <c r="H8" s="16">
        <f>IF($AB8="","",IF(INDEX(Raw_CFPB!$C$1:$C$4256,1220+($AB8-1)*76+5)="","",INDEX(Raw_CFPB!$C$1:$C$4256,1220+($AB8-1)*76+5)))</f>
        <v/>
      </c>
      <c r="I8" s="16">
        <f>IF($AB8="","",IF(INDEX(Raw_CFPB!$C$1:$C$4256,1220+($AB8-1)*76+6)="","",INDEX(Raw_CFPB!$C$1:$C$4256,1220+($AB8-1)*76+6)))</f>
        <v/>
      </c>
      <c r="J8" s="16">
        <f>IF($AB8="","",IF(INDEX(Raw_CFPB!$C$1:$C$4256,1220+($AB8-1)*76+7)="","",INDEX(Raw_CFPB!$C$1:$C$4256,1220+($AB8-1)*76+7)))</f>
        <v/>
      </c>
      <c r="K8" s="16">
        <f>IF($AB8="","",IF(INDEX(Raw_CFPB!$C$1:$C$4256,1220+($AB8-1)*76+8)="","",INDEX(Raw_CFPB!$C$1:$C$4256,1220+($AB8-1)*76+8)))</f>
        <v/>
      </c>
      <c r="L8" s="16">
        <f>IF($AB8="","",IF(INDEX(Raw_CFPB!$C$1:$C$4256,1220+($AB8-1)*76+9)="","",INDEX(Raw_CFPB!$C$1:$C$4256,1220+($AB8-1)*76+9)))</f>
        <v/>
      </c>
      <c r="M8" s="16">
        <f>IF($AB8="","",IF(INDEX(Raw_CFPB!$C$1:$C$4256,1220+($AB8-1)*76+10)="","",INDEX(Raw_CFPB!$C$1:$C$4256,1220+($AB8-1)*76+10)))</f>
        <v/>
      </c>
      <c r="N8" s="16">
        <f>IF($AB8="","",IF(INDEX(Raw_CFPB!$C$1:$C$4256,1220+($AB8-1)*76+11)="","",INDEX(Raw_CFPB!$C$1:$C$4256,1220+($AB8-1)*76+11)))</f>
        <v/>
      </c>
      <c r="O8" s="16">
        <f>IF($AB8="","",IF(INDEX(Raw_CFPB!$C$1:$C$4256,1220+($AB8-1)*76+12)="","",INDEX(Raw_CFPB!$C$1:$C$4256,1220+($AB8-1)*76+12)))</f>
        <v/>
      </c>
      <c r="P8" s="16">
        <f>IF($AB8="","",IF(INDEX(Raw_CFPB!$C$1:$C$4256,1220+($AB8-1)*76+13)="","",INDEX(Raw_CFPB!$C$1:$C$4256,1220+($AB8-1)*76+13)))</f>
        <v/>
      </c>
      <c r="Q8" s="16">
        <f>IF($AB8="","",IF(INDEX(Raw_CFPB!$C$1:$C$4256,1220+($AB8-1)*76+14)="","",INDEX(Raw_CFPB!$C$1:$C$4256,1220+($AB8-1)*76+14)))</f>
        <v/>
      </c>
      <c r="R8" s="16">
        <f>IF($AB8="","",IF(INDEX(Raw_CFPB!$C$1:$C$4256,1220+($AB8-1)*76+15)="","",INDEX(Raw_CFPB!$C$1:$C$4256,1220+($AB8-1)*76+15)))</f>
        <v/>
      </c>
      <c r="S8" s="16">
        <f>IF($AB8="","",IF(INDEX(Raw_CFPB!$C$1:$C$4256,1220+($AB8-1)*76+16)="","",INDEX(Raw_CFPB!$C$1:$C$4256,1220+($AB8-1)*76+16)))</f>
        <v/>
      </c>
      <c r="T8" s="16">
        <f>IF($AB8="","",IF(INDEX(Raw_CFPB!$C$1:$C$4256,1220+($AB8-1)*76+17)="","",INDEX(Raw_CFPB!$C$1:$C$4256,1220+($AB8-1)*76+17)))</f>
        <v/>
      </c>
      <c r="U8" s="16">
        <f>IF($AB8="","",IF(INDEX(Raw_CFPB!$C$1:$C$4256,1220+($AB8-1)*76+18)="","",INDEX(Raw_CFPB!$C$1:$C$4256,1220+($AB8-1)*76+18)))</f>
        <v/>
      </c>
      <c r="V8" s="16">
        <f>IF($AB8="","",IF(INDEX(Raw_CFPB!$C$1:$C$4256,1220+($AB8-1)*76+19)="","",INDEX(Raw_CFPB!$C$1:$C$4256,1220+($AB8-1)*76+19)))</f>
        <v/>
      </c>
      <c r="W8" s="16">
        <f>IF($AB8="","",IF(INDEX(Raw_CFPB!$C$1:$C$4256,1220+($AB8-1)*76+20)="","",INDEX(Raw_CFPB!$C$1:$C$4256,1220+($AB8-1)*76+20)))</f>
        <v/>
      </c>
      <c r="X8" s="16">
        <f>IF($AB8="","",IF(INDEX(Raw_CFPB!$C$1:$C$4256,1220+($AB8-1)*76+21)="","",INDEX(Raw_CFPB!$C$1:$C$4256,1220+($AB8-1)*76+21)))</f>
        <v/>
      </c>
      <c r="Y8" s="16">
        <f>IF($AB8="","",IF(INDEX(Raw_CFPB!$C$1:$C$4256,1220+($AB8-1)*76+22)="","",INDEX(Raw_CFPB!$C$1:$C$4256,1220+($AB8-1)*76+22)))</f>
        <v/>
      </c>
      <c r="Z8" s="16">
        <f>IF($AB8="","",IF(INDEX(Raw_CFPB!$C$1:$C$4256,1220+($AB8-1)*76+23)="","",INDEX(Raw_CFPB!$C$1:$C$4256,1220+($AB8-1)*76+23)))</f>
        <v/>
      </c>
      <c r="AB8" s="21">
        <f>IFERROR(MATCH(LARGE(Watchlist!$F$5:$F$44,2),Watchlist!$F$5:$F$44,0),"")</f>
        <v/>
      </c>
    </row>
    <row r="9">
      <c r="A9" s="19">
        <f>IF($AB9="","",INDEX(Watchlist!$A$5:$A$44,$AB9))</f>
        <v/>
      </c>
      <c r="B9" s="27">
        <f>IF($AB9="","",INDEX(Watchlist!$C$5:$C$44,$AB9))</f>
        <v/>
      </c>
      <c r="C9" s="16">
        <f>IF($AB9="","",IF(INDEX(Raw_CFPB!$C$1:$C$4256,1220+($AB9-1)*76+0)="","",INDEX(Raw_CFPB!$C$1:$C$4256,1220+($AB9-1)*76+0)))</f>
        <v/>
      </c>
      <c r="D9" s="16">
        <f>IF($AB9="","",IF(INDEX(Raw_CFPB!$C$1:$C$4256,1220+($AB9-1)*76+1)="","",INDEX(Raw_CFPB!$C$1:$C$4256,1220+($AB9-1)*76+1)))</f>
        <v/>
      </c>
      <c r="E9" s="16">
        <f>IF($AB9="","",IF(INDEX(Raw_CFPB!$C$1:$C$4256,1220+($AB9-1)*76+2)="","",INDEX(Raw_CFPB!$C$1:$C$4256,1220+($AB9-1)*76+2)))</f>
        <v/>
      </c>
      <c r="F9" s="16">
        <f>IF($AB9="","",IF(INDEX(Raw_CFPB!$C$1:$C$4256,1220+($AB9-1)*76+3)="","",INDEX(Raw_CFPB!$C$1:$C$4256,1220+($AB9-1)*76+3)))</f>
        <v/>
      </c>
      <c r="G9" s="16">
        <f>IF($AB9="","",IF(INDEX(Raw_CFPB!$C$1:$C$4256,1220+($AB9-1)*76+4)="","",INDEX(Raw_CFPB!$C$1:$C$4256,1220+($AB9-1)*76+4)))</f>
        <v/>
      </c>
      <c r="H9" s="16">
        <f>IF($AB9="","",IF(INDEX(Raw_CFPB!$C$1:$C$4256,1220+($AB9-1)*76+5)="","",INDEX(Raw_CFPB!$C$1:$C$4256,1220+($AB9-1)*76+5)))</f>
        <v/>
      </c>
      <c r="I9" s="16">
        <f>IF($AB9="","",IF(INDEX(Raw_CFPB!$C$1:$C$4256,1220+($AB9-1)*76+6)="","",INDEX(Raw_CFPB!$C$1:$C$4256,1220+($AB9-1)*76+6)))</f>
        <v/>
      </c>
      <c r="J9" s="16">
        <f>IF($AB9="","",IF(INDEX(Raw_CFPB!$C$1:$C$4256,1220+($AB9-1)*76+7)="","",INDEX(Raw_CFPB!$C$1:$C$4256,1220+($AB9-1)*76+7)))</f>
        <v/>
      </c>
      <c r="K9" s="16">
        <f>IF($AB9="","",IF(INDEX(Raw_CFPB!$C$1:$C$4256,1220+($AB9-1)*76+8)="","",INDEX(Raw_CFPB!$C$1:$C$4256,1220+($AB9-1)*76+8)))</f>
        <v/>
      </c>
      <c r="L9" s="16">
        <f>IF($AB9="","",IF(INDEX(Raw_CFPB!$C$1:$C$4256,1220+($AB9-1)*76+9)="","",INDEX(Raw_CFPB!$C$1:$C$4256,1220+($AB9-1)*76+9)))</f>
        <v/>
      </c>
      <c r="M9" s="16">
        <f>IF($AB9="","",IF(INDEX(Raw_CFPB!$C$1:$C$4256,1220+($AB9-1)*76+10)="","",INDEX(Raw_CFPB!$C$1:$C$4256,1220+($AB9-1)*76+10)))</f>
        <v/>
      </c>
      <c r="N9" s="16">
        <f>IF($AB9="","",IF(INDEX(Raw_CFPB!$C$1:$C$4256,1220+($AB9-1)*76+11)="","",INDEX(Raw_CFPB!$C$1:$C$4256,1220+($AB9-1)*76+11)))</f>
        <v/>
      </c>
      <c r="O9" s="16">
        <f>IF($AB9="","",IF(INDEX(Raw_CFPB!$C$1:$C$4256,1220+($AB9-1)*76+12)="","",INDEX(Raw_CFPB!$C$1:$C$4256,1220+($AB9-1)*76+12)))</f>
        <v/>
      </c>
      <c r="P9" s="16">
        <f>IF($AB9="","",IF(INDEX(Raw_CFPB!$C$1:$C$4256,1220+($AB9-1)*76+13)="","",INDEX(Raw_CFPB!$C$1:$C$4256,1220+($AB9-1)*76+13)))</f>
        <v/>
      </c>
      <c r="Q9" s="16">
        <f>IF($AB9="","",IF(INDEX(Raw_CFPB!$C$1:$C$4256,1220+($AB9-1)*76+14)="","",INDEX(Raw_CFPB!$C$1:$C$4256,1220+($AB9-1)*76+14)))</f>
        <v/>
      </c>
      <c r="R9" s="16">
        <f>IF($AB9="","",IF(INDEX(Raw_CFPB!$C$1:$C$4256,1220+($AB9-1)*76+15)="","",INDEX(Raw_CFPB!$C$1:$C$4256,1220+($AB9-1)*76+15)))</f>
        <v/>
      </c>
      <c r="S9" s="16">
        <f>IF($AB9="","",IF(INDEX(Raw_CFPB!$C$1:$C$4256,1220+($AB9-1)*76+16)="","",INDEX(Raw_CFPB!$C$1:$C$4256,1220+($AB9-1)*76+16)))</f>
        <v/>
      </c>
      <c r="T9" s="16">
        <f>IF($AB9="","",IF(INDEX(Raw_CFPB!$C$1:$C$4256,1220+($AB9-1)*76+17)="","",INDEX(Raw_CFPB!$C$1:$C$4256,1220+($AB9-1)*76+17)))</f>
        <v/>
      </c>
      <c r="U9" s="16">
        <f>IF($AB9="","",IF(INDEX(Raw_CFPB!$C$1:$C$4256,1220+($AB9-1)*76+18)="","",INDEX(Raw_CFPB!$C$1:$C$4256,1220+($AB9-1)*76+18)))</f>
        <v/>
      </c>
      <c r="V9" s="16">
        <f>IF($AB9="","",IF(INDEX(Raw_CFPB!$C$1:$C$4256,1220+($AB9-1)*76+19)="","",INDEX(Raw_CFPB!$C$1:$C$4256,1220+($AB9-1)*76+19)))</f>
        <v/>
      </c>
      <c r="W9" s="16">
        <f>IF($AB9="","",IF(INDEX(Raw_CFPB!$C$1:$C$4256,1220+($AB9-1)*76+20)="","",INDEX(Raw_CFPB!$C$1:$C$4256,1220+($AB9-1)*76+20)))</f>
        <v/>
      </c>
      <c r="X9" s="16">
        <f>IF($AB9="","",IF(INDEX(Raw_CFPB!$C$1:$C$4256,1220+($AB9-1)*76+21)="","",INDEX(Raw_CFPB!$C$1:$C$4256,1220+($AB9-1)*76+21)))</f>
        <v/>
      </c>
      <c r="Y9" s="16">
        <f>IF($AB9="","",IF(INDEX(Raw_CFPB!$C$1:$C$4256,1220+($AB9-1)*76+22)="","",INDEX(Raw_CFPB!$C$1:$C$4256,1220+($AB9-1)*76+22)))</f>
        <v/>
      </c>
      <c r="Z9" s="16">
        <f>IF($AB9="","",IF(INDEX(Raw_CFPB!$C$1:$C$4256,1220+($AB9-1)*76+23)="","",INDEX(Raw_CFPB!$C$1:$C$4256,1220+($AB9-1)*76+23)))</f>
        <v/>
      </c>
      <c r="AB9" s="21">
        <f>IFERROR(MATCH(LARGE(Watchlist!$F$5:$F$44,3),Watchlist!$F$5:$F$44,0),"")</f>
        <v/>
      </c>
    </row>
    <row r="10">
      <c r="A10" s="19">
        <f>IF($AB10="","",INDEX(Watchlist!$A$5:$A$44,$AB10))</f>
        <v/>
      </c>
      <c r="B10" s="27">
        <f>IF($AB10="","",INDEX(Watchlist!$C$5:$C$44,$AB10))</f>
        <v/>
      </c>
      <c r="C10" s="16">
        <f>IF($AB10="","",IF(INDEX(Raw_CFPB!$C$1:$C$4256,1220+($AB10-1)*76+0)="","",INDEX(Raw_CFPB!$C$1:$C$4256,1220+($AB10-1)*76+0)))</f>
        <v/>
      </c>
      <c r="D10" s="16">
        <f>IF($AB10="","",IF(INDEX(Raw_CFPB!$C$1:$C$4256,1220+($AB10-1)*76+1)="","",INDEX(Raw_CFPB!$C$1:$C$4256,1220+($AB10-1)*76+1)))</f>
        <v/>
      </c>
      <c r="E10" s="16">
        <f>IF($AB10="","",IF(INDEX(Raw_CFPB!$C$1:$C$4256,1220+($AB10-1)*76+2)="","",INDEX(Raw_CFPB!$C$1:$C$4256,1220+($AB10-1)*76+2)))</f>
        <v/>
      </c>
      <c r="F10" s="16">
        <f>IF($AB10="","",IF(INDEX(Raw_CFPB!$C$1:$C$4256,1220+($AB10-1)*76+3)="","",INDEX(Raw_CFPB!$C$1:$C$4256,1220+($AB10-1)*76+3)))</f>
        <v/>
      </c>
      <c r="G10" s="16">
        <f>IF($AB10="","",IF(INDEX(Raw_CFPB!$C$1:$C$4256,1220+($AB10-1)*76+4)="","",INDEX(Raw_CFPB!$C$1:$C$4256,1220+($AB10-1)*76+4)))</f>
        <v/>
      </c>
      <c r="H10" s="16">
        <f>IF($AB10="","",IF(INDEX(Raw_CFPB!$C$1:$C$4256,1220+($AB10-1)*76+5)="","",INDEX(Raw_CFPB!$C$1:$C$4256,1220+($AB10-1)*76+5)))</f>
        <v/>
      </c>
      <c r="I10" s="16">
        <f>IF($AB10="","",IF(INDEX(Raw_CFPB!$C$1:$C$4256,1220+($AB10-1)*76+6)="","",INDEX(Raw_CFPB!$C$1:$C$4256,1220+($AB10-1)*76+6)))</f>
        <v/>
      </c>
      <c r="J10" s="16">
        <f>IF($AB10="","",IF(INDEX(Raw_CFPB!$C$1:$C$4256,1220+($AB10-1)*76+7)="","",INDEX(Raw_CFPB!$C$1:$C$4256,1220+($AB10-1)*76+7)))</f>
        <v/>
      </c>
      <c r="K10" s="16">
        <f>IF($AB10="","",IF(INDEX(Raw_CFPB!$C$1:$C$4256,1220+($AB10-1)*76+8)="","",INDEX(Raw_CFPB!$C$1:$C$4256,1220+($AB10-1)*76+8)))</f>
        <v/>
      </c>
      <c r="L10" s="16">
        <f>IF($AB10="","",IF(INDEX(Raw_CFPB!$C$1:$C$4256,1220+($AB10-1)*76+9)="","",INDEX(Raw_CFPB!$C$1:$C$4256,1220+($AB10-1)*76+9)))</f>
        <v/>
      </c>
      <c r="M10" s="16">
        <f>IF($AB10="","",IF(INDEX(Raw_CFPB!$C$1:$C$4256,1220+($AB10-1)*76+10)="","",INDEX(Raw_CFPB!$C$1:$C$4256,1220+($AB10-1)*76+10)))</f>
        <v/>
      </c>
      <c r="N10" s="16">
        <f>IF($AB10="","",IF(INDEX(Raw_CFPB!$C$1:$C$4256,1220+($AB10-1)*76+11)="","",INDEX(Raw_CFPB!$C$1:$C$4256,1220+($AB10-1)*76+11)))</f>
        <v/>
      </c>
      <c r="O10" s="16">
        <f>IF($AB10="","",IF(INDEX(Raw_CFPB!$C$1:$C$4256,1220+($AB10-1)*76+12)="","",INDEX(Raw_CFPB!$C$1:$C$4256,1220+($AB10-1)*76+12)))</f>
        <v/>
      </c>
      <c r="P10" s="16">
        <f>IF($AB10="","",IF(INDEX(Raw_CFPB!$C$1:$C$4256,1220+($AB10-1)*76+13)="","",INDEX(Raw_CFPB!$C$1:$C$4256,1220+($AB10-1)*76+13)))</f>
        <v/>
      </c>
      <c r="Q10" s="16">
        <f>IF($AB10="","",IF(INDEX(Raw_CFPB!$C$1:$C$4256,1220+($AB10-1)*76+14)="","",INDEX(Raw_CFPB!$C$1:$C$4256,1220+($AB10-1)*76+14)))</f>
        <v/>
      </c>
      <c r="R10" s="16">
        <f>IF($AB10="","",IF(INDEX(Raw_CFPB!$C$1:$C$4256,1220+($AB10-1)*76+15)="","",INDEX(Raw_CFPB!$C$1:$C$4256,1220+($AB10-1)*76+15)))</f>
        <v/>
      </c>
      <c r="S10" s="16">
        <f>IF($AB10="","",IF(INDEX(Raw_CFPB!$C$1:$C$4256,1220+($AB10-1)*76+16)="","",INDEX(Raw_CFPB!$C$1:$C$4256,1220+($AB10-1)*76+16)))</f>
        <v/>
      </c>
      <c r="T10" s="16">
        <f>IF($AB10="","",IF(INDEX(Raw_CFPB!$C$1:$C$4256,1220+($AB10-1)*76+17)="","",INDEX(Raw_CFPB!$C$1:$C$4256,1220+($AB10-1)*76+17)))</f>
        <v/>
      </c>
      <c r="U10" s="16">
        <f>IF($AB10="","",IF(INDEX(Raw_CFPB!$C$1:$C$4256,1220+($AB10-1)*76+18)="","",INDEX(Raw_CFPB!$C$1:$C$4256,1220+($AB10-1)*76+18)))</f>
        <v/>
      </c>
      <c r="V10" s="16">
        <f>IF($AB10="","",IF(INDEX(Raw_CFPB!$C$1:$C$4256,1220+($AB10-1)*76+19)="","",INDEX(Raw_CFPB!$C$1:$C$4256,1220+($AB10-1)*76+19)))</f>
        <v/>
      </c>
      <c r="W10" s="16">
        <f>IF($AB10="","",IF(INDEX(Raw_CFPB!$C$1:$C$4256,1220+($AB10-1)*76+20)="","",INDEX(Raw_CFPB!$C$1:$C$4256,1220+($AB10-1)*76+20)))</f>
        <v/>
      </c>
      <c r="X10" s="16">
        <f>IF($AB10="","",IF(INDEX(Raw_CFPB!$C$1:$C$4256,1220+($AB10-1)*76+21)="","",INDEX(Raw_CFPB!$C$1:$C$4256,1220+($AB10-1)*76+21)))</f>
        <v/>
      </c>
      <c r="Y10" s="16">
        <f>IF($AB10="","",IF(INDEX(Raw_CFPB!$C$1:$C$4256,1220+($AB10-1)*76+22)="","",INDEX(Raw_CFPB!$C$1:$C$4256,1220+($AB10-1)*76+22)))</f>
        <v/>
      </c>
      <c r="Z10" s="16">
        <f>IF($AB10="","",IF(INDEX(Raw_CFPB!$C$1:$C$4256,1220+($AB10-1)*76+23)="","",INDEX(Raw_CFPB!$C$1:$C$4256,1220+($AB10-1)*76+23)))</f>
        <v/>
      </c>
      <c r="AB10" s="21">
        <f>IFERROR(MATCH(LARGE(Watchlist!$F$5:$F$44,4),Watchlist!$F$5:$F$44,0),"")</f>
        <v/>
      </c>
    </row>
    <row r="11">
      <c r="A11" s="19">
        <f>IF($AB11="","",INDEX(Watchlist!$A$5:$A$44,$AB11))</f>
        <v/>
      </c>
      <c r="B11" s="27">
        <f>IF($AB11="","",INDEX(Watchlist!$C$5:$C$44,$AB11))</f>
        <v/>
      </c>
      <c r="C11" s="16">
        <f>IF($AB11="","",IF(INDEX(Raw_CFPB!$C$1:$C$4256,1220+($AB11-1)*76+0)="","",INDEX(Raw_CFPB!$C$1:$C$4256,1220+($AB11-1)*76+0)))</f>
        <v/>
      </c>
      <c r="D11" s="16">
        <f>IF($AB11="","",IF(INDEX(Raw_CFPB!$C$1:$C$4256,1220+($AB11-1)*76+1)="","",INDEX(Raw_CFPB!$C$1:$C$4256,1220+($AB11-1)*76+1)))</f>
        <v/>
      </c>
      <c r="E11" s="16">
        <f>IF($AB11="","",IF(INDEX(Raw_CFPB!$C$1:$C$4256,1220+($AB11-1)*76+2)="","",INDEX(Raw_CFPB!$C$1:$C$4256,1220+($AB11-1)*76+2)))</f>
        <v/>
      </c>
      <c r="F11" s="16">
        <f>IF($AB11="","",IF(INDEX(Raw_CFPB!$C$1:$C$4256,1220+($AB11-1)*76+3)="","",INDEX(Raw_CFPB!$C$1:$C$4256,1220+($AB11-1)*76+3)))</f>
        <v/>
      </c>
      <c r="G11" s="16">
        <f>IF($AB11="","",IF(INDEX(Raw_CFPB!$C$1:$C$4256,1220+($AB11-1)*76+4)="","",INDEX(Raw_CFPB!$C$1:$C$4256,1220+($AB11-1)*76+4)))</f>
        <v/>
      </c>
      <c r="H11" s="16">
        <f>IF($AB11="","",IF(INDEX(Raw_CFPB!$C$1:$C$4256,1220+($AB11-1)*76+5)="","",INDEX(Raw_CFPB!$C$1:$C$4256,1220+($AB11-1)*76+5)))</f>
        <v/>
      </c>
      <c r="I11" s="16">
        <f>IF($AB11="","",IF(INDEX(Raw_CFPB!$C$1:$C$4256,1220+($AB11-1)*76+6)="","",INDEX(Raw_CFPB!$C$1:$C$4256,1220+($AB11-1)*76+6)))</f>
        <v/>
      </c>
      <c r="J11" s="16">
        <f>IF($AB11="","",IF(INDEX(Raw_CFPB!$C$1:$C$4256,1220+($AB11-1)*76+7)="","",INDEX(Raw_CFPB!$C$1:$C$4256,1220+($AB11-1)*76+7)))</f>
        <v/>
      </c>
      <c r="K11" s="16">
        <f>IF($AB11="","",IF(INDEX(Raw_CFPB!$C$1:$C$4256,1220+($AB11-1)*76+8)="","",INDEX(Raw_CFPB!$C$1:$C$4256,1220+($AB11-1)*76+8)))</f>
        <v/>
      </c>
      <c r="L11" s="16">
        <f>IF($AB11="","",IF(INDEX(Raw_CFPB!$C$1:$C$4256,1220+($AB11-1)*76+9)="","",INDEX(Raw_CFPB!$C$1:$C$4256,1220+($AB11-1)*76+9)))</f>
        <v/>
      </c>
      <c r="M11" s="16">
        <f>IF($AB11="","",IF(INDEX(Raw_CFPB!$C$1:$C$4256,1220+($AB11-1)*76+10)="","",INDEX(Raw_CFPB!$C$1:$C$4256,1220+($AB11-1)*76+10)))</f>
        <v/>
      </c>
      <c r="N11" s="16">
        <f>IF($AB11="","",IF(INDEX(Raw_CFPB!$C$1:$C$4256,1220+($AB11-1)*76+11)="","",INDEX(Raw_CFPB!$C$1:$C$4256,1220+($AB11-1)*76+11)))</f>
        <v/>
      </c>
      <c r="O11" s="16">
        <f>IF($AB11="","",IF(INDEX(Raw_CFPB!$C$1:$C$4256,1220+($AB11-1)*76+12)="","",INDEX(Raw_CFPB!$C$1:$C$4256,1220+($AB11-1)*76+12)))</f>
        <v/>
      </c>
      <c r="P11" s="16">
        <f>IF($AB11="","",IF(INDEX(Raw_CFPB!$C$1:$C$4256,1220+($AB11-1)*76+13)="","",INDEX(Raw_CFPB!$C$1:$C$4256,1220+($AB11-1)*76+13)))</f>
        <v/>
      </c>
      <c r="Q11" s="16">
        <f>IF($AB11="","",IF(INDEX(Raw_CFPB!$C$1:$C$4256,1220+($AB11-1)*76+14)="","",INDEX(Raw_CFPB!$C$1:$C$4256,1220+($AB11-1)*76+14)))</f>
        <v/>
      </c>
      <c r="R11" s="16">
        <f>IF($AB11="","",IF(INDEX(Raw_CFPB!$C$1:$C$4256,1220+($AB11-1)*76+15)="","",INDEX(Raw_CFPB!$C$1:$C$4256,1220+($AB11-1)*76+15)))</f>
        <v/>
      </c>
      <c r="S11" s="16">
        <f>IF($AB11="","",IF(INDEX(Raw_CFPB!$C$1:$C$4256,1220+($AB11-1)*76+16)="","",INDEX(Raw_CFPB!$C$1:$C$4256,1220+($AB11-1)*76+16)))</f>
        <v/>
      </c>
      <c r="T11" s="16">
        <f>IF($AB11="","",IF(INDEX(Raw_CFPB!$C$1:$C$4256,1220+($AB11-1)*76+17)="","",INDEX(Raw_CFPB!$C$1:$C$4256,1220+($AB11-1)*76+17)))</f>
        <v/>
      </c>
      <c r="U11" s="16">
        <f>IF($AB11="","",IF(INDEX(Raw_CFPB!$C$1:$C$4256,1220+($AB11-1)*76+18)="","",INDEX(Raw_CFPB!$C$1:$C$4256,1220+($AB11-1)*76+18)))</f>
        <v/>
      </c>
      <c r="V11" s="16">
        <f>IF($AB11="","",IF(INDEX(Raw_CFPB!$C$1:$C$4256,1220+($AB11-1)*76+19)="","",INDEX(Raw_CFPB!$C$1:$C$4256,1220+($AB11-1)*76+19)))</f>
        <v/>
      </c>
      <c r="W11" s="16">
        <f>IF($AB11="","",IF(INDEX(Raw_CFPB!$C$1:$C$4256,1220+($AB11-1)*76+20)="","",INDEX(Raw_CFPB!$C$1:$C$4256,1220+($AB11-1)*76+20)))</f>
        <v/>
      </c>
      <c r="X11" s="16">
        <f>IF($AB11="","",IF(INDEX(Raw_CFPB!$C$1:$C$4256,1220+($AB11-1)*76+21)="","",INDEX(Raw_CFPB!$C$1:$C$4256,1220+($AB11-1)*76+21)))</f>
        <v/>
      </c>
      <c r="Y11" s="16">
        <f>IF($AB11="","",IF(INDEX(Raw_CFPB!$C$1:$C$4256,1220+($AB11-1)*76+22)="","",INDEX(Raw_CFPB!$C$1:$C$4256,1220+($AB11-1)*76+22)))</f>
        <v/>
      </c>
      <c r="Z11" s="16">
        <f>IF($AB11="","",IF(INDEX(Raw_CFPB!$C$1:$C$4256,1220+($AB11-1)*76+23)="","",INDEX(Raw_CFPB!$C$1:$C$4256,1220+($AB11-1)*76+23)))</f>
        <v/>
      </c>
      <c r="AB11" s="21">
        <f>IFERROR(MATCH(LARGE(Watchlist!$F$5:$F$44,5),Watchlist!$F$5:$F$44,0),"")</f>
        <v/>
      </c>
    </row>
    <row r="13">
      <c r="A13" s="21" t="inlineStr">
        <is>
          <t>Column AB holds the MATCHed Watchlist row (== footprint slot) for each ranked county; the 24 month cells INDEX straight into that slot's fixed Raw_CFPB block. SUPPRESSED and empty slots never rank (no 90+ value).</t>
        </is>
      </c>
    </row>
  </sheetData>
  <mergeCells count="4">
    <mergeCell ref="A4:H4"/>
    <mergeCell ref="A13:H13"/>
    <mergeCell ref="A2:H2"/>
    <mergeCell ref="A1:H1"/>
  </mergeCells>
  <conditionalFormatting sqref="C6:Z11">
    <cfRule type="colorScale" priority="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4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7" customWidth="1" min="2" max="2"/>
    <col width="8" customWidth="1" min="3" max="3"/>
    <col width="12" customWidth="1" min="4" max="4"/>
    <col width="13" customWidth="1" min="5" max="5"/>
    <col width="11" customWidth="1" min="6" max="6"/>
    <col width="14" customWidth="1" min="7" max="7"/>
    <col width="44" customWidth="1" min="8" max="8"/>
    <col width="6" customWidth="1" min="9" max="9"/>
    <col width="10" customWidth="1" min="11" max="11"/>
    <col width="10" customWidth="1" min="12" max="12"/>
  </cols>
  <sheetData>
    <row r="1" ht="27.6" customHeight="1">
      <c r="A1" s="1" t="inlineStr">
        <is>
          <t>Watchlist -- Ranked Footprint Counties</t>
        </is>
      </c>
    </row>
    <row r="2" ht="18.4" customHeight="1">
      <c r="A2" s="3" t="inlineStr">
        <is>
          <t>Ranked by (status severity, 90+ deviation vs own 12m average) descending. Thresholds: 30-89 dev 12m 0.3/0.6pp; 90+ rise streak 2/3; 90+ level 1.5/3.0% -- heuristic bands, honestly labeled in _config. Helper columns K-L feed the rank.</t>
        </is>
      </c>
      <c r="B2" s="4" t="n"/>
      <c r="C2" s="4" t="n"/>
      <c r="D2" s="4" t="n"/>
      <c r="E2" s="4" t="n"/>
      <c r="F2" s="4" t="n"/>
      <c r="G2" s="4" t="n"/>
      <c r="H2" s="4" t="n"/>
      <c r="I2" s="4" t="n"/>
    </row>
    <row r="3" ht="68" customHeight="1">
      <c r="A3" s="28" t="inlineStr">
        <is>
          <t>COUNTY RULE. This lane admits ONLY rows carrying a genuine 5-digit county FIPS join key (county:NNNNN from the [FOOTPRINT] fips cell, Class A) -- the default-deny validator refuses anything else BY NAME: states, metros and National are dashboard context, never watchlist. Blank/malformed FIPS shows REFUSED here; find FIPS with: python runner.py --lookup "&lt;county name&gt;" (offline with --demo). A county ABSENT from the fetched vintage is SUPPRESSED (below the ~1,000-sample threshold) -- use its state row; absence is NOT zero.</t>
        </is>
      </c>
    </row>
    <row r="4" ht="22" customHeight="1">
      <c r="A4" s="12" t="inlineStr">
        <is>
          <t>County</t>
        </is>
      </c>
      <c r="B4" s="12" t="inlineStr">
        <is>
          <t>State</t>
        </is>
      </c>
      <c r="C4" s="12" t="inlineStr">
        <is>
          <t>FIPS</t>
        </is>
      </c>
      <c r="D4" s="13" t="inlineStr">
        <is>
          <t>30-89 latest</t>
        </is>
      </c>
      <c r="E4" s="13" t="inlineStr">
        <is>
          <t>30-89 dev 12m</t>
        </is>
      </c>
      <c r="F4" s="13" t="inlineStr">
        <is>
          <t>90+ latest</t>
        </is>
      </c>
      <c r="G4" s="29" t="inlineStr">
        <is>
          <t>90+ rise streak</t>
        </is>
      </c>
      <c r="H4" s="29" t="inlineStr">
        <is>
          <t>Status</t>
        </is>
      </c>
      <c r="I4" s="29" t="inlineStr">
        <is>
          <t>Rank</t>
        </is>
      </c>
      <c r="K4" s="30" t="inlineStr">
        <is>
          <t>d90 dev12 (helper)</t>
        </is>
      </c>
      <c r="L4" s="30" t="inlineStr">
        <is>
          <t>rank score</t>
        </is>
      </c>
    </row>
    <row r="5">
      <c r="A5" s="19">
        <f>IF(_config!$C$22="","",_config!$C$22)</f>
        <v/>
      </c>
      <c r="B5" s="31">
        <f>IF(_config!$D$22="","",_config!$D$22)</f>
        <v/>
      </c>
      <c r="C5" s="27">
        <f>IF(_config!$B$22="","",_config!$B$22)</f>
        <v/>
      </c>
      <c r="D5" s="16">
        <f>IF(Raw_CFPB!B1220="","",Raw_CFPB!B1220)</f>
        <v/>
      </c>
      <c r="E5" s="17">
        <f>IF(OR(Raw_CFPB!B1220="",COUNT(Raw_CFPB!B1221:B1232)=0),"",Raw_CFPB!B1220-AVERAGE(Raw_CFPB!B1221:B1232))</f>
        <v/>
      </c>
      <c r="F5" s="16">
        <f>IF(Raw_CFPB!C1220="","",Raw_CFPB!C1220)</f>
        <v/>
      </c>
      <c r="G5" s="32">
        <f>IF(COUNT(Raw_CFPB!C1220:C1223)&lt;4,"",IF(Raw_CFPB!C1220&gt;Raw_CFPB!C1221,1,0)+IF(AND(Raw_CFPB!C1220&gt;Raw_CFPB!C1221,Raw_CFPB!C1221&gt;Raw_CFPB!C1222),1,0)+IF(AND(Raw_CFPB!C1220&gt;Raw_CFPB!C1221,Raw_CFPB!C1221&gt;Raw_CFPB!C1222,Raw_CFPB!C1222&gt;Raw_CFPB!C1223),1,0))</f>
        <v/>
      </c>
      <c r="H5" s="33">
        <f>IF(_config!$C$22="","",IF(NOT(AND(ISTEXT(_config!$B$22),LEN(_config!$B$22)=5)),"REFUSED: blank/invalid FIPS -- run --lookup",IF(UPPER(_config!$E$22&amp;"")&lt;&gt;"TRUE","OFF",IF(Raw_CFPB!$B$4="","(not yet run)",IF(AND($D5="",$F5=""),"SUPPRESSED (below sample threshold) -- use the state row",IF(OR(AND(ISNUMBER($E5),$E5&gt;=_config!$C$16),AND(ISNUMBER($G5),$G5&gt;=_config!$C$17),AND(ISNUMBER($F5),$F5&gt;=_config!$C$18)),"ALERT",IF(OR(AND(ISNUMBER($E5),$E5&gt;=_config!$B$16),AND(ISNUMBER($G5),$G5&gt;=_config!$B$17),AND(ISNUMBER($F5),$F5&gt;=_config!$B$18)),"WATCH","OK")))))))</f>
        <v/>
      </c>
      <c r="I5" s="34">
        <f>IF($L5="","",RANK($L5,$L$5:$L$44))</f>
        <v/>
      </c>
      <c r="K5" s="21">
        <f>IF(OR(Raw_CFPB!C1220="",COUNT(Raw_CFPB!C1221:C1232)=0),"",Raw_CFPB!C1220-AVERAGE(Raw_CFPB!C1221:C1232))</f>
        <v/>
      </c>
      <c r="L5" s="21">
        <f>IF(OR($H5="ALERT",$H5="WATCH",$H5="OK"),IF($H5="ALERT",2,IF($H5="WATCH",1,0))*1000+IF(ISNUMBER($K5),$K5,0),"")</f>
        <v/>
      </c>
    </row>
    <row r="6">
      <c r="A6" s="19">
        <f>IF(_config!$C$23="","",_config!$C$23)</f>
        <v/>
      </c>
      <c r="B6" s="31">
        <f>IF(_config!$D$23="","",_config!$D$23)</f>
        <v/>
      </c>
      <c r="C6" s="27">
        <f>IF(_config!$B$23="","",_config!$B$23)</f>
        <v/>
      </c>
      <c r="D6" s="16">
        <f>IF(Raw_CFPB!B1296="","",Raw_CFPB!B1296)</f>
        <v/>
      </c>
      <c r="E6" s="17">
        <f>IF(OR(Raw_CFPB!B1296="",COUNT(Raw_CFPB!B1297:B1308)=0),"",Raw_CFPB!B1296-AVERAGE(Raw_CFPB!B1297:B1308))</f>
        <v/>
      </c>
      <c r="F6" s="16">
        <f>IF(Raw_CFPB!C1296="","",Raw_CFPB!C1296)</f>
        <v/>
      </c>
      <c r="G6" s="32">
        <f>IF(COUNT(Raw_CFPB!C1296:C1299)&lt;4,"",IF(Raw_CFPB!C1296&gt;Raw_CFPB!C1297,1,0)+IF(AND(Raw_CFPB!C1296&gt;Raw_CFPB!C1297,Raw_CFPB!C1297&gt;Raw_CFPB!C1298),1,0)+IF(AND(Raw_CFPB!C1296&gt;Raw_CFPB!C1297,Raw_CFPB!C1297&gt;Raw_CFPB!C1298,Raw_CFPB!C1298&gt;Raw_CFPB!C1299),1,0))</f>
        <v/>
      </c>
      <c r="H6" s="33">
        <f>IF(_config!$C$23="","",IF(NOT(AND(ISTEXT(_config!$B$23),LEN(_config!$B$23)=5)),"REFUSED: blank/invalid FIPS -- run --lookup",IF(UPPER(_config!$E$23&amp;"")&lt;&gt;"TRUE","OFF",IF(Raw_CFPB!$B$4="","(not yet run)",IF(AND($D6="",$F6=""),"SUPPRESSED (below sample threshold) -- use the state row",IF(OR(AND(ISNUMBER($E6),$E6&gt;=_config!$C$16),AND(ISNUMBER($G6),$G6&gt;=_config!$C$17),AND(ISNUMBER($F6),$F6&gt;=_config!$C$18)),"ALERT",IF(OR(AND(ISNUMBER($E6),$E6&gt;=_config!$B$16),AND(ISNUMBER($G6),$G6&gt;=_config!$B$17),AND(ISNUMBER($F6),$F6&gt;=_config!$B$18)),"WATCH","OK")))))))</f>
        <v/>
      </c>
      <c r="I6" s="34">
        <f>IF($L6="","",RANK($L6,$L$5:$L$44))</f>
        <v/>
      </c>
      <c r="K6" s="21">
        <f>IF(OR(Raw_CFPB!C1296="",COUNT(Raw_CFPB!C1297:C1308)=0),"",Raw_CFPB!C1296-AVERAGE(Raw_CFPB!C1297:C1308))</f>
        <v/>
      </c>
      <c r="L6" s="21">
        <f>IF(OR($H6="ALERT",$H6="WATCH",$H6="OK"),IF($H6="ALERT",2,IF($H6="WATCH",1,0))*1000+IF(ISNUMBER($K6),$K6,0),"")</f>
        <v/>
      </c>
    </row>
    <row r="7">
      <c r="A7" s="19">
        <f>IF(_config!$C$24="","",_config!$C$24)</f>
        <v/>
      </c>
      <c r="B7" s="31">
        <f>IF(_config!$D$24="","",_config!$D$24)</f>
        <v/>
      </c>
      <c r="C7" s="27">
        <f>IF(_config!$B$24="","",_config!$B$24)</f>
        <v/>
      </c>
      <c r="D7" s="16">
        <f>IF(Raw_CFPB!B1372="","",Raw_CFPB!B1372)</f>
        <v/>
      </c>
      <c r="E7" s="17">
        <f>IF(OR(Raw_CFPB!B1372="",COUNT(Raw_CFPB!B1373:B1384)=0),"",Raw_CFPB!B1372-AVERAGE(Raw_CFPB!B1373:B1384))</f>
        <v/>
      </c>
      <c r="F7" s="16">
        <f>IF(Raw_CFPB!C1372="","",Raw_CFPB!C1372)</f>
        <v/>
      </c>
      <c r="G7" s="32">
        <f>IF(COUNT(Raw_CFPB!C1372:C1375)&lt;4,"",IF(Raw_CFPB!C1372&gt;Raw_CFPB!C1373,1,0)+IF(AND(Raw_CFPB!C1372&gt;Raw_CFPB!C1373,Raw_CFPB!C1373&gt;Raw_CFPB!C1374),1,0)+IF(AND(Raw_CFPB!C1372&gt;Raw_CFPB!C1373,Raw_CFPB!C1373&gt;Raw_CFPB!C1374,Raw_CFPB!C1374&gt;Raw_CFPB!C1375),1,0))</f>
        <v/>
      </c>
      <c r="H7" s="33">
        <f>IF(_config!$C$24="","",IF(NOT(AND(ISTEXT(_config!$B$24),LEN(_config!$B$24)=5)),"REFUSED: blank/invalid FIPS -- run --lookup",IF(UPPER(_config!$E$24&amp;"")&lt;&gt;"TRUE","OFF",IF(Raw_CFPB!$B$4="","(not yet run)",IF(AND($D7="",$F7=""),"SUPPRESSED (below sample threshold) -- use the state row",IF(OR(AND(ISNUMBER($E7),$E7&gt;=_config!$C$16),AND(ISNUMBER($G7),$G7&gt;=_config!$C$17),AND(ISNUMBER($F7),$F7&gt;=_config!$C$18)),"ALERT",IF(OR(AND(ISNUMBER($E7),$E7&gt;=_config!$B$16),AND(ISNUMBER($G7),$G7&gt;=_config!$B$17),AND(ISNUMBER($F7),$F7&gt;=_config!$B$18)),"WATCH","OK")))))))</f>
        <v/>
      </c>
      <c r="I7" s="34">
        <f>IF($L7="","",RANK($L7,$L$5:$L$44))</f>
        <v/>
      </c>
      <c r="K7" s="21">
        <f>IF(OR(Raw_CFPB!C1372="",COUNT(Raw_CFPB!C1373:C1384)=0),"",Raw_CFPB!C1372-AVERAGE(Raw_CFPB!C1373:C1384))</f>
        <v/>
      </c>
      <c r="L7" s="21">
        <f>IF(OR($H7="ALERT",$H7="WATCH",$H7="OK"),IF($H7="ALERT",2,IF($H7="WATCH",1,0))*1000+IF(ISNUMBER($K7),$K7,0),"")</f>
        <v/>
      </c>
    </row>
    <row r="8">
      <c r="A8" s="19">
        <f>IF(_config!$C$25="","",_config!$C$25)</f>
        <v/>
      </c>
      <c r="B8" s="31">
        <f>IF(_config!$D$25="","",_config!$D$25)</f>
        <v/>
      </c>
      <c r="C8" s="27">
        <f>IF(_config!$B$25="","",_config!$B$25)</f>
        <v/>
      </c>
      <c r="D8" s="16">
        <f>IF(Raw_CFPB!B1448="","",Raw_CFPB!B1448)</f>
        <v/>
      </c>
      <c r="E8" s="17">
        <f>IF(OR(Raw_CFPB!B1448="",COUNT(Raw_CFPB!B1449:B1460)=0),"",Raw_CFPB!B1448-AVERAGE(Raw_CFPB!B1449:B1460))</f>
        <v/>
      </c>
      <c r="F8" s="16">
        <f>IF(Raw_CFPB!C1448="","",Raw_CFPB!C1448)</f>
        <v/>
      </c>
      <c r="G8" s="32">
        <f>IF(COUNT(Raw_CFPB!C1448:C1451)&lt;4,"",IF(Raw_CFPB!C1448&gt;Raw_CFPB!C1449,1,0)+IF(AND(Raw_CFPB!C1448&gt;Raw_CFPB!C1449,Raw_CFPB!C1449&gt;Raw_CFPB!C1450),1,0)+IF(AND(Raw_CFPB!C1448&gt;Raw_CFPB!C1449,Raw_CFPB!C1449&gt;Raw_CFPB!C1450,Raw_CFPB!C1450&gt;Raw_CFPB!C1451),1,0))</f>
        <v/>
      </c>
      <c r="H8" s="33">
        <f>IF(_config!$C$25="","",IF(NOT(AND(ISTEXT(_config!$B$25),LEN(_config!$B$25)=5)),"REFUSED: blank/invalid FIPS -- run --lookup",IF(UPPER(_config!$E$25&amp;"")&lt;&gt;"TRUE","OFF",IF(Raw_CFPB!$B$4="","(not yet run)",IF(AND($D8="",$F8=""),"SUPPRESSED (below sample threshold) -- use the state row",IF(OR(AND(ISNUMBER($E8),$E8&gt;=_config!$C$16),AND(ISNUMBER($G8),$G8&gt;=_config!$C$17),AND(ISNUMBER($F8),$F8&gt;=_config!$C$18)),"ALERT",IF(OR(AND(ISNUMBER($E8),$E8&gt;=_config!$B$16),AND(ISNUMBER($G8),$G8&gt;=_config!$B$17),AND(ISNUMBER($F8),$F8&gt;=_config!$B$18)),"WATCH","OK")))))))</f>
        <v/>
      </c>
      <c r="I8" s="34">
        <f>IF($L8="","",RANK($L8,$L$5:$L$44))</f>
        <v/>
      </c>
      <c r="K8" s="21">
        <f>IF(OR(Raw_CFPB!C1448="",COUNT(Raw_CFPB!C1449:C1460)=0),"",Raw_CFPB!C1448-AVERAGE(Raw_CFPB!C1449:C1460))</f>
        <v/>
      </c>
      <c r="L8" s="21">
        <f>IF(OR($H8="ALERT",$H8="WATCH",$H8="OK"),IF($H8="ALERT",2,IF($H8="WATCH",1,0))*1000+IF(ISNUMBER($K8),$K8,0),"")</f>
        <v/>
      </c>
    </row>
    <row r="9">
      <c r="A9" s="19">
        <f>IF(_config!$C$26="","",_config!$C$26)</f>
        <v/>
      </c>
      <c r="B9" s="31">
        <f>IF(_config!$D$26="","",_config!$D$26)</f>
        <v/>
      </c>
      <c r="C9" s="27">
        <f>IF(_config!$B$26="","",_config!$B$26)</f>
        <v/>
      </c>
      <c r="D9" s="16">
        <f>IF(Raw_CFPB!B1524="","",Raw_CFPB!B1524)</f>
        <v/>
      </c>
      <c r="E9" s="17">
        <f>IF(OR(Raw_CFPB!B1524="",COUNT(Raw_CFPB!B1525:B1536)=0),"",Raw_CFPB!B1524-AVERAGE(Raw_CFPB!B1525:B1536))</f>
        <v/>
      </c>
      <c r="F9" s="16">
        <f>IF(Raw_CFPB!C1524="","",Raw_CFPB!C1524)</f>
        <v/>
      </c>
      <c r="G9" s="32">
        <f>IF(COUNT(Raw_CFPB!C1524:C1527)&lt;4,"",IF(Raw_CFPB!C1524&gt;Raw_CFPB!C1525,1,0)+IF(AND(Raw_CFPB!C1524&gt;Raw_CFPB!C1525,Raw_CFPB!C1525&gt;Raw_CFPB!C1526),1,0)+IF(AND(Raw_CFPB!C1524&gt;Raw_CFPB!C1525,Raw_CFPB!C1525&gt;Raw_CFPB!C1526,Raw_CFPB!C1526&gt;Raw_CFPB!C1527),1,0))</f>
        <v/>
      </c>
      <c r="H9" s="33">
        <f>IF(_config!$C$26="","",IF(NOT(AND(ISTEXT(_config!$B$26),LEN(_config!$B$26)=5)),"REFUSED: blank/invalid FIPS -- run --lookup",IF(UPPER(_config!$E$26&amp;"")&lt;&gt;"TRUE","OFF",IF(Raw_CFPB!$B$4="","(not yet run)",IF(AND($D9="",$F9=""),"SUPPRESSED (below sample threshold) -- use the state row",IF(OR(AND(ISNUMBER($E9),$E9&gt;=_config!$C$16),AND(ISNUMBER($G9),$G9&gt;=_config!$C$17),AND(ISNUMBER($F9),$F9&gt;=_config!$C$18)),"ALERT",IF(OR(AND(ISNUMBER($E9),$E9&gt;=_config!$B$16),AND(ISNUMBER($G9),$G9&gt;=_config!$B$17),AND(ISNUMBER($F9),$F9&gt;=_config!$B$18)),"WATCH","OK")))))))</f>
        <v/>
      </c>
      <c r="I9" s="34">
        <f>IF($L9="","",RANK($L9,$L$5:$L$44))</f>
        <v/>
      </c>
      <c r="K9" s="21">
        <f>IF(OR(Raw_CFPB!C1524="",COUNT(Raw_CFPB!C1525:C1536)=0),"",Raw_CFPB!C1524-AVERAGE(Raw_CFPB!C1525:C1536))</f>
        <v/>
      </c>
      <c r="L9" s="21">
        <f>IF(OR($H9="ALERT",$H9="WATCH",$H9="OK"),IF($H9="ALERT",2,IF($H9="WATCH",1,0))*1000+IF(ISNUMBER($K9),$K9,0),"")</f>
        <v/>
      </c>
    </row>
    <row r="10">
      <c r="A10" s="19">
        <f>IF(_config!$C$27="","",_config!$C$27)</f>
        <v/>
      </c>
      <c r="B10" s="31">
        <f>IF(_config!$D$27="","",_config!$D$27)</f>
        <v/>
      </c>
      <c r="C10" s="27">
        <f>IF(_config!$B$27="","",_config!$B$27)</f>
        <v/>
      </c>
      <c r="D10" s="16">
        <f>IF(Raw_CFPB!B1600="","",Raw_CFPB!B1600)</f>
        <v/>
      </c>
      <c r="E10" s="17">
        <f>IF(OR(Raw_CFPB!B1600="",COUNT(Raw_CFPB!B1601:B1612)=0),"",Raw_CFPB!B1600-AVERAGE(Raw_CFPB!B1601:B1612))</f>
        <v/>
      </c>
      <c r="F10" s="16">
        <f>IF(Raw_CFPB!C1600="","",Raw_CFPB!C1600)</f>
        <v/>
      </c>
      <c r="G10" s="32">
        <f>IF(COUNT(Raw_CFPB!C1600:C1603)&lt;4,"",IF(Raw_CFPB!C1600&gt;Raw_CFPB!C1601,1,0)+IF(AND(Raw_CFPB!C1600&gt;Raw_CFPB!C1601,Raw_CFPB!C1601&gt;Raw_CFPB!C1602),1,0)+IF(AND(Raw_CFPB!C1600&gt;Raw_CFPB!C1601,Raw_CFPB!C1601&gt;Raw_CFPB!C1602,Raw_CFPB!C1602&gt;Raw_CFPB!C1603),1,0))</f>
        <v/>
      </c>
      <c r="H10" s="33">
        <f>IF(_config!$C$27="","",IF(NOT(AND(ISTEXT(_config!$B$27),LEN(_config!$B$27)=5)),"REFUSED: blank/invalid FIPS -- run --lookup",IF(UPPER(_config!$E$27&amp;"")&lt;&gt;"TRUE","OFF",IF(Raw_CFPB!$B$4="","(not yet run)",IF(AND($D10="",$F10=""),"SUPPRESSED (below sample threshold) -- use the state row",IF(OR(AND(ISNUMBER($E10),$E10&gt;=_config!$C$16),AND(ISNUMBER($G10),$G10&gt;=_config!$C$17),AND(ISNUMBER($F10),$F10&gt;=_config!$C$18)),"ALERT",IF(OR(AND(ISNUMBER($E10),$E10&gt;=_config!$B$16),AND(ISNUMBER($G10),$G10&gt;=_config!$B$17),AND(ISNUMBER($F10),$F10&gt;=_config!$B$18)),"WATCH","OK")))))))</f>
        <v/>
      </c>
      <c r="I10" s="34">
        <f>IF($L10="","",RANK($L10,$L$5:$L$44))</f>
        <v/>
      </c>
      <c r="K10" s="21">
        <f>IF(OR(Raw_CFPB!C1600="",COUNT(Raw_CFPB!C1601:C1612)=0),"",Raw_CFPB!C1600-AVERAGE(Raw_CFPB!C1601:C1612))</f>
        <v/>
      </c>
      <c r="L10" s="21">
        <f>IF(OR($H10="ALERT",$H10="WATCH",$H10="OK"),IF($H10="ALERT",2,IF($H10="WATCH",1,0))*1000+IF(ISNUMBER($K10),$K10,0),"")</f>
        <v/>
      </c>
    </row>
    <row r="11">
      <c r="A11" s="19">
        <f>IF(_config!$C$28="","",_config!$C$28)</f>
        <v/>
      </c>
      <c r="B11" s="31">
        <f>IF(_config!$D$28="","",_config!$D$28)</f>
        <v/>
      </c>
      <c r="C11" s="27">
        <f>IF(_config!$B$28="","",_config!$B$28)</f>
        <v/>
      </c>
      <c r="D11" s="16">
        <f>IF(Raw_CFPB!B1676="","",Raw_CFPB!B1676)</f>
        <v/>
      </c>
      <c r="E11" s="17">
        <f>IF(OR(Raw_CFPB!B1676="",COUNT(Raw_CFPB!B1677:B1688)=0),"",Raw_CFPB!B1676-AVERAGE(Raw_CFPB!B1677:B1688))</f>
        <v/>
      </c>
      <c r="F11" s="16">
        <f>IF(Raw_CFPB!C1676="","",Raw_CFPB!C1676)</f>
        <v/>
      </c>
      <c r="G11" s="32">
        <f>IF(COUNT(Raw_CFPB!C1676:C1679)&lt;4,"",IF(Raw_CFPB!C1676&gt;Raw_CFPB!C1677,1,0)+IF(AND(Raw_CFPB!C1676&gt;Raw_CFPB!C1677,Raw_CFPB!C1677&gt;Raw_CFPB!C1678),1,0)+IF(AND(Raw_CFPB!C1676&gt;Raw_CFPB!C1677,Raw_CFPB!C1677&gt;Raw_CFPB!C1678,Raw_CFPB!C1678&gt;Raw_CFPB!C1679),1,0))</f>
        <v/>
      </c>
      <c r="H11" s="33">
        <f>IF(_config!$C$28="","",IF(NOT(AND(ISTEXT(_config!$B$28),LEN(_config!$B$28)=5)),"REFUSED: blank/invalid FIPS -- run --lookup",IF(UPPER(_config!$E$28&amp;"")&lt;&gt;"TRUE","OFF",IF(Raw_CFPB!$B$4="","(not yet run)",IF(AND($D11="",$F11=""),"SUPPRESSED (below sample threshold) -- use the state row",IF(OR(AND(ISNUMBER($E11),$E11&gt;=_config!$C$16),AND(ISNUMBER($G11),$G11&gt;=_config!$C$17),AND(ISNUMBER($F11),$F11&gt;=_config!$C$18)),"ALERT",IF(OR(AND(ISNUMBER($E11),$E11&gt;=_config!$B$16),AND(ISNUMBER($G11),$G11&gt;=_config!$B$17),AND(ISNUMBER($F11),$F11&gt;=_config!$B$18)),"WATCH","OK")))))))</f>
        <v/>
      </c>
      <c r="I11" s="34">
        <f>IF($L11="","",RANK($L11,$L$5:$L$44))</f>
        <v/>
      </c>
      <c r="K11" s="21">
        <f>IF(OR(Raw_CFPB!C1676="",COUNT(Raw_CFPB!C1677:C1688)=0),"",Raw_CFPB!C1676-AVERAGE(Raw_CFPB!C1677:C1688))</f>
        <v/>
      </c>
      <c r="L11" s="21">
        <f>IF(OR($H11="ALERT",$H11="WATCH",$H11="OK"),IF($H11="ALERT",2,IF($H11="WATCH",1,0))*1000+IF(ISNUMBER($K11),$K11,0),"")</f>
        <v/>
      </c>
    </row>
    <row r="12">
      <c r="A12" s="19">
        <f>IF(_config!$C$29="","",_config!$C$29)</f>
        <v/>
      </c>
      <c r="B12" s="31">
        <f>IF(_config!$D$29="","",_config!$D$29)</f>
        <v/>
      </c>
      <c r="C12" s="27">
        <f>IF(_config!$B$29="","",_config!$B$29)</f>
        <v/>
      </c>
      <c r="D12" s="16">
        <f>IF(Raw_CFPB!B1752="","",Raw_CFPB!B1752)</f>
        <v/>
      </c>
      <c r="E12" s="17">
        <f>IF(OR(Raw_CFPB!B1752="",COUNT(Raw_CFPB!B1753:B1764)=0),"",Raw_CFPB!B1752-AVERAGE(Raw_CFPB!B1753:B1764))</f>
        <v/>
      </c>
      <c r="F12" s="16">
        <f>IF(Raw_CFPB!C1752="","",Raw_CFPB!C1752)</f>
        <v/>
      </c>
      <c r="G12" s="32">
        <f>IF(COUNT(Raw_CFPB!C1752:C1755)&lt;4,"",IF(Raw_CFPB!C1752&gt;Raw_CFPB!C1753,1,0)+IF(AND(Raw_CFPB!C1752&gt;Raw_CFPB!C1753,Raw_CFPB!C1753&gt;Raw_CFPB!C1754),1,0)+IF(AND(Raw_CFPB!C1752&gt;Raw_CFPB!C1753,Raw_CFPB!C1753&gt;Raw_CFPB!C1754,Raw_CFPB!C1754&gt;Raw_CFPB!C1755),1,0))</f>
        <v/>
      </c>
      <c r="H12" s="33">
        <f>IF(_config!$C$29="","",IF(NOT(AND(ISTEXT(_config!$B$29),LEN(_config!$B$29)=5)),"REFUSED: blank/invalid FIPS -- run --lookup",IF(UPPER(_config!$E$29&amp;"")&lt;&gt;"TRUE","OFF",IF(Raw_CFPB!$B$4="","(not yet run)",IF(AND($D12="",$F12=""),"SUPPRESSED (below sample threshold) -- use the state row",IF(OR(AND(ISNUMBER($E12),$E12&gt;=_config!$C$16),AND(ISNUMBER($G12),$G12&gt;=_config!$C$17),AND(ISNUMBER($F12),$F12&gt;=_config!$C$18)),"ALERT",IF(OR(AND(ISNUMBER($E12),$E12&gt;=_config!$B$16),AND(ISNUMBER($G12),$G12&gt;=_config!$B$17),AND(ISNUMBER($F12),$F12&gt;=_config!$B$18)),"WATCH","OK")))))))</f>
        <v/>
      </c>
      <c r="I12" s="34">
        <f>IF($L12="","",RANK($L12,$L$5:$L$44))</f>
        <v/>
      </c>
      <c r="K12" s="21">
        <f>IF(OR(Raw_CFPB!C1752="",COUNT(Raw_CFPB!C1753:C1764)=0),"",Raw_CFPB!C1752-AVERAGE(Raw_CFPB!C1753:C1764))</f>
        <v/>
      </c>
      <c r="L12" s="21">
        <f>IF(OR($H12="ALERT",$H12="WATCH",$H12="OK"),IF($H12="ALERT",2,IF($H12="WATCH",1,0))*1000+IF(ISNUMBER($K12),$K12,0),"")</f>
        <v/>
      </c>
    </row>
    <row r="13">
      <c r="A13" s="19">
        <f>IF(_config!$C$30="","",_config!$C$30)</f>
        <v/>
      </c>
      <c r="B13" s="31">
        <f>IF(_config!$D$30="","",_config!$D$30)</f>
        <v/>
      </c>
      <c r="C13" s="27">
        <f>IF(_config!$B$30="","",_config!$B$30)</f>
        <v/>
      </c>
      <c r="D13" s="16">
        <f>IF(Raw_CFPB!B1828="","",Raw_CFPB!B1828)</f>
        <v/>
      </c>
      <c r="E13" s="17">
        <f>IF(OR(Raw_CFPB!B1828="",COUNT(Raw_CFPB!B1829:B1840)=0),"",Raw_CFPB!B1828-AVERAGE(Raw_CFPB!B1829:B1840))</f>
        <v/>
      </c>
      <c r="F13" s="16">
        <f>IF(Raw_CFPB!C1828="","",Raw_CFPB!C1828)</f>
        <v/>
      </c>
      <c r="G13" s="32">
        <f>IF(COUNT(Raw_CFPB!C1828:C1831)&lt;4,"",IF(Raw_CFPB!C1828&gt;Raw_CFPB!C1829,1,0)+IF(AND(Raw_CFPB!C1828&gt;Raw_CFPB!C1829,Raw_CFPB!C1829&gt;Raw_CFPB!C1830),1,0)+IF(AND(Raw_CFPB!C1828&gt;Raw_CFPB!C1829,Raw_CFPB!C1829&gt;Raw_CFPB!C1830,Raw_CFPB!C1830&gt;Raw_CFPB!C1831),1,0))</f>
        <v/>
      </c>
      <c r="H13" s="33">
        <f>IF(_config!$C$30="","",IF(NOT(AND(ISTEXT(_config!$B$30),LEN(_config!$B$30)=5)),"REFUSED: blank/invalid FIPS -- run --lookup",IF(UPPER(_config!$E$30&amp;"")&lt;&gt;"TRUE","OFF",IF(Raw_CFPB!$B$4="","(not yet run)",IF(AND($D13="",$F13=""),"SUPPRESSED (below sample threshold) -- use the state row",IF(OR(AND(ISNUMBER($E13),$E13&gt;=_config!$C$16),AND(ISNUMBER($G13),$G13&gt;=_config!$C$17),AND(ISNUMBER($F13),$F13&gt;=_config!$C$18)),"ALERT",IF(OR(AND(ISNUMBER($E13),$E13&gt;=_config!$B$16),AND(ISNUMBER($G13),$G13&gt;=_config!$B$17),AND(ISNUMBER($F13),$F13&gt;=_config!$B$18)),"WATCH","OK")))))))</f>
        <v/>
      </c>
      <c r="I13" s="34">
        <f>IF($L13="","",RANK($L13,$L$5:$L$44))</f>
        <v/>
      </c>
      <c r="K13" s="21">
        <f>IF(OR(Raw_CFPB!C1828="",COUNT(Raw_CFPB!C1829:C1840)=0),"",Raw_CFPB!C1828-AVERAGE(Raw_CFPB!C1829:C1840))</f>
        <v/>
      </c>
      <c r="L13" s="21">
        <f>IF(OR($H13="ALERT",$H13="WATCH",$H13="OK"),IF($H13="ALERT",2,IF($H13="WATCH",1,0))*1000+IF(ISNUMBER($K13),$K13,0),"")</f>
        <v/>
      </c>
    </row>
    <row r="14">
      <c r="A14" s="19">
        <f>IF(_config!$C$31="","",_config!$C$31)</f>
        <v/>
      </c>
      <c r="B14" s="31">
        <f>IF(_config!$D$31="","",_config!$D$31)</f>
        <v/>
      </c>
      <c r="C14" s="27">
        <f>IF(_config!$B$31="","",_config!$B$31)</f>
        <v/>
      </c>
      <c r="D14" s="16">
        <f>IF(Raw_CFPB!B1904="","",Raw_CFPB!B1904)</f>
        <v/>
      </c>
      <c r="E14" s="17">
        <f>IF(OR(Raw_CFPB!B1904="",COUNT(Raw_CFPB!B1905:B1916)=0),"",Raw_CFPB!B1904-AVERAGE(Raw_CFPB!B1905:B1916))</f>
        <v/>
      </c>
      <c r="F14" s="16">
        <f>IF(Raw_CFPB!C1904="","",Raw_CFPB!C1904)</f>
        <v/>
      </c>
      <c r="G14" s="32">
        <f>IF(COUNT(Raw_CFPB!C1904:C1907)&lt;4,"",IF(Raw_CFPB!C1904&gt;Raw_CFPB!C1905,1,0)+IF(AND(Raw_CFPB!C1904&gt;Raw_CFPB!C1905,Raw_CFPB!C1905&gt;Raw_CFPB!C1906),1,0)+IF(AND(Raw_CFPB!C1904&gt;Raw_CFPB!C1905,Raw_CFPB!C1905&gt;Raw_CFPB!C1906,Raw_CFPB!C1906&gt;Raw_CFPB!C1907),1,0))</f>
        <v/>
      </c>
      <c r="H14" s="33">
        <f>IF(_config!$C$31="","",IF(NOT(AND(ISTEXT(_config!$B$31),LEN(_config!$B$31)=5)),"REFUSED: blank/invalid FIPS -- run --lookup",IF(UPPER(_config!$E$31&amp;"")&lt;&gt;"TRUE","OFF",IF(Raw_CFPB!$B$4="","(not yet run)",IF(AND($D14="",$F14=""),"SUPPRESSED (below sample threshold) -- use the state row",IF(OR(AND(ISNUMBER($E14),$E14&gt;=_config!$C$16),AND(ISNUMBER($G14),$G14&gt;=_config!$C$17),AND(ISNUMBER($F14),$F14&gt;=_config!$C$18)),"ALERT",IF(OR(AND(ISNUMBER($E14),$E14&gt;=_config!$B$16),AND(ISNUMBER($G14),$G14&gt;=_config!$B$17),AND(ISNUMBER($F14),$F14&gt;=_config!$B$18)),"WATCH","OK")))))))</f>
        <v/>
      </c>
      <c r="I14" s="34">
        <f>IF($L14="","",RANK($L14,$L$5:$L$44))</f>
        <v/>
      </c>
      <c r="K14" s="21">
        <f>IF(OR(Raw_CFPB!C1904="",COUNT(Raw_CFPB!C1905:C1916)=0),"",Raw_CFPB!C1904-AVERAGE(Raw_CFPB!C1905:C1916))</f>
        <v/>
      </c>
      <c r="L14" s="21">
        <f>IF(OR($H14="ALERT",$H14="WATCH",$H14="OK"),IF($H14="ALERT",2,IF($H14="WATCH",1,0))*1000+IF(ISNUMBER($K14),$K14,0),"")</f>
        <v/>
      </c>
    </row>
    <row r="15">
      <c r="A15" s="19">
        <f>IF(_config!$C$32="","",_config!$C$32)</f>
        <v/>
      </c>
      <c r="B15" s="31">
        <f>IF(_config!$D$32="","",_config!$D$32)</f>
        <v/>
      </c>
      <c r="C15" s="27">
        <f>IF(_config!$B$32="","",_config!$B$32)</f>
        <v/>
      </c>
      <c r="D15" s="16">
        <f>IF(Raw_CFPB!B1980="","",Raw_CFPB!B1980)</f>
        <v/>
      </c>
      <c r="E15" s="17">
        <f>IF(OR(Raw_CFPB!B1980="",COUNT(Raw_CFPB!B1981:B1992)=0),"",Raw_CFPB!B1980-AVERAGE(Raw_CFPB!B1981:B1992))</f>
        <v/>
      </c>
      <c r="F15" s="16">
        <f>IF(Raw_CFPB!C1980="","",Raw_CFPB!C1980)</f>
        <v/>
      </c>
      <c r="G15" s="32">
        <f>IF(COUNT(Raw_CFPB!C1980:C1983)&lt;4,"",IF(Raw_CFPB!C1980&gt;Raw_CFPB!C1981,1,0)+IF(AND(Raw_CFPB!C1980&gt;Raw_CFPB!C1981,Raw_CFPB!C1981&gt;Raw_CFPB!C1982),1,0)+IF(AND(Raw_CFPB!C1980&gt;Raw_CFPB!C1981,Raw_CFPB!C1981&gt;Raw_CFPB!C1982,Raw_CFPB!C1982&gt;Raw_CFPB!C1983),1,0))</f>
        <v/>
      </c>
      <c r="H15" s="33">
        <f>IF(_config!$C$32="","",IF(NOT(AND(ISTEXT(_config!$B$32),LEN(_config!$B$32)=5)),"REFUSED: blank/invalid FIPS -- run --lookup",IF(UPPER(_config!$E$32&amp;"")&lt;&gt;"TRUE","OFF",IF(Raw_CFPB!$B$4="","(not yet run)",IF(AND($D15="",$F15=""),"SUPPRESSED (below sample threshold) -- use the state row",IF(OR(AND(ISNUMBER($E15),$E15&gt;=_config!$C$16),AND(ISNUMBER($G15),$G15&gt;=_config!$C$17),AND(ISNUMBER($F15),$F15&gt;=_config!$C$18)),"ALERT",IF(OR(AND(ISNUMBER($E15),$E15&gt;=_config!$B$16),AND(ISNUMBER($G15),$G15&gt;=_config!$B$17),AND(ISNUMBER($F15),$F15&gt;=_config!$B$18)),"WATCH","OK")))))))</f>
        <v/>
      </c>
      <c r="I15" s="34">
        <f>IF($L15="","",RANK($L15,$L$5:$L$44))</f>
        <v/>
      </c>
      <c r="K15" s="21">
        <f>IF(OR(Raw_CFPB!C1980="",COUNT(Raw_CFPB!C1981:C1992)=0),"",Raw_CFPB!C1980-AVERAGE(Raw_CFPB!C1981:C1992))</f>
        <v/>
      </c>
      <c r="L15" s="21">
        <f>IF(OR($H15="ALERT",$H15="WATCH",$H15="OK"),IF($H15="ALERT",2,IF($H15="WATCH",1,0))*1000+IF(ISNUMBER($K15),$K15,0),"")</f>
        <v/>
      </c>
    </row>
    <row r="16">
      <c r="A16" s="19">
        <f>IF(_config!$C$33="","",_config!$C$33)</f>
        <v/>
      </c>
      <c r="B16" s="31">
        <f>IF(_config!$D$33="","",_config!$D$33)</f>
        <v/>
      </c>
      <c r="C16" s="27">
        <f>IF(_config!$B$33="","",_config!$B$33)</f>
        <v/>
      </c>
      <c r="D16" s="16">
        <f>IF(Raw_CFPB!B2056="","",Raw_CFPB!B2056)</f>
        <v/>
      </c>
      <c r="E16" s="17">
        <f>IF(OR(Raw_CFPB!B2056="",COUNT(Raw_CFPB!B2057:B2068)=0),"",Raw_CFPB!B2056-AVERAGE(Raw_CFPB!B2057:B2068))</f>
        <v/>
      </c>
      <c r="F16" s="16">
        <f>IF(Raw_CFPB!C2056="","",Raw_CFPB!C2056)</f>
        <v/>
      </c>
      <c r="G16" s="32">
        <f>IF(COUNT(Raw_CFPB!C2056:C2059)&lt;4,"",IF(Raw_CFPB!C2056&gt;Raw_CFPB!C2057,1,0)+IF(AND(Raw_CFPB!C2056&gt;Raw_CFPB!C2057,Raw_CFPB!C2057&gt;Raw_CFPB!C2058),1,0)+IF(AND(Raw_CFPB!C2056&gt;Raw_CFPB!C2057,Raw_CFPB!C2057&gt;Raw_CFPB!C2058,Raw_CFPB!C2058&gt;Raw_CFPB!C2059),1,0))</f>
        <v/>
      </c>
      <c r="H16" s="33">
        <f>IF(_config!$C$33="","",IF(NOT(AND(ISTEXT(_config!$B$33),LEN(_config!$B$33)=5)),"REFUSED: blank/invalid FIPS -- run --lookup",IF(UPPER(_config!$E$33&amp;"")&lt;&gt;"TRUE","OFF",IF(Raw_CFPB!$B$4="","(not yet run)",IF(AND($D16="",$F16=""),"SUPPRESSED (below sample threshold) -- use the state row",IF(OR(AND(ISNUMBER($E16),$E16&gt;=_config!$C$16),AND(ISNUMBER($G16),$G16&gt;=_config!$C$17),AND(ISNUMBER($F16),$F16&gt;=_config!$C$18)),"ALERT",IF(OR(AND(ISNUMBER($E16),$E16&gt;=_config!$B$16),AND(ISNUMBER($G16),$G16&gt;=_config!$B$17),AND(ISNUMBER($F16),$F16&gt;=_config!$B$18)),"WATCH","OK")))))))</f>
        <v/>
      </c>
      <c r="I16" s="34">
        <f>IF($L16="","",RANK($L16,$L$5:$L$44))</f>
        <v/>
      </c>
      <c r="K16" s="21">
        <f>IF(OR(Raw_CFPB!C2056="",COUNT(Raw_CFPB!C2057:C2068)=0),"",Raw_CFPB!C2056-AVERAGE(Raw_CFPB!C2057:C2068))</f>
        <v/>
      </c>
      <c r="L16" s="21">
        <f>IF(OR($H16="ALERT",$H16="WATCH",$H16="OK"),IF($H16="ALERT",2,IF($H16="WATCH",1,0))*1000+IF(ISNUMBER($K16),$K16,0),"")</f>
        <v/>
      </c>
    </row>
    <row r="17">
      <c r="A17" s="19">
        <f>IF(_config!$C$34="","",_config!$C$34)</f>
        <v/>
      </c>
      <c r="B17" s="31">
        <f>IF(_config!$D$34="","",_config!$D$34)</f>
        <v/>
      </c>
      <c r="C17" s="27">
        <f>IF(_config!$B$34="","",_config!$B$34)</f>
        <v/>
      </c>
      <c r="D17" s="16">
        <f>IF(Raw_CFPB!B2132="","",Raw_CFPB!B2132)</f>
        <v/>
      </c>
      <c r="E17" s="17">
        <f>IF(OR(Raw_CFPB!B2132="",COUNT(Raw_CFPB!B2133:B2144)=0),"",Raw_CFPB!B2132-AVERAGE(Raw_CFPB!B2133:B2144))</f>
        <v/>
      </c>
      <c r="F17" s="16">
        <f>IF(Raw_CFPB!C2132="","",Raw_CFPB!C2132)</f>
        <v/>
      </c>
      <c r="G17" s="32">
        <f>IF(COUNT(Raw_CFPB!C2132:C2135)&lt;4,"",IF(Raw_CFPB!C2132&gt;Raw_CFPB!C2133,1,0)+IF(AND(Raw_CFPB!C2132&gt;Raw_CFPB!C2133,Raw_CFPB!C2133&gt;Raw_CFPB!C2134),1,0)+IF(AND(Raw_CFPB!C2132&gt;Raw_CFPB!C2133,Raw_CFPB!C2133&gt;Raw_CFPB!C2134,Raw_CFPB!C2134&gt;Raw_CFPB!C2135),1,0))</f>
        <v/>
      </c>
      <c r="H17" s="33">
        <f>IF(_config!$C$34="","",IF(NOT(AND(ISTEXT(_config!$B$34),LEN(_config!$B$34)=5)),"REFUSED: blank/invalid FIPS -- run --lookup",IF(UPPER(_config!$E$34&amp;"")&lt;&gt;"TRUE","OFF",IF(Raw_CFPB!$B$4="","(not yet run)",IF(AND($D17="",$F17=""),"SUPPRESSED (below sample threshold) -- use the state row",IF(OR(AND(ISNUMBER($E17),$E17&gt;=_config!$C$16),AND(ISNUMBER($G17),$G17&gt;=_config!$C$17),AND(ISNUMBER($F17),$F17&gt;=_config!$C$18)),"ALERT",IF(OR(AND(ISNUMBER($E17),$E17&gt;=_config!$B$16),AND(ISNUMBER($G17),$G17&gt;=_config!$B$17),AND(ISNUMBER($F17),$F17&gt;=_config!$B$18)),"WATCH","OK")))))))</f>
        <v/>
      </c>
      <c r="I17" s="34">
        <f>IF($L17="","",RANK($L17,$L$5:$L$44))</f>
        <v/>
      </c>
      <c r="K17" s="21">
        <f>IF(OR(Raw_CFPB!C2132="",COUNT(Raw_CFPB!C2133:C2144)=0),"",Raw_CFPB!C2132-AVERAGE(Raw_CFPB!C2133:C2144))</f>
        <v/>
      </c>
      <c r="L17" s="21">
        <f>IF(OR($H17="ALERT",$H17="WATCH",$H17="OK"),IF($H17="ALERT",2,IF($H17="WATCH",1,0))*1000+IF(ISNUMBER($K17),$K17,0),"")</f>
        <v/>
      </c>
    </row>
    <row r="18">
      <c r="A18" s="19">
        <f>IF(_config!$C$35="","",_config!$C$35)</f>
        <v/>
      </c>
      <c r="B18" s="31">
        <f>IF(_config!$D$35="","",_config!$D$35)</f>
        <v/>
      </c>
      <c r="C18" s="27">
        <f>IF(_config!$B$35="","",_config!$B$35)</f>
        <v/>
      </c>
      <c r="D18" s="16">
        <f>IF(Raw_CFPB!B2208="","",Raw_CFPB!B2208)</f>
        <v/>
      </c>
      <c r="E18" s="17">
        <f>IF(OR(Raw_CFPB!B2208="",COUNT(Raw_CFPB!B2209:B2220)=0),"",Raw_CFPB!B2208-AVERAGE(Raw_CFPB!B2209:B2220))</f>
        <v/>
      </c>
      <c r="F18" s="16">
        <f>IF(Raw_CFPB!C2208="","",Raw_CFPB!C2208)</f>
        <v/>
      </c>
      <c r="G18" s="32">
        <f>IF(COUNT(Raw_CFPB!C2208:C2211)&lt;4,"",IF(Raw_CFPB!C2208&gt;Raw_CFPB!C2209,1,0)+IF(AND(Raw_CFPB!C2208&gt;Raw_CFPB!C2209,Raw_CFPB!C2209&gt;Raw_CFPB!C2210),1,0)+IF(AND(Raw_CFPB!C2208&gt;Raw_CFPB!C2209,Raw_CFPB!C2209&gt;Raw_CFPB!C2210,Raw_CFPB!C2210&gt;Raw_CFPB!C2211),1,0))</f>
        <v/>
      </c>
      <c r="H18" s="33">
        <f>IF(_config!$C$35="","",IF(NOT(AND(ISTEXT(_config!$B$35),LEN(_config!$B$35)=5)),"REFUSED: blank/invalid FIPS -- run --lookup",IF(UPPER(_config!$E$35&amp;"")&lt;&gt;"TRUE","OFF",IF(Raw_CFPB!$B$4="","(not yet run)",IF(AND($D18="",$F18=""),"SUPPRESSED (below sample threshold) -- use the state row",IF(OR(AND(ISNUMBER($E18),$E18&gt;=_config!$C$16),AND(ISNUMBER($G18),$G18&gt;=_config!$C$17),AND(ISNUMBER($F18),$F18&gt;=_config!$C$18)),"ALERT",IF(OR(AND(ISNUMBER($E18),$E18&gt;=_config!$B$16),AND(ISNUMBER($G18),$G18&gt;=_config!$B$17),AND(ISNUMBER($F18),$F18&gt;=_config!$B$18)),"WATCH","OK")))))))</f>
        <v/>
      </c>
      <c r="I18" s="34">
        <f>IF($L18="","",RANK($L18,$L$5:$L$44))</f>
        <v/>
      </c>
      <c r="K18" s="21">
        <f>IF(OR(Raw_CFPB!C2208="",COUNT(Raw_CFPB!C2209:C2220)=0),"",Raw_CFPB!C2208-AVERAGE(Raw_CFPB!C2209:C2220))</f>
        <v/>
      </c>
      <c r="L18" s="21">
        <f>IF(OR($H18="ALERT",$H18="WATCH",$H18="OK"),IF($H18="ALERT",2,IF($H18="WATCH",1,0))*1000+IF(ISNUMBER($K18),$K18,0),"")</f>
        <v/>
      </c>
    </row>
    <row r="19">
      <c r="A19" s="19">
        <f>IF(_config!$C$36="","",_config!$C$36)</f>
        <v/>
      </c>
      <c r="B19" s="31">
        <f>IF(_config!$D$36="","",_config!$D$36)</f>
        <v/>
      </c>
      <c r="C19" s="27">
        <f>IF(_config!$B$36="","",_config!$B$36)</f>
        <v/>
      </c>
      <c r="D19" s="16">
        <f>IF(Raw_CFPB!B2284="","",Raw_CFPB!B2284)</f>
        <v/>
      </c>
      <c r="E19" s="17">
        <f>IF(OR(Raw_CFPB!B2284="",COUNT(Raw_CFPB!B2285:B2296)=0),"",Raw_CFPB!B2284-AVERAGE(Raw_CFPB!B2285:B2296))</f>
        <v/>
      </c>
      <c r="F19" s="16">
        <f>IF(Raw_CFPB!C2284="","",Raw_CFPB!C2284)</f>
        <v/>
      </c>
      <c r="G19" s="32">
        <f>IF(COUNT(Raw_CFPB!C2284:C2287)&lt;4,"",IF(Raw_CFPB!C2284&gt;Raw_CFPB!C2285,1,0)+IF(AND(Raw_CFPB!C2284&gt;Raw_CFPB!C2285,Raw_CFPB!C2285&gt;Raw_CFPB!C2286),1,0)+IF(AND(Raw_CFPB!C2284&gt;Raw_CFPB!C2285,Raw_CFPB!C2285&gt;Raw_CFPB!C2286,Raw_CFPB!C2286&gt;Raw_CFPB!C2287),1,0))</f>
        <v/>
      </c>
      <c r="H19" s="33">
        <f>IF(_config!$C$36="","",IF(NOT(AND(ISTEXT(_config!$B$36),LEN(_config!$B$36)=5)),"REFUSED: blank/invalid FIPS -- run --lookup",IF(UPPER(_config!$E$36&amp;"")&lt;&gt;"TRUE","OFF",IF(Raw_CFPB!$B$4="","(not yet run)",IF(AND($D19="",$F19=""),"SUPPRESSED (below sample threshold) -- use the state row",IF(OR(AND(ISNUMBER($E19),$E19&gt;=_config!$C$16),AND(ISNUMBER($G19),$G19&gt;=_config!$C$17),AND(ISNUMBER($F19),$F19&gt;=_config!$C$18)),"ALERT",IF(OR(AND(ISNUMBER($E19),$E19&gt;=_config!$B$16),AND(ISNUMBER($G19),$G19&gt;=_config!$B$17),AND(ISNUMBER($F19),$F19&gt;=_config!$B$18)),"WATCH","OK")))))))</f>
        <v/>
      </c>
      <c r="I19" s="34">
        <f>IF($L19="","",RANK($L19,$L$5:$L$44))</f>
        <v/>
      </c>
      <c r="K19" s="21">
        <f>IF(OR(Raw_CFPB!C2284="",COUNT(Raw_CFPB!C2285:C2296)=0),"",Raw_CFPB!C2284-AVERAGE(Raw_CFPB!C2285:C2296))</f>
        <v/>
      </c>
      <c r="L19" s="21">
        <f>IF(OR($H19="ALERT",$H19="WATCH",$H19="OK"),IF($H19="ALERT",2,IF($H19="WATCH",1,0))*1000+IF(ISNUMBER($K19),$K19,0),"")</f>
        <v/>
      </c>
    </row>
    <row r="20">
      <c r="A20" s="19">
        <f>IF(_config!$C$37="","",_config!$C$37)</f>
        <v/>
      </c>
      <c r="B20" s="31">
        <f>IF(_config!$D$37="","",_config!$D$37)</f>
        <v/>
      </c>
      <c r="C20" s="27">
        <f>IF(_config!$B$37="","",_config!$B$37)</f>
        <v/>
      </c>
      <c r="D20" s="16">
        <f>IF(Raw_CFPB!B2360="","",Raw_CFPB!B2360)</f>
        <v/>
      </c>
      <c r="E20" s="17">
        <f>IF(OR(Raw_CFPB!B2360="",COUNT(Raw_CFPB!B2361:B2372)=0),"",Raw_CFPB!B2360-AVERAGE(Raw_CFPB!B2361:B2372))</f>
        <v/>
      </c>
      <c r="F20" s="16">
        <f>IF(Raw_CFPB!C2360="","",Raw_CFPB!C2360)</f>
        <v/>
      </c>
      <c r="G20" s="32">
        <f>IF(COUNT(Raw_CFPB!C2360:C2363)&lt;4,"",IF(Raw_CFPB!C2360&gt;Raw_CFPB!C2361,1,0)+IF(AND(Raw_CFPB!C2360&gt;Raw_CFPB!C2361,Raw_CFPB!C2361&gt;Raw_CFPB!C2362),1,0)+IF(AND(Raw_CFPB!C2360&gt;Raw_CFPB!C2361,Raw_CFPB!C2361&gt;Raw_CFPB!C2362,Raw_CFPB!C2362&gt;Raw_CFPB!C2363),1,0))</f>
        <v/>
      </c>
      <c r="H20" s="33">
        <f>IF(_config!$C$37="","",IF(NOT(AND(ISTEXT(_config!$B$37),LEN(_config!$B$37)=5)),"REFUSED: blank/invalid FIPS -- run --lookup",IF(UPPER(_config!$E$37&amp;"")&lt;&gt;"TRUE","OFF",IF(Raw_CFPB!$B$4="","(not yet run)",IF(AND($D20="",$F20=""),"SUPPRESSED (below sample threshold) -- use the state row",IF(OR(AND(ISNUMBER($E20),$E20&gt;=_config!$C$16),AND(ISNUMBER($G20),$G20&gt;=_config!$C$17),AND(ISNUMBER($F20),$F20&gt;=_config!$C$18)),"ALERT",IF(OR(AND(ISNUMBER($E20),$E20&gt;=_config!$B$16),AND(ISNUMBER($G20),$G20&gt;=_config!$B$17),AND(ISNUMBER($F20),$F20&gt;=_config!$B$18)),"WATCH","OK")))))))</f>
        <v/>
      </c>
      <c r="I20" s="34">
        <f>IF($L20="","",RANK($L20,$L$5:$L$44))</f>
        <v/>
      </c>
      <c r="K20" s="21">
        <f>IF(OR(Raw_CFPB!C2360="",COUNT(Raw_CFPB!C2361:C2372)=0),"",Raw_CFPB!C2360-AVERAGE(Raw_CFPB!C2361:C2372))</f>
        <v/>
      </c>
      <c r="L20" s="21">
        <f>IF(OR($H20="ALERT",$H20="WATCH",$H20="OK"),IF($H20="ALERT",2,IF($H20="WATCH",1,0))*1000+IF(ISNUMBER($K20),$K20,0),"")</f>
        <v/>
      </c>
    </row>
    <row r="21">
      <c r="A21" s="19">
        <f>IF(_config!$C$38="","",_config!$C$38)</f>
        <v/>
      </c>
      <c r="B21" s="31">
        <f>IF(_config!$D$38="","",_config!$D$38)</f>
        <v/>
      </c>
      <c r="C21" s="27">
        <f>IF(_config!$B$38="","",_config!$B$38)</f>
        <v/>
      </c>
      <c r="D21" s="16">
        <f>IF(Raw_CFPB!B2436="","",Raw_CFPB!B2436)</f>
        <v/>
      </c>
      <c r="E21" s="17">
        <f>IF(OR(Raw_CFPB!B2436="",COUNT(Raw_CFPB!B2437:B2448)=0),"",Raw_CFPB!B2436-AVERAGE(Raw_CFPB!B2437:B2448))</f>
        <v/>
      </c>
      <c r="F21" s="16">
        <f>IF(Raw_CFPB!C2436="","",Raw_CFPB!C2436)</f>
        <v/>
      </c>
      <c r="G21" s="32">
        <f>IF(COUNT(Raw_CFPB!C2436:C2439)&lt;4,"",IF(Raw_CFPB!C2436&gt;Raw_CFPB!C2437,1,0)+IF(AND(Raw_CFPB!C2436&gt;Raw_CFPB!C2437,Raw_CFPB!C2437&gt;Raw_CFPB!C2438),1,0)+IF(AND(Raw_CFPB!C2436&gt;Raw_CFPB!C2437,Raw_CFPB!C2437&gt;Raw_CFPB!C2438,Raw_CFPB!C2438&gt;Raw_CFPB!C2439),1,0))</f>
        <v/>
      </c>
      <c r="H21" s="33">
        <f>IF(_config!$C$38="","",IF(NOT(AND(ISTEXT(_config!$B$38),LEN(_config!$B$38)=5)),"REFUSED: blank/invalid FIPS -- run --lookup",IF(UPPER(_config!$E$38&amp;"")&lt;&gt;"TRUE","OFF",IF(Raw_CFPB!$B$4="","(not yet run)",IF(AND($D21="",$F21=""),"SUPPRESSED (below sample threshold) -- use the state row",IF(OR(AND(ISNUMBER($E21),$E21&gt;=_config!$C$16),AND(ISNUMBER($G21),$G21&gt;=_config!$C$17),AND(ISNUMBER($F21),$F21&gt;=_config!$C$18)),"ALERT",IF(OR(AND(ISNUMBER($E21),$E21&gt;=_config!$B$16),AND(ISNUMBER($G21),$G21&gt;=_config!$B$17),AND(ISNUMBER($F21),$F21&gt;=_config!$B$18)),"WATCH","OK")))))))</f>
        <v/>
      </c>
      <c r="I21" s="34">
        <f>IF($L21="","",RANK($L21,$L$5:$L$44))</f>
        <v/>
      </c>
      <c r="K21" s="21">
        <f>IF(OR(Raw_CFPB!C2436="",COUNT(Raw_CFPB!C2437:C2448)=0),"",Raw_CFPB!C2436-AVERAGE(Raw_CFPB!C2437:C2448))</f>
        <v/>
      </c>
      <c r="L21" s="21">
        <f>IF(OR($H21="ALERT",$H21="WATCH",$H21="OK"),IF($H21="ALERT",2,IF($H21="WATCH",1,0))*1000+IF(ISNUMBER($K21),$K21,0),"")</f>
        <v/>
      </c>
    </row>
    <row r="22">
      <c r="A22" s="19">
        <f>IF(_config!$C$39="","",_config!$C$39)</f>
        <v/>
      </c>
      <c r="B22" s="31">
        <f>IF(_config!$D$39="","",_config!$D$39)</f>
        <v/>
      </c>
      <c r="C22" s="27">
        <f>IF(_config!$B$39="","",_config!$B$39)</f>
        <v/>
      </c>
      <c r="D22" s="16">
        <f>IF(Raw_CFPB!B2512="","",Raw_CFPB!B2512)</f>
        <v/>
      </c>
      <c r="E22" s="17">
        <f>IF(OR(Raw_CFPB!B2512="",COUNT(Raw_CFPB!B2513:B2524)=0),"",Raw_CFPB!B2512-AVERAGE(Raw_CFPB!B2513:B2524))</f>
        <v/>
      </c>
      <c r="F22" s="16">
        <f>IF(Raw_CFPB!C2512="","",Raw_CFPB!C2512)</f>
        <v/>
      </c>
      <c r="G22" s="32">
        <f>IF(COUNT(Raw_CFPB!C2512:C2515)&lt;4,"",IF(Raw_CFPB!C2512&gt;Raw_CFPB!C2513,1,0)+IF(AND(Raw_CFPB!C2512&gt;Raw_CFPB!C2513,Raw_CFPB!C2513&gt;Raw_CFPB!C2514),1,0)+IF(AND(Raw_CFPB!C2512&gt;Raw_CFPB!C2513,Raw_CFPB!C2513&gt;Raw_CFPB!C2514,Raw_CFPB!C2514&gt;Raw_CFPB!C2515),1,0))</f>
        <v/>
      </c>
      <c r="H22" s="33">
        <f>IF(_config!$C$39="","",IF(NOT(AND(ISTEXT(_config!$B$39),LEN(_config!$B$39)=5)),"REFUSED: blank/invalid FIPS -- run --lookup",IF(UPPER(_config!$E$39&amp;"")&lt;&gt;"TRUE","OFF",IF(Raw_CFPB!$B$4="","(not yet run)",IF(AND($D22="",$F22=""),"SUPPRESSED (below sample threshold) -- use the state row",IF(OR(AND(ISNUMBER($E22),$E22&gt;=_config!$C$16),AND(ISNUMBER($G22),$G22&gt;=_config!$C$17),AND(ISNUMBER($F22),$F22&gt;=_config!$C$18)),"ALERT",IF(OR(AND(ISNUMBER($E22),$E22&gt;=_config!$B$16),AND(ISNUMBER($G22),$G22&gt;=_config!$B$17),AND(ISNUMBER($F22),$F22&gt;=_config!$B$18)),"WATCH","OK")))))))</f>
        <v/>
      </c>
      <c r="I22" s="34">
        <f>IF($L22="","",RANK($L22,$L$5:$L$44))</f>
        <v/>
      </c>
      <c r="K22" s="21">
        <f>IF(OR(Raw_CFPB!C2512="",COUNT(Raw_CFPB!C2513:C2524)=0),"",Raw_CFPB!C2512-AVERAGE(Raw_CFPB!C2513:C2524))</f>
        <v/>
      </c>
      <c r="L22" s="21">
        <f>IF(OR($H22="ALERT",$H22="WATCH",$H22="OK"),IF($H22="ALERT",2,IF($H22="WATCH",1,0))*1000+IF(ISNUMBER($K22),$K22,0),"")</f>
        <v/>
      </c>
    </row>
    <row r="23">
      <c r="A23" s="19">
        <f>IF(_config!$C$40="","",_config!$C$40)</f>
        <v/>
      </c>
      <c r="B23" s="31">
        <f>IF(_config!$D$40="","",_config!$D$40)</f>
        <v/>
      </c>
      <c r="C23" s="27">
        <f>IF(_config!$B$40="","",_config!$B$40)</f>
        <v/>
      </c>
      <c r="D23" s="16">
        <f>IF(Raw_CFPB!B2588="","",Raw_CFPB!B2588)</f>
        <v/>
      </c>
      <c r="E23" s="17">
        <f>IF(OR(Raw_CFPB!B2588="",COUNT(Raw_CFPB!B2589:B2600)=0),"",Raw_CFPB!B2588-AVERAGE(Raw_CFPB!B2589:B2600))</f>
        <v/>
      </c>
      <c r="F23" s="16">
        <f>IF(Raw_CFPB!C2588="","",Raw_CFPB!C2588)</f>
        <v/>
      </c>
      <c r="G23" s="32">
        <f>IF(COUNT(Raw_CFPB!C2588:C2591)&lt;4,"",IF(Raw_CFPB!C2588&gt;Raw_CFPB!C2589,1,0)+IF(AND(Raw_CFPB!C2588&gt;Raw_CFPB!C2589,Raw_CFPB!C2589&gt;Raw_CFPB!C2590),1,0)+IF(AND(Raw_CFPB!C2588&gt;Raw_CFPB!C2589,Raw_CFPB!C2589&gt;Raw_CFPB!C2590,Raw_CFPB!C2590&gt;Raw_CFPB!C2591),1,0))</f>
        <v/>
      </c>
      <c r="H23" s="33">
        <f>IF(_config!$C$40="","",IF(NOT(AND(ISTEXT(_config!$B$40),LEN(_config!$B$40)=5)),"REFUSED: blank/invalid FIPS -- run --lookup",IF(UPPER(_config!$E$40&amp;"")&lt;&gt;"TRUE","OFF",IF(Raw_CFPB!$B$4="","(not yet run)",IF(AND($D23="",$F23=""),"SUPPRESSED (below sample threshold) -- use the state row",IF(OR(AND(ISNUMBER($E23),$E23&gt;=_config!$C$16),AND(ISNUMBER($G23),$G23&gt;=_config!$C$17),AND(ISNUMBER($F23),$F23&gt;=_config!$C$18)),"ALERT",IF(OR(AND(ISNUMBER($E23),$E23&gt;=_config!$B$16),AND(ISNUMBER($G23),$G23&gt;=_config!$B$17),AND(ISNUMBER($F23),$F23&gt;=_config!$B$18)),"WATCH","OK")))))))</f>
        <v/>
      </c>
      <c r="I23" s="34">
        <f>IF($L23="","",RANK($L23,$L$5:$L$44))</f>
        <v/>
      </c>
      <c r="K23" s="21">
        <f>IF(OR(Raw_CFPB!C2588="",COUNT(Raw_CFPB!C2589:C2600)=0),"",Raw_CFPB!C2588-AVERAGE(Raw_CFPB!C2589:C2600))</f>
        <v/>
      </c>
      <c r="L23" s="21">
        <f>IF(OR($H23="ALERT",$H23="WATCH",$H23="OK"),IF($H23="ALERT",2,IF($H23="WATCH",1,0))*1000+IF(ISNUMBER($K23),$K23,0),"")</f>
        <v/>
      </c>
    </row>
    <row r="24">
      <c r="A24" s="19">
        <f>IF(_config!$C$41="","",_config!$C$41)</f>
        <v/>
      </c>
      <c r="B24" s="31">
        <f>IF(_config!$D$41="","",_config!$D$41)</f>
        <v/>
      </c>
      <c r="C24" s="27">
        <f>IF(_config!$B$41="","",_config!$B$41)</f>
        <v/>
      </c>
      <c r="D24" s="16">
        <f>IF(Raw_CFPB!B2664="","",Raw_CFPB!B2664)</f>
        <v/>
      </c>
      <c r="E24" s="17">
        <f>IF(OR(Raw_CFPB!B2664="",COUNT(Raw_CFPB!B2665:B2676)=0),"",Raw_CFPB!B2664-AVERAGE(Raw_CFPB!B2665:B2676))</f>
        <v/>
      </c>
      <c r="F24" s="16">
        <f>IF(Raw_CFPB!C2664="","",Raw_CFPB!C2664)</f>
        <v/>
      </c>
      <c r="G24" s="32">
        <f>IF(COUNT(Raw_CFPB!C2664:C2667)&lt;4,"",IF(Raw_CFPB!C2664&gt;Raw_CFPB!C2665,1,0)+IF(AND(Raw_CFPB!C2664&gt;Raw_CFPB!C2665,Raw_CFPB!C2665&gt;Raw_CFPB!C2666),1,0)+IF(AND(Raw_CFPB!C2664&gt;Raw_CFPB!C2665,Raw_CFPB!C2665&gt;Raw_CFPB!C2666,Raw_CFPB!C2666&gt;Raw_CFPB!C2667),1,0))</f>
        <v/>
      </c>
      <c r="H24" s="33">
        <f>IF(_config!$C$41="","",IF(NOT(AND(ISTEXT(_config!$B$41),LEN(_config!$B$41)=5)),"REFUSED: blank/invalid FIPS -- run --lookup",IF(UPPER(_config!$E$41&amp;"")&lt;&gt;"TRUE","OFF",IF(Raw_CFPB!$B$4="","(not yet run)",IF(AND($D24="",$F24=""),"SUPPRESSED (below sample threshold) -- use the state row",IF(OR(AND(ISNUMBER($E24),$E24&gt;=_config!$C$16),AND(ISNUMBER($G24),$G24&gt;=_config!$C$17),AND(ISNUMBER($F24),$F24&gt;=_config!$C$18)),"ALERT",IF(OR(AND(ISNUMBER($E24),$E24&gt;=_config!$B$16),AND(ISNUMBER($G24),$G24&gt;=_config!$B$17),AND(ISNUMBER($F24),$F24&gt;=_config!$B$18)),"WATCH","OK")))))))</f>
        <v/>
      </c>
      <c r="I24" s="34">
        <f>IF($L24="","",RANK($L24,$L$5:$L$44))</f>
        <v/>
      </c>
      <c r="K24" s="21">
        <f>IF(OR(Raw_CFPB!C2664="",COUNT(Raw_CFPB!C2665:C2676)=0),"",Raw_CFPB!C2664-AVERAGE(Raw_CFPB!C2665:C2676))</f>
        <v/>
      </c>
      <c r="L24" s="21">
        <f>IF(OR($H24="ALERT",$H24="WATCH",$H24="OK"),IF($H24="ALERT",2,IF($H24="WATCH",1,0))*1000+IF(ISNUMBER($K24),$K24,0),"")</f>
        <v/>
      </c>
    </row>
    <row r="25">
      <c r="A25" s="19">
        <f>IF(_config!$C$42="","",_config!$C$42)</f>
        <v/>
      </c>
      <c r="B25" s="31">
        <f>IF(_config!$D$42="","",_config!$D$42)</f>
        <v/>
      </c>
      <c r="C25" s="27">
        <f>IF(_config!$B$42="","",_config!$B$42)</f>
        <v/>
      </c>
      <c r="D25" s="16">
        <f>IF(Raw_CFPB!B2740="","",Raw_CFPB!B2740)</f>
        <v/>
      </c>
      <c r="E25" s="17">
        <f>IF(OR(Raw_CFPB!B2740="",COUNT(Raw_CFPB!B2741:B2752)=0),"",Raw_CFPB!B2740-AVERAGE(Raw_CFPB!B2741:B2752))</f>
        <v/>
      </c>
      <c r="F25" s="16">
        <f>IF(Raw_CFPB!C2740="","",Raw_CFPB!C2740)</f>
        <v/>
      </c>
      <c r="G25" s="32">
        <f>IF(COUNT(Raw_CFPB!C2740:C2743)&lt;4,"",IF(Raw_CFPB!C2740&gt;Raw_CFPB!C2741,1,0)+IF(AND(Raw_CFPB!C2740&gt;Raw_CFPB!C2741,Raw_CFPB!C2741&gt;Raw_CFPB!C2742),1,0)+IF(AND(Raw_CFPB!C2740&gt;Raw_CFPB!C2741,Raw_CFPB!C2741&gt;Raw_CFPB!C2742,Raw_CFPB!C2742&gt;Raw_CFPB!C2743),1,0))</f>
        <v/>
      </c>
      <c r="H25" s="33">
        <f>IF(_config!$C$42="","",IF(NOT(AND(ISTEXT(_config!$B$42),LEN(_config!$B$42)=5)),"REFUSED: blank/invalid FIPS -- run --lookup",IF(UPPER(_config!$E$42&amp;"")&lt;&gt;"TRUE","OFF",IF(Raw_CFPB!$B$4="","(not yet run)",IF(AND($D25="",$F25=""),"SUPPRESSED (below sample threshold) -- use the state row",IF(OR(AND(ISNUMBER($E25),$E25&gt;=_config!$C$16),AND(ISNUMBER($G25),$G25&gt;=_config!$C$17),AND(ISNUMBER($F25),$F25&gt;=_config!$C$18)),"ALERT",IF(OR(AND(ISNUMBER($E25),$E25&gt;=_config!$B$16),AND(ISNUMBER($G25),$G25&gt;=_config!$B$17),AND(ISNUMBER($F25),$F25&gt;=_config!$B$18)),"WATCH","OK")))))))</f>
        <v/>
      </c>
      <c r="I25" s="34">
        <f>IF($L25="","",RANK($L25,$L$5:$L$44))</f>
        <v/>
      </c>
      <c r="K25" s="21">
        <f>IF(OR(Raw_CFPB!C2740="",COUNT(Raw_CFPB!C2741:C2752)=0),"",Raw_CFPB!C2740-AVERAGE(Raw_CFPB!C2741:C2752))</f>
        <v/>
      </c>
      <c r="L25" s="21">
        <f>IF(OR($H25="ALERT",$H25="WATCH",$H25="OK"),IF($H25="ALERT",2,IF($H25="WATCH",1,0))*1000+IF(ISNUMBER($K25),$K25,0),"")</f>
        <v/>
      </c>
    </row>
    <row r="26">
      <c r="A26" s="19">
        <f>IF(_config!$C$43="","",_config!$C$43)</f>
        <v/>
      </c>
      <c r="B26" s="31">
        <f>IF(_config!$D$43="","",_config!$D$43)</f>
        <v/>
      </c>
      <c r="C26" s="27">
        <f>IF(_config!$B$43="","",_config!$B$43)</f>
        <v/>
      </c>
      <c r="D26" s="16">
        <f>IF(Raw_CFPB!B2816="","",Raw_CFPB!B2816)</f>
        <v/>
      </c>
      <c r="E26" s="17">
        <f>IF(OR(Raw_CFPB!B2816="",COUNT(Raw_CFPB!B2817:B2828)=0),"",Raw_CFPB!B2816-AVERAGE(Raw_CFPB!B2817:B2828))</f>
        <v/>
      </c>
      <c r="F26" s="16">
        <f>IF(Raw_CFPB!C2816="","",Raw_CFPB!C2816)</f>
        <v/>
      </c>
      <c r="G26" s="32">
        <f>IF(COUNT(Raw_CFPB!C2816:C2819)&lt;4,"",IF(Raw_CFPB!C2816&gt;Raw_CFPB!C2817,1,0)+IF(AND(Raw_CFPB!C2816&gt;Raw_CFPB!C2817,Raw_CFPB!C2817&gt;Raw_CFPB!C2818),1,0)+IF(AND(Raw_CFPB!C2816&gt;Raw_CFPB!C2817,Raw_CFPB!C2817&gt;Raw_CFPB!C2818,Raw_CFPB!C2818&gt;Raw_CFPB!C2819),1,0))</f>
        <v/>
      </c>
      <c r="H26" s="33">
        <f>IF(_config!$C$43="","",IF(NOT(AND(ISTEXT(_config!$B$43),LEN(_config!$B$43)=5)),"REFUSED: blank/invalid FIPS -- run --lookup",IF(UPPER(_config!$E$43&amp;"")&lt;&gt;"TRUE","OFF",IF(Raw_CFPB!$B$4="","(not yet run)",IF(AND($D26="",$F26=""),"SUPPRESSED (below sample threshold) -- use the state row",IF(OR(AND(ISNUMBER($E26),$E26&gt;=_config!$C$16),AND(ISNUMBER($G26),$G26&gt;=_config!$C$17),AND(ISNUMBER($F26),$F26&gt;=_config!$C$18)),"ALERT",IF(OR(AND(ISNUMBER($E26),$E26&gt;=_config!$B$16),AND(ISNUMBER($G26),$G26&gt;=_config!$B$17),AND(ISNUMBER($F26),$F26&gt;=_config!$B$18)),"WATCH","OK")))))))</f>
        <v/>
      </c>
      <c r="I26" s="34">
        <f>IF($L26="","",RANK($L26,$L$5:$L$44))</f>
        <v/>
      </c>
      <c r="K26" s="21">
        <f>IF(OR(Raw_CFPB!C2816="",COUNT(Raw_CFPB!C2817:C2828)=0),"",Raw_CFPB!C2816-AVERAGE(Raw_CFPB!C2817:C2828))</f>
        <v/>
      </c>
      <c r="L26" s="21">
        <f>IF(OR($H26="ALERT",$H26="WATCH",$H26="OK"),IF($H26="ALERT",2,IF($H26="WATCH",1,0))*1000+IF(ISNUMBER($K26),$K26,0),"")</f>
        <v/>
      </c>
    </row>
    <row r="27">
      <c r="A27" s="19">
        <f>IF(_config!$C$44="","",_config!$C$44)</f>
        <v/>
      </c>
      <c r="B27" s="31">
        <f>IF(_config!$D$44="","",_config!$D$44)</f>
        <v/>
      </c>
      <c r="C27" s="27">
        <f>IF(_config!$B$44="","",_config!$B$44)</f>
        <v/>
      </c>
      <c r="D27" s="16">
        <f>IF(Raw_CFPB!B2892="","",Raw_CFPB!B2892)</f>
        <v/>
      </c>
      <c r="E27" s="17">
        <f>IF(OR(Raw_CFPB!B2892="",COUNT(Raw_CFPB!B2893:B2904)=0),"",Raw_CFPB!B2892-AVERAGE(Raw_CFPB!B2893:B2904))</f>
        <v/>
      </c>
      <c r="F27" s="16">
        <f>IF(Raw_CFPB!C2892="","",Raw_CFPB!C2892)</f>
        <v/>
      </c>
      <c r="G27" s="32">
        <f>IF(COUNT(Raw_CFPB!C2892:C2895)&lt;4,"",IF(Raw_CFPB!C2892&gt;Raw_CFPB!C2893,1,0)+IF(AND(Raw_CFPB!C2892&gt;Raw_CFPB!C2893,Raw_CFPB!C2893&gt;Raw_CFPB!C2894),1,0)+IF(AND(Raw_CFPB!C2892&gt;Raw_CFPB!C2893,Raw_CFPB!C2893&gt;Raw_CFPB!C2894,Raw_CFPB!C2894&gt;Raw_CFPB!C2895),1,0))</f>
        <v/>
      </c>
      <c r="H27" s="33">
        <f>IF(_config!$C$44="","",IF(NOT(AND(ISTEXT(_config!$B$44),LEN(_config!$B$44)=5)),"REFUSED: blank/invalid FIPS -- run --lookup",IF(UPPER(_config!$E$44&amp;"")&lt;&gt;"TRUE","OFF",IF(Raw_CFPB!$B$4="","(not yet run)",IF(AND($D27="",$F27=""),"SUPPRESSED (below sample threshold) -- use the state row",IF(OR(AND(ISNUMBER($E27),$E27&gt;=_config!$C$16),AND(ISNUMBER($G27),$G27&gt;=_config!$C$17),AND(ISNUMBER($F27),$F27&gt;=_config!$C$18)),"ALERT",IF(OR(AND(ISNUMBER($E27),$E27&gt;=_config!$B$16),AND(ISNUMBER($G27),$G27&gt;=_config!$B$17),AND(ISNUMBER($F27),$F27&gt;=_config!$B$18)),"WATCH","OK")))))))</f>
        <v/>
      </c>
      <c r="I27" s="34">
        <f>IF($L27="","",RANK($L27,$L$5:$L$44))</f>
        <v/>
      </c>
      <c r="K27" s="21">
        <f>IF(OR(Raw_CFPB!C2892="",COUNT(Raw_CFPB!C2893:C2904)=0),"",Raw_CFPB!C2892-AVERAGE(Raw_CFPB!C2893:C2904))</f>
        <v/>
      </c>
      <c r="L27" s="21">
        <f>IF(OR($H27="ALERT",$H27="WATCH",$H27="OK"),IF($H27="ALERT",2,IF($H27="WATCH",1,0))*1000+IF(ISNUMBER($K27),$K27,0),"")</f>
        <v/>
      </c>
    </row>
    <row r="28">
      <c r="A28" s="19">
        <f>IF(_config!$C$45="","",_config!$C$45)</f>
        <v/>
      </c>
      <c r="B28" s="31">
        <f>IF(_config!$D$45="","",_config!$D$45)</f>
        <v/>
      </c>
      <c r="C28" s="27">
        <f>IF(_config!$B$45="","",_config!$B$45)</f>
        <v/>
      </c>
      <c r="D28" s="16">
        <f>IF(Raw_CFPB!B2968="","",Raw_CFPB!B2968)</f>
        <v/>
      </c>
      <c r="E28" s="17">
        <f>IF(OR(Raw_CFPB!B2968="",COUNT(Raw_CFPB!B2969:B2980)=0),"",Raw_CFPB!B2968-AVERAGE(Raw_CFPB!B2969:B2980))</f>
        <v/>
      </c>
      <c r="F28" s="16">
        <f>IF(Raw_CFPB!C2968="","",Raw_CFPB!C2968)</f>
        <v/>
      </c>
      <c r="G28" s="32">
        <f>IF(COUNT(Raw_CFPB!C2968:C2971)&lt;4,"",IF(Raw_CFPB!C2968&gt;Raw_CFPB!C2969,1,0)+IF(AND(Raw_CFPB!C2968&gt;Raw_CFPB!C2969,Raw_CFPB!C2969&gt;Raw_CFPB!C2970),1,0)+IF(AND(Raw_CFPB!C2968&gt;Raw_CFPB!C2969,Raw_CFPB!C2969&gt;Raw_CFPB!C2970,Raw_CFPB!C2970&gt;Raw_CFPB!C2971),1,0))</f>
        <v/>
      </c>
      <c r="H28" s="33">
        <f>IF(_config!$C$45="","",IF(NOT(AND(ISTEXT(_config!$B$45),LEN(_config!$B$45)=5)),"REFUSED: blank/invalid FIPS -- run --lookup",IF(UPPER(_config!$E$45&amp;"")&lt;&gt;"TRUE","OFF",IF(Raw_CFPB!$B$4="","(not yet run)",IF(AND($D28="",$F28=""),"SUPPRESSED (below sample threshold) -- use the state row",IF(OR(AND(ISNUMBER($E28),$E28&gt;=_config!$C$16),AND(ISNUMBER($G28),$G28&gt;=_config!$C$17),AND(ISNUMBER($F28),$F28&gt;=_config!$C$18)),"ALERT",IF(OR(AND(ISNUMBER($E28),$E28&gt;=_config!$B$16),AND(ISNUMBER($G28),$G28&gt;=_config!$B$17),AND(ISNUMBER($F28),$F28&gt;=_config!$B$18)),"WATCH","OK")))))))</f>
        <v/>
      </c>
      <c r="I28" s="34">
        <f>IF($L28="","",RANK($L28,$L$5:$L$44))</f>
        <v/>
      </c>
      <c r="K28" s="21">
        <f>IF(OR(Raw_CFPB!C2968="",COUNT(Raw_CFPB!C2969:C2980)=0),"",Raw_CFPB!C2968-AVERAGE(Raw_CFPB!C2969:C2980))</f>
        <v/>
      </c>
      <c r="L28" s="21">
        <f>IF(OR($H28="ALERT",$H28="WATCH",$H28="OK"),IF($H28="ALERT",2,IF($H28="WATCH",1,0))*1000+IF(ISNUMBER($K28),$K28,0),"")</f>
        <v/>
      </c>
    </row>
    <row r="29">
      <c r="A29" s="19">
        <f>IF(_config!$C$46="","",_config!$C$46)</f>
        <v/>
      </c>
      <c r="B29" s="31">
        <f>IF(_config!$D$46="","",_config!$D$46)</f>
        <v/>
      </c>
      <c r="C29" s="27">
        <f>IF(_config!$B$46="","",_config!$B$46)</f>
        <v/>
      </c>
      <c r="D29" s="16">
        <f>IF(Raw_CFPB!B3044="","",Raw_CFPB!B3044)</f>
        <v/>
      </c>
      <c r="E29" s="17">
        <f>IF(OR(Raw_CFPB!B3044="",COUNT(Raw_CFPB!B3045:B3056)=0),"",Raw_CFPB!B3044-AVERAGE(Raw_CFPB!B3045:B3056))</f>
        <v/>
      </c>
      <c r="F29" s="16">
        <f>IF(Raw_CFPB!C3044="","",Raw_CFPB!C3044)</f>
        <v/>
      </c>
      <c r="G29" s="32">
        <f>IF(COUNT(Raw_CFPB!C3044:C3047)&lt;4,"",IF(Raw_CFPB!C3044&gt;Raw_CFPB!C3045,1,0)+IF(AND(Raw_CFPB!C3044&gt;Raw_CFPB!C3045,Raw_CFPB!C3045&gt;Raw_CFPB!C3046),1,0)+IF(AND(Raw_CFPB!C3044&gt;Raw_CFPB!C3045,Raw_CFPB!C3045&gt;Raw_CFPB!C3046,Raw_CFPB!C3046&gt;Raw_CFPB!C3047),1,0))</f>
        <v/>
      </c>
      <c r="H29" s="33">
        <f>IF(_config!$C$46="","",IF(NOT(AND(ISTEXT(_config!$B$46),LEN(_config!$B$46)=5)),"REFUSED: blank/invalid FIPS -- run --lookup",IF(UPPER(_config!$E$46&amp;"")&lt;&gt;"TRUE","OFF",IF(Raw_CFPB!$B$4="","(not yet run)",IF(AND($D29="",$F29=""),"SUPPRESSED (below sample threshold) -- use the state row",IF(OR(AND(ISNUMBER($E29),$E29&gt;=_config!$C$16),AND(ISNUMBER($G29),$G29&gt;=_config!$C$17),AND(ISNUMBER($F29),$F29&gt;=_config!$C$18)),"ALERT",IF(OR(AND(ISNUMBER($E29),$E29&gt;=_config!$B$16),AND(ISNUMBER($G29),$G29&gt;=_config!$B$17),AND(ISNUMBER($F29),$F29&gt;=_config!$B$18)),"WATCH","OK")))))))</f>
        <v/>
      </c>
      <c r="I29" s="34">
        <f>IF($L29="","",RANK($L29,$L$5:$L$44))</f>
        <v/>
      </c>
      <c r="K29" s="21">
        <f>IF(OR(Raw_CFPB!C3044="",COUNT(Raw_CFPB!C3045:C3056)=0),"",Raw_CFPB!C3044-AVERAGE(Raw_CFPB!C3045:C3056))</f>
        <v/>
      </c>
      <c r="L29" s="21">
        <f>IF(OR($H29="ALERT",$H29="WATCH",$H29="OK"),IF($H29="ALERT",2,IF($H29="WATCH",1,0))*1000+IF(ISNUMBER($K29),$K29,0),"")</f>
        <v/>
      </c>
    </row>
    <row r="30">
      <c r="A30" s="19">
        <f>IF(_config!$C$47="","",_config!$C$47)</f>
        <v/>
      </c>
      <c r="B30" s="31">
        <f>IF(_config!$D$47="","",_config!$D$47)</f>
        <v/>
      </c>
      <c r="C30" s="27">
        <f>IF(_config!$B$47="","",_config!$B$47)</f>
        <v/>
      </c>
      <c r="D30" s="16">
        <f>IF(Raw_CFPB!B3120="","",Raw_CFPB!B3120)</f>
        <v/>
      </c>
      <c r="E30" s="17">
        <f>IF(OR(Raw_CFPB!B3120="",COUNT(Raw_CFPB!B3121:B3132)=0),"",Raw_CFPB!B3120-AVERAGE(Raw_CFPB!B3121:B3132))</f>
        <v/>
      </c>
      <c r="F30" s="16">
        <f>IF(Raw_CFPB!C3120="","",Raw_CFPB!C3120)</f>
        <v/>
      </c>
      <c r="G30" s="32">
        <f>IF(COUNT(Raw_CFPB!C3120:C3123)&lt;4,"",IF(Raw_CFPB!C3120&gt;Raw_CFPB!C3121,1,0)+IF(AND(Raw_CFPB!C3120&gt;Raw_CFPB!C3121,Raw_CFPB!C3121&gt;Raw_CFPB!C3122),1,0)+IF(AND(Raw_CFPB!C3120&gt;Raw_CFPB!C3121,Raw_CFPB!C3121&gt;Raw_CFPB!C3122,Raw_CFPB!C3122&gt;Raw_CFPB!C3123),1,0))</f>
        <v/>
      </c>
      <c r="H30" s="33">
        <f>IF(_config!$C$47="","",IF(NOT(AND(ISTEXT(_config!$B$47),LEN(_config!$B$47)=5)),"REFUSED: blank/invalid FIPS -- run --lookup",IF(UPPER(_config!$E$47&amp;"")&lt;&gt;"TRUE","OFF",IF(Raw_CFPB!$B$4="","(not yet run)",IF(AND($D30="",$F30=""),"SUPPRESSED (below sample threshold) -- use the state row",IF(OR(AND(ISNUMBER($E30),$E30&gt;=_config!$C$16),AND(ISNUMBER($G30),$G30&gt;=_config!$C$17),AND(ISNUMBER($F30),$F30&gt;=_config!$C$18)),"ALERT",IF(OR(AND(ISNUMBER($E30),$E30&gt;=_config!$B$16),AND(ISNUMBER($G30),$G30&gt;=_config!$B$17),AND(ISNUMBER($F30),$F30&gt;=_config!$B$18)),"WATCH","OK")))))))</f>
        <v/>
      </c>
      <c r="I30" s="34">
        <f>IF($L30="","",RANK($L30,$L$5:$L$44))</f>
        <v/>
      </c>
      <c r="K30" s="21">
        <f>IF(OR(Raw_CFPB!C3120="",COUNT(Raw_CFPB!C3121:C3132)=0),"",Raw_CFPB!C3120-AVERAGE(Raw_CFPB!C3121:C3132))</f>
        <v/>
      </c>
      <c r="L30" s="21">
        <f>IF(OR($H30="ALERT",$H30="WATCH",$H30="OK"),IF($H30="ALERT",2,IF($H30="WATCH",1,0))*1000+IF(ISNUMBER($K30),$K30,0),"")</f>
        <v/>
      </c>
    </row>
    <row r="31">
      <c r="A31" s="19">
        <f>IF(_config!$C$48="","",_config!$C$48)</f>
        <v/>
      </c>
      <c r="B31" s="31">
        <f>IF(_config!$D$48="","",_config!$D$48)</f>
        <v/>
      </c>
      <c r="C31" s="27">
        <f>IF(_config!$B$48="","",_config!$B$48)</f>
        <v/>
      </c>
      <c r="D31" s="16">
        <f>IF(Raw_CFPB!B3196="","",Raw_CFPB!B3196)</f>
        <v/>
      </c>
      <c r="E31" s="17">
        <f>IF(OR(Raw_CFPB!B3196="",COUNT(Raw_CFPB!B3197:B3208)=0),"",Raw_CFPB!B3196-AVERAGE(Raw_CFPB!B3197:B3208))</f>
        <v/>
      </c>
      <c r="F31" s="16">
        <f>IF(Raw_CFPB!C3196="","",Raw_CFPB!C3196)</f>
        <v/>
      </c>
      <c r="G31" s="32">
        <f>IF(COUNT(Raw_CFPB!C3196:C3199)&lt;4,"",IF(Raw_CFPB!C3196&gt;Raw_CFPB!C3197,1,0)+IF(AND(Raw_CFPB!C3196&gt;Raw_CFPB!C3197,Raw_CFPB!C3197&gt;Raw_CFPB!C3198),1,0)+IF(AND(Raw_CFPB!C3196&gt;Raw_CFPB!C3197,Raw_CFPB!C3197&gt;Raw_CFPB!C3198,Raw_CFPB!C3198&gt;Raw_CFPB!C3199),1,0))</f>
        <v/>
      </c>
      <c r="H31" s="33">
        <f>IF(_config!$C$48="","",IF(NOT(AND(ISTEXT(_config!$B$48),LEN(_config!$B$48)=5)),"REFUSED: blank/invalid FIPS -- run --lookup",IF(UPPER(_config!$E$48&amp;"")&lt;&gt;"TRUE","OFF",IF(Raw_CFPB!$B$4="","(not yet run)",IF(AND($D31="",$F31=""),"SUPPRESSED (below sample threshold) -- use the state row",IF(OR(AND(ISNUMBER($E31),$E31&gt;=_config!$C$16),AND(ISNUMBER($G31),$G31&gt;=_config!$C$17),AND(ISNUMBER($F31),$F31&gt;=_config!$C$18)),"ALERT",IF(OR(AND(ISNUMBER($E31),$E31&gt;=_config!$B$16),AND(ISNUMBER($G31),$G31&gt;=_config!$B$17),AND(ISNUMBER($F31),$F31&gt;=_config!$B$18)),"WATCH","OK")))))))</f>
        <v/>
      </c>
      <c r="I31" s="34">
        <f>IF($L31="","",RANK($L31,$L$5:$L$44))</f>
        <v/>
      </c>
      <c r="K31" s="21">
        <f>IF(OR(Raw_CFPB!C3196="",COUNT(Raw_CFPB!C3197:C3208)=0),"",Raw_CFPB!C3196-AVERAGE(Raw_CFPB!C3197:C3208))</f>
        <v/>
      </c>
      <c r="L31" s="21">
        <f>IF(OR($H31="ALERT",$H31="WATCH",$H31="OK"),IF($H31="ALERT",2,IF($H31="WATCH",1,0))*1000+IF(ISNUMBER($K31),$K31,0),"")</f>
        <v/>
      </c>
    </row>
    <row r="32">
      <c r="A32" s="19">
        <f>IF(_config!$C$49="","",_config!$C$49)</f>
        <v/>
      </c>
      <c r="B32" s="31">
        <f>IF(_config!$D$49="","",_config!$D$49)</f>
        <v/>
      </c>
      <c r="C32" s="27">
        <f>IF(_config!$B$49="","",_config!$B$49)</f>
        <v/>
      </c>
      <c r="D32" s="16">
        <f>IF(Raw_CFPB!B3272="","",Raw_CFPB!B3272)</f>
        <v/>
      </c>
      <c r="E32" s="17">
        <f>IF(OR(Raw_CFPB!B3272="",COUNT(Raw_CFPB!B3273:B3284)=0),"",Raw_CFPB!B3272-AVERAGE(Raw_CFPB!B3273:B3284))</f>
        <v/>
      </c>
      <c r="F32" s="16">
        <f>IF(Raw_CFPB!C3272="","",Raw_CFPB!C3272)</f>
        <v/>
      </c>
      <c r="G32" s="32">
        <f>IF(COUNT(Raw_CFPB!C3272:C3275)&lt;4,"",IF(Raw_CFPB!C3272&gt;Raw_CFPB!C3273,1,0)+IF(AND(Raw_CFPB!C3272&gt;Raw_CFPB!C3273,Raw_CFPB!C3273&gt;Raw_CFPB!C3274),1,0)+IF(AND(Raw_CFPB!C3272&gt;Raw_CFPB!C3273,Raw_CFPB!C3273&gt;Raw_CFPB!C3274,Raw_CFPB!C3274&gt;Raw_CFPB!C3275),1,0))</f>
        <v/>
      </c>
      <c r="H32" s="33">
        <f>IF(_config!$C$49="","",IF(NOT(AND(ISTEXT(_config!$B$49),LEN(_config!$B$49)=5)),"REFUSED: blank/invalid FIPS -- run --lookup",IF(UPPER(_config!$E$49&amp;"")&lt;&gt;"TRUE","OFF",IF(Raw_CFPB!$B$4="","(not yet run)",IF(AND($D32="",$F32=""),"SUPPRESSED (below sample threshold) -- use the state row",IF(OR(AND(ISNUMBER($E32),$E32&gt;=_config!$C$16),AND(ISNUMBER($G32),$G32&gt;=_config!$C$17),AND(ISNUMBER($F32),$F32&gt;=_config!$C$18)),"ALERT",IF(OR(AND(ISNUMBER($E32),$E32&gt;=_config!$B$16),AND(ISNUMBER($G32),$G32&gt;=_config!$B$17),AND(ISNUMBER($F32),$F32&gt;=_config!$B$18)),"WATCH","OK")))))))</f>
        <v/>
      </c>
      <c r="I32" s="34">
        <f>IF($L32="","",RANK($L32,$L$5:$L$44))</f>
        <v/>
      </c>
      <c r="K32" s="21">
        <f>IF(OR(Raw_CFPB!C3272="",COUNT(Raw_CFPB!C3273:C3284)=0),"",Raw_CFPB!C3272-AVERAGE(Raw_CFPB!C3273:C3284))</f>
        <v/>
      </c>
      <c r="L32" s="21">
        <f>IF(OR($H32="ALERT",$H32="WATCH",$H32="OK"),IF($H32="ALERT",2,IF($H32="WATCH",1,0))*1000+IF(ISNUMBER($K32),$K32,0),"")</f>
        <v/>
      </c>
    </row>
    <row r="33">
      <c r="A33" s="19">
        <f>IF(_config!$C$50="","",_config!$C$50)</f>
        <v/>
      </c>
      <c r="B33" s="31">
        <f>IF(_config!$D$50="","",_config!$D$50)</f>
        <v/>
      </c>
      <c r="C33" s="27">
        <f>IF(_config!$B$50="","",_config!$B$50)</f>
        <v/>
      </c>
      <c r="D33" s="16">
        <f>IF(Raw_CFPB!B3348="","",Raw_CFPB!B3348)</f>
        <v/>
      </c>
      <c r="E33" s="17">
        <f>IF(OR(Raw_CFPB!B3348="",COUNT(Raw_CFPB!B3349:B3360)=0),"",Raw_CFPB!B3348-AVERAGE(Raw_CFPB!B3349:B3360))</f>
        <v/>
      </c>
      <c r="F33" s="16">
        <f>IF(Raw_CFPB!C3348="","",Raw_CFPB!C3348)</f>
        <v/>
      </c>
      <c r="G33" s="32">
        <f>IF(COUNT(Raw_CFPB!C3348:C3351)&lt;4,"",IF(Raw_CFPB!C3348&gt;Raw_CFPB!C3349,1,0)+IF(AND(Raw_CFPB!C3348&gt;Raw_CFPB!C3349,Raw_CFPB!C3349&gt;Raw_CFPB!C3350),1,0)+IF(AND(Raw_CFPB!C3348&gt;Raw_CFPB!C3349,Raw_CFPB!C3349&gt;Raw_CFPB!C3350,Raw_CFPB!C3350&gt;Raw_CFPB!C3351),1,0))</f>
        <v/>
      </c>
      <c r="H33" s="33">
        <f>IF(_config!$C$50="","",IF(NOT(AND(ISTEXT(_config!$B$50),LEN(_config!$B$50)=5)),"REFUSED: blank/invalid FIPS -- run --lookup",IF(UPPER(_config!$E$50&amp;"")&lt;&gt;"TRUE","OFF",IF(Raw_CFPB!$B$4="","(not yet run)",IF(AND($D33="",$F33=""),"SUPPRESSED (below sample threshold) -- use the state row",IF(OR(AND(ISNUMBER($E33),$E33&gt;=_config!$C$16),AND(ISNUMBER($G33),$G33&gt;=_config!$C$17),AND(ISNUMBER($F33),$F33&gt;=_config!$C$18)),"ALERT",IF(OR(AND(ISNUMBER($E33),$E33&gt;=_config!$B$16),AND(ISNUMBER($G33),$G33&gt;=_config!$B$17),AND(ISNUMBER($F33),$F33&gt;=_config!$B$18)),"WATCH","OK")))))))</f>
        <v/>
      </c>
      <c r="I33" s="34">
        <f>IF($L33="","",RANK($L33,$L$5:$L$44))</f>
        <v/>
      </c>
      <c r="K33" s="21">
        <f>IF(OR(Raw_CFPB!C3348="",COUNT(Raw_CFPB!C3349:C3360)=0),"",Raw_CFPB!C3348-AVERAGE(Raw_CFPB!C3349:C3360))</f>
        <v/>
      </c>
      <c r="L33" s="21">
        <f>IF(OR($H33="ALERT",$H33="WATCH",$H33="OK"),IF($H33="ALERT",2,IF($H33="WATCH",1,0))*1000+IF(ISNUMBER($K33),$K33,0),"")</f>
        <v/>
      </c>
    </row>
    <row r="34">
      <c r="A34" s="19">
        <f>IF(_config!$C$51="","",_config!$C$51)</f>
        <v/>
      </c>
      <c r="B34" s="31">
        <f>IF(_config!$D$51="","",_config!$D$51)</f>
        <v/>
      </c>
      <c r="C34" s="27">
        <f>IF(_config!$B$51="","",_config!$B$51)</f>
        <v/>
      </c>
      <c r="D34" s="16">
        <f>IF(Raw_CFPB!B3424="","",Raw_CFPB!B3424)</f>
        <v/>
      </c>
      <c r="E34" s="17">
        <f>IF(OR(Raw_CFPB!B3424="",COUNT(Raw_CFPB!B3425:B3436)=0),"",Raw_CFPB!B3424-AVERAGE(Raw_CFPB!B3425:B3436))</f>
        <v/>
      </c>
      <c r="F34" s="16">
        <f>IF(Raw_CFPB!C3424="","",Raw_CFPB!C3424)</f>
        <v/>
      </c>
      <c r="G34" s="32">
        <f>IF(COUNT(Raw_CFPB!C3424:C3427)&lt;4,"",IF(Raw_CFPB!C3424&gt;Raw_CFPB!C3425,1,0)+IF(AND(Raw_CFPB!C3424&gt;Raw_CFPB!C3425,Raw_CFPB!C3425&gt;Raw_CFPB!C3426),1,0)+IF(AND(Raw_CFPB!C3424&gt;Raw_CFPB!C3425,Raw_CFPB!C3425&gt;Raw_CFPB!C3426,Raw_CFPB!C3426&gt;Raw_CFPB!C3427),1,0))</f>
        <v/>
      </c>
      <c r="H34" s="33">
        <f>IF(_config!$C$51="","",IF(NOT(AND(ISTEXT(_config!$B$51),LEN(_config!$B$51)=5)),"REFUSED: blank/invalid FIPS -- run --lookup",IF(UPPER(_config!$E$51&amp;"")&lt;&gt;"TRUE","OFF",IF(Raw_CFPB!$B$4="","(not yet run)",IF(AND($D34="",$F34=""),"SUPPRESSED (below sample threshold) -- use the state row",IF(OR(AND(ISNUMBER($E34),$E34&gt;=_config!$C$16),AND(ISNUMBER($G34),$G34&gt;=_config!$C$17),AND(ISNUMBER($F34),$F34&gt;=_config!$C$18)),"ALERT",IF(OR(AND(ISNUMBER($E34),$E34&gt;=_config!$B$16),AND(ISNUMBER($G34),$G34&gt;=_config!$B$17),AND(ISNUMBER($F34),$F34&gt;=_config!$B$18)),"WATCH","OK")))))))</f>
        <v/>
      </c>
      <c r="I34" s="34">
        <f>IF($L34="","",RANK($L34,$L$5:$L$44))</f>
        <v/>
      </c>
      <c r="K34" s="21">
        <f>IF(OR(Raw_CFPB!C3424="",COUNT(Raw_CFPB!C3425:C3436)=0),"",Raw_CFPB!C3424-AVERAGE(Raw_CFPB!C3425:C3436))</f>
        <v/>
      </c>
      <c r="L34" s="21">
        <f>IF(OR($H34="ALERT",$H34="WATCH",$H34="OK"),IF($H34="ALERT",2,IF($H34="WATCH",1,0))*1000+IF(ISNUMBER($K34),$K34,0),"")</f>
        <v/>
      </c>
    </row>
    <row r="35">
      <c r="A35" s="19">
        <f>IF(_config!$C$52="","",_config!$C$52)</f>
        <v/>
      </c>
      <c r="B35" s="31">
        <f>IF(_config!$D$52="","",_config!$D$52)</f>
        <v/>
      </c>
      <c r="C35" s="27">
        <f>IF(_config!$B$52="","",_config!$B$52)</f>
        <v/>
      </c>
      <c r="D35" s="16">
        <f>IF(Raw_CFPB!B3500="","",Raw_CFPB!B3500)</f>
        <v/>
      </c>
      <c r="E35" s="17">
        <f>IF(OR(Raw_CFPB!B3500="",COUNT(Raw_CFPB!B3501:B3512)=0),"",Raw_CFPB!B3500-AVERAGE(Raw_CFPB!B3501:B3512))</f>
        <v/>
      </c>
      <c r="F35" s="16">
        <f>IF(Raw_CFPB!C3500="","",Raw_CFPB!C3500)</f>
        <v/>
      </c>
      <c r="G35" s="32">
        <f>IF(COUNT(Raw_CFPB!C3500:C3503)&lt;4,"",IF(Raw_CFPB!C3500&gt;Raw_CFPB!C3501,1,0)+IF(AND(Raw_CFPB!C3500&gt;Raw_CFPB!C3501,Raw_CFPB!C3501&gt;Raw_CFPB!C3502),1,0)+IF(AND(Raw_CFPB!C3500&gt;Raw_CFPB!C3501,Raw_CFPB!C3501&gt;Raw_CFPB!C3502,Raw_CFPB!C3502&gt;Raw_CFPB!C3503),1,0))</f>
        <v/>
      </c>
      <c r="H35" s="33">
        <f>IF(_config!$C$52="","",IF(NOT(AND(ISTEXT(_config!$B$52),LEN(_config!$B$52)=5)),"REFUSED: blank/invalid FIPS -- run --lookup",IF(UPPER(_config!$E$52&amp;"")&lt;&gt;"TRUE","OFF",IF(Raw_CFPB!$B$4="","(not yet run)",IF(AND($D35="",$F35=""),"SUPPRESSED (below sample threshold) -- use the state row",IF(OR(AND(ISNUMBER($E35),$E35&gt;=_config!$C$16),AND(ISNUMBER($G35),$G35&gt;=_config!$C$17),AND(ISNUMBER($F35),$F35&gt;=_config!$C$18)),"ALERT",IF(OR(AND(ISNUMBER($E35),$E35&gt;=_config!$B$16),AND(ISNUMBER($G35),$G35&gt;=_config!$B$17),AND(ISNUMBER($F35),$F35&gt;=_config!$B$18)),"WATCH","OK")))))))</f>
        <v/>
      </c>
      <c r="I35" s="34">
        <f>IF($L35="","",RANK($L35,$L$5:$L$44))</f>
        <v/>
      </c>
      <c r="K35" s="21">
        <f>IF(OR(Raw_CFPB!C3500="",COUNT(Raw_CFPB!C3501:C3512)=0),"",Raw_CFPB!C3500-AVERAGE(Raw_CFPB!C3501:C3512))</f>
        <v/>
      </c>
      <c r="L35" s="21">
        <f>IF(OR($H35="ALERT",$H35="WATCH",$H35="OK"),IF($H35="ALERT",2,IF($H35="WATCH",1,0))*1000+IF(ISNUMBER($K35),$K35,0),"")</f>
        <v/>
      </c>
    </row>
    <row r="36">
      <c r="A36" s="19">
        <f>IF(_config!$C$53="","",_config!$C$53)</f>
        <v/>
      </c>
      <c r="B36" s="31">
        <f>IF(_config!$D$53="","",_config!$D$53)</f>
        <v/>
      </c>
      <c r="C36" s="27">
        <f>IF(_config!$B$53="","",_config!$B$53)</f>
        <v/>
      </c>
      <c r="D36" s="16">
        <f>IF(Raw_CFPB!B3576="","",Raw_CFPB!B3576)</f>
        <v/>
      </c>
      <c r="E36" s="17">
        <f>IF(OR(Raw_CFPB!B3576="",COUNT(Raw_CFPB!B3577:B3588)=0),"",Raw_CFPB!B3576-AVERAGE(Raw_CFPB!B3577:B3588))</f>
        <v/>
      </c>
      <c r="F36" s="16">
        <f>IF(Raw_CFPB!C3576="","",Raw_CFPB!C3576)</f>
        <v/>
      </c>
      <c r="G36" s="32">
        <f>IF(COUNT(Raw_CFPB!C3576:C3579)&lt;4,"",IF(Raw_CFPB!C3576&gt;Raw_CFPB!C3577,1,0)+IF(AND(Raw_CFPB!C3576&gt;Raw_CFPB!C3577,Raw_CFPB!C3577&gt;Raw_CFPB!C3578),1,0)+IF(AND(Raw_CFPB!C3576&gt;Raw_CFPB!C3577,Raw_CFPB!C3577&gt;Raw_CFPB!C3578,Raw_CFPB!C3578&gt;Raw_CFPB!C3579),1,0))</f>
        <v/>
      </c>
      <c r="H36" s="33">
        <f>IF(_config!$C$53="","",IF(NOT(AND(ISTEXT(_config!$B$53),LEN(_config!$B$53)=5)),"REFUSED: blank/invalid FIPS -- run --lookup",IF(UPPER(_config!$E$53&amp;"")&lt;&gt;"TRUE","OFF",IF(Raw_CFPB!$B$4="","(not yet run)",IF(AND($D36="",$F36=""),"SUPPRESSED (below sample threshold) -- use the state row",IF(OR(AND(ISNUMBER($E36),$E36&gt;=_config!$C$16),AND(ISNUMBER($G36),$G36&gt;=_config!$C$17),AND(ISNUMBER($F36),$F36&gt;=_config!$C$18)),"ALERT",IF(OR(AND(ISNUMBER($E36),$E36&gt;=_config!$B$16),AND(ISNUMBER($G36),$G36&gt;=_config!$B$17),AND(ISNUMBER($F36),$F36&gt;=_config!$B$18)),"WATCH","OK")))))))</f>
        <v/>
      </c>
      <c r="I36" s="34">
        <f>IF($L36="","",RANK($L36,$L$5:$L$44))</f>
        <v/>
      </c>
      <c r="K36" s="21">
        <f>IF(OR(Raw_CFPB!C3576="",COUNT(Raw_CFPB!C3577:C3588)=0),"",Raw_CFPB!C3576-AVERAGE(Raw_CFPB!C3577:C3588))</f>
        <v/>
      </c>
      <c r="L36" s="21">
        <f>IF(OR($H36="ALERT",$H36="WATCH",$H36="OK"),IF($H36="ALERT",2,IF($H36="WATCH",1,0))*1000+IF(ISNUMBER($K36),$K36,0),"")</f>
        <v/>
      </c>
    </row>
    <row r="37">
      <c r="A37" s="19">
        <f>IF(_config!$C$54="","",_config!$C$54)</f>
        <v/>
      </c>
      <c r="B37" s="31">
        <f>IF(_config!$D$54="","",_config!$D$54)</f>
        <v/>
      </c>
      <c r="C37" s="27">
        <f>IF(_config!$B$54="","",_config!$B$54)</f>
        <v/>
      </c>
      <c r="D37" s="16">
        <f>IF(Raw_CFPB!B3652="","",Raw_CFPB!B3652)</f>
        <v/>
      </c>
      <c r="E37" s="17">
        <f>IF(OR(Raw_CFPB!B3652="",COUNT(Raw_CFPB!B3653:B3664)=0),"",Raw_CFPB!B3652-AVERAGE(Raw_CFPB!B3653:B3664))</f>
        <v/>
      </c>
      <c r="F37" s="16">
        <f>IF(Raw_CFPB!C3652="","",Raw_CFPB!C3652)</f>
        <v/>
      </c>
      <c r="G37" s="32">
        <f>IF(COUNT(Raw_CFPB!C3652:C3655)&lt;4,"",IF(Raw_CFPB!C3652&gt;Raw_CFPB!C3653,1,0)+IF(AND(Raw_CFPB!C3652&gt;Raw_CFPB!C3653,Raw_CFPB!C3653&gt;Raw_CFPB!C3654),1,0)+IF(AND(Raw_CFPB!C3652&gt;Raw_CFPB!C3653,Raw_CFPB!C3653&gt;Raw_CFPB!C3654,Raw_CFPB!C3654&gt;Raw_CFPB!C3655),1,0))</f>
        <v/>
      </c>
      <c r="H37" s="33">
        <f>IF(_config!$C$54="","",IF(NOT(AND(ISTEXT(_config!$B$54),LEN(_config!$B$54)=5)),"REFUSED: blank/invalid FIPS -- run --lookup",IF(UPPER(_config!$E$54&amp;"")&lt;&gt;"TRUE","OFF",IF(Raw_CFPB!$B$4="","(not yet run)",IF(AND($D37="",$F37=""),"SUPPRESSED (below sample threshold) -- use the state row",IF(OR(AND(ISNUMBER($E37),$E37&gt;=_config!$C$16),AND(ISNUMBER($G37),$G37&gt;=_config!$C$17),AND(ISNUMBER($F37),$F37&gt;=_config!$C$18)),"ALERT",IF(OR(AND(ISNUMBER($E37),$E37&gt;=_config!$B$16),AND(ISNUMBER($G37),$G37&gt;=_config!$B$17),AND(ISNUMBER($F37),$F37&gt;=_config!$B$18)),"WATCH","OK")))))))</f>
        <v/>
      </c>
      <c r="I37" s="34">
        <f>IF($L37="","",RANK($L37,$L$5:$L$44))</f>
        <v/>
      </c>
      <c r="K37" s="21">
        <f>IF(OR(Raw_CFPB!C3652="",COUNT(Raw_CFPB!C3653:C3664)=0),"",Raw_CFPB!C3652-AVERAGE(Raw_CFPB!C3653:C3664))</f>
        <v/>
      </c>
      <c r="L37" s="21">
        <f>IF(OR($H37="ALERT",$H37="WATCH",$H37="OK"),IF($H37="ALERT",2,IF($H37="WATCH",1,0))*1000+IF(ISNUMBER($K37),$K37,0),"")</f>
        <v/>
      </c>
    </row>
    <row r="38">
      <c r="A38" s="19">
        <f>IF(_config!$C$55="","",_config!$C$55)</f>
        <v/>
      </c>
      <c r="B38" s="31">
        <f>IF(_config!$D$55="","",_config!$D$55)</f>
        <v/>
      </c>
      <c r="C38" s="27">
        <f>IF(_config!$B$55="","",_config!$B$55)</f>
        <v/>
      </c>
      <c r="D38" s="16">
        <f>IF(Raw_CFPB!B3728="","",Raw_CFPB!B3728)</f>
        <v/>
      </c>
      <c r="E38" s="17">
        <f>IF(OR(Raw_CFPB!B3728="",COUNT(Raw_CFPB!B3729:B3740)=0),"",Raw_CFPB!B3728-AVERAGE(Raw_CFPB!B3729:B3740))</f>
        <v/>
      </c>
      <c r="F38" s="16">
        <f>IF(Raw_CFPB!C3728="","",Raw_CFPB!C3728)</f>
        <v/>
      </c>
      <c r="G38" s="32">
        <f>IF(COUNT(Raw_CFPB!C3728:C3731)&lt;4,"",IF(Raw_CFPB!C3728&gt;Raw_CFPB!C3729,1,0)+IF(AND(Raw_CFPB!C3728&gt;Raw_CFPB!C3729,Raw_CFPB!C3729&gt;Raw_CFPB!C3730),1,0)+IF(AND(Raw_CFPB!C3728&gt;Raw_CFPB!C3729,Raw_CFPB!C3729&gt;Raw_CFPB!C3730,Raw_CFPB!C3730&gt;Raw_CFPB!C3731),1,0))</f>
        <v/>
      </c>
      <c r="H38" s="33">
        <f>IF(_config!$C$55="","",IF(NOT(AND(ISTEXT(_config!$B$55),LEN(_config!$B$55)=5)),"REFUSED: blank/invalid FIPS -- run --lookup",IF(UPPER(_config!$E$55&amp;"")&lt;&gt;"TRUE","OFF",IF(Raw_CFPB!$B$4="","(not yet run)",IF(AND($D38="",$F38=""),"SUPPRESSED (below sample threshold) -- use the state row",IF(OR(AND(ISNUMBER($E38),$E38&gt;=_config!$C$16),AND(ISNUMBER($G38),$G38&gt;=_config!$C$17),AND(ISNUMBER($F38),$F38&gt;=_config!$C$18)),"ALERT",IF(OR(AND(ISNUMBER($E38),$E38&gt;=_config!$B$16),AND(ISNUMBER($G38),$G38&gt;=_config!$B$17),AND(ISNUMBER($F38),$F38&gt;=_config!$B$18)),"WATCH","OK")))))))</f>
        <v/>
      </c>
      <c r="I38" s="34">
        <f>IF($L38="","",RANK($L38,$L$5:$L$44))</f>
        <v/>
      </c>
      <c r="K38" s="21">
        <f>IF(OR(Raw_CFPB!C3728="",COUNT(Raw_CFPB!C3729:C3740)=0),"",Raw_CFPB!C3728-AVERAGE(Raw_CFPB!C3729:C3740))</f>
        <v/>
      </c>
      <c r="L38" s="21">
        <f>IF(OR($H38="ALERT",$H38="WATCH",$H38="OK"),IF($H38="ALERT",2,IF($H38="WATCH",1,0))*1000+IF(ISNUMBER($K38),$K38,0),"")</f>
        <v/>
      </c>
    </row>
    <row r="39">
      <c r="A39" s="19">
        <f>IF(_config!$C$56="","",_config!$C$56)</f>
        <v/>
      </c>
      <c r="B39" s="31">
        <f>IF(_config!$D$56="","",_config!$D$56)</f>
        <v/>
      </c>
      <c r="C39" s="27">
        <f>IF(_config!$B$56="","",_config!$B$56)</f>
        <v/>
      </c>
      <c r="D39" s="16">
        <f>IF(Raw_CFPB!B3804="","",Raw_CFPB!B3804)</f>
        <v/>
      </c>
      <c r="E39" s="17">
        <f>IF(OR(Raw_CFPB!B3804="",COUNT(Raw_CFPB!B3805:B3816)=0),"",Raw_CFPB!B3804-AVERAGE(Raw_CFPB!B3805:B3816))</f>
        <v/>
      </c>
      <c r="F39" s="16">
        <f>IF(Raw_CFPB!C3804="","",Raw_CFPB!C3804)</f>
        <v/>
      </c>
      <c r="G39" s="32">
        <f>IF(COUNT(Raw_CFPB!C3804:C3807)&lt;4,"",IF(Raw_CFPB!C3804&gt;Raw_CFPB!C3805,1,0)+IF(AND(Raw_CFPB!C3804&gt;Raw_CFPB!C3805,Raw_CFPB!C3805&gt;Raw_CFPB!C3806),1,0)+IF(AND(Raw_CFPB!C3804&gt;Raw_CFPB!C3805,Raw_CFPB!C3805&gt;Raw_CFPB!C3806,Raw_CFPB!C3806&gt;Raw_CFPB!C3807),1,0))</f>
        <v/>
      </c>
      <c r="H39" s="33">
        <f>IF(_config!$C$56="","",IF(NOT(AND(ISTEXT(_config!$B$56),LEN(_config!$B$56)=5)),"REFUSED: blank/invalid FIPS -- run --lookup",IF(UPPER(_config!$E$56&amp;"")&lt;&gt;"TRUE","OFF",IF(Raw_CFPB!$B$4="","(not yet run)",IF(AND($D39="",$F39=""),"SUPPRESSED (below sample threshold) -- use the state row",IF(OR(AND(ISNUMBER($E39),$E39&gt;=_config!$C$16),AND(ISNUMBER($G39),$G39&gt;=_config!$C$17),AND(ISNUMBER($F39),$F39&gt;=_config!$C$18)),"ALERT",IF(OR(AND(ISNUMBER($E39),$E39&gt;=_config!$B$16),AND(ISNUMBER($G39),$G39&gt;=_config!$B$17),AND(ISNUMBER($F39),$F39&gt;=_config!$B$18)),"WATCH","OK")))))))</f>
        <v/>
      </c>
      <c r="I39" s="34">
        <f>IF($L39="","",RANK($L39,$L$5:$L$44))</f>
        <v/>
      </c>
      <c r="K39" s="21">
        <f>IF(OR(Raw_CFPB!C3804="",COUNT(Raw_CFPB!C3805:C3816)=0),"",Raw_CFPB!C3804-AVERAGE(Raw_CFPB!C3805:C3816))</f>
        <v/>
      </c>
      <c r="L39" s="21">
        <f>IF(OR($H39="ALERT",$H39="WATCH",$H39="OK"),IF($H39="ALERT",2,IF($H39="WATCH",1,0))*1000+IF(ISNUMBER($K39),$K39,0),"")</f>
        <v/>
      </c>
    </row>
    <row r="40">
      <c r="A40" s="19">
        <f>IF(_config!$C$57="","",_config!$C$57)</f>
        <v/>
      </c>
      <c r="B40" s="31">
        <f>IF(_config!$D$57="","",_config!$D$57)</f>
        <v/>
      </c>
      <c r="C40" s="27">
        <f>IF(_config!$B$57="","",_config!$B$57)</f>
        <v/>
      </c>
      <c r="D40" s="16">
        <f>IF(Raw_CFPB!B3880="","",Raw_CFPB!B3880)</f>
        <v/>
      </c>
      <c r="E40" s="17">
        <f>IF(OR(Raw_CFPB!B3880="",COUNT(Raw_CFPB!B3881:B3892)=0),"",Raw_CFPB!B3880-AVERAGE(Raw_CFPB!B3881:B3892))</f>
        <v/>
      </c>
      <c r="F40" s="16">
        <f>IF(Raw_CFPB!C3880="","",Raw_CFPB!C3880)</f>
        <v/>
      </c>
      <c r="G40" s="32">
        <f>IF(COUNT(Raw_CFPB!C3880:C3883)&lt;4,"",IF(Raw_CFPB!C3880&gt;Raw_CFPB!C3881,1,0)+IF(AND(Raw_CFPB!C3880&gt;Raw_CFPB!C3881,Raw_CFPB!C3881&gt;Raw_CFPB!C3882),1,0)+IF(AND(Raw_CFPB!C3880&gt;Raw_CFPB!C3881,Raw_CFPB!C3881&gt;Raw_CFPB!C3882,Raw_CFPB!C3882&gt;Raw_CFPB!C3883),1,0))</f>
        <v/>
      </c>
      <c r="H40" s="33">
        <f>IF(_config!$C$57="","",IF(NOT(AND(ISTEXT(_config!$B$57),LEN(_config!$B$57)=5)),"REFUSED: blank/invalid FIPS -- run --lookup",IF(UPPER(_config!$E$57&amp;"")&lt;&gt;"TRUE","OFF",IF(Raw_CFPB!$B$4="","(not yet run)",IF(AND($D40="",$F40=""),"SUPPRESSED (below sample threshold) -- use the state row",IF(OR(AND(ISNUMBER($E40),$E40&gt;=_config!$C$16),AND(ISNUMBER($G40),$G40&gt;=_config!$C$17),AND(ISNUMBER($F40),$F40&gt;=_config!$C$18)),"ALERT",IF(OR(AND(ISNUMBER($E40),$E40&gt;=_config!$B$16),AND(ISNUMBER($G40),$G40&gt;=_config!$B$17),AND(ISNUMBER($F40),$F40&gt;=_config!$B$18)),"WATCH","OK")))))))</f>
        <v/>
      </c>
      <c r="I40" s="34">
        <f>IF($L40="","",RANK($L40,$L$5:$L$44))</f>
        <v/>
      </c>
      <c r="K40" s="21">
        <f>IF(OR(Raw_CFPB!C3880="",COUNT(Raw_CFPB!C3881:C3892)=0),"",Raw_CFPB!C3880-AVERAGE(Raw_CFPB!C3881:C3892))</f>
        <v/>
      </c>
      <c r="L40" s="21">
        <f>IF(OR($H40="ALERT",$H40="WATCH",$H40="OK"),IF($H40="ALERT",2,IF($H40="WATCH",1,0))*1000+IF(ISNUMBER($K40),$K40,0),"")</f>
        <v/>
      </c>
    </row>
    <row r="41">
      <c r="A41" s="19">
        <f>IF(_config!$C$58="","",_config!$C$58)</f>
        <v/>
      </c>
      <c r="B41" s="31">
        <f>IF(_config!$D$58="","",_config!$D$58)</f>
        <v/>
      </c>
      <c r="C41" s="27">
        <f>IF(_config!$B$58="","",_config!$B$58)</f>
        <v/>
      </c>
      <c r="D41" s="16">
        <f>IF(Raw_CFPB!B3956="","",Raw_CFPB!B3956)</f>
        <v/>
      </c>
      <c r="E41" s="17">
        <f>IF(OR(Raw_CFPB!B3956="",COUNT(Raw_CFPB!B3957:B3968)=0),"",Raw_CFPB!B3956-AVERAGE(Raw_CFPB!B3957:B3968))</f>
        <v/>
      </c>
      <c r="F41" s="16">
        <f>IF(Raw_CFPB!C3956="","",Raw_CFPB!C3956)</f>
        <v/>
      </c>
      <c r="G41" s="32">
        <f>IF(COUNT(Raw_CFPB!C3956:C3959)&lt;4,"",IF(Raw_CFPB!C3956&gt;Raw_CFPB!C3957,1,0)+IF(AND(Raw_CFPB!C3956&gt;Raw_CFPB!C3957,Raw_CFPB!C3957&gt;Raw_CFPB!C3958),1,0)+IF(AND(Raw_CFPB!C3956&gt;Raw_CFPB!C3957,Raw_CFPB!C3957&gt;Raw_CFPB!C3958,Raw_CFPB!C3958&gt;Raw_CFPB!C3959),1,0))</f>
        <v/>
      </c>
      <c r="H41" s="33">
        <f>IF(_config!$C$58="","",IF(NOT(AND(ISTEXT(_config!$B$58),LEN(_config!$B$58)=5)),"REFUSED: blank/invalid FIPS -- run --lookup",IF(UPPER(_config!$E$58&amp;"")&lt;&gt;"TRUE","OFF",IF(Raw_CFPB!$B$4="","(not yet run)",IF(AND($D41="",$F41=""),"SUPPRESSED (below sample threshold) -- use the state row",IF(OR(AND(ISNUMBER($E41),$E41&gt;=_config!$C$16),AND(ISNUMBER($G41),$G41&gt;=_config!$C$17),AND(ISNUMBER($F41),$F41&gt;=_config!$C$18)),"ALERT",IF(OR(AND(ISNUMBER($E41),$E41&gt;=_config!$B$16),AND(ISNUMBER($G41),$G41&gt;=_config!$B$17),AND(ISNUMBER($F41),$F41&gt;=_config!$B$18)),"WATCH","OK")))))))</f>
        <v/>
      </c>
      <c r="I41" s="34">
        <f>IF($L41="","",RANK($L41,$L$5:$L$44))</f>
        <v/>
      </c>
      <c r="K41" s="21">
        <f>IF(OR(Raw_CFPB!C3956="",COUNT(Raw_CFPB!C3957:C3968)=0),"",Raw_CFPB!C3956-AVERAGE(Raw_CFPB!C3957:C3968))</f>
        <v/>
      </c>
      <c r="L41" s="21">
        <f>IF(OR($H41="ALERT",$H41="WATCH",$H41="OK"),IF($H41="ALERT",2,IF($H41="WATCH",1,0))*1000+IF(ISNUMBER($K41),$K41,0),"")</f>
        <v/>
      </c>
    </row>
    <row r="42">
      <c r="A42" s="19">
        <f>IF(_config!$C$59="","",_config!$C$59)</f>
        <v/>
      </c>
      <c r="B42" s="31">
        <f>IF(_config!$D$59="","",_config!$D$59)</f>
        <v/>
      </c>
      <c r="C42" s="27">
        <f>IF(_config!$B$59="","",_config!$B$59)</f>
        <v/>
      </c>
      <c r="D42" s="16">
        <f>IF(Raw_CFPB!B4032="","",Raw_CFPB!B4032)</f>
        <v/>
      </c>
      <c r="E42" s="17">
        <f>IF(OR(Raw_CFPB!B4032="",COUNT(Raw_CFPB!B4033:B4044)=0),"",Raw_CFPB!B4032-AVERAGE(Raw_CFPB!B4033:B4044))</f>
        <v/>
      </c>
      <c r="F42" s="16">
        <f>IF(Raw_CFPB!C4032="","",Raw_CFPB!C4032)</f>
        <v/>
      </c>
      <c r="G42" s="32">
        <f>IF(COUNT(Raw_CFPB!C4032:C4035)&lt;4,"",IF(Raw_CFPB!C4032&gt;Raw_CFPB!C4033,1,0)+IF(AND(Raw_CFPB!C4032&gt;Raw_CFPB!C4033,Raw_CFPB!C4033&gt;Raw_CFPB!C4034),1,0)+IF(AND(Raw_CFPB!C4032&gt;Raw_CFPB!C4033,Raw_CFPB!C4033&gt;Raw_CFPB!C4034,Raw_CFPB!C4034&gt;Raw_CFPB!C4035),1,0))</f>
        <v/>
      </c>
      <c r="H42" s="33">
        <f>IF(_config!$C$59="","",IF(NOT(AND(ISTEXT(_config!$B$59),LEN(_config!$B$59)=5)),"REFUSED: blank/invalid FIPS -- run --lookup",IF(UPPER(_config!$E$59&amp;"")&lt;&gt;"TRUE","OFF",IF(Raw_CFPB!$B$4="","(not yet run)",IF(AND($D42="",$F42=""),"SUPPRESSED (below sample threshold) -- use the state row",IF(OR(AND(ISNUMBER($E42),$E42&gt;=_config!$C$16),AND(ISNUMBER($G42),$G42&gt;=_config!$C$17),AND(ISNUMBER($F42),$F42&gt;=_config!$C$18)),"ALERT",IF(OR(AND(ISNUMBER($E42),$E42&gt;=_config!$B$16),AND(ISNUMBER($G42),$G42&gt;=_config!$B$17),AND(ISNUMBER($F42),$F42&gt;=_config!$B$18)),"WATCH","OK")))))))</f>
        <v/>
      </c>
      <c r="I42" s="34">
        <f>IF($L42="","",RANK($L42,$L$5:$L$44))</f>
        <v/>
      </c>
      <c r="K42" s="21">
        <f>IF(OR(Raw_CFPB!C4032="",COUNT(Raw_CFPB!C4033:C4044)=0),"",Raw_CFPB!C4032-AVERAGE(Raw_CFPB!C4033:C4044))</f>
        <v/>
      </c>
      <c r="L42" s="21">
        <f>IF(OR($H42="ALERT",$H42="WATCH",$H42="OK"),IF($H42="ALERT",2,IF($H42="WATCH",1,0))*1000+IF(ISNUMBER($K42),$K42,0),"")</f>
        <v/>
      </c>
    </row>
    <row r="43">
      <c r="A43" s="19">
        <f>IF(_config!$C$60="","",_config!$C$60)</f>
        <v/>
      </c>
      <c r="B43" s="31">
        <f>IF(_config!$D$60="","",_config!$D$60)</f>
        <v/>
      </c>
      <c r="C43" s="27">
        <f>IF(_config!$B$60="","",_config!$B$60)</f>
        <v/>
      </c>
      <c r="D43" s="16">
        <f>IF(Raw_CFPB!B4108="","",Raw_CFPB!B4108)</f>
        <v/>
      </c>
      <c r="E43" s="17">
        <f>IF(OR(Raw_CFPB!B4108="",COUNT(Raw_CFPB!B4109:B4120)=0),"",Raw_CFPB!B4108-AVERAGE(Raw_CFPB!B4109:B4120))</f>
        <v/>
      </c>
      <c r="F43" s="16">
        <f>IF(Raw_CFPB!C4108="","",Raw_CFPB!C4108)</f>
        <v/>
      </c>
      <c r="G43" s="32">
        <f>IF(COUNT(Raw_CFPB!C4108:C4111)&lt;4,"",IF(Raw_CFPB!C4108&gt;Raw_CFPB!C4109,1,0)+IF(AND(Raw_CFPB!C4108&gt;Raw_CFPB!C4109,Raw_CFPB!C4109&gt;Raw_CFPB!C4110),1,0)+IF(AND(Raw_CFPB!C4108&gt;Raw_CFPB!C4109,Raw_CFPB!C4109&gt;Raw_CFPB!C4110,Raw_CFPB!C4110&gt;Raw_CFPB!C4111),1,0))</f>
        <v/>
      </c>
      <c r="H43" s="33">
        <f>IF(_config!$C$60="","",IF(NOT(AND(ISTEXT(_config!$B$60),LEN(_config!$B$60)=5)),"REFUSED: blank/invalid FIPS -- run --lookup",IF(UPPER(_config!$E$60&amp;"")&lt;&gt;"TRUE","OFF",IF(Raw_CFPB!$B$4="","(not yet run)",IF(AND($D43="",$F43=""),"SUPPRESSED (below sample threshold) -- use the state row",IF(OR(AND(ISNUMBER($E43),$E43&gt;=_config!$C$16),AND(ISNUMBER($G43),$G43&gt;=_config!$C$17),AND(ISNUMBER($F43),$F43&gt;=_config!$C$18)),"ALERT",IF(OR(AND(ISNUMBER($E43),$E43&gt;=_config!$B$16),AND(ISNUMBER($G43),$G43&gt;=_config!$B$17),AND(ISNUMBER($F43),$F43&gt;=_config!$B$18)),"WATCH","OK")))))))</f>
        <v/>
      </c>
      <c r="I43" s="34">
        <f>IF($L43="","",RANK($L43,$L$5:$L$44))</f>
        <v/>
      </c>
      <c r="K43" s="21">
        <f>IF(OR(Raw_CFPB!C4108="",COUNT(Raw_CFPB!C4109:C4120)=0),"",Raw_CFPB!C4108-AVERAGE(Raw_CFPB!C4109:C4120))</f>
        <v/>
      </c>
      <c r="L43" s="21">
        <f>IF(OR($H43="ALERT",$H43="WATCH",$H43="OK"),IF($H43="ALERT",2,IF($H43="WATCH",1,0))*1000+IF(ISNUMBER($K43),$K43,0),"")</f>
        <v/>
      </c>
    </row>
    <row r="44">
      <c r="A44" s="19">
        <f>IF(_config!$C$61="","",_config!$C$61)</f>
        <v/>
      </c>
      <c r="B44" s="31">
        <f>IF(_config!$D$61="","",_config!$D$61)</f>
        <v/>
      </c>
      <c r="C44" s="27">
        <f>IF(_config!$B$61="","",_config!$B$61)</f>
        <v/>
      </c>
      <c r="D44" s="16">
        <f>IF(Raw_CFPB!B4184="","",Raw_CFPB!B4184)</f>
        <v/>
      </c>
      <c r="E44" s="17">
        <f>IF(OR(Raw_CFPB!B4184="",COUNT(Raw_CFPB!B4185:B4196)=0),"",Raw_CFPB!B4184-AVERAGE(Raw_CFPB!B4185:B4196))</f>
        <v/>
      </c>
      <c r="F44" s="16">
        <f>IF(Raw_CFPB!C4184="","",Raw_CFPB!C4184)</f>
        <v/>
      </c>
      <c r="G44" s="32">
        <f>IF(COUNT(Raw_CFPB!C4184:C4187)&lt;4,"",IF(Raw_CFPB!C4184&gt;Raw_CFPB!C4185,1,0)+IF(AND(Raw_CFPB!C4184&gt;Raw_CFPB!C4185,Raw_CFPB!C4185&gt;Raw_CFPB!C4186),1,0)+IF(AND(Raw_CFPB!C4184&gt;Raw_CFPB!C4185,Raw_CFPB!C4185&gt;Raw_CFPB!C4186,Raw_CFPB!C4186&gt;Raw_CFPB!C4187),1,0))</f>
        <v/>
      </c>
      <c r="H44" s="33">
        <f>IF(_config!$C$61="","",IF(NOT(AND(ISTEXT(_config!$B$61),LEN(_config!$B$61)=5)),"REFUSED: blank/invalid FIPS -- run --lookup",IF(UPPER(_config!$E$61&amp;"")&lt;&gt;"TRUE","OFF",IF(Raw_CFPB!$B$4="","(not yet run)",IF(AND($D44="",$F44=""),"SUPPRESSED (below sample threshold) -- use the state row",IF(OR(AND(ISNUMBER($E44),$E44&gt;=_config!$C$16),AND(ISNUMBER($G44),$G44&gt;=_config!$C$17),AND(ISNUMBER($F44),$F44&gt;=_config!$C$18)),"ALERT",IF(OR(AND(ISNUMBER($E44),$E44&gt;=_config!$B$16),AND(ISNUMBER($G44),$G44&gt;=_config!$B$17),AND(ISNUMBER($F44),$F44&gt;=_config!$B$18)),"WATCH","OK")))))))</f>
        <v/>
      </c>
      <c r="I44" s="34">
        <f>IF($L44="","",RANK($L44,$L$5:$L$44))</f>
        <v/>
      </c>
      <c r="K44" s="21">
        <f>IF(OR(Raw_CFPB!C4184="",COUNT(Raw_CFPB!C4185:C4196)=0),"",Raw_CFPB!C4184-AVERAGE(Raw_CFPB!C4185:C4196))</f>
        <v/>
      </c>
      <c r="L44" s="21">
        <f>IF(OR($H44="ALERT",$H44="WATCH",$H44="OK"),IF($H44="ALERT",2,IF($H44="WATCH",1,0))*1000+IF(ISNUMBER($K44),$K44,0),"")</f>
        <v/>
      </c>
    </row>
    <row r="46">
      <c r="A46" s="21" t="inlineStr">
        <is>
          <t>Columns K-L are the rank helpers (90+ dev vs 12m avg; severity*1000 + dev). SUPPRESSED counties carry no rank and never count toward the alert KPIs -- absence from the CFPB file is a sample-size fact, not a zero. Sort/filter on Rank if desired.</t>
        </is>
      </c>
    </row>
  </sheetData>
  <mergeCells count="4">
    <mergeCell ref="A1:I1"/>
    <mergeCell ref="A3:I3"/>
    <mergeCell ref="A2:I2"/>
    <mergeCell ref="A46:I46"/>
  </mergeCells>
  <conditionalFormatting sqref="H5:H44">
    <cfRule type="expression" priority="1" dxfId="0">
      <formula>ISNUMBER(SEARCH("ALERT",H5))</formula>
    </cfRule>
    <cfRule type="expression" priority="2" dxfId="1">
      <formula>ISNUMBER(SEARCH("SUPPRESSED",H5))</formula>
    </cfRule>
  </conditionalFormatting>
  <conditionalFormatting sqref="E5:E44">
    <cfRule type="expression" priority="3" dxfId="0" stopIfTrue="1">
      <formula>AND(ISNUMBER(E5),E5&gt;=_config!$C$16)</formula>
    </cfRule>
    <cfRule type="expression" priority="4" dxfId="1" stopIfTrue="1">
      <formula>AND(ISNUMBER(E5),E5&gt;=_config!$B$16)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5:F44">
    <cfRule type="expression" priority="5" dxfId="0" stopIfTrue="1">
      <formula>AND(ISNUMBER(F5),F5&gt;=_config!$C$18)</formula>
    </cfRule>
    <cfRule type="expression" priority="6" dxfId="1" stopIfTrue="1">
      <formula>AND(ISNUMBER(F5),F5&gt;=_config!$B$18)</formula>
    </cfRule>
  </conditionalFormatting>
  <conditionalFormatting sqref="G5:G44">
    <cfRule type="expression" priority="7" dxfId="0" stopIfTrue="1">
      <formula>AND(ISNUMBER(G5),G5&gt;=_config!$C$17)</formula>
    </cfRule>
    <cfRule type="expression" priority="8" dxfId="1" stopIfTrue="1">
      <formula>AND(ISNUMBER(G5),G5&gt;=_config!$B$17)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4183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44" customWidth="1" min="4" max="4"/>
  </cols>
  <sheetData>
    <row r="1">
      <c r="A1" s="21" t="inlineStr">
        <is>
          <t>Raw_CFPB -- CFPB Mortgage Performance Trends values per geo slot (or CfpbDemoProvider output in --demo), newest month first. Blocks: nat, st01-st15, co01-co40; anchors never move when [FOOTPRINT] changes. Values are percent shares; a missing month is blank, never 0. FULL-REPLACED every run (every vintage revises the whole history -- trap C3). Written by runner.py -- do not edit.</t>
        </is>
      </c>
    </row>
    <row r="2">
      <c r="A2" s="24" t="inlineStr">
        <is>
          <t>nat</t>
        </is>
      </c>
    </row>
    <row r="3">
      <c r="A3" s="30" t="inlineStr">
        <is>
          <t>month</t>
        </is>
      </c>
      <c r="B3" s="30" t="inlineStr">
        <is>
          <t>d3089_pct</t>
        </is>
      </c>
      <c r="C3" s="30" t="inlineStr">
        <is>
          <t>d90_pct</t>
        </is>
      </c>
    </row>
    <row r="78">
      <c r="A78" s="24" t="inlineStr">
        <is>
          <t>st01</t>
        </is>
      </c>
    </row>
    <row r="79">
      <c r="A79" s="30" t="inlineStr">
        <is>
          <t>month</t>
        </is>
      </c>
      <c r="B79" s="30" t="inlineStr">
        <is>
          <t>d3089_pct</t>
        </is>
      </c>
      <c r="C79" s="30" t="inlineStr">
        <is>
          <t>d90_pct</t>
        </is>
      </c>
    </row>
    <row r="154">
      <c r="A154" s="24" t="inlineStr">
        <is>
          <t>st02</t>
        </is>
      </c>
    </row>
    <row r="155">
      <c r="A155" s="30" t="inlineStr">
        <is>
          <t>month</t>
        </is>
      </c>
      <c r="B155" s="30" t="inlineStr">
        <is>
          <t>d3089_pct</t>
        </is>
      </c>
      <c r="C155" s="30" t="inlineStr">
        <is>
          <t>d90_pct</t>
        </is>
      </c>
    </row>
    <row r="230">
      <c r="A230" s="24" t="inlineStr">
        <is>
          <t>st03</t>
        </is>
      </c>
    </row>
    <row r="231">
      <c r="A231" s="30" t="inlineStr">
        <is>
          <t>month</t>
        </is>
      </c>
      <c r="B231" s="30" t="inlineStr">
        <is>
          <t>d3089_pct</t>
        </is>
      </c>
      <c r="C231" s="30" t="inlineStr">
        <is>
          <t>d90_pct</t>
        </is>
      </c>
    </row>
    <row r="306">
      <c r="A306" s="24" t="inlineStr">
        <is>
          <t>st04</t>
        </is>
      </c>
    </row>
    <row r="307">
      <c r="A307" s="30" t="inlineStr">
        <is>
          <t>month</t>
        </is>
      </c>
      <c r="B307" s="30" t="inlineStr">
        <is>
          <t>d3089_pct</t>
        </is>
      </c>
      <c r="C307" s="30" t="inlineStr">
        <is>
          <t>d90_pct</t>
        </is>
      </c>
    </row>
    <row r="382">
      <c r="A382" s="24" t="inlineStr">
        <is>
          <t>st05</t>
        </is>
      </c>
    </row>
    <row r="383">
      <c r="A383" s="30" t="inlineStr">
        <is>
          <t>month</t>
        </is>
      </c>
      <c r="B383" s="30" t="inlineStr">
        <is>
          <t>d3089_pct</t>
        </is>
      </c>
      <c r="C383" s="30" t="inlineStr">
        <is>
          <t>d90_pct</t>
        </is>
      </c>
    </row>
    <row r="458">
      <c r="A458" s="24" t="inlineStr">
        <is>
          <t>st06</t>
        </is>
      </c>
    </row>
    <row r="459">
      <c r="A459" s="30" t="inlineStr">
        <is>
          <t>month</t>
        </is>
      </c>
      <c r="B459" s="30" t="inlineStr">
        <is>
          <t>d3089_pct</t>
        </is>
      </c>
      <c r="C459" s="30" t="inlineStr">
        <is>
          <t>d90_pct</t>
        </is>
      </c>
    </row>
    <row r="534">
      <c r="A534" s="24" t="inlineStr">
        <is>
          <t>st07</t>
        </is>
      </c>
    </row>
    <row r="535">
      <c r="A535" s="30" t="inlineStr">
        <is>
          <t>month</t>
        </is>
      </c>
      <c r="B535" s="30" t="inlineStr">
        <is>
          <t>d3089_pct</t>
        </is>
      </c>
      <c r="C535" s="30" t="inlineStr">
        <is>
          <t>d90_pct</t>
        </is>
      </c>
    </row>
    <row r="610">
      <c r="A610" s="24" t="inlineStr">
        <is>
          <t>st08</t>
        </is>
      </c>
    </row>
    <row r="611">
      <c r="A611" s="30" t="inlineStr">
        <is>
          <t>month</t>
        </is>
      </c>
      <c r="B611" s="30" t="inlineStr">
        <is>
          <t>d3089_pct</t>
        </is>
      </c>
      <c r="C611" s="30" t="inlineStr">
        <is>
          <t>d90_pct</t>
        </is>
      </c>
    </row>
    <row r="686">
      <c r="A686" s="24" t="inlineStr">
        <is>
          <t>st09</t>
        </is>
      </c>
    </row>
    <row r="687">
      <c r="A687" s="30" t="inlineStr">
        <is>
          <t>month</t>
        </is>
      </c>
      <c r="B687" s="30" t="inlineStr">
        <is>
          <t>d3089_pct</t>
        </is>
      </c>
      <c r="C687" s="30" t="inlineStr">
        <is>
          <t>d90_pct</t>
        </is>
      </c>
    </row>
    <row r="762">
      <c r="A762" s="24" t="inlineStr">
        <is>
          <t>st10</t>
        </is>
      </c>
    </row>
    <row r="763">
      <c r="A763" s="30" t="inlineStr">
        <is>
          <t>month</t>
        </is>
      </c>
      <c r="B763" s="30" t="inlineStr">
        <is>
          <t>d3089_pct</t>
        </is>
      </c>
      <c r="C763" s="30" t="inlineStr">
        <is>
          <t>d90_pct</t>
        </is>
      </c>
    </row>
    <row r="838">
      <c r="A838" s="24" t="inlineStr">
        <is>
          <t>st11</t>
        </is>
      </c>
    </row>
    <row r="839">
      <c r="A839" s="30" t="inlineStr">
        <is>
          <t>month</t>
        </is>
      </c>
      <c r="B839" s="30" t="inlineStr">
        <is>
          <t>d3089_pct</t>
        </is>
      </c>
      <c r="C839" s="30" t="inlineStr">
        <is>
          <t>d90_pct</t>
        </is>
      </c>
    </row>
    <row r="914">
      <c r="A914" s="24" t="inlineStr">
        <is>
          <t>st12</t>
        </is>
      </c>
    </row>
    <row r="915">
      <c r="A915" s="30" t="inlineStr">
        <is>
          <t>month</t>
        </is>
      </c>
      <c r="B915" s="30" t="inlineStr">
        <is>
          <t>d3089_pct</t>
        </is>
      </c>
      <c r="C915" s="30" t="inlineStr">
        <is>
          <t>d90_pct</t>
        </is>
      </c>
    </row>
    <row r="990">
      <c r="A990" s="24" t="inlineStr">
        <is>
          <t>st13</t>
        </is>
      </c>
    </row>
    <row r="991">
      <c r="A991" s="30" t="inlineStr">
        <is>
          <t>month</t>
        </is>
      </c>
      <c r="B991" s="30" t="inlineStr">
        <is>
          <t>d3089_pct</t>
        </is>
      </c>
      <c r="C991" s="30" t="inlineStr">
        <is>
          <t>d90_pct</t>
        </is>
      </c>
    </row>
    <row r="1066">
      <c r="A1066" s="24" t="inlineStr">
        <is>
          <t>st14</t>
        </is>
      </c>
    </row>
    <row r="1067">
      <c r="A1067" s="30" t="inlineStr">
        <is>
          <t>month</t>
        </is>
      </c>
      <c r="B1067" s="30" t="inlineStr">
        <is>
          <t>d3089_pct</t>
        </is>
      </c>
      <c r="C1067" s="30" t="inlineStr">
        <is>
          <t>d90_pct</t>
        </is>
      </c>
    </row>
    <row r="1142">
      <c r="A1142" s="24" t="inlineStr">
        <is>
          <t>st15</t>
        </is>
      </c>
    </row>
    <row r="1143">
      <c r="A1143" s="30" t="inlineStr">
        <is>
          <t>month</t>
        </is>
      </c>
      <c r="B1143" s="30" t="inlineStr">
        <is>
          <t>d3089_pct</t>
        </is>
      </c>
      <c r="C1143" s="30" t="inlineStr">
        <is>
          <t>d90_pct</t>
        </is>
      </c>
    </row>
    <row r="1218">
      <c r="A1218" s="24" t="inlineStr">
        <is>
          <t>co01</t>
        </is>
      </c>
    </row>
    <row r="1219">
      <c r="A1219" s="30" t="inlineStr">
        <is>
          <t>month</t>
        </is>
      </c>
      <c r="B1219" s="30" t="inlineStr">
        <is>
          <t>d3089_pct</t>
        </is>
      </c>
      <c r="C1219" s="30" t="inlineStr">
        <is>
          <t>d90_pct</t>
        </is>
      </c>
    </row>
    <row r="1294">
      <c r="A1294" s="24" t="inlineStr">
        <is>
          <t>co02</t>
        </is>
      </c>
    </row>
    <row r="1295">
      <c r="A1295" s="30" t="inlineStr">
        <is>
          <t>month</t>
        </is>
      </c>
      <c r="B1295" s="30" t="inlineStr">
        <is>
          <t>d3089_pct</t>
        </is>
      </c>
      <c r="C1295" s="30" t="inlineStr">
        <is>
          <t>d90_pct</t>
        </is>
      </c>
    </row>
    <row r="1370">
      <c r="A1370" s="24" t="inlineStr">
        <is>
          <t>co03</t>
        </is>
      </c>
    </row>
    <row r="1371">
      <c r="A1371" s="30" t="inlineStr">
        <is>
          <t>month</t>
        </is>
      </c>
      <c r="B1371" s="30" t="inlineStr">
        <is>
          <t>d3089_pct</t>
        </is>
      </c>
      <c r="C1371" s="30" t="inlineStr">
        <is>
          <t>d90_pct</t>
        </is>
      </c>
    </row>
    <row r="1446">
      <c r="A1446" s="24" t="inlineStr">
        <is>
          <t>co04</t>
        </is>
      </c>
    </row>
    <row r="1447">
      <c r="A1447" s="30" t="inlineStr">
        <is>
          <t>month</t>
        </is>
      </c>
      <c r="B1447" s="30" t="inlineStr">
        <is>
          <t>d3089_pct</t>
        </is>
      </c>
      <c r="C1447" s="30" t="inlineStr">
        <is>
          <t>d90_pct</t>
        </is>
      </c>
    </row>
    <row r="1522">
      <c r="A1522" s="24" t="inlineStr">
        <is>
          <t>co05</t>
        </is>
      </c>
    </row>
    <row r="1523">
      <c r="A1523" s="30" t="inlineStr">
        <is>
          <t>month</t>
        </is>
      </c>
      <c r="B1523" s="30" t="inlineStr">
        <is>
          <t>d3089_pct</t>
        </is>
      </c>
      <c r="C1523" s="30" t="inlineStr">
        <is>
          <t>d90_pct</t>
        </is>
      </c>
    </row>
    <row r="1598">
      <c r="A1598" s="24" t="inlineStr">
        <is>
          <t>co06</t>
        </is>
      </c>
    </row>
    <row r="1599">
      <c r="A1599" s="30" t="inlineStr">
        <is>
          <t>month</t>
        </is>
      </c>
      <c r="B1599" s="30" t="inlineStr">
        <is>
          <t>d3089_pct</t>
        </is>
      </c>
      <c r="C1599" s="30" t="inlineStr">
        <is>
          <t>d90_pct</t>
        </is>
      </c>
    </row>
    <row r="1674">
      <c r="A1674" s="24" t="inlineStr">
        <is>
          <t>co07</t>
        </is>
      </c>
    </row>
    <row r="1675">
      <c r="A1675" s="30" t="inlineStr">
        <is>
          <t>month</t>
        </is>
      </c>
      <c r="B1675" s="30" t="inlineStr">
        <is>
          <t>d3089_pct</t>
        </is>
      </c>
      <c r="C1675" s="30" t="inlineStr">
        <is>
          <t>d90_pct</t>
        </is>
      </c>
    </row>
    <row r="1750">
      <c r="A1750" s="24" t="inlineStr">
        <is>
          <t>co08</t>
        </is>
      </c>
    </row>
    <row r="1751">
      <c r="A1751" s="30" t="inlineStr">
        <is>
          <t>month</t>
        </is>
      </c>
      <c r="B1751" s="30" t="inlineStr">
        <is>
          <t>d3089_pct</t>
        </is>
      </c>
      <c r="C1751" s="30" t="inlineStr">
        <is>
          <t>d90_pct</t>
        </is>
      </c>
    </row>
    <row r="1826">
      <c r="A1826" s="24" t="inlineStr">
        <is>
          <t>co09</t>
        </is>
      </c>
    </row>
    <row r="1827">
      <c r="A1827" s="30" t="inlineStr">
        <is>
          <t>month</t>
        </is>
      </c>
      <c r="B1827" s="30" t="inlineStr">
        <is>
          <t>d3089_pct</t>
        </is>
      </c>
      <c r="C1827" s="30" t="inlineStr">
        <is>
          <t>d90_pct</t>
        </is>
      </c>
    </row>
    <row r="1902">
      <c r="A1902" s="24" t="inlineStr">
        <is>
          <t>co10</t>
        </is>
      </c>
    </row>
    <row r="1903">
      <c r="A1903" s="30" t="inlineStr">
        <is>
          <t>month</t>
        </is>
      </c>
      <c r="B1903" s="30" t="inlineStr">
        <is>
          <t>d3089_pct</t>
        </is>
      </c>
      <c r="C1903" s="30" t="inlineStr">
        <is>
          <t>d90_pct</t>
        </is>
      </c>
    </row>
    <row r="1978">
      <c r="A1978" s="24" t="inlineStr">
        <is>
          <t>co11</t>
        </is>
      </c>
    </row>
    <row r="1979">
      <c r="A1979" s="30" t="inlineStr">
        <is>
          <t>month</t>
        </is>
      </c>
      <c r="B1979" s="30" t="inlineStr">
        <is>
          <t>d3089_pct</t>
        </is>
      </c>
      <c r="C1979" s="30" t="inlineStr">
        <is>
          <t>d90_pct</t>
        </is>
      </c>
    </row>
    <row r="2054">
      <c r="A2054" s="24" t="inlineStr">
        <is>
          <t>co12</t>
        </is>
      </c>
    </row>
    <row r="2055">
      <c r="A2055" s="30" t="inlineStr">
        <is>
          <t>month</t>
        </is>
      </c>
      <c r="B2055" s="30" t="inlineStr">
        <is>
          <t>d3089_pct</t>
        </is>
      </c>
      <c r="C2055" s="30" t="inlineStr">
        <is>
          <t>d90_pct</t>
        </is>
      </c>
    </row>
    <row r="2130">
      <c r="A2130" s="24" t="inlineStr">
        <is>
          <t>co13</t>
        </is>
      </c>
    </row>
    <row r="2131">
      <c r="A2131" s="30" t="inlineStr">
        <is>
          <t>month</t>
        </is>
      </c>
      <c r="B2131" s="30" t="inlineStr">
        <is>
          <t>d3089_pct</t>
        </is>
      </c>
      <c r="C2131" s="30" t="inlineStr">
        <is>
          <t>d90_pct</t>
        </is>
      </c>
    </row>
    <row r="2206">
      <c r="A2206" s="24" t="inlineStr">
        <is>
          <t>co14</t>
        </is>
      </c>
    </row>
    <row r="2207">
      <c r="A2207" s="30" t="inlineStr">
        <is>
          <t>month</t>
        </is>
      </c>
      <c r="B2207" s="30" t="inlineStr">
        <is>
          <t>d3089_pct</t>
        </is>
      </c>
      <c r="C2207" s="30" t="inlineStr">
        <is>
          <t>d90_pct</t>
        </is>
      </c>
    </row>
    <row r="2282">
      <c r="A2282" s="24" t="inlineStr">
        <is>
          <t>co15</t>
        </is>
      </c>
    </row>
    <row r="2283">
      <c r="A2283" s="30" t="inlineStr">
        <is>
          <t>month</t>
        </is>
      </c>
      <c r="B2283" s="30" t="inlineStr">
        <is>
          <t>d3089_pct</t>
        </is>
      </c>
      <c r="C2283" s="30" t="inlineStr">
        <is>
          <t>d90_pct</t>
        </is>
      </c>
    </row>
    <row r="2358">
      <c r="A2358" s="24" t="inlineStr">
        <is>
          <t>co16</t>
        </is>
      </c>
    </row>
    <row r="2359">
      <c r="A2359" s="30" t="inlineStr">
        <is>
          <t>month</t>
        </is>
      </c>
      <c r="B2359" s="30" t="inlineStr">
        <is>
          <t>d3089_pct</t>
        </is>
      </c>
      <c r="C2359" s="30" t="inlineStr">
        <is>
          <t>d90_pct</t>
        </is>
      </c>
    </row>
    <row r="2434">
      <c r="A2434" s="24" t="inlineStr">
        <is>
          <t>co17</t>
        </is>
      </c>
    </row>
    <row r="2435">
      <c r="A2435" s="30" t="inlineStr">
        <is>
          <t>month</t>
        </is>
      </c>
      <c r="B2435" s="30" t="inlineStr">
        <is>
          <t>d3089_pct</t>
        </is>
      </c>
      <c r="C2435" s="30" t="inlineStr">
        <is>
          <t>d90_pct</t>
        </is>
      </c>
    </row>
    <row r="2510">
      <c r="A2510" s="24" t="inlineStr">
        <is>
          <t>co18</t>
        </is>
      </c>
    </row>
    <row r="2511">
      <c r="A2511" s="30" t="inlineStr">
        <is>
          <t>month</t>
        </is>
      </c>
      <c r="B2511" s="30" t="inlineStr">
        <is>
          <t>d3089_pct</t>
        </is>
      </c>
      <c r="C2511" s="30" t="inlineStr">
        <is>
          <t>d90_pct</t>
        </is>
      </c>
    </row>
    <row r="2586">
      <c r="A2586" s="24" t="inlineStr">
        <is>
          <t>co19</t>
        </is>
      </c>
    </row>
    <row r="2587">
      <c r="A2587" s="30" t="inlineStr">
        <is>
          <t>month</t>
        </is>
      </c>
      <c r="B2587" s="30" t="inlineStr">
        <is>
          <t>d3089_pct</t>
        </is>
      </c>
      <c r="C2587" s="30" t="inlineStr">
        <is>
          <t>d90_pct</t>
        </is>
      </c>
    </row>
    <row r="2662">
      <c r="A2662" s="24" t="inlineStr">
        <is>
          <t>co20</t>
        </is>
      </c>
    </row>
    <row r="2663">
      <c r="A2663" s="30" t="inlineStr">
        <is>
          <t>month</t>
        </is>
      </c>
      <c r="B2663" s="30" t="inlineStr">
        <is>
          <t>d3089_pct</t>
        </is>
      </c>
      <c r="C2663" s="30" t="inlineStr">
        <is>
          <t>d90_pct</t>
        </is>
      </c>
    </row>
    <row r="2738">
      <c r="A2738" s="24" t="inlineStr">
        <is>
          <t>co21</t>
        </is>
      </c>
    </row>
    <row r="2739">
      <c r="A2739" s="30" t="inlineStr">
        <is>
          <t>month</t>
        </is>
      </c>
      <c r="B2739" s="30" t="inlineStr">
        <is>
          <t>d3089_pct</t>
        </is>
      </c>
      <c r="C2739" s="30" t="inlineStr">
        <is>
          <t>d90_pct</t>
        </is>
      </c>
    </row>
    <row r="2814">
      <c r="A2814" s="24" t="inlineStr">
        <is>
          <t>co22</t>
        </is>
      </c>
    </row>
    <row r="2815">
      <c r="A2815" s="30" t="inlineStr">
        <is>
          <t>month</t>
        </is>
      </c>
      <c r="B2815" s="30" t="inlineStr">
        <is>
          <t>d3089_pct</t>
        </is>
      </c>
      <c r="C2815" s="30" t="inlineStr">
        <is>
          <t>d90_pct</t>
        </is>
      </c>
    </row>
    <row r="2890">
      <c r="A2890" s="24" t="inlineStr">
        <is>
          <t>co23</t>
        </is>
      </c>
    </row>
    <row r="2891">
      <c r="A2891" s="30" t="inlineStr">
        <is>
          <t>month</t>
        </is>
      </c>
      <c r="B2891" s="30" t="inlineStr">
        <is>
          <t>d3089_pct</t>
        </is>
      </c>
      <c r="C2891" s="30" t="inlineStr">
        <is>
          <t>d90_pct</t>
        </is>
      </c>
    </row>
    <row r="2966">
      <c r="A2966" s="24" t="inlineStr">
        <is>
          <t>co24</t>
        </is>
      </c>
    </row>
    <row r="2967">
      <c r="A2967" s="30" t="inlineStr">
        <is>
          <t>month</t>
        </is>
      </c>
      <c r="B2967" s="30" t="inlineStr">
        <is>
          <t>d3089_pct</t>
        </is>
      </c>
      <c r="C2967" s="30" t="inlineStr">
        <is>
          <t>d90_pct</t>
        </is>
      </c>
    </row>
    <row r="3042">
      <c r="A3042" s="24" t="inlineStr">
        <is>
          <t>co25</t>
        </is>
      </c>
    </row>
    <row r="3043">
      <c r="A3043" s="30" t="inlineStr">
        <is>
          <t>month</t>
        </is>
      </c>
      <c r="B3043" s="30" t="inlineStr">
        <is>
          <t>d3089_pct</t>
        </is>
      </c>
      <c r="C3043" s="30" t="inlineStr">
        <is>
          <t>d90_pct</t>
        </is>
      </c>
    </row>
    <row r="3118">
      <c r="A3118" s="24" t="inlineStr">
        <is>
          <t>co26</t>
        </is>
      </c>
    </row>
    <row r="3119">
      <c r="A3119" s="30" t="inlineStr">
        <is>
          <t>month</t>
        </is>
      </c>
      <c r="B3119" s="30" t="inlineStr">
        <is>
          <t>d3089_pct</t>
        </is>
      </c>
      <c r="C3119" s="30" t="inlineStr">
        <is>
          <t>d90_pct</t>
        </is>
      </c>
    </row>
    <row r="3194">
      <c r="A3194" s="24" t="inlineStr">
        <is>
          <t>co27</t>
        </is>
      </c>
    </row>
    <row r="3195">
      <c r="A3195" s="30" t="inlineStr">
        <is>
          <t>month</t>
        </is>
      </c>
      <c r="B3195" s="30" t="inlineStr">
        <is>
          <t>d3089_pct</t>
        </is>
      </c>
      <c r="C3195" s="30" t="inlineStr">
        <is>
          <t>d90_pct</t>
        </is>
      </c>
    </row>
    <row r="3270">
      <c r="A3270" s="24" t="inlineStr">
        <is>
          <t>co28</t>
        </is>
      </c>
    </row>
    <row r="3271">
      <c r="A3271" s="30" t="inlineStr">
        <is>
          <t>month</t>
        </is>
      </c>
      <c r="B3271" s="30" t="inlineStr">
        <is>
          <t>d3089_pct</t>
        </is>
      </c>
      <c r="C3271" s="30" t="inlineStr">
        <is>
          <t>d90_pct</t>
        </is>
      </c>
    </row>
    <row r="3346">
      <c r="A3346" s="24" t="inlineStr">
        <is>
          <t>co29</t>
        </is>
      </c>
    </row>
    <row r="3347">
      <c r="A3347" s="30" t="inlineStr">
        <is>
          <t>month</t>
        </is>
      </c>
      <c r="B3347" s="30" t="inlineStr">
        <is>
          <t>d3089_pct</t>
        </is>
      </c>
      <c r="C3347" s="30" t="inlineStr">
        <is>
          <t>d90_pct</t>
        </is>
      </c>
    </row>
    <row r="3422">
      <c r="A3422" s="24" t="inlineStr">
        <is>
          <t>co30</t>
        </is>
      </c>
    </row>
    <row r="3423">
      <c r="A3423" s="30" t="inlineStr">
        <is>
          <t>month</t>
        </is>
      </c>
      <c r="B3423" s="30" t="inlineStr">
        <is>
          <t>d3089_pct</t>
        </is>
      </c>
      <c r="C3423" s="30" t="inlineStr">
        <is>
          <t>d90_pct</t>
        </is>
      </c>
    </row>
    <row r="3498">
      <c r="A3498" s="24" t="inlineStr">
        <is>
          <t>co31</t>
        </is>
      </c>
    </row>
    <row r="3499">
      <c r="A3499" s="30" t="inlineStr">
        <is>
          <t>month</t>
        </is>
      </c>
      <c r="B3499" s="30" t="inlineStr">
        <is>
          <t>d3089_pct</t>
        </is>
      </c>
      <c r="C3499" s="30" t="inlineStr">
        <is>
          <t>d90_pct</t>
        </is>
      </c>
    </row>
    <row r="3574">
      <c r="A3574" s="24" t="inlineStr">
        <is>
          <t>co32</t>
        </is>
      </c>
    </row>
    <row r="3575">
      <c r="A3575" s="30" t="inlineStr">
        <is>
          <t>month</t>
        </is>
      </c>
      <c r="B3575" s="30" t="inlineStr">
        <is>
          <t>d3089_pct</t>
        </is>
      </c>
      <c r="C3575" s="30" t="inlineStr">
        <is>
          <t>d90_pct</t>
        </is>
      </c>
    </row>
    <row r="3650">
      <c r="A3650" s="24" t="inlineStr">
        <is>
          <t>co33</t>
        </is>
      </c>
    </row>
    <row r="3651">
      <c r="A3651" s="30" t="inlineStr">
        <is>
          <t>month</t>
        </is>
      </c>
      <c r="B3651" s="30" t="inlineStr">
        <is>
          <t>d3089_pct</t>
        </is>
      </c>
      <c r="C3651" s="30" t="inlineStr">
        <is>
          <t>d90_pct</t>
        </is>
      </c>
    </row>
    <row r="3726">
      <c r="A3726" s="24" t="inlineStr">
        <is>
          <t>co34</t>
        </is>
      </c>
    </row>
    <row r="3727">
      <c r="A3727" s="30" t="inlineStr">
        <is>
          <t>month</t>
        </is>
      </c>
      <c r="B3727" s="30" t="inlineStr">
        <is>
          <t>d3089_pct</t>
        </is>
      </c>
      <c r="C3727" s="30" t="inlineStr">
        <is>
          <t>d90_pct</t>
        </is>
      </c>
    </row>
    <row r="3802">
      <c r="A3802" s="24" t="inlineStr">
        <is>
          <t>co35</t>
        </is>
      </c>
    </row>
    <row r="3803">
      <c r="A3803" s="30" t="inlineStr">
        <is>
          <t>month</t>
        </is>
      </c>
      <c r="B3803" s="30" t="inlineStr">
        <is>
          <t>d3089_pct</t>
        </is>
      </c>
      <c r="C3803" s="30" t="inlineStr">
        <is>
          <t>d90_pct</t>
        </is>
      </c>
    </row>
    <row r="3878">
      <c r="A3878" s="24" t="inlineStr">
        <is>
          <t>co36</t>
        </is>
      </c>
    </row>
    <row r="3879">
      <c r="A3879" s="30" t="inlineStr">
        <is>
          <t>month</t>
        </is>
      </c>
      <c r="B3879" s="30" t="inlineStr">
        <is>
          <t>d3089_pct</t>
        </is>
      </c>
      <c r="C3879" s="30" t="inlineStr">
        <is>
          <t>d90_pct</t>
        </is>
      </c>
    </row>
    <row r="3954">
      <c r="A3954" s="24" t="inlineStr">
        <is>
          <t>co37</t>
        </is>
      </c>
    </row>
    <row r="3955">
      <c r="A3955" s="30" t="inlineStr">
        <is>
          <t>month</t>
        </is>
      </c>
      <c r="B3955" s="30" t="inlineStr">
        <is>
          <t>d3089_pct</t>
        </is>
      </c>
      <c r="C3955" s="30" t="inlineStr">
        <is>
          <t>d90_pct</t>
        </is>
      </c>
    </row>
    <row r="4030">
      <c r="A4030" s="24" t="inlineStr">
        <is>
          <t>co38</t>
        </is>
      </c>
    </row>
    <row r="4031">
      <c r="A4031" s="30" t="inlineStr">
        <is>
          <t>month</t>
        </is>
      </c>
      <c r="B4031" s="30" t="inlineStr">
        <is>
          <t>d3089_pct</t>
        </is>
      </c>
      <c r="C4031" s="30" t="inlineStr">
        <is>
          <t>d90_pct</t>
        </is>
      </c>
    </row>
    <row r="4106">
      <c r="A4106" s="24" t="inlineStr">
        <is>
          <t>co39</t>
        </is>
      </c>
    </row>
    <row r="4107">
      <c r="A4107" s="30" t="inlineStr">
        <is>
          <t>month</t>
        </is>
      </c>
      <c r="B4107" s="30" t="inlineStr">
        <is>
          <t>d3089_pct</t>
        </is>
      </c>
      <c r="C4107" s="30" t="inlineStr">
        <is>
          <t>d90_pct</t>
        </is>
      </c>
    </row>
    <row r="4182">
      <c r="A4182" s="24" t="inlineStr">
        <is>
          <t>co40</t>
        </is>
      </c>
    </row>
    <row r="4183">
      <c r="A4183" s="30" t="inlineStr">
        <is>
          <t>month</t>
        </is>
      </c>
      <c r="B4183" s="30" t="inlineStr">
        <is>
          <t>d3089_pct</t>
        </is>
      </c>
      <c r="C4183" s="30" t="inlineStr">
        <is>
          <t>d90_pct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S94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30" customWidth="1" min="3" max="3"/>
    <col width="16" customWidth="1" min="4" max="4"/>
    <col width="10" customWidth="1" min="5" max="5"/>
  </cols>
  <sheetData>
    <row r="1">
      <c r="A1" s="24" t="inlineStr">
        <is>
          <t>County Mortgage Delinquency Monitor (CFPB Mortgage Performance Trends) -- CONFIG (the knob panel). Edit values here; no code change needed.</t>
        </is>
      </c>
    </row>
    <row r="3">
      <c r="A3" s="35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CfpbDemoProvider (no network), for trying the button and tests. Live mode is KEYLESS too -- the CFPB files are public domain.</t>
        </is>
      </c>
    </row>
    <row r="6">
      <c r="A6" t="inlineStr">
        <is>
          <t>raw_slots</t>
        </is>
      </c>
      <c r="B6" t="n">
        <v>72</v>
      </c>
      <c r="C6" t="inlineStr">
        <is>
          <t>months kept per geo block (newest-first; 72 = 6 years). BUILT INTO every formula -- changing it requires rebuilding the workbook (make_workbook.py); the runner refuses a mismatched layout.</t>
        </is>
      </c>
    </row>
    <row r="7">
      <c r="A7" t="inlineStr">
        <is>
          <t>footprint_slots</t>
        </is>
      </c>
      <c r="B7" t="n">
        <v>40</v>
      </c>
      <c r="C7" t="inlineStr">
        <is>
          <t>the BUILT county capacity (informational; make_workbook.py --footprint-slots N sets it). More counties than this in [FOOTPRINT] = the runner refuses with the rebuild command -- never truncation.</t>
        </is>
      </c>
    </row>
    <row r="8">
      <c r="A8" t="inlineStr">
        <is>
          <t>http_min_interval</t>
        </is>
      </c>
      <c r="B8" t="n">
        <v>0.6</v>
      </c>
      <c r="C8" t="inlineStr">
        <is>
          <t>seconds between live CFPB requests (only ~5 per refresh; stay polite).</t>
        </is>
      </c>
    </row>
    <row r="9">
      <c r="A9" t="inlineStr">
        <is>
          <t>cfpb_max_retries</t>
        </is>
      </c>
      <c r="B9" t="n">
        <v>4</v>
      </c>
      <c r="C9" t="inlineStr">
        <is>
          <t>retries with backoff on HTTP 429/5xx.</t>
        </is>
      </c>
    </row>
    <row r="10">
      <c r="A10" t="inlineStr">
        <is>
          <t>continuity_months</t>
        </is>
      </c>
      <c r="B10" t="n">
        <v>9</v>
      </c>
      <c r="C10" t="inlineStr">
        <is>
          <t>CONTINUITY tripwire: warn when the newest vintage is more than this many months behind --asof. The CFPB publishes semiannually-ish with a ~6-7 month lag and no formal promise; it survived the 2025 turmoil once.</t>
        </is>
      </c>
    </row>
    <row r="11">
      <c r="A11" t="inlineStr">
        <is>
          <t>vintage</t>
        </is>
      </c>
      <c r="B11" t="inlineStr"/>
      <c r="C11" t="inlineStr">
        <is>
          <t>OPTIONAL override, e.g. thru-2025-09: skip the download-page scrape and fetch that vintage's files directly (useful if the page layout changes). Empty = discover the newest vintage from the page (filenames are DATED -- never hardcode).</t>
        </is>
      </c>
    </row>
    <row r="12">
      <c r="A12" t="inlineStr">
        <is>
          <t>secret_env</t>
        </is>
      </c>
      <c r="B12" t="inlineStr"/>
      <c r="C12" t="inlineStr">
        <is>
          <t>NAME of the env var holding a licensed (Class C) secret. Empty in v1 -- the CFPB files are keyless public domain, and the gates admit ONLY Class A.</t>
        </is>
      </c>
    </row>
    <row r="14">
      <c r="A14" s="35" t="inlineStr">
        <is>
          <t>[THRESHOLDS]</t>
        </is>
      </c>
    </row>
    <row r="15">
      <c r="A15" t="inlineStr">
        <is>
          <t>id</t>
        </is>
      </c>
      <c r="B15" t="inlineStr">
        <is>
          <t>watch</t>
        </is>
      </c>
      <c r="C15" t="inlineStr">
        <is>
          <t>alert</t>
        </is>
      </c>
      <c r="D15" t="inlineStr">
        <is>
          <t>direction</t>
        </is>
      </c>
      <c r="E15" t="inlineStr">
        <is>
          <t>authority</t>
        </is>
      </c>
    </row>
    <row r="16">
      <c r="A16" t="inlineStr">
        <is>
          <t>d3089_dev12m</t>
        </is>
      </c>
      <c r="B16" t="n">
        <v>0.3</v>
      </c>
      <c r="C16" t="n">
        <v>0.6</v>
      </c>
      <c r="D16" t="inlineStr">
        <is>
          <t>above</t>
        </is>
      </c>
      <c r="E16" t="inlineStr">
        <is>
          <t>heuristic: pp deviation of the 30-89 share above its own trailing-12 average (early-stage pipeline turning)</t>
        </is>
      </c>
    </row>
    <row r="17">
      <c r="A17" t="inlineStr">
        <is>
          <t>d90_streak3</t>
        </is>
      </c>
      <c r="B17" t="n">
        <v>2</v>
      </c>
      <c r="C17" t="n">
        <v>3</v>
      </c>
      <c r="D17" t="inlineStr">
        <is>
          <t>above</t>
        </is>
      </c>
      <c r="E17" t="inlineStr">
        <is>
          <t>heuristic: consecutive monthly rises in the 90+ share, capped at 3 (persistence beats level for a slow-moving serious-delinquency rate)</t>
        </is>
      </c>
    </row>
    <row r="18">
      <c r="A18" t="inlineStr">
        <is>
          <t>d90_level</t>
        </is>
      </c>
      <c r="B18" t="n">
        <v>1.5</v>
      </c>
      <c r="C18" t="n">
        <v>3</v>
      </c>
      <c r="D18" t="inlineStr">
        <is>
          <t>above</t>
        </is>
      </c>
      <c r="E18" t="inlineStr">
        <is>
          <t>heuristic: long-run non-crisis 90+ share is under ~1 pct; GFC county peaks ran far higher -- 1.5 = elevated, 3.0 = crisis-adjacent</t>
        </is>
      </c>
    </row>
    <row r="20">
      <c r="A20" s="35" t="inlineStr">
        <is>
          <t>[FOOTPRINT]</t>
        </is>
      </c>
    </row>
    <row r="21">
      <c r="A21" t="inlineStr">
        <is>
          <t>slot</t>
        </is>
      </c>
      <c r="B21" t="inlineStr">
        <is>
          <t>fips</t>
        </is>
      </c>
      <c r="C21" t="inlineStr">
        <is>
          <t>name</t>
        </is>
      </c>
      <c r="D21" t="inlineStr">
        <is>
          <t>state</t>
        </is>
      </c>
      <c r="E21" t="inlineStr">
        <is>
          <t>active</t>
        </is>
      </c>
    </row>
    <row r="22">
      <c r="A22" t="n">
        <v>1</v>
      </c>
      <c r="B22" t="inlineStr">
        <is>
          <t>01003</t>
        </is>
      </c>
      <c r="C22" t="inlineStr">
        <is>
          <t>Baldwin County</t>
        </is>
      </c>
      <c r="D22" t="inlineStr">
        <is>
          <t>AL</t>
        </is>
      </c>
      <c r="E22" t="inlineStr">
        <is>
          <t>TRUE</t>
        </is>
      </c>
    </row>
    <row r="23">
      <c r="A23" t="n">
        <v>2</v>
      </c>
      <c r="B23" t="inlineStr">
        <is>
          <t>01073</t>
        </is>
      </c>
      <c r="C23" t="inlineStr">
        <is>
          <t>Jefferson County</t>
        </is>
      </c>
      <c r="D23" t="inlineStr">
        <is>
          <t>AL</t>
        </is>
      </c>
      <c r="E23" t="inlineStr">
        <is>
          <t>TRUE</t>
        </is>
      </c>
    </row>
    <row r="24">
      <c r="A24" t="n">
        <v>3</v>
      </c>
      <c r="B24" t="inlineStr">
        <is>
          <t>06037</t>
        </is>
      </c>
      <c r="C24" t="inlineStr">
        <is>
          <t>Los Angeles County</t>
        </is>
      </c>
      <c r="D24" t="inlineStr">
        <is>
          <t>CA</t>
        </is>
      </c>
      <c r="E24" t="inlineStr">
        <is>
          <t>TRUE</t>
        </is>
      </c>
    </row>
    <row r="25">
      <c r="A25" t="n">
        <v>4</v>
      </c>
      <c r="B25" t="inlineStr">
        <is>
          <t>17031</t>
        </is>
      </c>
      <c r="C25" t="inlineStr">
        <is>
          <t>Cook County</t>
        </is>
      </c>
      <c r="D25" t="inlineStr">
        <is>
          <t>IL</t>
        </is>
      </c>
      <c r="E25" t="inlineStr">
        <is>
          <t>TRUE</t>
        </is>
      </c>
    </row>
    <row r="26">
      <c r="A26" t="n">
        <v>5</v>
      </c>
      <c r="B26" t="inlineStr">
        <is>
          <t>48201</t>
        </is>
      </c>
      <c r="C26" t="inlineStr">
        <is>
          <t>Harris County</t>
        </is>
      </c>
      <c r="D26" t="inlineStr">
        <is>
          <t>TX</t>
        </is>
      </c>
      <c r="E26" t="inlineStr">
        <is>
          <t>TRUE</t>
        </is>
      </c>
    </row>
    <row r="27">
      <c r="A27" t="n">
        <v>6</v>
      </c>
      <c r="B27" t="inlineStr">
        <is>
          <t>04013</t>
        </is>
      </c>
      <c r="C27" t="inlineStr">
        <is>
          <t>Maricopa County</t>
        </is>
      </c>
      <c r="D27" t="inlineStr">
        <is>
          <t>AZ</t>
        </is>
      </c>
      <c r="E27" t="inlineStr">
        <is>
          <t>TRUE</t>
        </is>
      </c>
    </row>
    <row r="28">
      <c r="A28" t="n">
        <v>7</v>
      </c>
      <c r="B28" t="inlineStr">
        <is>
          <t>06073</t>
        </is>
      </c>
      <c r="C28" t="inlineStr">
        <is>
          <t>San Diego County</t>
        </is>
      </c>
      <c r="D28" t="inlineStr">
        <is>
          <t>CA</t>
        </is>
      </c>
      <c r="E28" t="inlineStr">
        <is>
          <t>TRUE</t>
        </is>
      </c>
    </row>
    <row r="29">
      <c r="A29" t="n">
        <v>8</v>
      </c>
      <c r="B29" t="inlineStr">
        <is>
          <t>12086</t>
        </is>
      </c>
      <c r="C29" t="inlineStr">
        <is>
          <t>Miami-Dade County</t>
        </is>
      </c>
      <c r="D29" t="inlineStr">
        <is>
          <t>FL</t>
        </is>
      </c>
      <c r="E29" t="inlineStr">
        <is>
          <t>TRUE</t>
        </is>
      </c>
    </row>
    <row r="30">
      <c r="A30" t="n">
        <v>9</v>
      </c>
      <c r="B30" t="inlineStr">
        <is>
          <t>36047</t>
        </is>
      </c>
      <c r="C30" t="inlineStr">
        <is>
          <t>Kings County</t>
        </is>
      </c>
      <c r="D30" t="inlineStr">
        <is>
          <t>NY</t>
        </is>
      </c>
      <c r="E30" t="inlineStr">
        <is>
          <t>TRUE</t>
        </is>
      </c>
    </row>
    <row r="31">
      <c r="A31" t="n">
        <v>10</v>
      </c>
      <c r="B31" t="inlineStr">
        <is>
          <t>39035</t>
        </is>
      </c>
      <c r="C31" t="inlineStr">
        <is>
          <t>Cuyahoga County</t>
        </is>
      </c>
      <c r="D31" t="inlineStr">
        <is>
          <t>OH</t>
        </is>
      </c>
      <c r="E31" t="inlineStr">
        <is>
          <t>TRUE</t>
        </is>
      </c>
    </row>
    <row r="32">
      <c r="A32" t="n">
        <v>11</v>
      </c>
      <c r="B32" t="inlineStr">
        <is>
          <t>42101</t>
        </is>
      </c>
      <c r="C32" t="inlineStr">
        <is>
          <t>Philadelphia County</t>
        </is>
      </c>
      <c r="D32" t="inlineStr">
        <is>
          <t>PA</t>
        </is>
      </c>
      <c r="E32" t="inlineStr">
        <is>
          <t>TRUE</t>
        </is>
      </c>
    </row>
    <row r="33">
      <c r="A33" t="n">
        <v>12</v>
      </c>
      <c r="B33" t="inlineStr">
        <is>
          <t>53033</t>
        </is>
      </c>
      <c r="C33" t="inlineStr">
        <is>
          <t>King County</t>
        </is>
      </c>
      <c r="D33" t="inlineStr">
        <is>
          <t>WA</t>
        </is>
      </c>
      <c r="E33" t="inlineStr">
        <is>
          <t>TRUE</t>
        </is>
      </c>
    </row>
    <row r="34">
      <c r="A34" t="n">
        <v>13</v>
      </c>
      <c r="B34" t="inlineStr"/>
      <c r="C34" t="inlineStr"/>
      <c r="D34" t="inlineStr"/>
      <c r="E34" t="inlineStr"/>
    </row>
    <row r="35">
      <c r="A35" t="n">
        <v>14</v>
      </c>
      <c r="B35" t="inlineStr"/>
      <c r="C35" t="inlineStr"/>
      <c r="D35" t="inlineStr"/>
      <c r="E35" t="inlineStr"/>
    </row>
    <row r="36">
      <c r="A36" t="n">
        <v>15</v>
      </c>
      <c r="B36" t="inlineStr"/>
      <c r="C36" t="inlineStr"/>
      <c r="D36" t="inlineStr"/>
      <c r="E36" t="inlineStr"/>
    </row>
    <row r="37">
      <c r="A37" t="n">
        <v>16</v>
      </c>
      <c r="B37" t="inlineStr"/>
      <c r="C37" t="inlineStr"/>
      <c r="D37" t="inlineStr"/>
      <c r="E37" t="inlineStr"/>
    </row>
    <row r="38">
      <c r="A38" t="n">
        <v>17</v>
      </c>
      <c r="B38" t="inlineStr"/>
      <c r="C38" t="inlineStr"/>
      <c r="D38" t="inlineStr"/>
      <c r="E38" t="inlineStr"/>
    </row>
    <row r="39">
      <c r="A39" t="n">
        <v>18</v>
      </c>
      <c r="B39" t="inlineStr"/>
      <c r="C39" t="inlineStr"/>
      <c r="D39" t="inlineStr"/>
      <c r="E39" t="inlineStr"/>
    </row>
    <row r="40">
      <c r="A40" t="n">
        <v>19</v>
      </c>
      <c r="B40" t="inlineStr"/>
      <c r="C40" t="inlineStr"/>
      <c r="D40" t="inlineStr"/>
      <c r="E40" t="inlineStr"/>
    </row>
    <row r="41">
      <c r="A41" t="n">
        <v>20</v>
      </c>
      <c r="B41" t="inlineStr"/>
      <c r="C41" t="inlineStr"/>
      <c r="D41" t="inlineStr"/>
      <c r="E41" t="inlineStr"/>
    </row>
    <row r="42">
      <c r="A42" t="n">
        <v>21</v>
      </c>
      <c r="B42" t="inlineStr"/>
      <c r="C42" t="inlineStr"/>
      <c r="D42" t="inlineStr"/>
      <c r="E42" t="inlineStr"/>
    </row>
    <row r="43">
      <c r="A43" t="n">
        <v>22</v>
      </c>
      <c r="B43" t="inlineStr"/>
      <c r="C43" t="inlineStr"/>
      <c r="D43" t="inlineStr"/>
      <c r="E43" t="inlineStr"/>
    </row>
    <row r="44">
      <c r="A44" t="n">
        <v>23</v>
      </c>
      <c r="B44" t="inlineStr"/>
      <c r="C44" t="inlineStr"/>
      <c r="D44" t="inlineStr"/>
      <c r="E44" t="inlineStr"/>
    </row>
    <row r="45">
      <c r="A45" t="n">
        <v>24</v>
      </c>
      <c r="B45" t="inlineStr"/>
      <c r="C45" t="inlineStr"/>
      <c r="D45" t="inlineStr"/>
      <c r="E45" t="inlineStr"/>
    </row>
    <row r="46">
      <c r="A46" t="n">
        <v>25</v>
      </c>
      <c r="B46" t="inlineStr"/>
      <c r="C46" t="inlineStr"/>
      <c r="D46" t="inlineStr"/>
      <c r="E46" t="inlineStr"/>
    </row>
    <row r="47">
      <c r="A47" t="n">
        <v>26</v>
      </c>
      <c r="B47" t="inlineStr"/>
      <c r="C47" t="inlineStr"/>
      <c r="D47" t="inlineStr"/>
      <c r="E47" t="inlineStr"/>
    </row>
    <row r="48">
      <c r="A48" t="n">
        <v>27</v>
      </c>
      <c r="B48" t="inlineStr"/>
      <c r="C48" t="inlineStr"/>
      <c r="D48" t="inlineStr"/>
      <c r="E48" t="inlineStr"/>
    </row>
    <row r="49">
      <c r="A49" t="n">
        <v>28</v>
      </c>
      <c r="B49" t="inlineStr"/>
      <c r="C49" t="inlineStr"/>
      <c r="D49" t="inlineStr"/>
      <c r="E49" t="inlineStr"/>
    </row>
    <row r="50">
      <c r="A50" t="n">
        <v>29</v>
      </c>
      <c r="B50" t="inlineStr"/>
      <c r="C50" t="inlineStr"/>
      <c r="D50" t="inlineStr"/>
      <c r="E50" t="inlineStr"/>
    </row>
    <row r="51">
      <c r="A51" t="n">
        <v>30</v>
      </c>
      <c r="B51" t="inlineStr"/>
      <c r="C51" t="inlineStr"/>
      <c r="D51" t="inlineStr"/>
      <c r="E51" t="inlineStr"/>
    </row>
    <row r="52">
      <c r="A52" t="n">
        <v>31</v>
      </c>
      <c r="B52" t="inlineStr"/>
      <c r="C52" t="inlineStr"/>
      <c r="D52" t="inlineStr"/>
      <c r="E52" t="inlineStr"/>
    </row>
    <row r="53">
      <c r="A53" t="n">
        <v>32</v>
      </c>
      <c r="B53" t="inlineStr"/>
      <c r="C53" t="inlineStr"/>
      <c r="D53" t="inlineStr"/>
      <c r="E53" t="inlineStr"/>
    </row>
    <row r="54">
      <c r="A54" t="n">
        <v>33</v>
      </c>
      <c r="B54" t="inlineStr"/>
      <c r="C54" t="inlineStr"/>
      <c r="D54" t="inlineStr"/>
      <c r="E54" t="inlineStr"/>
    </row>
    <row r="55">
      <c r="A55" t="n">
        <v>34</v>
      </c>
      <c r="B55" t="inlineStr"/>
      <c r="C55" t="inlineStr"/>
      <c r="D55" t="inlineStr"/>
      <c r="E55" t="inlineStr"/>
    </row>
    <row r="56">
      <c r="A56" t="n">
        <v>35</v>
      </c>
      <c r="B56" t="inlineStr"/>
      <c r="C56" t="inlineStr"/>
      <c r="D56" t="inlineStr"/>
      <c r="E56" t="inlineStr"/>
    </row>
    <row r="57">
      <c r="A57" t="n">
        <v>36</v>
      </c>
      <c r="B57" t="inlineStr"/>
      <c r="C57" t="inlineStr"/>
      <c r="D57" t="inlineStr"/>
      <c r="E57" t="inlineStr"/>
    </row>
    <row r="58">
      <c r="A58" t="n">
        <v>37</v>
      </c>
      <c r="B58" t="inlineStr"/>
      <c r="C58" t="inlineStr"/>
      <c r="D58" t="inlineStr"/>
      <c r="E58" t="inlineStr"/>
    </row>
    <row r="59">
      <c r="A59" t="n">
        <v>38</v>
      </c>
      <c r="B59" t="inlineStr"/>
      <c r="C59" t="inlineStr"/>
      <c r="D59" t="inlineStr"/>
      <c r="E59" t="inlineStr"/>
    </row>
    <row r="60">
      <c r="A60" t="n">
        <v>39</v>
      </c>
      <c r="B60" t="inlineStr"/>
      <c r="C60" t="inlineStr"/>
      <c r="D60" t="inlineStr"/>
      <c r="E60" t="inlineStr"/>
    </row>
    <row r="61">
      <c r="A61" t="n">
        <v>40</v>
      </c>
      <c r="B61" t="inlineStr"/>
      <c r="C61" t="inlineStr"/>
      <c r="D61" t="inlineStr"/>
      <c r="E61" t="inlineStr"/>
    </row>
    <row r="62">
      <c r="A62" t="inlineStr">
        <is>
          <t># One county per row: slot | fips | name | state | active. Add a county = fill a free slot row + re-run the runner (no rebuild). Remove = active FALSE or clear the row (the slot blanks on the next run).</t>
        </is>
      </c>
    </row>
    <row r="63">
      <c r="A63" t="inlineStr">
        <is>
          <t># The seeded counties are ILLUSTRATIVE large counties -- replace them with your own collateral footprint. Find FIPS with: python runner.py --lookup "&lt;county name&gt;" (offline with --demo). Keep fips cells TEXT so leading zeros survive (trap C1).</t>
        </is>
      </c>
    </row>
    <row r="64">
      <c r="A64" t="inlineStr">
        <is>
          <t># Only ~470 large counties clear the CFPB's ~1,000-sample-mortgage threshold; a footprint county absent from the file shows SUPPRESSED -- use its state row (trap C4).</t>
        </is>
      </c>
    </row>
    <row r="66">
      <c r="A66" s="35" t="inlineStr">
        <is>
          <t>[SERIES]</t>
        </is>
      </c>
    </row>
    <row r="67">
      <c r="A67" t="inlineStr">
        <is>
          <t>id</t>
        </is>
      </c>
      <c r="B67" t="inlineStr">
        <is>
          <t>title</t>
        </is>
      </c>
      <c r="C67" t="inlineStr">
        <is>
          <t>category</t>
        </is>
      </c>
      <c r="D67" t="inlineStr">
        <is>
          <t>lane</t>
        </is>
      </c>
      <c r="E67" t="inlineStr">
        <is>
          <t>metric_type</t>
        </is>
      </c>
      <c r="F67" t="inlineStr">
        <is>
          <t>frequency</t>
        </is>
      </c>
      <c r="G67" t="inlineStr">
        <is>
          <t>sa_nsa</t>
        </is>
      </c>
      <c r="H67" t="inlineStr">
        <is>
          <t>units</t>
        </is>
      </c>
      <c r="I67" t="inlineStr">
        <is>
          <t>level_rate_index</t>
        </is>
      </c>
      <c r="J67" t="inlineStr">
        <is>
          <t>geo_segment</t>
        </is>
      </c>
      <c r="K67" t="inlineStr">
        <is>
          <t>source_class</t>
        </is>
      </c>
      <c r="L67" t="inlineStr">
        <is>
          <t>dashboard_capable</t>
        </is>
      </c>
      <c r="M67" t="inlineStr">
        <is>
          <t>watchlist_capable</t>
        </is>
      </c>
      <c r="N67" t="inlineStr">
        <is>
          <t>source_url</t>
        </is>
      </c>
      <c r="O67" t="inlineStr">
        <is>
          <t>table_id</t>
        </is>
      </c>
      <c r="P67" t="inlineStr">
        <is>
          <t>sheet</t>
        </is>
      </c>
      <c r="Q67" t="inlineStr">
        <is>
          <t>series_label</t>
        </is>
      </c>
      <c r="R67" t="inlineStr">
        <is>
          <t>transform</t>
        </is>
      </c>
      <c r="S67" t="inlineStr">
        <is>
          <t>notes</t>
        </is>
      </c>
    </row>
    <row r="68">
      <c r="A68" t="inlineStr">
        <is>
          <t>nat_d3089</t>
        </is>
      </c>
      <c r="B68" t="inlineStr">
        <is>
          <t>National 30-89 days delinquent (%)</t>
        </is>
      </c>
      <c r="C68" t="inlineStr">
        <is>
          <t>mortgage_performance</t>
        </is>
      </c>
      <c r="D68" t="inlineStr">
        <is>
          <t>dashboard</t>
        </is>
      </c>
      <c r="E68" t="inlineStr">
        <is>
          <t>delinquency_rate</t>
        </is>
      </c>
      <c r="F68" t="inlineStr">
        <is>
          <t>monthly</t>
        </is>
      </c>
      <c r="G68" t="inlineStr">
        <is>
          <t>NSA</t>
        </is>
      </c>
      <c r="H68" t="inlineStr">
        <is>
          <t>pct</t>
        </is>
      </c>
      <c r="I68" t="inlineStr">
        <is>
          <t>rate</t>
        </is>
      </c>
      <c r="J68" t="inlineStr">
        <is>
          <t>national</t>
        </is>
      </c>
      <c r="K68" t="inlineStr">
        <is>
          <t>A</t>
        </is>
      </c>
      <c r="L68" t="inlineStr">
        <is>
          <t>TRUE</t>
        </is>
      </c>
      <c r="M68" t="inlineStr">
        <is>
          <t>FALSE</t>
        </is>
      </c>
      <c r="N68" t="inlineStr">
        <is>
          <t>https://www.consumerfinance.gov/data-research/mortgage-performance-trends/download-the-data/</t>
        </is>
      </c>
      <c r="O68" t="inlineStr">
        <is>
          <t>mortgage-performance</t>
        </is>
      </c>
      <c r="P68" t="inlineStr"/>
      <c r="Q68" t="inlineStr">
        <is>
          <t>30-89</t>
        </is>
      </c>
      <c r="R68" t="inlineStr">
        <is>
          <t>level</t>
        </is>
      </c>
      <c r="S68" t="inlineStr">
        <is>
          <t>RegionType=National row (FIPSCode '-----') -- benchmark context, never watchlist (trap C7).</t>
        </is>
      </c>
    </row>
    <row r="69">
      <c r="A69" t="inlineStr">
        <is>
          <t>nat_d90</t>
        </is>
      </c>
      <c r="B69" t="inlineStr">
        <is>
          <t>National 90+ days delinquent (%)</t>
        </is>
      </c>
      <c r="C69" t="inlineStr">
        <is>
          <t>mortgage_performance</t>
        </is>
      </c>
      <c r="D69" t="inlineStr">
        <is>
          <t>dashboard</t>
        </is>
      </c>
      <c r="E69" t="inlineStr">
        <is>
          <t>delinquency_rate</t>
        </is>
      </c>
      <c r="F69" t="inlineStr">
        <is>
          <t>monthly</t>
        </is>
      </c>
      <c r="G69" t="inlineStr">
        <is>
          <t>NSA</t>
        </is>
      </c>
      <c r="H69" t="inlineStr">
        <is>
          <t>pct</t>
        </is>
      </c>
      <c r="I69" t="inlineStr">
        <is>
          <t>rate</t>
        </is>
      </c>
      <c r="J69" t="inlineStr">
        <is>
          <t>national</t>
        </is>
      </c>
      <c r="K69" t="inlineStr">
        <is>
          <t>A</t>
        </is>
      </c>
      <c r="L69" t="inlineStr">
        <is>
          <t>TRUE</t>
        </is>
      </c>
      <c r="M69" t="inlineStr">
        <is>
          <t>FALSE</t>
        </is>
      </c>
      <c r="N69" t="inlineStr">
        <is>
          <t>https://www.consumerfinance.gov/data-research/mortgage-performance-trends/download-the-data/</t>
        </is>
      </c>
      <c r="O69" t="inlineStr">
        <is>
          <t>mortgage-performance</t>
        </is>
      </c>
      <c r="P69" t="inlineStr"/>
      <c r="Q69" t="inlineStr">
        <is>
          <t>90-plus</t>
        </is>
      </c>
      <c r="R69" t="inlineStr">
        <is>
          <t>level</t>
        </is>
      </c>
      <c r="S69" t="inlineStr">
        <is>
          <t>RegionType=National row (FIPSCode '-----') -- benchmark context, never watchlist (trap C7).</t>
        </is>
      </c>
    </row>
    <row r="70">
      <c r="A70" t="inlineStr">
        <is>
          <t>st_01_d3089</t>
        </is>
      </c>
      <c r="B70" t="inlineStr">
        <is>
          <t>AL 30-89 days delinquent (%)</t>
        </is>
      </c>
      <c r="C70" t="inlineStr">
        <is>
          <t>mortgage_performance</t>
        </is>
      </c>
      <c r="D70" t="inlineStr">
        <is>
          <t>dashboard</t>
        </is>
      </c>
      <c r="E70" t="inlineStr">
        <is>
          <t>delinquency_rate</t>
        </is>
      </c>
      <c r="F70" t="inlineStr">
        <is>
          <t>monthly</t>
        </is>
      </c>
      <c r="G70" t="inlineStr">
        <is>
          <t>NSA</t>
        </is>
      </c>
      <c r="H70" t="inlineStr">
        <is>
          <t>pct</t>
        </is>
      </c>
      <c r="I70" t="inlineStr">
        <is>
          <t>rate</t>
        </is>
      </c>
      <c r="J70" t="inlineStr">
        <is>
          <t>state:01</t>
        </is>
      </c>
      <c r="K70" t="inlineStr">
        <is>
          <t>A</t>
        </is>
      </c>
      <c r="L70" t="inlineStr">
        <is>
          <t>TRUE</t>
        </is>
      </c>
      <c r="M70" t="inlineStr">
        <is>
          <t>FALSE</t>
        </is>
      </c>
      <c r="N70" t="inlineStr">
        <is>
          <t>https://www.consumerfinance.gov/data-research/mortgage-performance-trends/download-the-data/</t>
        </is>
      </c>
      <c r="O70" t="inlineStr">
        <is>
          <t>mortgage-performance</t>
        </is>
      </c>
      <c r="P70" t="inlineStr"/>
      <c r="Q70" t="inlineStr">
        <is>
          <t>30-89</t>
        </is>
      </c>
      <c r="R70" t="inlineStr">
        <is>
          <t>level</t>
        </is>
      </c>
      <c r="S70" t="inlineStr">
        <is>
          <t>State file row (2-digit FIPS 01) -- the fallback lane for suppressed footprint counties.</t>
        </is>
      </c>
    </row>
    <row r="71">
      <c r="A71" t="inlineStr">
        <is>
          <t>st_01_d90</t>
        </is>
      </c>
      <c r="B71" t="inlineStr">
        <is>
          <t>AL 90+ days delinquent (%)</t>
        </is>
      </c>
      <c r="C71" t="inlineStr">
        <is>
          <t>mortgage_performance</t>
        </is>
      </c>
      <c r="D71" t="inlineStr">
        <is>
          <t>dashboard</t>
        </is>
      </c>
      <c r="E71" t="inlineStr">
        <is>
          <t>delinquency_rate</t>
        </is>
      </c>
      <c r="F71" t="inlineStr">
        <is>
          <t>monthly</t>
        </is>
      </c>
      <c r="G71" t="inlineStr">
        <is>
          <t>NSA</t>
        </is>
      </c>
      <c r="H71" t="inlineStr">
        <is>
          <t>pct</t>
        </is>
      </c>
      <c r="I71" t="inlineStr">
        <is>
          <t>rate</t>
        </is>
      </c>
      <c r="J71" t="inlineStr">
        <is>
          <t>state:01</t>
        </is>
      </c>
      <c r="K71" t="inlineStr">
        <is>
          <t>A</t>
        </is>
      </c>
      <c r="L71" t="inlineStr">
        <is>
          <t>TRUE</t>
        </is>
      </c>
      <c r="M71" t="inlineStr">
        <is>
          <t>FALSE</t>
        </is>
      </c>
      <c r="N71" t="inlineStr">
        <is>
          <t>https://www.consumerfinance.gov/data-research/mortgage-performance-trends/download-the-data/</t>
        </is>
      </c>
      <c r="O71" t="inlineStr">
        <is>
          <t>mortgage-performance</t>
        </is>
      </c>
      <c r="P71" t="inlineStr"/>
      <c r="Q71" t="inlineStr">
        <is>
          <t>90-plus</t>
        </is>
      </c>
      <c r="R71" t="inlineStr">
        <is>
          <t>level</t>
        </is>
      </c>
      <c r="S71" t="inlineStr">
        <is>
          <t>State file row (2-digit FIPS 01) -- the fallback lane for suppressed footprint counties.</t>
        </is>
      </c>
    </row>
    <row r="72">
      <c r="A72" t="inlineStr">
        <is>
          <t>st_06_d3089</t>
        </is>
      </c>
      <c r="B72" t="inlineStr">
        <is>
          <t>CA 30-89 days delinquent (%)</t>
        </is>
      </c>
      <c r="C72" t="inlineStr">
        <is>
          <t>mortgage_performance</t>
        </is>
      </c>
      <c r="D72" t="inlineStr">
        <is>
          <t>dashboard</t>
        </is>
      </c>
      <c r="E72" t="inlineStr">
        <is>
          <t>delinquency_rate</t>
        </is>
      </c>
      <c r="F72" t="inlineStr">
        <is>
          <t>monthly</t>
        </is>
      </c>
      <c r="G72" t="inlineStr">
        <is>
          <t>NSA</t>
        </is>
      </c>
      <c r="H72" t="inlineStr">
        <is>
          <t>pct</t>
        </is>
      </c>
      <c r="I72" t="inlineStr">
        <is>
          <t>rate</t>
        </is>
      </c>
      <c r="J72" t="inlineStr">
        <is>
          <t>state:06</t>
        </is>
      </c>
      <c r="K72" t="inlineStr">
        <is>
          <t>A</t>
        </is>
      </c>
      <c r="L72" t="inlineStr">
        <is>
          <t>TRUE</t>
        </is>
      </c>
      <c r="M72" t="inlineStr">
        <is>
          <t>FALSE</t>
        </is>
      </c>
      <c r="N72" t="inlineStr">
        <is>
          <t>https://www.consumerfinance.gov/data-research/mortgage-performance-trends/download-the-data/</t>
        </is>
      </c>
      <c r="O72" t="inlineStr">
        <is>
          <t>mortgage-performance</t>
        </is>
      </c>
      <c r="P72" t="inlineStr"/>
      <c r="Q72" t="inlineStr">
        <is>
          <t>30-89</t>
        </is>
      </c>
      <c r="R72" t="inlineStr">
        <is>
          <t>level</t>
        </is>
      </c>
      <c r="S72" t="inlineStr">
        <is>
          <t>State file row (2-digit FIPS 06) -- the fallback lane for suppressed footprint counties.</t>
        </is>
      </c>
    </row>
    <row r="73">
      <c r="A73" t="inlineStr">
        <is>
          <t>st_06_d90</t>
        </is>
      </c>
      <c r="B73" t="inlineStr">
        <is>
          <t>CA 90+ days delinquent (%)</t>
        </is>
      </c>
      <c r="C73" t="inlineStr">
        <is>
          <t>mortgage_performance</t>
        </is>
      </c>
      <c r="D73" t="inlineStr">
        <is>
          <t>dashboard</t>
        </is>
      </c>
      <c r="E73" t="inlineStr">
        <is>
          <t>delinquency_rate</t>
        </is>
      </c>
      <c r="F73" t="inlineStr">
        <is>
          <t>monthly</t>
        </is>
      </c>
      <c r="G73" t="inlineStr">
        <is>
          <t>NSA</t>
        </is>
      </c>
      <c r="H73" t="inlineStr">
        <is>
          <t>pct</t>
        </is>
      </c>
      <c r="I73" t="inlineStr">
        <is>
          <t>rate</t>
        </is>
      </c>
      <c r="J73" t="inlineStr">
        <is>
          <t>state:06</t>
        </is>
      </c>
      <c r="K73" t="inlineStr">
        <is>
          <t>A</t>
        </is>
      </c>
      <c r="L73" t="inlineStr">
        <is>
          <t>TRUE</t>
        </is>
      </c>
      <c r="M73" t="inlineStr">
        <is>
          <t>FALSE</t>
        </is>
      </c>
      <c r="N73" t="inlineStr">
        <is>
          <t>https://www.consumerfinance.gov/data-research/mortgage-performance-trends/download-the-data/</t>
        </is>
      </c>
      <c r="O73" t="inlineStr">
        <is>
          <t>mortgage-performance</t>
        </is>
      </c>
      <c r="P73" t="inlineStr"/>
      <c r="Q73" t="inlineStr">
        <is>
          <t>90-plus</t>
        </is>
      </c>
      <c r="R73" t="inlineStr">
        <is>
          <t>level</t>
        </is>
      </c>
      <c r="S73" t="inlineStr">
        <is>
          <t>State file row (2-digit FIPS 06) -- the fallback lane for suppressed footprint counties.</t>
        </is>
      </c>
    </row>
    <row r="74">
      <c r="A74" t="inlineStr">
        <is>
          <t>st_17_d3089</t>
        </is>
      </c>
      <c r="B74" t="inlineStr">
        <is>
          <t>IL 30-89 days delinquent (%)</t>
        </is>
      </c>
      <c r="C74" t="inlineStr">
        <is>
          <t>mortgage_performance</t>
        </is>
      </c>
      <c r="D74" t="inlineStr">
        <is>
          <t>dashboard</t>
        </is>
      </c>
      <c r="E74" t="inlineStr">
        <is>
          <t>delinquency_rate</t>
        </is>
      </c>
      <c r="F74" t="inlineStr">
        <is>
          <t>monthly</t>
        </is>
      </c>
      <c r="G74" t="inlineStr">
        <is>
          <t>NSA</t>
        </is>
      </c>
      <c r="H74" t="inlineStr">
        <is>
          <t>pct</t>
        </is>
      </c>
      <c r="I74" t="inlineStr">
        <is>
          <t>rate</t>
        </is>
      </c>
      <c r="J74" t="inlineStr">
        <is>
          <t>state:17</t>
        </is>
      </c>
      <c r="K74" t="inlineStr">
        <is>
          <t>A</t>
        </is>
      </c>
      <c r="L74" t="inlineStr">
        <is>
          <t>TRUE</t>
        </is>
      </c>
      <c r="M74" t="inlineStr">
        <is>
          <t>FALSE</t>
        </is>
      </c>
      <c r="N74" t="inlineStr">
        <is>
          <t>https://www.consumerfinance.gov/data-research/mortgage-performance-trends/download-the-data/</t>
        </is>
      </c>
      <c r="O74" t="inlineStr">
        <is>
          <t>mortgage-performance</t>
        </is>
      </c>
      <c r="P74" t="inlineStr"/>
      <c r="Q74" t="inlineStr">
        <is>
          <t>30-89</t>
        </is>
      </c>
      <c r="R74" t="inlineStr">
        <is>
          <t>level</t>
        </is>
      </c>
      <c r="S74" t="inlineStr">
        <is>
          <t>State file row (2-digit FIPS 17) -- the fallback lane for suppressed footprint counties.</t>
        </is>
      </c>
    </row>
    <row r="75">
      <c r="A75" t="inlineStr">
        <is>
          <t>st_17_d90</t>
        </is>
      </c>
      <c r="B75" t="inlineStr">
        <is>
          <t>IL 90+ days delinquent (%)</t>
        </is>
      </c>
      <c r="C75" t="inlineStr">
        <is>
          <t>mortgage_performance</t>
        </is>
      </c>
      <c r="D75" t="inlineStr">
        <is>
          <t>dashboard</t>
        </is>
      </c>
      <c r="E75" t="inlineStr">
        <is>
          <t>delinquency_rate</t>
        </is>
      </c>
      <c r="F75" t="inlineStr">
        <is>
          <t>monthly</t>
        </is>
      </c>
      <c r="G75" t="inlineStr">
        <is>
          <t>NSA</t>
        </is>
      </c>
      <c r="H75" t="inlineStr">
        <is>
          <t>pct</t>
        </is>
      </c>
      <c r="I75" t="inlineStr">
        <is>
          <t>rate</t>
        </is>
      </c>
      <c r="J75" t="inlineStr">
        <is>
          <t>state:17</t>
        </is>
      </c>
      <c r="K75" t="inlineStr">
        <is>
          <t>A</t>
        </is>
      </c>
      <c r="L75" t="inlineStr">
        <is>
          <t>TRUE</t>
        </is>
      </c>
      <c r="M75" t="inlineStr">
        <is>
          <t>FALSE</t>
        </is>
      </c>
      <c r="N75" t="inlineStr">
        <is>
          <t>https://www.consumerfinance.gov/data-research/mortgage-performance-trends/download-the-data/</t>
        </is>
      </c>
      <c r="O75" t="inlineStr">
        <is>
          <t>mortgage-performance</t>
        </is>
      </c>
      <c r="P75" t="inlineStr"/>
      <c r="Q75" t="inlineStr">
        <is>
          <t>90-plus</t>
        </is>
      </c>
      <c r="R75" t="inlineStr">
        <is>
          <t>level</t>
        </is>
      </c>
      <c r="S75" t="inlineStr">
        <is>
          <t>State file row (2-digit FIPS 17) -- the fallback lane for suppressed footprint counties.</t>
        </is>
      </c>
    </row>
    <row r="76">
      <c r="A76" t="inlineStr">
        <is>
          <t>st_48_d3089</t>
        </is>
      </c>
      <c r="B76" t="inlineStr">
        <is>
          <t>TX 30-89 days delinquent (%)</t>
        </is>
      </c>
      <c r="C76" t="inlineStr">
        <is>
          <t>mortgage_performance</t>
        </is>
      </c>
      <c r="D76" t="inlineStr">
        <is>
          <t>dashboard</t>
        </is>
      </c>
      <c r="E76" t="inlineStr">
        <is>
          <t>delinquency_rate</t>
        </is>
      </c>
      <c r="F76" t="inlineStr">
        <is>
          <t>monthly</t>
        </is>
      </c>
      <c r="G76" t="inlineStr">
        <is>
          <t>NSA</t>
        </is>
      </c>
      <c r="H76" t="inlineStr">
        <is>
          <t>pct</t>
        </is>
      </c>
      <c r="I76" t="inlineStr">
        <is>
          <t>rate</t>
        </is>
      </c>
      <c r="J76" t="inlineStr">
        <is>
          <t>state:48</t>
        </is>
      </c>
      <c r="K76" t="inlineStr">
        <is>
          <t>A</t>
        </is>
      </c>
      <c r="L76" t="inlineStr">
        <is>
          <t>TRUE</t>
        </is>
      </c>
      <c r="M76" t="inlineStr">
        <is>
          <t>FALSE</t>
        </is>
      </c>
      <c r="N76" t="inlineStr">
        <is>
          <t>https://www.consumerfinance.gov/data-research/mortgage-performance-trends/download-the-data/</t>
        </is>
      </c>
      <c r="O76" t="inlineStr">
        <is>
          <t>mortgage-performance</t>
        </is>
      </c>
      <c r="P76" t="inlineStr"/>
      <c r="Q76" t="inlineStr">
        <is>
          <t>30-89</t>
        </is>
      </c>
      <c r="R76" t="inlineStr">
        <is>
          <t>level</t>
        </is>
      </c>
      <c r="S76" t="inlineStr">
        <is>
          <t>State file row (2-digit FIPS 48) -- the fallback lane for suppressed footprint counties.</t>
        </is>
      </c>
    </row>
    <row r="77">
      <c r="A77" t="inlineStr">
        <is>
          <t>st_48_d90</t>
        </is>
      </c>
      <c r="B77" t="inlineStr">
        <is>
          <t>TX 90+ days delinquent (%)</t>
        </is>
      </c>
      <c r="C77" t="inlineStr">
        <is>
          <t>mortgage_performance</t>
        </is>
      </c>
      <c r="D77" t="inlineStr">
        <is>
          <t>dashboard</t>
        </is>
      </c>
      <c r="E77" t="inlineStr">
        <is>
          <t>delinquency_rate</t>
        </is>
      </c>
      <c r="F77" t="inlineStr">
        <is>
          <t>monthly</t>
        </is>
      </c>
      <c r="G77" t="inlineStr">
        <is>
          <t>NSA</t>
        </is>
      </c>
      <c r="H77" t="inlineStr">
        <is>
          <t>pct</t>
        </is>
      </c>
      <c r="I77" t="inlineStr">
        <is>
          <t>rate</t>
        </is>
      </c>
      <c r="J77" t="inlineStr">
        <is>
          <t>state:48</t>
        </is>
      </c>
      <c r="K77" t="inlineStr">
        <is>
          <t>A</t>
        </is>
      </c>
      <c r="L77" t="inlineStr">
        <is>
          <t>TRUE</t>
        </is>
      </c>
      <c r="M77" t="inlineStr">
        <is>
          <t>FALSE</t>
        </is>
      </c>
      <c r="N77" t="inlineStr">
        <is>
          <t>https://www.consumerfinance.gov/data-research/mortgage-performance-trends/download-the-data/</t>
        </is>
      </c>
      <c r="O77" t="inlineStr">
        <is>
          <t>mortgage-performance</t>
        </is>
      </c>
      <c r="P77" t="inlineStr"/>
      <c r="Q77" t="inlineStr">
        <is>
          <t>90-plus</t>
        </is>
      </c>
      <c r="R77" t="inlineStr">
        <is>
          <t>level</t>
        </is>
      </c>
      <c r="S77" t="inlineStr">
        <is>
          <t>State file row (2-digit FIPS 48) -- the fallback lane for suppressed footprint counties.</t>
        </is>
      </c>
    </row>
    <row r="78">
      <c r="A78" t="inlineStr">
        <is>
          <t>st_04_d3089</t>
        </is>
      </c>
      <c r="B78" t="inlineStr">
        <is>
          <t>AZ 30-89 days delinquent (%)</t>
        </is>
      </c>
      <c r="C78" t="inlineStr">
        <is>
          <t>mortgage_performance</t>
        </is>
      </c>
      <c r="D78" t="inlineStr">
        <is>
          <t>dashboard</t>
        </is>
      </c>
      <c r="E78" t="inlineStr">
        <is>
          <t>delinquency_rate</t>
        </is>
      </c>
      <c r="F78" t="inlineStr">
        <is>
          <t>monthly</t>
        </is>
      </c>
      <c r="G78" t="inlineStr">
        <is>
          <t>NSA</t>
        </is>
      </c>
      <c r="H78" t="inlineStr">
        <is>
          <t>pct</t>
        </is>
      </c>
      <c r="I78" t="inlineStr">
        <is>
          <t>rate</t>
        </is>
      </c>
      <c r="J78" t="inlineStr">
        <is>
          <t>state:04</t>
        </is>
      </c>
      <c r="K78" t="inlineStr">
        <is>
          <t>A</t>
        </is>
      </c>
      <c r="L78" t="inlineStr">
        <is>
          <t>TRUE</t>
        </is>
      </c>
      <c r="M78" t="inlineStr">
        <is>
          <t>FALSE</t>
        </is>
      </c>
      <c r="N78" t="inlineStr">
        <is>
          <t>https://www.consumerfinance.gov/data-research/mortgage-performance-trends/download-the-data/</t>
        </is>
      </c>
      <c r="O78" t="inlineStr">
        <is>
          <t>mortgage-performance</t>
        </is>
      </c>
      <c r="P78" t="inlineStr"/>
      <c r="Q78" t="inlineStr">
        <is>
          <t>30-89</t>
        </is>
      </c>
      <c r="R78" t="inlineStr">
        <is>
          <t>level</t>
        </is>
      </c>
      <c r="S78" t="inlineStr">
        <is>
          <t>State file row (2-digit FIPS 04) -- the fallback lane for suppressed footprint counties.</t>
        </is>
      </c>
    </row>
    <row r="79">
      <c r="A79" t="inlineStr">
        <is>
          <t>st_04_d90</t>
        </is>
      </c>
      <c r="B79" t="inlineStr">
        <is>
          <t>AZ 90+ days delinquent (%)</t>
        </is>
      </c>
      <c r="C79" t="inlineStr">
        <is>
          <t>mortgage_performance</t>
        </is>
      </c>
      <c r="D79" t="inlineStr">
        <is>
          <t>dashboard</t>
        </is>
      </c>
      <c r="E79" t="inlineStr">
        <is>
          <t>delinquency_rate</t>
        </is>
      </c>
      <c r="F79" t="inlineStr">
        <is>
          <t>monthly</t>
        </is>
      </c>
      <c r="G79" t="inlineStr">
        <is>
          <t>NSA</t>
        </is>
      </c>
      <c r="H79" t="inlineStr">
        <is>
          <t>pct</t>
        </is>
      </c>
      <c r="I79" t="inlineStr">
        <is>
          <t>rate</t>
        </is>
      </c>
      <c r="J79" t="inlineStr">
        <is>
          <t>state:04</t>
        </is>
      </c>
      <c r="K79" t="inlineStr">
        <is>
          <t>A</t>
        </is>
      </c>
      <c r="L79" t="inlineStr">
        <is>
          <t>TRUE</t>
        </is>
      </c>
      <c r="M79" t="inlineStr">
        <is>
          <t>FALSE</t>
        </is>
      </c>
      <c r="N79" t="inlineStr">
        <is>
          <t>https://www.consumerfinance.gov/data-research/mortgage-performance-trends/download-the-data/</t>
        </is>
      </c>
      <c r="O79" t="inlineStr">
        <is>
          <t>mortgage-performance</t>
        </is>
      </c>
      <c r="P79" t="inlineStr"/>
      <c r="Q79" t="inlineStr">
        <is>
          <t>90-plus</t>
        </is>
      </c>
      <c r="R79" t="inlineStr">
        <is>
          <t>level</t>
        </is>
      </c>
      <c r="S79" t="inlineStr">
        <is>
          <t>State file row (2-digit FIPS 04) -- the fallback lane for suppressed footprint counties.</t>
        </is>
      </c>
    </row>
    <row r="80">
      <c r="A80" t="inlineStr">
        <is>
          <t>st_12_d3089</t>
        </is>
      </c>
      <c r="B80" t="inlineStr">
        <is>
          <t>FL 30-89 days delinquent (%)</t>
        </is>
      </c>
      <c r="C80" t="inlineStr">
        <is>
          <t>mortgage_performance</t>
        </is>
      </c>
      <c r="D80" t="inlineStr">
        <is>
          <t>dashboard</t>
        </is>
      </c>
      <c r="E80" t="inlineStr">
        <is>
          <t>delinquency_rate</t>
        </is>
      </c>
      <c r="F80" t="inlineStr">
        <is>
          <t>monthly</t>
        </is>
      </c>
      <c r="G80" t="inlineStr">
        <is>
          <t>NSA</t>
        </is>
      </c>
      <c r="H80" t="inlineStr">
        <is>
          <t>pct</t>
        </is>
      </c>
      <c r="I80" t="inlineStr">
        <is>
          <t>rate</t>
        </is>
      </c>
      <c r="J80" t="inlineStr">
        <is>
          <t>state:12</t>
        </is>
      </c>
      <c r="K80" t="inlineStr">
        <is>
          <t>A</t>
        </is>
      </c>
      <c r="L80" t="inlineStr">
        <is>
          <t>TRUE</t>
        </is>
      </c>
      <c r="M80" t="inlineStr">
        <is>
          <t>FALSE</t>
        </is>
      </c>
      <c r="N80" t="inlineStr">
        <is>
          <t>https://www.consumerfinance.gov/data-research/mortgage-performance-trends/download-the-data/</t>
        </is>
      </c>
      <c r="O80" t="inlineStr">
        <is>
          <t>mortgage-performance</t>
        </is>
      </c>
      <c r="P80" t="inlineStr"/>
      <c r="Q80" t="inlineStr">
        <is>
          <t>30-89</t>
        </is>
      </c>
      <c r="R80" t="inlineStr">
        <is>
          <t>level</t>
        </is>
      </c>
      <c r="S80" t="inlineStr">
        <is>
          <t>State file row (2-digit FIPS 12) -- the fallback lane for suppressed footprint counties.</t>
        </is>
      </c>
    </row>
    <row r="81">
      <c r="A81" t="inlineStr">
        <is>
          <t>st_12_d90</t>
        </is>
      </c>
      <c r="B81" t="inlineStr">
        <is>
          <t>FL 90+ days delinquent (%)</t>
        </is>
      </c>
      <c r="C81" t="inlineStr">
        <is>
          <t>mortgage_performance</t>
        </is>
      </c>
      <c r="D81" t="inlineStr">
        <is>
          <t>dashboard</t>
        </is>
      </c>
      <c r="E81" t="inlineStr">
        <is>
          <t>delinquency_rate</t>
        </is>
      </c>
      <c r="F81" t="inlineStr">
        <is>
          <t>monthly</t>
        </is>
      </c>
      <c r="G81" t="inlineStr">
        <is>
          <t>NSA</t>
        </is>
      </c>
      <c r="H81" t="inlineStr">
        <is>
          <t>pct</t>
        </is>
      </c>
      <c r="I81" t="inlineStr">
        <is>
          <t>rate</t>
        </is>
      </c>
      <c r="J81" t="inlineStr">
        <is>
          <t>state:12</t>
        </is>
      </c>
      <c r="K81" t="inlineStr">
        <is>
          <t>A</t>
        </is>
      </c>
      <c r="L81" t="inlineStr">
        <is>
          <t>TRUE</t>
        </is>
      </c>
      <c r="M81" t="inlineStr">
        <is>
          <t>FALSE</t>
        </is>
      </c>
      <c r="N81" t="inlineStr">
        <is>
          <t>https://www.consumerfinance.gov/data-research/mortgage-performance-trends/download-the-data/</t>
        </is>
      </c>
      <c r="O81" t="inlineStr">
        <is>
          <t>mortgage-performance</t>
        </is>
      </c>
      <c r="P81" t="inlineStr"/>
      <c r="Q81" t="inlineStr">
        <is>
          <t>90-plus</t>
        </is>
      </c>
      <c r="R81" t="inlineStr">
        <is>
          <t>level</t>
        </is>
      </c>
      <c r="S81" t="inlineStr">
        <is>
          <t>State file row (2-digit FIPS 12) -- the fallback lane for suppressed footprint counties.</t>
        </is>
      </c>
    </row>
    <row r="82">
      <c r="A82" t="inlineStr">
        <is>
          <t>st_36_d3089</t>
        </is>
      </c>
      <c r="B82" t="inlineStr">
        <is>
          <t>NY 30-89 days delinquent (%)</t>
        </is>
      </c>
      <c r="C82" t="inlineStr">
        <is>
          <t>mortgage_performance</t>
        </is>
      </c>
      <c r="D82" t="inlineStr">
        <is>
          <t>dashboard</t>
        </is>
      </c>
      <c r="E82" t="inlineStr">
        <is>
          <t>delinquency_rate</t>
        </is>
      </c>
      <c r="F82" t="inlineStr">
        <is>
          <t>monthly</t>
        </is>
      </c>
      <c r="G82" t="inlineStr">
        <is>
          <t>NSA</t>
        </is>
      </c>
      <c r="H82" t="inlineStr">
        <is>
          <t>pct</t>
        </is>
      </c>
      <c r="I82" t="inlineStr">
        <is>
          <t>rate</t>
        </is>
      </c>
      <c r="J82" t="inlineStr">
        <is>
          <t>state:36</t>
        </is>
      </c>
      <c r="K82" t="inlineStr">
        <is>
          <t>A</t>
        </is>
      </c>
      <c r="L82" t="inlineStr">
        <is>
          <t>TRUE</t>
        </is>
      </c>
      <c r="M82" t="inlineStr">
        <is>
          <t>FALSE</t>
        </is>
      </c>
      <c r="N82" t="inlineStr">
        <is>
          <t>https://www.consumerfinance.gov/data-research/mortgage-performance-trends/download-the-data/</t>
        </is>
      </c>
      <c r="O82" t="inlineStr">
        <is>
          <t>mortgage-performance</t>
        </is>
      </c>
      <c r="P82" t="inlineStr"/>
      <c r="Q82" t="inlineStr">
        <is>
          <t>30-89</t>
        </is>
      </c>
      <c r="R82" t="inlineStr">
        <is>
          <t>level</t>
        </is>
      </c>
      <c r="S82" t="inlineStr">
        <is>
          <t>State file row (2-digit FIPS 36) -- the fallback lane for suppressed footprint counties.</t>
        </is>
      </c>
    </row>
    <row r="83">
      <c r="A83" t="inlineStr">
        <is>
          <t>st_36_d90</t>
        </is>
      </c>
      <c r="B83" t="inlineStr">
        <is>
          <t>NY 90+ days delinquent (%)</t>
        </is>
      </c>
      <c r="C83" t="inlineStr">
        <is>
          <t>mortgage_performance</t>
        </is>
      </c>
      <c r="D83" t="inlineStr">
        <is>
          <t>dashboard</t>
        </is>
      </c>
      <c r="E83" t="inlineStr">
        <is>
          <t>delinquency_rate</t>
        </is>
      </c>
      <c r="F83" t="inlineStr">
        <is>
          <t>monthly</t>
        </is>
      </c>
      <c r="G83" t="inlineStr">
        <is>
          <t>NSA</t>
        </is>
      </c>
      <c r="H83" t="inlineStr">
        <is>
          <t>pct</t>
        </is>
      </c>
      <c r="I83" t="inlineStr">
        <is>
          <t>rate</t>
        </is>
      </c>
      <c r="J83" t="inlineStr">
        <is>
          <t>state:36</t>
        </is>
      </c>
      <c r="K83" t="inlineStr">
        <is>
          <t>A</t>
        </is>
      </c>
      <c r="L83" t="inlineStr">
        <is>
          <t>TRUE</t>
        </is>
      </c>
      <c r="M83" t="inlineStr">
        <is>
          <t>FALSE</t>
        </is>
      </c>
      <c r="N83" t="inlineStr">
        <is>
          <t>https://www.consumerfinance.gov/data-research/mortgage-performance-trends/download-the-data/</t>
        </is>
      </c>
      <c r="O83" t="inlineStr">
        <is>
          <t>mortgage-performance</t>
        </is>
      </c>
      <c r="P83" t="inlineStr"/>
      <c r="Q83" t="inlineStr">
        <is>
          <t>90-plus</t>
        </is>
      </c>
      <c r="R83" t="inlineStr">
        <is>
          <t>level</t>
        </is>
      </c>
      <c r="S83" t="inlineStr">
        <is>
          <t>State file row (2-digit FIPS 36) -- the fallback lane for suppressed footprint counties.</t>
        </is>
      </c>
    </row>
    <row r="84">
      <c r="A84" t="inlineStr">
        <is>
          <t>st_39_d3089</t>
        </is>
      </c>
      <c r="B84" t="inlineStr">
        <is>
          <t>OH 30-89 days delinquent (%)</t>
        </is>
      </c>
      <c r="C84" t="inlineStr">
        <is>
          <t>mortgage_performance</t>
        </is>
      </c>
      <c r="D84" t="inlineStr">
        <is>
          <t>dashboard</t>
        </is>
      </c>
      <c r="E84" t="inlineStr">
        <is>
          <t>delinquency_rate</t>
        </is>
      </c>
      <c r="F84" t="inlineStr">
        <is>
          <t>monthly</t>
        </is>
      </c>
      <c r="G84" t="inlineStr">
        <is>
          <t>NSA</t>
        </is>
      </c>
      <c r="H84" t="inlineStr">
        <is>
          <t>pct</t>
        </is>
      </c>
      <c r="I84" t="inlineStr">
        <is>
          <t>rate</t>
        </is>
      </c>
      <c r="J84" t="inlineStr">
        <is>
          <t>state:39</t>
        </is>
      </c>
      <c r="K84" t="inlineStr">
        <is>
          <t>A</t>
        </is>
      </c>
      <c r="L84" t="inlineStr">
        <is>
          <t>TRUE</t>
        </is>
      </c>
      <c r="M84" t="inlineStr">
        <is>
          <t>FALSE</t>
        </is>
      </c>
      <c r="N84" t="inlineStr">
        <is>
          <t>https://www.consumerfinance.gov/data-research/mortgage-performance-trends/download-the-data/</t>
        </is>
      </c>
      <c r="O84" t="inlineStr">
        <is>
          <t>mortgage-performance</t>
        </is>
      </c>
      <c r="P84" t="inlineStr"/>
      <c r="Q84" t="inlineStr">
        <is>
          <t>30-89</t>
        </is>
      </c>
      <c r="R84" t="inlineStr">
        <is>
          <t>level</t>
        </is>
      </c>
      <c r="S84" t="inlineStr">
        <is>
          <t>State file row (2-digit FIPS 39) -- the fallback lane for suppressed footprint counties.</t>
        </is>
      </c>
    </row>
    <row r="85">
      <c r="A85" t="inlineStr">
        <is>
          <t>st_39_d90</t>
        </is>
      </c>
      <c r="B85" t="inlineStr">
        <is>
          <t>OH 90+ days delinquent (%)</t>
        </is>
      </c>
      <c r="C85" t="inlineStr">
        <is>
          <t>mortgage_performance</t>
        </is>
      </c>
      <c r="D85" t="inlineStr">
        <is>
          <t>dashboard</t>
        </is>
      </c>
      <c r="E85" t="inlineStr">
        <is>
          <t>delinquency_rate</t>
        </is>
      </c>
      <c r="F85" t="inlineStr">
        <is>
          <t>monthly</t>
        </is>
      </c>
      <c r="G85" t="inlineStr">
        <is>
          <t>NSA</t>
        </is>
      </c>
      <c r="H85" t="inlineStr">
        <is>
          <t>pct</t>
        </is>
      </c>
      <c r="I85" t="inlineStr">
        <is>
          <t>rate</t>
        </is>
      </c>
      <c r="J85" t="inlineStr">
        <is>
          <t>state:39</t>
        </is>
      </c>
      <c r="K85" t="inlineStr">
        <is>
          <t>A</t>
        </is>
      </c>
      <c r="L85" t="inlineStr">
        <is>
          <t>TRUE</t>
        </is>
      </c>
      <c r="M85" t="inlineStr">
        <is>
          <t>FALSE</t>
        </is>
      </c>
      <c r="N85" t="inlineStr">
        <is>
          <t>https://www.consumerfinance.gov/data-research/mortgage-performance-trends/download-the-data/</t>
        </is>
      </c>
      <c r="O85" t="inlineStr">
        <is>
          <t>mortgage-performance</t>
        </is>
      </c>
      <c r="P85" t="inlineStr"/>
      <c r="Q85" t="inlineStr">
        <is>
          <t>90-plus</t>
        </is>
      </c>
      <c r="R85" t="inlineStr">
        <is>
          <t>level</t>
        </is>
      </c>
      <c r="S85" t="inlineStr">
        <is>
          <t>State file row (2-digit FIPS 39) -- the fallback lane for suppressed footprint counties.</t>
        </is>
      </c>
    </row>
    <row r="86">
      <c r="A86" t="inlineStr">
        <is>
          <t>st_42_d3089</t>
        </is>
      </c>
      <c r="B86" t="inlineStr">
        <is>
          <t>PA 30-89 days delinquent (%)</t>
        </is>
      </c>
      <c r="C86" t="inlineStr">
        <is>
          <t>mortgage_performance</t>
        </is>
      </c>
      <c r="D86" t="inlineStr">
        <is>
          <t>dashboard</t>
        </is>
      </c>
      <c r="E86" t="inlineStr">
        <is>
          <t>delinquency_rate</t>
        </is>
      </c>
      <c r="F86" t="inlineStr">
        <is>
          <t>monthly</t>
        </is>
      </c>
      <c r="G86" t="inlineStr">
        <is>
          <t>NSA</t>
        </is>
      </c>
      <c r="H86" t="inlineStr">
        <is>
          <t>pct</t>
        </is>
      </c>
      <c r="I86" t="inlineStr">
        <is>
          <t>rate</t>
        </is>
      </c>
      <c r="J86" t="inlineStr">
        <is>
          <t>state:42</t>
        </is>
      </c>
      <c r="K86" t="inlineStr">
        <is>
          <t>A</t>
        </is>
      </c>
      <c r="L86" t="inlineStr">
        <is>
          <t>TRUE</t>
        </is>
      </c>
      <c r="M86" t="inlineStr">
        <is>
          <t>FALSE</t>
        </is>
      </c>
      <c r="N86" t="inlineStr">
        <is>
          <t>https://www.consumerfinance.gov/data-research/mortgage-performance-trends/download-the-data/</t>
        </is>
      </c>
      <c r="O86" t="inlineStr">
        <is>
          <t>mortgage-performance</t>
        </is>
      </c>
      <c r="P86" t="inlineStr"/>
      <c r="Q86" t="inlineStr">
        <is>
          <t>30-89</t>
        </is>
      </c>
      <c r="R86" t="inlineStr">
        <is>
          <t>level</t>
        </is>
      </c>
      <c r="S86" t="inlineStr">
        <is>
          <t>State file row (2-digit FIPS 42) -- the fallback lane for suppressed footprint counties.</t>
        </is>
      </c>
    </row>
    <row r="87">
      <c r="A87" t="inlineStr">
        <is>
          <t>st_42_d90</t>
        </is>
      </c>
      <c r="B87" t="inlineStr">
        <is>
          <t>PA 90+ days delinquent (%)</t>
        </is>
      </c>
      <c r="C87" t="inlineStr">
        <is>
          <t>mortgage_performance</t>
        </is>
      </c>
      <c r="D87" t="inlineStr">
        <is>
          <t>dashboard</t>
        </is>
      </c>
      <c r="E87" t="inlineStr">
        <is>
          <t>delinquency_rate</t>
        </is>
      </c>
      <c r="F87" t="inlineStr">
        <is>
          <t>monthly</t>
        </is>
      </c>
      <c r="G87" t="inlineStr">
        <is>
          <t>NSA</t>
        </is>
      </c>
      <c r="H87" t="inlineStr">
        <is>
          <t>pct</t>
        </is>
      </c>
      <c r="I87" t="inlineStr">
        <is>
          <t>rate</t>
        </is>
      </c>
      <c r="J87" t="inlineStr">
        <is>
          <t>state:42</t>
        </is>
      </c>
      <c r="K87" t="inlineStr">
        <is>
          <t>A</t>
        </is>
      </c>
      <c r="L87" t="inlineStr">
        <is>
          <t>TRUE</t>
        </is>
      </c>
      <c r="M87" t="inlineStr">
        <is>
          <t>FALSE</t>
        </is>
      </c>
      <c r="N87" t="inlineStr">
        <is>
          <t>https://www.consumerfinance.gov/data-research/mortgage-performance-trends/download-the-data/</t>
        </is>
      </c>
      <c r="O87" t="inlineStr">
        <is>
          <t>mortgage-performance</t>
        </is>
      </c>
      <c r="P87" t="inlineStr"/>
      <c r="Q87" t="inlineStr">
        <is>
          <t>90-plus</t>
        </is>
      </c>
      <c r="R87" t="inlineStr">
        <is>
          <t>level</t>
        </is>
      </c>
      <c r="S87" t="inlineStr">
        <is>
          <t>State file row (2-digit FIPS 42) -- the fallback lane for suppressed footprint counties.</t>
        </is>
      </c>
    </row>
    <row r="88">
      <c r="A88" t="inlineStr">
        <is>
          <t>st_53_d3089</t>
        </is>
      </c>
      <c r="B88" t="inlineStr">
        <is>
          <t>WA 30-89 days delinquent (%)</t>
        </is>
      </c>
      <c r="C88" t="inlineStr">
        <is>
          <t>mortgage_performance</t>
        </is>
      </c>
      <c r="D88" t="inlineStr">
        <is>
          <t>dashboard</t>
        </is>
      </c>
      <c r="E88" t="inlineStr">
        <is>
          <t>delinquency_rate</t>
        </is>
      </c>
      <c r="F88" t="inlineStr">
        <is>
          <t>monthly</t>
        </is>
      </c>
      <c r="G88" t="inlineStr">
        <is>
          <t>NSA</t>
        </is>
      </c>
      <c r="H88" t="inlineStr">
        <is>
          <t>pct</t>
        </is>
      </c>
      <c r="I88" t="inlineStr">
        <is>
          <t>rate</t>
        </is>
      </c>
      <c r="J88" t="inlineStr">
        <is>
          <t>state:53</t>
        </is>
      </c>
      <c r="K88" t="inlineStr">
        <is>
          <t>A</t>
        </is>
      </c>
      <c r="L88" t="inlineStr">
        <is>
          <t>TRUE</t>
        </is>
      </c>
      <c r="M88" t="inlineStr">
        <is>
          <t>FALSE</t>
        </is>
      </c>
      <c r="N88" t="inlineStr">
        <is>
          <t>https://www.consumerfinance.gov/data-research/mortgage-performance-trends/download-the-data/</t>
        </is>
      </c>
      <c r="O88" t="inlineStr">
        <is>
          <t>mortgage-performance</t>
        </is>
      </c>
      <c r="P88" t="inlineStr"/>
      <c r="Q88" t="inlineStr">
        <is>
          <t>30-89</t>
        </is>
      </c>
      <c r="R88" t="inlineStr">
        <is>
          <t>level</t>
        </is>
      </c>
      <c r="S88" t="inlineStr">
        <is>
          <t>State file row (2-digit FIPS 53) -- the fallback lane for suppressed footprint counties.</t>
        </is>
      </c>
    </row>
    <row r="89">
      <c r="A89" t="inlineStr">
        <is>
          <t>st_53_d90</t>
        </is>
      </c>
      <c r="B89" t="inlineStr">
        <is>
          <t>WA 90+ days delinquent (%)</t>
        </is>
      </c>
      <c r="C89" t="inlineStr">
        <is>
          <t>mortgage_performance</t>
        </is>
      </c>
      <c r="D89" t="inlineStr">
        <is>
          <t>dashboard</t>
        </is>
      </c>
      <c r="E89" t="inlineStr">
        <is>
          <t>delinquency_rate</t>
        </is>
      </c>
      <c r="F89" t="inlineStr">
        <is>
          <t>monthly</t>
        </is>
      </c>
      <c r="G89" t="inlineStr">
        <is>
          <t>NSA</t>
        </is>
      </c>
      <c r="H89" t="inlineStr">
        <is>
          <t>pct</t>
        </is>
      </c>
      <c r="I89" t="inlineStr">
        <is>
          <t>rate</t>
        </is>
      </c>
      <c r="J89" t="inlineStr">
        <is>
          <t>state:53</t>
        </is>
      </c>
      <c r="K89" t="inlineStr">
        <is>
          <t>A</t>
        </is>
      </c>
      <c r="L89" t="inlineStr">
        <is>
          <t>TRUE</t>
        </is>
      </c>
      <c r="M89" t="inlineStr">
        <is>
          <t>FALSE</t>
        </is>
      </c>
      <c r="N89" t="inlineStr">
        <is>
          <t>https://www.consumerfinance.gov/data-research/mortgage-performance-trends/download-the-data/</t>
        </is>
      </c>
      <c r="O89" t="inlineStr">
        <is>
          <t>mortgage-performance</t>
        </is>
      </c>
      <c r="P89" t="inlineStr"/>
      <c r="Q89" t="inlineStr">
        <is>
          <t>90-plus</t>
        </is>
      </c>
      <c r="R89" t="inlineStr">
        <is>
          <t>level</t>
        </is>
      </c>
      <c r="S89" t="inlineStr">
        <is>
          <t>State file row (2-digit FIPS 53) -- the fallback lane for suppressed footprint counties.</t>
        </is>
      </c>
    </row>
    <row r="90">
      <c r="A90" t="inlineStr">
        <is>
          <t>co_d3089</t>
        </is>
      </c>
      <c r="B90" t="inlineStr">
        <is>
          <t>Footprint county 30-89 days delinquent (%)</t>
        </is>
      </c>
      <c r="C90" t="inlineStr">
        <is>
          <t>mortgage_performance</t>
        </is>
      </c>
      <c r="D90" t="inlineStr">
        <is>
          <t>dashboard</t>
        </is>
      </c>
      <c r="E90" t="inlineStr">
        <is>
          <t>delinquency_rate</t>
        </is>
      </c>
      <c r="F90" t="inlineStr">
        <is>
          <t>monthly</t>
        </is>
      </c>
      <c r="G90" t="inlineStr">
        <is>
          <t>NSA</t>
        </is>
      </c>
      <c r="H90" t="inlineStr">
        <is>
          <t>pct</t>
        </is>
      </c>
      <c r="I90" t="inlineStr">
        <is>
          <t>rate</t>
        </is>
      </c>
      <c r="J90" t="inlineStr">
        <is>
          <t>county</t>
        </is>
      </c>
      <c r="K90" t="inlineStr">
        <is>
          <t>A</t>
        </is>
      </c>
      <c r="L90" t="inlineStr">
        <is>
          <t>TRUE</t>
        </is>
      </c>
      <c r="M90" t="inlineStr">
        <is>
          <t>TRUE</t>
        </is>
      </c>
      <c r="N90" t="inlineStr">
        <is>
          <t>https://www.consumerfinance.gov/data-research/mortgage-performance-trends/download-the-data/</t>
        </is>
      </c>
      <c r="O90" t="inlineStr">
        <is>
          <t>mortgage-performance</t>
        </is>
      </c>
      <c r="P90" t="inlineStr"/>
      <c r="Q90" t="inlineStr">
        <is>
          <t>30-89</t>
        </is>
      </c>
      <c r="R90" t="inlineStr">
        <is>
          <t>level</t>
        </is>
      </c>
      <c r="S90" t="inlineStr">
        <is>
          <t>TEMPLATE row expanded per active [FOOTPRINT] slot at run time; suppressed counties are ABSENT from the file, never zero (trap C4).</t>
        </is>
      </c>
    </row>
    <row r="91">
      <c r="A91" t="inlineStr">
        <is>
          <t>co_d90</t>
        </is>
      </c>
      <c r="B91" t="inlineStr">
        <is>
          <t>Footprint county 90+ days delinquent (%)</t>
        </is>
      </c>
      <c r="C91" t="inlineStr">
        <is>
          <t>mortgage_performance</t>
        </is>
      </c>
      <c r="D91" t="inlineStr">
        <is>
          <t>dashboard</t>
        </is>
      </c>
      <c r="E91" t="inlineStr">
        <is>
          <t>delinquency_rate</t>
        </is>
      </c>
      <c r="F91" t="inlineStr">
        <is>
          <t>monthly</t>
        </is>
      </c>
      <c r="G91" t="inlineStr">
        <is>
          <t>NSA</t>
        </is>
      </c>
      <c r="H91" t="inlineStr">
        <is>
          <t>pct</t>
        </is>
      </c>
      <c r="I91" t="inlineStr">
        <is>
          <t>rate</t>
        </is>
      </c>
      <c r="J91" t="inlineStr">
        <is>
          <t>county</t>
        </is>
      </c>
      <c r="K91" t="inlineStr">
        <is>
          <t>A</t>
        </is>
      </c>
      <c r="L91" t="inlineStr">
        <is>
          <t>TRUE</t>
        </is>
      </c>
      <c r="M91" t="inlineStr">
        <is>
          <t>TRUE</t>
        </is>
      </c>
      <c r="N91" t="inlineStr">
        <is>
          <t>https://www.consumerfinance.gov/data-research/mortgage-performance-trends/download-the-data/</t>
        </is>
      </c>
      <c r="O91" t="inlineStr">
        <is>
          <t>mortgage-performance</t>
        </is>
      </c>
      <c r="P91" t="inlineStr"/>
      <c r="Q91" t="inlineStr">
        <is>
          <t>90-plus</t>
        </is>
      </c>
      <c r="R91" t="inlineStr">
        <is>
          <t>level</t>
        </is>
      </c>
      <c r="S91" t="inlineStr">
        <is>
          <t>TEMPLATE row expanded per active [FOOTPRINT] slot at run time; suppressed counties are ABSENT from the file, never zero (trap C4).</t>
        </is>
      </c>
    </row>
    <row r="93">
      <c r="A93" t="inlineStr">
        <is>
          <t># nat_* and st_* rows are DASHBOARD CONTEXT (watchlist_capable FALSE -- aggregates are never watchlist). The st_* rows were derived from the seed footprint's states at build time; if your footprint spans other states, add matching st_{FIPS2}_{measure} rows (15 state slots are provisioned).</t>
        </is>
      </c>
    </row>
    <row r="94">
      <c r="A94" t="inlineStr">
        <is>
          <t># co_d3089/co_d90 are the TEMPLATE rows the runner expands per active [FOOTPRINT] slot into units co_{slot}_{measure}. OUT of v1: the Metro file (mixed non-FIPS keys), FHFA NMDB fallback, any interpolation for suppressed counties.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553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5" t="inlineStr">
        <is>
          <t>#!/usr/bin/env python3</t>
        </is>
      </c>
    </row>
    <row r="2">
      <c r="A2" s="25" t="inlineStr">
        <is>
          <t>"""County Mortgage Delinquency Monitor -- runner (the data path).</t>
        </is>
      </c>
    </row>
    <row r="3">
      <c r="A3" s="25" t="inlineStr"/>
    </row>
    <row r="4">
      <c r="A4" s="25" t="inlineStr">
        <is>
          <t>Single source of truth for the data path; embedded verbatim into the</t>
        </is>
      </c>
    </row>
    <row r="5">
      <c r="A5" s="25" t="inlineStr">
        <is>
          <t>workbook's _code_py tab. The VBA ExtractFiles macro writes this back out as</t>
        </is>
      </c>
    </row>
    <row r="6">
      <c r="A6" s="25" t="inlineStr">
        <is>
          <t>runner.py and the user runs it from PowerShell against the CLOSED workbook</t>
        </is>
      </c>
    </row>
    <row r="7">
      <c r="A7" s="25" t="inlineStr">
        <is>
          <t>(openpyxl backend).</t>
        </is>
      </c>
    </row>
    <row r="8">
      <c r="A8" s="25" t="inlineStr"/>
    </row>
    <row r="9">
      <c r="A9" s="25" t="inlineStr">
        <is>
          <t>Built to BUILD_SPEC_CFPB.md. THE SLOT MECHANISM (the FDIC template's [PEERS]</t>
        </is>
      </c>
    </row>
    <row r="10">
      <c r="A10" s="25" t="inlineStr">
        <is>
          <t>pattern, carried wholesale): the hand-picked _config [FOOTPRINT] list IS the</t>
        </is>
      </c>
    </row>
    <row r="11">
      <c r="A11" s="25" t="inlineStr">
        <is>
          <t>watchlist, keyed by 5-digit county FIPS, and [SERIES] carries the national</t>
        </is>
      </c>
    </row>
    <row r="12">
      <c r="A12" s="25" t="inlineStr">
        <is>
          <t>rows, the state dashboard rows (st_{FIPS2}_{measure}, slot-provisioned) and</t>
        </is>
      </c>
    </row>
    <row r="13">
      <c r="A13" s="25" t="inlineStr">
        <is>
          <t>the 2-measure county TEMPLATE rows expanded at run time into units</t>
        </is>
      </c>
    </row>
    <row r="14">
      <c r="A14" s="25" t="inlineStr">
        <is>
          <t>co_{slot:02d}_{measure}. Raw anchors depend ONLY on (slot, measure), so</t>
        </is>
      </c>
    </row>
    <row r="15">
      <c r="A15" s="25" t="inlineStr">
        <is>
          <t>editing WHICH county occupies a slot moves no formula -- add/remove =</t>
        </is>
      </c>
    </row>
    <row r="16">
      <c r="A16" s="25" t="inlineStr">
        <is>
          <t>edit a [FOOTPRINT] line + re-run, never a rebuild (within built capacity).</t>
        </is>
      </c>
    </row>
    <row r="17">
      <c r="A17" s="25" t="inlineStr"/>
    </row>
    <row r="18">
      <c r="A18" s="25" t="inlineStr">
        <is>
          <t>Clean seams (BUILD SPEC 0.3 / 1):</t>
        </is>
      </c>
    </row>
    <row r="19">
      <c r="A19" s="25" t="inlineStr">
        <is>
          <t xml:space="preserve">  * ADAPTER SEAM -- fetch_series(spec, secret) -&gt; list[NormalizedRow], FIXED</t>
        </is>
      </c>
    </row>
    <row r="20">
      <c r="A20" s="25" t="inlineStr">
        <is>
          <t xml:space="preserve">    schema. Two Class A providers: CfpbProvider (live, plain urllib, KEYLESS,</t>
        </is>
      </c>
    </row>
    <row r="21">
      <c r="A21" s="25" t="inlineStr">
        <is>
          <t xml:space="preserve">    TWO-STAGE: scrape the download page for the CURRENT dated filenames --</t>
        </is>
      </c>
    </row>
    <row r="22">
      <c r="A22" s="25" t="inlineStr">
        <is>
          <t xml:space="preserve">    trap C2 -- then fetch 4 CSVs) + CfpbDemoProvider (offline deterministic,</t>
        </is>
      </c>
    </row>
    <row r="23">
      <c r="A23" s="25" t="inlineStr">
        <is>
          <t xml:space="preserve">    all tests). Wide CSVs are unpivoted by the ^\\d{4}-\\d{2}$ header pattern</t>
        </is>
      </c>
    </row>
    <row r="24">
      <c r="A24" s="25" t="inlineStr">
        <is>
          <t xml:space="preserve">    (trap C5), quoted FIPS stripped and kept as TEXT (trap C1), the National</t>
        </is>
      </c>
    </row>
    <row r="25">
      <c r="A25" s="25" t="inlineStr">
        <is>
          <t xml:space="preserve">    row filtered by RegionType (trap C7).</t>
        </is>
      </c>
    </row>
    <row r="26">
      <c r="A26" s="25" t="inlineStr">
        <is>
          <t xml:space="preserve">  * TRANSFORM REGISTRY -- pure functions (level, yoy_pct, dev_12m,</t>
        </is>
      </c>
    </row>
    <row r="27">
      <c r="A27" s="25" t="inlineStr">
        <is>
          <t xml:space="preserve">    rise_streak3) defined IDENTICALLY here and in the Excel formulas</t>
        </is>
      </c>
    </row>
    <row r="28">
      <c r="A28" s="25" t="inlineStr">
        <is>
          <t xml:space="preserve">    (parity-tested). Blank-tolerant: missing months blank, never zero.</t>
        </is>
      </c>
    </row>
    <row r="29">
      <c r="A29" s="25" t="inlineStr">
        <is>
          <t xml:space="preserve">  * THRESHOLD ENGINE -- config-driven OK/WATCH/ALERT, direction-aware.</t>
        </is>
      </c>
    </row>
    <row r="30">
      <c r="A30" s="25" t="inlineStr">
        <is>
          <t xml:space="preserve">  * WATCHLIST VALIDATOR -- DEFAULT-DENY (BUILD SPEC 0.1): only rows carrying</t>
        </is>
      </c>
    </row>
    <row r="31">
      <c r="A31" s="25" t="inlineStr">
        <is>
          <t xml:space="preserve">    a genuine county key (county:NNNNN) are admitted; blank/malformed FIPS</t>
        </is>
      </c>
    </row>
    <row r="32">
      <c r="A32" s="25" t="inlineStr">
        <is>
          <t xml:space="preserve">    are refused BY NAME with a --lookup hint; states/metros/national are</t>
        </is>
      </c>
    </row>
    <row r="33">
      <c r="A33" s="25" t="inlineStr">
        <is>
          <t xml:space="preserve">    dashboard context, NEVER watchlist.</t>
        </is>
      </c>
    </row>
    <row r="34">
      <c r="A34" s="25" t="inlineStr">
        <is>
          <t xml:space="preserve">  * SUPPRESSION (BUILD SPEC 0.6, trap C4) -- a footprint county ABSENT from</t>
        </is>
      </c>
    </row>
    <row r="35">
      <c r="A35" s="25" t="inlineStr">
        <is>
          <t xml:space="preserve">    the fetched file is SUPPRESSED (below the ~1,000-sample-mortgage</t>
        </is>
      </c>
    </row>
    <row r="36">
      <c r="A36" s="25" t="inlineStr">
        <is>
          <t xml:space="preserve">    inclusion threshold), rendered explicitly, excluded from alert counts --</t>
        </is>
      </c>
    </row>
    <row r="37">
      <c r="A37" s="25" t="inlineStr">
        <is>
          <t xml:space="preserve">    never blank-and-silent, never zero.</t>
        </is>
      </c>
    </row>
    <row r="38">
      <c r="A38" s="25" t="inlineStr">
        <is>
          <t xml:space="preserve">  * VINTAGE / CONTINUITY (BUILD SPEC 0.6, traps C3/C6) -- every vintage</t>
        </is>
      </c>
    </row>
    <row r="39">
      <c r="A39" s="25" t="inlineStr">
        <is>
          <t xml:space="preserve">    revises the FULL history, so every run is a stateless FULL REPLACE; the</t>
        </is>
      </c>
    </row>
    <row r="40">
      <c r="A40" s="25" t="inlineStr">
        <is>
          <t xml:space="preserve">    vintage (thru-YYYY-MM) is recorded in the status panel, and a vintage</t>
        </is>
      </c>
    </row>
    <row r="41">
      <c r="A41" s="25" t="inlineStr">
        <is>
          <t xml:space="preserve">    older than continuity_months behind --asof raises a CONTINUITY WARNING</t>
        </is>
      </c>
    </row>
    <row r="42">
      <c r="A42" s="25" t="inlineStr">
        <is>
          <t xml:space="preserve">    (the CFPB publishes informally; it survived the 2025 turmoil once).</t>
        </is>
      </c>
    </row>
    <row r="43">
      <c r="A43" s="25" t="inlineStr"/>
    </row>
    <row r="44">
      <c r="A44" s="25" t="inlineStr">
        <is>
          <t>No AI/LLM anywhere; every computation is deterministic (BUILD SPEC 0.5).</t>
        </is>
      </c>
    </row>
    <row r="45">
      <c r="A45" s="25" t="inlineStr">
        <is>
          <t>Pure ASCII (L3).</t>
        </is>
      </c>
    </row>
    <row r="46">
      <c r="A46" s="25" t="inlineStr">
        <is>
          <t>"""</t>
        </is>
      </c>
    </row>
    <row r="47">
      <c r="A47" s="25" t="inlineStr">
        <is>
          <t>from __future__ import annotations</t>
        </is>
      </c>
    </row>
    <row r="48">
      <c r="A48" s="25" t="inlineStr"/>
    </row>
    <row r="49">
      <c r="A49" s="25" t="inlineStr">
        <is>
          <t>import argparse</t>
        </is>
      </c>
    </row>
    <row r="50">
      <c r="A50" s="25" t="inlineStr">
        <is>
          <t>import csv</t>
        </is>
      </c>
    </row>
    <row r="51">
      <c r="A51" s="25" t="inlineStr">
        <is>
          <t>import io</t>
        </is>
      </c>
    </row>
    <row r="52">
      <c r="A52" s="25" t="inlineStr">
        <is>
          <t>import json</t>
        </is>
      </c>
    </row>
    <row r="53">
      <c r="A53" s="25" t="inlineStr">
        <is>
          <t>import math</t>
        </is>
      </c>
    </row>
    <row r="54">
      <c r="A54" s="25" t="inlineStr">
        <is>
          <t>import os</t>
        </is>
      </c>
    </row>
    <row r="55">
      <c r="A55" s="25" t="inlineStr">
        <is>
          <t>import re</t>
        </is>
      </c>
    </row>
    <row r="56">
      <c r="A56" s="25" t="inlineStr">
        <is>
          <t>import sys</t>
        </is>
      </c>
    </row>
    <row r="57">
      <c r="A57" s="25" t="inlineStr">
        <is>
          <t>import time</t>
        </is>
      </c>
    </row>
    <row r="58">
      <c r="A58" s="25" t="inlineStr">
        <is>
          <t>from dataclasses import dataclass, field</t>
        </is>
      </c>
    </row>
    <row r="59">
      <c r="A59" s="25" t="inlineStr">
        <is>
          <t>from datetime import date, datetime</t>
        </is>
      </c>
    </row>
    <row r="60">
      <c r="A60" s="25" t="inlineStr">
        <is>
          <t>from typing import Dict, List, Optional, Sequence, Tuple</t>
        </is>
      </c>
    </row>
    <row r="61">
      <c r="A61" s="25" t="inlineStr"/>
    </row>
    <row r="62">
      <c r="A62" s="25" t="inlineStr">
        <is>
          <t>import pandas as pd  # noqa: F401  (contract dependency; openpyxl does the IO)</t>
        </is>
      </c>
    </row>
    <row r="63">
      <c r="A63" s="25" t="inlineStr"/>
    </row>
    <row r="64">
      <c r="A64" s="25" t="inlineStr">
        <is>
          <t># Fixed raw-block geometry: ONE block per GEO SLOT in Raw_CFPB -- the</t>
        </is>
      </c>
    </row>
    <row r="65">
      <c r="A65" s="25" t="inlineStr">
        <is>
          <t># national block, then 15 state slots, then the built county slots. Months</t>
        </is>
      </c>
    </row>
    <row r="66">
      <c r="A66" s="25" t="inlineStr">
        <is>
          <t># as rows (newest first), the two measures as columns. Anchors depend only</t>
        </is>
      </c>
    </row>
    <row r="67">
      <c r="A67" s="25" t="inlineStr">
        <is>
          <t># on (kind, slot, raw_slots) -- never on which county occupies the slot --</t>
        </is>
      </c>
    </row>
    <row r="68">
      <c r="A68" s="25" t="inlineStr">
        <is>
          <t># so dashboard formulas survive any [FOOTPRINT] edit.</t>
        </is>
      </c>
    </row>
    <row r="69">
      <c r="A69" s="25" t="inlineStr">
        <is>
          <t>RAW_TAB = "Raw_CFPB"</t>
        </is>
      </c>
    </row>
    <row r="70">
      <c r="A70" s="25" t="inlineStr">
        <is>
          <t>RAW_SLOTS_DEFAULT = 72             # months kept per geo (6 years, newest-first)</t>
        </is>
      </c>
    </row>
    <row r="71">
      <c r="A71" s="25" t="inlineStr">
        <is>
          <t>FOOTPRINT_SLOTS_DEFAULT = 40       # BUILT county capacity (--footprint-slots)</t>
        </is>
      </c>
    </row>
    <row r="72">
      <c r="A72" s="25" t="inlineStr">
        <is>
          <t>STATE_SLOTS = 15                   # provisioned state dashboard slots (fixed)</t>
        </is>
      </c>
    </row>
    <row r="73">
      <c r="A73" s="25" t="inlineStr">
        <is>
          <t>RAW_HEADER_ROWS = 2</t>
        </is>
      </c>
    </row>
    <row r="74">
      <c r="A74" s="25" t="inlineStr">
        <is>
          <t>RAW_GAP_ROWS = 2</t>
        </is>
      </c>
    </row>
    <row r="75">
      <c r="A75" s="25" t="inlineStr">
        <is>
          <t>RAW_FIRST_ROW = 2</t>
        </is>
      </c>
    </row>
    <row r="76">
      <c r="A76" s="25" t="inlineStr">
        <is>
          <t>RAW_PERIOD_COL = 1                 # column A = month (YYYY-MM, text)</t>
        </is>
      </c>
    </row>
    <row r="77">
      <c r="A77" s="25" t="inlineStr"/>
    </row>
    <row r="78">
      <c r="A78" s="25" t="inlineStr">
        <is>
          <t># Status panel column on each dashboard (free of any merged masthead cells).</t>
        </is>
      </c>
    </row>
    <row r="79">
      <c r="A79" s="25" t="inlineStr">
        <is>
          <t>STATUS_COL = 12                    # column L</t>
        </is>
      </c>
    </row>
    <row r="80">
      <c r="A80" s="25" t="inlineStr"/>
    </row>
    <row r="81">
      <c r="A81" s="25" t="inlineStr">
        <is>
          <t>DASH_TABS = ("Dashboard_State", "Dashboard_Trends")</t>
        </is>
      </c>
    </row>
    <row r="82">
      <c r="A82" s="25" t="inlineStr"/>
    </row>
    <row r="83">
      <c r="A83" s="25" t="inlineStr">
        <is>
          <t>MEASURES = ("d3089", "d90")</t>
        </is>
      </c>
    </row>
    <row r="84">
      <c r="A84" s="25" t="inlineStr">
        <is>
          <t>MEASURE_FILE = {"d3089": "30-89", "d90": "90-plus"}</t>
        </is>
      </c>
    </row>
    <row r="85">
      <c r="A85" s="25" t="inlineStr">
        <is>
          <t>MEASURE_COL = {"d3089": 2, "d90": 3}     # Raw_CFPB columns B / C</t>
        </is>
      </c>
    </row>
    <row r="86">
      <c r="A86" s="25" t="inlineStr"/>
    </row>
    <row r="87">
      <c r="A87" s="25" t="inlineStr">
        <is>
          <t># The watchlist join-key whitelist (BUILD SPEC 0.1): default-deny. Only a</t>
        </is>
      </c>
    </row>
    <row r="88">
      <c r="A88" s="25" t="inlineStr">
        <is>
          <t># literal 5-digit county FIPS key passes; states, metros, national and</t>
        </is>
      </c>
    </row>
    <row r="89">
      <c r="A89" s="25" t="inlineStr">
        <is>
          <t># name-only rows are refused (metro/CBSA promotion is a spec change, not a</t>
        </is>
      </c>
    </row>
    <row r="90">
      <c r="A90" s="25" t="inlineStr">
        <is>
          <t># config edit -- the metro file mixes non-FIPS keys).</t>
        </is>
      </c>
    </row>
    <row r="91">
      <c r="A91" s="25" t="inlineStr">
        <is>
          <t>ENTITY_KEY_PATTERN = r"^county:[0-9]{5}$"</t>
        </is>
      </c>
    </row>
    <row r="92">
      <c r="A92" s="25" t="inlineStr"/>
    </row>
    <row r="93">
      <c r="A93" s="25" t="inlineStr">
        <is>
          <t>MONTH_RE = re.compile(r"^\d{4}-\d{2}$")</t>
        </is>
      </c>
    </row>
    <row r="94">
      <c r="A94" s="25" t="inlineStr">
        <is>
          <t>VINTAGE_RE = re.compile(r"^(?:thru-)?(\d{4})-(\d{2})$")</t>
        </is>
      </c>
    </row>
    <row r="95">
      <c r="A95" s="25" t="inlineStr"/>
    </row>
    <row r="96">
      <c r="A96" s="25" t="inlineStr">
        <is>
          <t># Stage-1 discovery (trap C2: filenames are DATED; hardcoded URLs die every</t>
        </is>
      </c>
    </row>
    <row r="97">
      <c r="A97" s="25" t="inlineStr">
        <is>
          <t># release). The CFPB's own ecosystem scrapes the download page -- so do we.</t>
        </is>
      </c>
    </row>
    <row r="98">
      <c r="A98" s="25" t="inlineStr">
        <is>
          <t>FILENAME_RE = re.compile(</t>
        </is>
      </c>
    </row>
    <row r="99">
      <c r="A99" s="25" t="inlineStr">
        <is>
          <t xml:space="preserve">    r"(State|County)MortgagesPercent-(30-89|90-plus)DaysLate-"</t>
        </is>
      </c>
    </row>
    <row r="100">
      <c r="A100" s="25" t="inlineStr">
        <is>
          <t xml:space="preserve">    r"thru-(\d{4}-\d{2})\.csv")</t>
        </is>
      </c>
    </row>
    <row r="101">
      <c r="A101" s="25" t="inlineStr">
        <is>
          <t>DOWNLOAD_PAGE = ("https://www.consumerfinance.gov/data-research/"</t>
        </is>
      </c>
    </row>
    <row r="102">
      <c r="A102" s="25" t="inlineStr">
        <is>
          <t xml:space="preserve">                 "mortgage-performance-trends/download-the-data/")</t>
        </is>
      </c>
    </row>
    <row r="103">
      <c r="A103" s="25" t="inlineStr">
        <is>
          <t>FILES_BASE = ("https://files.consumerfinance.gov/data/"</t>
        </is>
      </c>
    </row>
    <row r="104">
      <c r="A104" s="25" t="inlineStr">
        <is>
          <t xml:space="preserve">              "mortgage-performance/downloads/")</t>
        </is>
      </c>
    </row>
    <row r="105">
      <c r="A105" s="25" t="inlineStr"/>
    </row>
    <row r="106">
      <c r="A106" s="25" t="inlineStr">
        <is>
          <t>THRESHOLD_IDS = ("d3089_dev12m", "d90_streak3", "d90_level")</t>
        </is>
      </c>
    </row>
    <row r="107">
      <c r="A107" s="25" t="inlineStr"/>
    </row>
    <row r="108">
      <c r="A108" s="25" t="inlineStr">
        <is>
          <t>SUPPRESSED_TEXT = "SUPPRESSED (below sample threshold) -- use the state row"</t>
        </is>
      </c>
    </row>
    <row r="109">
      <c r="A109" s="25" t="inlineStr"/>
    </row>
    <row r="110">
      <c r="A110" s="25" t="inlineStr"/>
    </row>
    <row r="111">
      <c r="A111" s="25" t="inlineStr">
        <is>
          <t>def slot_label(kind: str, slot: int) -&gt; str:</t>
        </is>
      </c>
    </row>
    <row r="112">
      <c r="A112" s="25" t="inlineStr">
        <is>
          <t xml:space="preserve">    """Raw block label: 'nat', 'st01'..'st15', 'co01'..'coNN'."""</t>
        </is>
      </c>
    </row>
    <row r="113">
      <c r="A113" s="25" t="inlineStr">
        <is>
          <t xml:space="preserve">    if kind == "national":</t>
        </is>
      </c>
    </row>
    <row r="114">
      <c r="A114" s="25" t="inlineStr">
        <is>
          <t xml:space="preserve">        return "nat"</t>
        </is>
      </c>
    </row>
    <row r="115">
      <c r="A115" s="25" t="inlineStr">
        <is>
          <t xml:space="preserve">    return ("st" if kind == "state" else "co") + f"{slot:02d}"</t>
        </is>
      </c>
    </row>
    <row r="116">
      <c r="A116" s="25" t="inlineStr"/>
    </row>
    <row r="117">
      <c r="A117" s="25" t="inlineStr"/>
    </row>
    <row r="118">
      <c r="A118" s="25" t="inlineStr">
        <is>
          <t># ---------------------------------------------------------------------------</t>
        </is>
      </c>
    </row>
    <row r="119">
      <c r="A119" s="25" t="inlineStr">
        <is>
          <t># CONFIG MODEL (parsed from the `_config` tab; backend-agnostic)</t>
        </is>
      </c>
    </row>
    <row r="120">
      <c r="A120" s="25" t="inlineStr">
        <is>
          <t># ---------------------------------------------------------------------------</t>
        </is>
      </c>
    </row>
    <row r="121">
      <c r="A121" s="25" t="inlineStr">
        <is>
          <t>SERIES_HEADER = [</t>
        </is>
      </c>
    </row>
    <row r="122">
      <c r="A122" s="25" t="inlineStr">
        <is>
          <t xml:space="preserve">    "id", "title", "category", "lane", "metric_type", "frequency", "sa_nsa",</t>
        </is>
      </c>
    </row>
    <row r="123">
      <c r="A123" s="25" t="inlineStr">
        <is>
          <t xml:space="preserve">    "units", "level_rate_index", "geo_segment", "source_class",</t>
        </is>
      </c>
    </row>
    <row r="124">
      <c r="A124" s="25" t="inlineStr">
        <is>
          <t xml:space="preserve">    "dashboard_capable", "watchlist_capable", "source_url", "table_id", "sheet",</t>
        </is>
      </c>
    </row>
    <row r="125">
      <c r="A125" s="25" t="inlineStr">
        <is>
          <t xml:space="preserve">    "series_label", "transform", "notes",</t>
        </is>
      </c>
    </row>
    <row r="126">
      <c r="A126" s="25" t="inlineStr">
        <is>
          <t>]</t>
        </is>
      </c>
    </row>
    <row r="127">
      <c r="A127" s="25" t="inlineStr"/>
    </row>
    <row r="128">
      <c r="A128" s="25" t="inlineStr">
        <is>
          <t>FOOTPRINT_HEADER = ["slot", "fips", "name", "state", "active"]</t>
        </is>
      </c>
    </row>
    <row r="129">
      <c r="A129" s="25" t="inlineStr"/>
    </row>
    <row r="130">
      <c r="A130" s="25" t="inlineStr"/>
    </row>
    <row r="131">
      <c r="A131" s="25" t="inlineStr">
        <is>
          <t>@dataclass</t>
        </is>
      </c>
    </row>
    <row r="132">
      <c r="A132" s="25" t="inlineStr">
        <is>
          <t>class SeriesSpec:</t>
        </is>
      </c>
    </row>
    <row r="133">
      <c r="A133" s="25" t="inlineStr">
        <is>
          <t xml:space="preserve">    id: str</t>
        </is>
      </c>
    </row>
    <row r="134">
      <c r="A134" s="25" t="inlineStr">
        <is>
          <t xml:space="preserve">    title: str</t>
        </is>
      </c>
    </row>
    <row r="135">
      <c r="A135" s="25" t="inlineStr">
        <is>
          <t xml:space="preserve">    category: str</t>
        </is>
      </c>
    </row>
    <row r="136">
      <c r="A136" s="25" t="inlineStr">
        <is>
          <t xml:space="preserve">    lane: str</t>
        </is>
      </c>
    </row>
    <row r="137">
      <c r="A137" s="25" t="inlineStr">
        <is>
          <t xml:space="preserve">    metric_type: str</t>
        </is>
      </c>
    </row>
    <row r="138">
      <c r="A138" s="25" t="inlineStr">
        <is>
          <t xml:space="preserve">    frequency: str</t>
        </is>
      </c>
    </row>
    <row r="139">
      <c r="A139" s="25" t="inlineStr">
        <is>
          <t xml:space="preserve">    sa_nsa: str</t>
        </is>
      </c>
    </row>
    <row r="140">
      <c r="A140" s="25" t="inlineStr">
        <is>
          <t xml:space="preserve">    units: str</t>
        </is>
      </c>
    </row>
    <row r="141">
      <c r="A141" s="25" t="inlineStr">
        <is>
          <t xml:space="preserve">    level_rate_index: str</t>
        </is>
      </c>
    </row>
    <row r="142">
      <c r="A142" s="25" t="inlineStr">
        <is>
          <t xml:space="preserve">    geo_segment: str</t>
        </is>
      </c>
    </row>
    <row r="143">
      <c r="A143" s="25" t="inlineStr">
        <is>
          <t xml:space="preserve">    source_class: str</t>
        </is>
      </c>
    </row>
    <row r="144">
      <c r="A144" s="25" t="inlineStr">
        <is>
          <t xml:space="preserve">    dashboard_capable: bool</t>
        </is>
      </c>
    </row>
    <row r="145">
      <c r="A145" s="25" t="inlineStr">
        <is>
          <t xml:space="preserve">    watchlist_capable: bool</t>
        </is>
      </c>
    </row>
    <row r="146">
      <c r="A146" s="25" t="inlineStr">
        <is>
          <t xml:space="preserve">    source_url: str</t>
        </is>
      </c>
    </row>
    <row r="147">
      <c r="A147" s="25" t="inlineStr">
        <is>
          <t xml:space="preserve">    table_id: str</t>
        </is>
      </c>
    </row>
    <row r="148">
      <c r="A148" s="25" t="inlineStr">
        <is>
          <t xml:space="preserve">    sheet: str</t>
        </is>
      </c>
    </row>
    <row r="149">
      <c r="A149" s="25" t="inlineStr">
        <is>
          <t xml:space="preserve">    series_label: str</t>
        </is>
      </c>
    </row>
    <row r="150">
      <c r="A150" s="25" t="inlineStr">
        <is>
          <t xml:space="preserve">    transform: str</t>
        </is>
      </c>
    </row>
    <row r="151">
      <c r="A151" s="25" t="inlineStr">
        <is>
          <t xml:space="preserve">    notes: str</t>
        </is>
      </c>
    </row>
    <row r="152">
      <c r="A152" s="25" t="inlineStr"/>
    </row>
    <row r="153">
      <c r="A153" s="25" t="inlineStr"/>
    </row>
    <row r="154">
      <c r="A154" s="25" t="inlineStr">
        <is>
          <t>@dataclass</t>
        </is>
      </c>
    </row>
    <row r="155">
      <c r="A155" s="25" t="inlineStr">
        <is>
          <t>class FootprintRow:</t>
        </is>
      </c>
    </row>
    <row r="156">
      <c r="A156" s="25" t="inlineStr">
        <is>
          <t xml:space="preserve">    """One [FOOTPRINT] line: the flexible county list. An empty row (slot</t>
        </is>
      </c>
    </row>
    <row r="157">
      <c r="A157" s="25" t="inlineStr">
        <is>
          <t xml:space="preserve">    number only) is provisioned headroom the user fills by hand."""</t>
        </is>
      </c>
    </row>
    <row r="158">
      <c r="A158" s="25" t="inlineStr">
        <is>
          <t xml:space="preserve">    slot: Optional[int]</t>
        </is>
      </c>
    </row>
    <row r="159">
      <c r="A159" s="25" t="inlineStr">
        <is>
          <t xml:space="preserve">    fips: str              # normalized 5-digit text; "" when blank</t>
        </is>
      </c>
    </row>
    <row r="160">
      <c r="A160" s="25" t="inlineStr">
        <is>
          <t xml:space="preserve">    name: str</t>
        </is>
      </c>
    </row>
    <row r="161">
      <c r="A161" s="25" t="inlineStr">
        <is>
          <t xml:space="preserve">    state: str</t>
        </is>
      </c>
    </row>
    <row r="162">
      <c r="A162" s="25" t="inlineStr">
        <is>
          <t xml:space="preserve">    active: bool</t>
        </is>
      </c>
    </row>
    <row r="163">
      <c r="A163" s="25" t="inlineStr"/>
    </row>
    <row r="164">
      <c r="A164" s="25" t="inlineStr">
        <is>
          <t xml:space="preserve">    @property</t>
        </is>
      </c>
    </row>
    <row r="165">
      <c r="A165" s="25" t="inlineStr">
        <is>
          <t xml:space="preserve">    def has_county(self) -&gt; bool:</t>
        </is>
      </c>
    </row>
    <row r="166">
      <c r="A166" s="25" t="inlineStr">
        <is>
          <t xml:space="preserve">        return bool(self.fips or self.name)</t>
        </is>
      </c>
    </row>
    <row r="167">
      <c r="A167" s="25" t="inlineStr"/>
    </row>
    <row r="168">
      <c r="A168" s="25" t="inlineStr">
        <is>
          <t xml:space="preserve">    @property</t>
        </is>
      </c>
    </row>
    <row r="169">
      <c r="A169" s="25" t="inlineStr">
        <is>
          <t xml:space="preserve">    def entity_key(self) -&gt; str:</t>
        </is>
      </c>
    </row>
    <row r="170">
      <c r="A170" s="25" t="inlineStr">
        <is>
          <t xml:space="preserve">        """The join key the gate whitelists: county:NNNNN from the fips cell."""</t>
        </is>
      </c>
    </row>
    <row r="171">
      <c r="A171" s="25" t="inlineStr">
        <is>
          <t xml:space="preserve">        return f"county:{self.fips}"</t>
        </is>
      </c>
    </row>
    <row r="172">
      <c r="A172" s="25" t="inlineStr"/>
    </row>
    <row r="173">
      <c r="A173" s="25" t="inlineStr"/>
    </row>
    <row r="174">
      <c r="A174" s="25" t="inlineStr">
        <is>
          <t>@dataclass</t>
        </is>
      </c>
    </row>
    <row r="175">
      <c r="A175" s="25" t="inlineStr">
        <is>
          <t>class Threshold:</t>
        </is>
      </c>
    </row>
    <row r="176">
      <c r="A176" s="25" t="inlineStr">
        <is>
          <t xml:space="preserve">    watch: Optional[float]</t>
        </is>
      </c>
    </row>
    <row r="177">
      <c r="A177" s="25" t="inlineStr">
        <is>
          <t xml:space="preserve">    alert: Optional[float]</t>
        </is>
      </c>
    </row>
    <row r="178">
      <c r="A178" s="25" t="inlineStr">
        <is>
          <t xml:space="preserve">    direction: str          # "above" | "below"</t>
        </is>
      </c>
    </row>
    <row r="179">
      <c r="A179" s="25" t="inlineStr"/>
    </row>
    <row r="180">
      <c r="A180" s="25" t="inlineStr"/>
    </row>
    <row r="181">
      <c r="A181" s="25" t="inlineStr">
        <is>
          <t>@dataclass</t>
        </is>
      </c>
    </row>
    <row r="182">
      <c r="A182" s="25" t="inlineStr">
        <is>
          <t>class Config:</t>
        </is>
      </c>
    </row>
    <row r="183">
      <c r="A183" s="25" t="inlineStr">
        <is>
          <t xml:space="preserve">    settings: Dict[str, str] = field(default_factory=dict)</t>
        </is>
      </c>
    </row>
    <row r="184">
      <c r="A184" s="25" t="inlineStr">
        <is>
          <t xml:space="preserve">    thresholds: Dict[str, Threshold] = field(default_factory=dict)</t>
        </is>
      </c>
    </row>
    <row r="185">
      <c r="A185" s="25" t="inlineStr">
        <is>
          <t xml:space="preserve">    series: List[SeriesSpec] = field(default_factory=list)</t>
        </is>
      </c>
    </row>
    <row r="186">
      <c r="A186" s="25" t="inlineStr">
        <is>
          <t xml:space="preserve">    footprint: List[FootprintRow] = field(default_factory=list)</t>
        </is>
      </c>
    </row>
    <row r="187">
      <c r="A187" s="25" t="inlineStr"/>
    </row>
    <row r="188">
      <c r="A188" s="25" t="inlineStr">
        <is>
          <t xml:space="preserve">    def setting(self, key, default=None):</t>
        </is>
      </c>
    </row>
    <row r="189">
      <c r="A189" s="25" t="inlineStr">
        <is>
          <t xml:space="preserve">        return self.settings.get(key, default)</t>
        </is>
      </c>
    </row>
    <row r="190">
      <c r="A190" s="25" t="inlineStr"/>
    </row>
    <row r="191">
      <c r="A191" s="25" t="inlineStr">
        <is>
          <t xml:space="preserve">    @property</t>
        </is>
      </c>
    </row>
    <row r="192">
      <c r="A192" s="25" t="inlineStr">
        <is>
          <t xml:space="preserve">    def raw_slots(self) -&gt; int:</t>
        </is>
      </c>
    </row>
    <row r="193">
      <c r="A193" s="25" t="inlineStr">
        <is>
          <t xml:space="preserve">        return int(float(self.settings.get("raw_slots", RAW_SLOTS_DEFAULT)))</t>
        </is>
      </c>
    </row>
    <row r="194">
      <c r="A194" s="25" t="inlineStr"/>
    </row>
    <row r="195">
      <c r="A195" s="25" t="inlineStr">
        <is>
          <t xml:space="preserve">    @property</t>
        </is>
      </c>
    </row>
    <row r="196">
      <c r="A196" s="25" t="inlineStr">
        <is>
          <t xml:space="preserve">    def footprint_slots(self) -&gt; int:</t>
        </is>
      </c>
    </row>
    <row r="197">
      <c r="A197" s="25" t="inlineStr">
        <is>
          <t xml:space="preserve">        """The BUILT county slot capacity. Informational here -- the</t>
        </is>
      </c>
    </row>
    <row r="198">
      <c r="A198" s="25" t="inlineStr">
        <is>
          <t xml:space="preserve">        raw-layout check (block labels) is the hard guard against a stale</t>
        </is>
      </c>
    </row>
    <row r="199">
      <c r="A199" s="25" t="inlineStr">
        <is>
          <t xml:space="preserve">        value."""</t>
        </is>
      </c>
    </row>
    <row r="200">
      <c r="A200" s="25" t="inlineStr">
        <is>
          <t xml:space="preserve">        return int(float(self.settings.get("footprint_slots",</t>
        </is>
      </c>
    </row>
    <row r="201">
      <c r="A201" s="25" t="inlineStr">
        <is>
          <t xml:space="preserve">                                           FOOTPRINT_SLOTS_DEFAULT)))</t>
        </is>
      </c>
    </row>
    <row r="202">
      <c r="A202" s="25" t="inlineStr"/>
    </row>
    <row r="203">
      <c r="A203" s="25" t="inlineStr">
        <is>
          <t xml:space="preserve">    @property</t>
        </is>
      </c>
    </row>
    <row r="204">
      <c r="A204" s="25" t="inlineStr">
        <is>
          <t xml:space="preserve">    def continuity_months(self) -&gt; int:</t>
        </is>
      </c>
    </row>
    <row r="205">
      <c r="A205" s="25" t="inlineStr">
        <is>
          <t xml:space="preserve">        v = _as_float(self.settings.get("continuity_months", "9"))</t>
        </is>
      </c>
    </row>
    <row r="206">
      <c r="A206" s="25" t="inlineStr">
        <is>
          <t xml:space="preserve">        return 9 if v is None else int(v)</t>
        </is>
      </c>
    </row>
    <row r="207">
      <c r="A207" s="25" t="inlineStr"/>
    </row>
    <row r="208">
      <c r="A208" s="25" t="inlineStr">
        <is>
          <t xml:space="preserve">    @property</t>
        </is>
      </c>
    </row>
    <row r="209">
      <c r="A209" s="25" t="inlineStr">
        <is>
          <t xml:space="preserve">    def vintage_override(self) -&gt; str:</t>
        </is>
      </c>
    </row>
    <row r="210">
      <c r="A210" s="25" t="inlineStr">
        <is>
          <t xml:space="preserve">        return str(self.settings.get("vintage", "") or "").strip()</t>
        </is>
      </c>
    </row>
    <row r="211">
      <c r="A211" s="25" t="inlineStr"/>
    </row>
    <row r="212">
      <c r="A212" s="25" t="inlineStr"/>
    </row>
    <row r="213">
      <c r="A213" s="25" t="inlineStr">
        <is>
          <t>def _as_bool(v) -&gt; bool:</t>
        </is>
      </c>
    </row>
    <row r="214">
      <c r="A214" s="25" t="inlineStr">
        <is>
          <t xml:space="preserve">    return str(v).strip().lower() in ("true", "1", "yes", "y", "t")</t>
        </is>
      </c>
    </row>
    <row r="215">
      <c r="A215" s="25" t="inlineStr"/>
    </row>
    <row r="216">
      <c r="A216" s="25" t="inlineStr"/>
    </row>
    <row r="217">
      <c r="A217" s="25" t="inlineStr">
        <is>
          <t>def _as_float(v):</t>
        </is>
      </c>
    </row>
    <row r="218">
      <c r="A218" s="25" t="inlineStr">
        <is>
          <t xml:space="preserve">    try:</t>
        </is>
      </c>
    </row>
    <row r="219">
      <c r="A219" s="25" t="inlineStr">
        <is>
          <t xml:space="preserve">        s = str(v).strip()</t>
        </is>
      </c>
    </row>
    <row r="220">
      <c r="A220" s="25" t="inlineStr">
        <is>
          <t xml:space="preserve">        return float(s) if s != "" else None</t>
        </is>
      </c>
    </row>
    <row r="221">
      <c r="A221" s="25" t="inlineStr">
        <is>
          <t xml:space="preserve">    except (TypeError, ValueError):</t>
        </is>
      </c>
    </row>
    <row r="222">
      <c r="A222" s="25" t="inlineStr">
        <is>
          <t xml:space="preserve">        return None</t>
        </is>
      </c>
    </row>
    <row r="223">
      <c r="A223" s="25" t="inlineStr"/>
    </row>
    <row r="224">
      <c r="A224" s="25" t="inlineStr"/>
    </row>
    <row r="225">
      <c r="A225" s="25" t="inlineStr">
        <is>
          <t>def _norm_fips(v, width: int = 5) -&gt; str:</t>
        </is>
      </c>
    </row>
    <row r="226">
      <c r="A226" s="25" t="inlineStr">
        <is>
          <t xml:space="preserve">    """Normalize a [FOOTPRINT] fips cell to 5-digit TEXT (trap C1). Excel</t>
        </is>
      </c>
    </row>
    <row r="227">
      <c r="A227" s="25" t="inlineStr">
        <is>
          <t xml:space="preserve">    hands numeric cells over as int/float (1003 or 1003.0 for a cell the</t>
        </is>
      </c>
    </row>
    <row r="228">
      <c r="A228" s="25" t="inlineStr">
        <is>
          <t xml:space="preserve">    user typed without the leading zero) -- zero-pad those back. Text stays</t>
        </is>
      </c>
    </row>
    <row r="229">
      <c r="A229" s="25" t="inlineStr">
        <is>
          <t xml:space="preserve">    as typed (minus a stray quote wrapper), so a malformed value ('ABC12',</t>
        </is>
      </c>
    </row>
    <row r="230">
      <c r="A230" s="25" t="inlineStr">
        <is>
          <t xml:space="preserve">    '060370') reaches the gate and is refused, never silently coerced."""</t>
        </is>
      </c>
    </row>
    <row r="231">
      <c r="A231" s="25" t="inlineStr">
        <is>
          <t xml:space="preserve">    if v is None:</t>
        </is>
      </c>
    </row>
    <row r="232">
      <c r="A232" s="25" t="inlineStr">
        <is>
          <t xml:space="preserve">        return ""</t>
        </is>
      </c>
    </row>
    <row r="233">
      <c r="A233" s="25" t="inlineStr">
        <is>
          <t xml:space="preserve">    if isinstance(v, float) and v.is_integer():</t>
        </is>
      </c>
    </row>
    <row r="234">
      <c r="A234" s="25" t="inlineStr">
        <is>
          <t xml:space="preserve">        v = int(v)</t>
        </is>
      </c>
    </row>
    <row r="235">
      <c r="A235" s="25" t="inlineStr">
        <is>
          <t xml:space="preserve">    if isinstance(v, int):</t>
        </is>
      </c>
    </row>
    <row r="236">
      <c r="A236" s="25" t="inlineStr">
        <is>
          <t xml:space="preserve">        s = str(v)</t>
        </is>
      </c>
    </row>
    <row r="237">
      <c r="A237" s="25" t="inlineStr">
        <is>
          <t xml:space="preserve">        return s.zfill(width) if len(s) &lt;= width else s</t>
        </is>
      </c>
    </row>
    <row r="238">
      <c r="A238" s="25" t="inlineStr">
        <is>
          <t xml:space="preserve">    return str(v).strip().strip("'")</t>
        </is>
      </c>
    </row>
    <row r="239">
      <c r="A239" s="25" t="inlineStr"/>
    </row>
    <row r="240">
      <c r="A240" s="25" t="inlineStr"/>
    </row>
    <row r="241">
      <c r="A241" s="25" t="inlineStr">
        <is>
          <t>def _norm_slot(v) -&gt; Optional[int]:</t>
        </is>
      </c>
    </row>
    <row r="242">
      <c r="A242" s="25" t="inlineStr">
        <is>
          <t xml:space="preserve">    try:</t>
        </is>
      </c>
    </row>
    <row r="243">
      <c r="A243" s="25" t="inlineStr">
        <is>
          <t xml:space="preserve">        s = str(v).strip()</t>
        </is>
      </c>
    </row>
    <row r="244">
      <c r="A244" s="25" t="inlineStr">
        <is>
          <t xml:space="preserve">        return int(float(s)) if s != "" else None</t>
        </is>
      </c>
    </row>
    <row r="245">
      <c r="A245" s="25" t="inlineStr">
        <is>
          <t xml:space="preserve">    except (TypeError, ValueError):</t>
        </is>
      </c>
    </row>
    <row r="246">
      <c r="A246" s="25" t="inlineStr">
        <is>
          <t xml:space="preserve">        return None</t>
        </is>
      </c>
    </row>
    <row r="247">
      <c r="A247" s="25" t="inlineStr"/>
    </row>
    <row r="248">
      <c r="A248" s="25" t="inlineStr"/>
    </row>
    <row r="249">
      <c r="A249" s="25" t="inlineStr">
        <is>
          <t>def parse_config(rows: Sequence[Sequence]) -&gt; Config:</t>
        </is>
      </c>
    </row>
    <row r="250">
      <c r="A250" s="25" t="inlineStr">
        <is>
          <t xml:space="preserve">    """Parse the `_config` sheet (list of row value-lists). Sections in col</t>
        </is>
      </c>
    </row>
    <row r="251">
      <c r="A251" s="25" t="inlineStr">
        <is>
          <t xml:space="preserve">    A: [SETTINGS], [THRESHOLDS], [FOOTPRINT], [SERIES]. The [FOOTPRINT]</t>
        </is>
      </c>
    </row>
    <row r="252">
      <c r="A252" s="25" t="inlineStr">
        <is>
          <t xml:space="preserve">    section is this template's addition (the FDIC [PEERS] pattern); the</t>
        </is>
      </c>
    </row>
    <row r="253">
      <c r="A253" s="25" t="inlineStr">
        <is>
          <t xml:space="preserve">    other three parse contract-identically."""</t>
        </is>
      </c>
    </row>
    <row r="254">
      <c r="A254" s="25" t="inlineStr">
        <is>
          <t xml:space="preserve">    cfg = Config()</t>
        </is>
      </c>
    </row>
    <row r="255">
      <c r="A255" s="25" t="inlineStr">
        <is>
          <t xml:space="preserve">    section = None</t>
        </is>
      </c>
    </row>
    <row r="256">
      <c r="A256" s="25" t="inlineStr">
        <is>
          <t xml:space="preserve">    series_header = None</t>
        </is>
      </c>
    </row>
    <row r="257">
      <c r="A257" s="25" t="inlineStr">
        <is>
          <t xml:space="preserve">    thr_header = None</t>
        </is>
      </c>
    </row>
    <row r="258">
      <c r="A258" s="25" t="inlineStr">
        <is>
          <t xml:space="preserve">    fp_header = None</t>
        </is>
      </c>
    </row>
    <row r="259">
      <c r="A259" s="25" t="inlineStr">
        <is>
          <t xml:space="preserve">    for raw in rows:</t>
        </is>
      </c>
    </row>
    <row r="260">
      <c r="A260" s="25" t="inlineStr">
        <is>
          <t xml:space="preserve">        a = ("" if not raw or raw[0] is None else str(raw[0])).strip()</t>
        </is>
      </c>
    </row>
    <row r="261">
      <c r="A261" s="25" t="inlineStr">
        <is>
          <t xml:space="preserve">        if a.startswith("[") and a.endswith("]"):</t>
        </is>
      </c>
    </row>
    <row r="262">
      <c r="A262" s="25" t="inlineStr">
        <is>
          <t xml:space="preserve">            section = a.strip("[]").strip().upper()</t>
        </is>
      </c>
    </row>
    <row r="263">
      <c r="A263" s="25" t="inlineStr">
        <is>
          <t xml:space="preserve">            series_header = None</t>
        </is>
      </c>
    </row>
    <row r="264">
      <c r="A264" s="25" t="inlineStr">
        <is>
          <t xml:space="preserve">            thr_header = None</t>
        </is>
      </c>
    </row>
    <row r="265">
      <c r="A265" s="25" t="inlineStr">
        <is>
          <t xml:space="preserve">            fp_header = None</t>
        </is>
      </c>
    </row>
    <row r="266">
      <c r="A266" s="25" t="inlineStr">
        <is>
          <t xml:space="preserve">            continue</t>
        </is>
      </c>
    </row>
    <row r="267">
      <c r="A267" s="25" t="inlineStr">
        <is>
          <t xml:space="preserve">        if not a:</t>
        </is>
      </c>
    </row>
    <row r="268">
      <c r="A268" s="25" t="inlineStr">
        <is>
          <t xml:space="preserve">            continue</t>
        </is>
      </c>
    </row>
    <row r="269">
      <c r="A269" s="25" t="inlineStr">
        <is>
          <t xml:space="preserve">        if a.startswith("#"):          # in-sheet comment line, never data</t>
        </is>
      </c>
    </row>
    <row r="270">
      <c r="A270" s="25" t="inlineStr">
        <is>
          <t xml:space="preserve">            continue</t>
        </is>
      </c>
    </row>
    <row r="271">
      <c r="A271" s="25" t="inlineStr">
        <is>
          <t xml:space="preserve">        if section == "SETTINGS":</t>
        </is>
      </c>
    </row>
    <row r="272">
      <c r="A272" s="25" t="inlineStr">
        <is>
          <t xml:space="preserve">            if a.lower() in ("key", "name"):</t>
        </is>
      </c>
    </row>
    <row r="273">
      <c r="A273" s="25" t="inlineStr">
        <is>
          <t xml:space="preserve">                continue</t>
        </is>
      </c>
    </row>
    <row r="274">
      <c r="A274" s="25" t="inlineStr">
        <is>
          <t xml:space="preserve">            val = "" if len(raw) &lt; 2 or raw[1] is None else raw[1]</t>
        </is>
      </c>
    </row>
    <row r="275">
      <c r="A275" s="25" t="inlineStr">
        <is>
          <t xml:space="preserve">            cfg.settings[a] = str(val).strip()</t>
        </is>
      </c>
    </row>
    <row r="276">
      <c r="A276" s="25" t="inlineStr">
        <is>
          <t xml:space="preserve">        elif section == "THRESHOLDS":</t>
        </is>
      </c>
    </row>
    <row r="277">
      <c r="A277" s="25" t="inlineStr">
        <is>
          <t xml:space="preserve">            if thr_header is None and a.lower() == "id":</t>
        </is>
      </c>
    </row>
    <row r="278">
      <c r="A278" s="25" t="inlineStr">
        <is>
          <t xml:space="preserve">                thr_header = [str(c).strip().lower() for c in raw]</t>
        </is>
      </c>
    </row>
    <row r="279">
      <c r="A279" s="25" t="inlineStr">
        <is>
          <t xml:space="preserve">                continue</t>
        </is>
      </c>
    </row>
    <row r="280">
      <c r="A280" s="25" t="inlineStr">
        <is>
          <t xml:space="preserve">            cells = {h: ("" if i &gt;= len(raw) or raw[i] is None else raw[i])</t>
        </is>
      </c>
    </row>
    <row r="281">
      <c r="A281" s="25" t="inlineStr">
        <is>
          <t xml:space="preserve">                     for i, h in enumerate(thr_header or</t>
        </is>
      </c>
    </row>
    <row r="282">
      <c r="A282" s="25" t="inlineStr">
        <is>
          <t xml:space="preserve">                                           ["id", "watch", "alert", "direction"])}</t>
        </is>
      </c>
    </row>
    <row r="283">
      <c r="A283" s="25" t="inlineStr">
        <is>
          <t xml:space="preserve">            cfg.thresholds[a] = Threshold(</t>
        </is>
      </c>
    </row>
    <row r="284">
      <c r="A284" s="25" t="inlineStr">
        <is>
          <t xml:space="preserve">                watch=_as_float(cells.get("watch")),</t>
        </is>
      </c>
    </row>
    <row r="285">
      <c r="A285" s="25" t="inlineStr">
        <is>
          <t xml:space="preserve">                alert=_as_float(cells.get("alert")),</t>
        </is>
      </c>
    </row>
    <row r="286">
      <c r="A286" s="25" t="inlineStr">
        <is>
          <t xml:space="preserve">                direction=str(cells.get("direction", "above")).strip().lower()</t>
        </is>
      </c>
    </row>
    <row r="287">
      <c r="A287" s="25" t="inlineStr">
        <is>
          <t xml:space="preserve">                or "above")</t>
        </is>
      </c>
    </row>
    <row r="288">
      <c r="A288" s="25" t="inlineStr">
        <is>
          <t xml:space="preserve">        elif section == "FOOTPRINT":</t>
        </is>
      </c>
    </row>
    <row r="289">
      <c r="A289" s="25" t="inlineStr">
        <is>
          <t xml:space="preserve">            if fp_header is None and a.lower() == "slot":</t>
        </is>
      </c>
    </row>
    <row r="290">
      <c r="A290" s="25" t="inlineStr">
        <is>
          <t xml:space="preserve">                fp_header = [str(c).strip().lower() for c in raw]</t>
        </is>
      </c>
    </row>
    <row r="291">
      <c r="A291" s="25" t="inlineStr">
        <is>
          <t xml:space="preserve">                continue</t>
        </is>
      </c>
    </row>
    <row r="292">
      <c r="A292" s="25" t="inlineStr">
        <is>
          <t xml:space="preserve">            v = {h: (None if i &gt;= len(raw) else raw[i])</t>
        </is>
      </c>
    </row>
    <row r="293">
      <c r="A293" s="25" t="inlineStr">
        <is>
          <t xml:space="preserve">                 for i, h in enumerate(fp_header or FOOTPRINT_HEADER)}</t>
        </is>
      </c>
    </row>
    <row r="294">
      <c r="A294" s="25" t="inlineStr">
        <is>
          <t xml:space="preserve">            cfg.footprint.append(FootprintRow(</t>
        </is>
      </c>
    </row>
    <row r="295">
      <c r="A295" s="25" t="inlineStr">
        <is>
          <t xml:space="preserve">                slot=_norm_slot(v.get("slot")),</t>
        </is>
      </c>
    </row>
    <row r="296">
      <c r="A296" s="25" t="inlineStr">
        <is>
          <t xml:space="preserve">                fips=_norm_fips(v.get("fips")),</t>
        </is>
      </c>
    </row>
    <row r="297">
      <c r="A297" s="25" t="inlineStr">
        <is>
          <t xml:space="preserve">                name=("" if v.get("name") is None else str(v.get("name")).strip()),</t>
        </is>
      </c>
    </row>
    <row r="298">
      <c r="A298" s="25" t="inlineStr">
        <is>
          <t xml:space="preserve">                state=("" if v.get("state") is None</t>
        </is>
      </c>
    </row>
    <row r="299">
      <c r="A299" s="25" t="inlineStr">
        <is>
          <t xml:space="preserve">                       else str(v.get("state")).strip().upper()),</t>
        </is>
      </c>
    </row>
    <row r="300">
      <c r="A300" s="25" t="inlineStr">
        <is>
          <t xml:space="preserve">                active=_as_bool(v.get("active"))))</t>
        </is>
      </c>
    </row>
    <row r="301">
      <c r="A301" s="25" t="inlineStr">
        <is>
          <t xml:space="preserve">        elif section == "SERIES":</t>
        </is>
      </c>
    </row>
    <row r="302">
      <c r="A302" s="25" t="inlineStr">
        <is>
          <t xml:space="preserve">            if series_header is None:</t>
        </is>
      </c>
    </row>
    <row r="303">
      <c r="A303" s="25" t="inlineStr">
        <is>
          <t xml:space="preserve">                series_header = [str(c).strip() for c in raw]</t>
        </is>
      </c>
    </row>
    <row r="304">
      <c r="A304" s="25" t="inlineStr">
        <is>
          <t xml:space="preserve">                continue</t>
        </is>
      </c>
    </row>
    <row r="305">
      <c r="A305" s="25" t="inlineStr">
        <is>
          <t xml:space="preserve">            v = {h: ("" if i &gt;= len(raw) or raw[i] is None else raw[i])</t>
        </is>
      </c>
    </row>
    <row r="306">
      <c r="A306" s="25" t="inlineStr">
        <is>
          <t xml:space="preserve">                 for i, h in enumerate(series_header)}</t>
        </is>
      </c>
    </row>
    <row r="307">
      <c r="A307" s="25" t="inlineStr">
        <is>
          <t xml:space="preserve">            cfg.series.append(SeriesSpec(</t>
        </is>
      </c>
    </row>
    <row r="308">
      <c r="A308" s="25" t="inlineStr">
        <is>
          <t xml:space="preserve">                id=str(v.get("id", "")).strip(),</t>
        </is>
      </c>
    </row>
    <row r="309">
      <c r="A309" s="25" t="inlineStr">
        <is>
          <t xml:space="preserve">                title=str(v.get("title", "")).strip(),</t>
        </is>
      </c>
    </row>
    <row r="310">
      <c r="A310" s="25" t="inlineStr">
        <is>
          <t xml:space="preserve">                category=str(v.get("category", "")).strip(),</t>
        </is>
      </c>
    </row>
    <row r="311">
      <c r="A311" s="25" t="inlineStr">
        <is>
          <t xml:space="preserve">                lane=str(v.get("lane", "")).strip().lower(),</t>
        </is>
      </c>
    </row>
    <row r="312">
      <c r="A312" s="25" t="inlineStr">
        <is>
          <t xml:space="preserve">                metric_type=str(v.get("metric_type", "")).strip(),</t>
        </is>
      </c>
    </row>
    <row r="313">
      <c r="A313" s="25" t="inlineStr">
        <is>
          <t xml:space="preserve">                frequency=str(v.get("frequency", "")).strip(),</t>
        </is>
      </c>
    </row>
    <row r="314">
      <c r="A314" s="25" t="inlineStr">
        <is>
          <t xml:space="preserve">                sa_nsa=str(v.get("sa_nsa", "")).strip(),</t>
        </is>
      </c>
    </row>
    <row r="315">
      <c r="A315" s="25" t="inlineStr">
        <is>
          <t xml:space="preserve">                units=str(v.get("units", "")).strip(),</t>
        </is>
      </c>
    </row>
    <row r="316">
      <c r="A316" s="25" t="inlineStr">
        <is>
          <t xml:space="preserve">                level_rate_index=str(v.get("level_rate_index", "")).strip().lower(),</t>
        </is>
      </c>
    </row>
    <row r="317">
      <c r="A317" s="25" t="inlineStr">
        <is>
          <t xml:space="preserve">                geo_segment=str(v.get("geo_segment", "")).strip(),</t>
        </is>
      </c>
    </row>
    <row r="318">
      <c r="A318" s="25" t="inlineStr">
        <is>
          <t xml:space="preserve">                source_class=str(v.get("source_class", "")).strip().upper(),</t>
        </is>
      </c>
    </row>
    <row r="319">
      <c r="A319" s="25" t="inlineStr">
        <is>
          <t xml:space="preserve">                dashboard_capable=_as_bool(v.get("dashboard_capable", "")),</t>
        </is>
      </c>
    </row>
    <row r="320">
      <c r="A320" s="25" t="inlineStr">
        <is>
          <t xml:space="preserve">                watchlist_capable=_as_bool(v.get("watchlist_capable", "")),</t>
        </is>
      </c>
    </row>
    <row r="321">
      <c r="A321" s="25" t="inlineStr">
        <is>
          <t xml:space="preserve">                source_url=str(v.get("source_url", "")).strip(),</t>
        </is>
      </c>
    </row>
    <row r="322">
      <c r="A322" s="25" t="inlineStr">
        <is>
          <t xml:space="preserve">                table_id=str(v.get("table_id", "")).strip(),</t>
        </is>
      </c>
    </row>
    <row r="323">
      <c r="A323" s="25" t="inlineStr">
        <is>
          <t xml:space="preserve">                sheet=str(v.get("sheet", "")).strip(),</t>
        </is>
      </c>
    </row>
    <row r="324">
      <c r="A324" s="25" t="inlineStr">
        <is>
          <t xml:space="preserve">                series_label=str(v.get("series_label", "")).strip(),</t>
        </is>
      </c>
    </row>
    <row r="325">
      <c r="A325" s="25" t="inlineStr">
        <is>
          <t xml:space="preserve">                transform=str(v.get("transform", "level")).strip().lower(),</t>
        </is>
      </c>
    </row>
    <row r="326">
      <c r="A326" s="25" t="inlineStr">
        <is>
          <t xml:space="preserve">                notes=str(v.get("notes", "")).strip()))</t>
        </is>
      </c>
    </row>
    <row r="327">
      <c r="A327" s="25" t="inlineStr">
        <is>
          <t xml:space="preserve">    return cfg</t>
        </is>
      </c>
    </row>
    <row r="328">
      <c r="A328" s="25" t="inlineStr"/>
    </row>
    <row r="329">
      <c r="A329" s="25" t="inlineStr"/>
    </row>
    <row r="330">
      <c r="A330" s="25" t="inlineStr">
        <is>
          <t>def series_measure(spec: SeriesSpec) -&gt; str:</t>
        </is>
      </c>
    </row>
    <row r="331">
      <c r="A331" s="25" t="inlineStr">
        <is>
          <t xml:space="preserve">    """Measure id from the series id suffix (nat_d90, st_06_d3089, co_d90)."""</t>
        </is>
      </c>
    </row>
    <row r="332">
      <c r="A332" s="25" t="inlineStr">
        <is>
          <t xml:space="preserve">    return spec.id.rsplit("_", 1)[-1]</t>
        </is>
      </c>
    </row>
    <row r="333">
      <c r="A333" s="25" t="inlineStr"/>
    </row>
    <row r="334">
      <c r="A334" s="25" t="inlineStr"/>
    </row>
    <row r="335">
      <c r="A335" s="25" t="inlineStr">
        <is>
          <t>def national_series(cfg: Config) -&gt; List[SeriesSpec]:</t>
        </is>
      </c>
    </row>
    <row r="336">
      <c r="A336" s="25" t="inlineStr">
        <is>
          <t xml:space="preserve">    return [s for s in cfg.series if s.geo_segment == "national"]</t>
        </is>
      </c>
    </row>
    <row r="337">
      <c r="A337" s="25" t="inlineStr"/>
    </row>
    <row r="338">
      <c r="A338" s="25" t="inlineStr"/>
    </row>
    <row r="339">
      <c r="A339" s="25" t="inlineStr">
        <is>
          <t>def state_series(cfg: Config) -&gt; List[SeriesSpec]:</t>
        </is>
      </c>
    </row>
    <row r="340">
      <c r="A340" s="25" t="inlineStr">
        <is>
          <t xml:space="preserve">    return [s for s in cfg.series if s.geo_segment.startswith("state:")]</t>
        </is>
      </c>
    </row>
    <row r="341">
      <c r="A341" s="25" t="inlineStr"/>
    </row>
    <row r="342">
      <c r="A342" s="25" t="inlineStr"/>
    </row>
    <row r="343">
      <c r="A343" s="25" t="inlineStr">
        <is>
          <t>def county_templates(cfg: Config) -&gt; List[SeriesSpec]:</t>
        </is>
      </c>
    </row>
    <row r="344">
      <c r="A344" s="25" t="inlineStr">
        <is>
          <t xml:space="preserve">    return [s for s in cfg.series if s.geo_segment == "county"]</t>
        </is>
      </c>
    </row>
    <row r="345">
      <c r="A345" s="25" t="inlineStr"/>
    </row>
    <row r="346">
      <c r="A346" s="25" t="inlineStr"/>
    </row>
    <row r="347">
      <c r="A347" s="25" t="inlineStr">
        <is>
          <t>class SeriesError(Exception):</t>
        </is>
      </c>
    </row>
    <row r="348">
      <c r="A348" s="25" t="inlineStr">
        <is>
          <t xml:space="preserve">    pass</t>
        </is>
      </c>
    </row>
    <row r="349">
      <c r="A349" s="25" t="inlineStr"/>
    </row>
    <row r="350">
      <c r="A350" s="25" t="inlineStr"/>
    </row>
    <row r="351">
      <c r="A351" s="25" t="inlineStr">
        <is>
          <t>class StateCapacityError(Exception):</t>
        </is>
      </c>
    </row>
    <row r="352">
      <c r="A352" s="25" t="inlineStr">
        <is>
          <t xml:space="preserve">    """More distinct states in [SERIES] than the 15 provisioned state</t>
        </is>
      </c>
    </row>
    <row r="353">
      <c r="A353" s="25" t="inlineStr">
        <is>
          <t xml:space="preserve">    dashboard slots."""</t>
        </is>
      </c>
    </row>
    <row r="354">
      <c r="A354" s="25" t="inlineStr"/>
    </row>
    <row r="355">
      <c r="A355" s="25" t="inlineStr"/>
    </row>
    <row r="356">
      <c r="A356" s="25" t="inlineStr">
        <is>
          <t>def validate_series(series: Sequence[SeriesSpec]) -&gt; None:</t>
        </is>
      </c>
    </row>
    <row r="357">
      <c r="A357" s="25" t="inlineStr">
        <is>
          <t xml:space="preserve">    """Every [SERIES] row must carry a known measure suffix, a registered</t>
        </is>
      </c>
    </row>
    <row r="358">
      <c r="A358" s="25" t="inlineStr">
        <is>
          <t xml:space="preserve">    transform and a recognized geo shape -- config drift refuses, not</t>
        </is>
      </c>
    </row>
    <row r="359">
      <c r="A359" s="25" t="inlineStr">
        <is>
          <t xml:space="preserve">    guesses."""</t>
        </is>
      </c>
    </row>
    <row r="360">
      <c r="A360" s="25" t="inlineStr">
        <is>
          <t xml:space="preserve">    for s in series:</t>
        </is>
      </c>
    </row>
    <row r="361">
      <c r="A361" s="25" t="inlineStr">
        <is>
          <t xml:space="preserve">        m = series_measure(s)</t>
        </is>
      </c>
    </row>
    <row r="362">
      <c r="A362" s="25" t="inlineStr">
        <is>
          <t xml:space="preserve">        if m not in MEASURES:</t>
        </is>
      </c>
    </row>
    <row r="363">
      <c r="A363" s="25" t="inlineStr">
        <is>
          <t xml:space="preserve">            raise SeriesError(</t>
        </is>
      </c>
    </row>
    <row r="364">
      <c r="A364" s="25" t="inlineStr">
        <is>
          <t xml:space="preserve">                f"Series '{s.id}' does not end in a known measure id "</t>
        </is>
      </c>
    </row>
    <row r="365">
      <c r="A365" s="25" t="inlineStr">
        <is>
          <t xml:space="preserve">                f"({', '.join(MEASURES)}).")</t>
        </is>
      </c>
    </row>
    <row r="366">
      <c r="A366" s="25" t="inlineStr">
        <is>
          <t xml:space="preserve">        if s.transform not in TRANSFORMS:</t>
        </is>
      </c>
    </row>
    <row r="367">
      <c r="A367" s="25" t="inlineStr">
        <is>
          <t xml:space="preserve">            raise SeriesError(</t>
        </is>
      </c>
    </row>
    <row r="368">
      <c r="A368" s="25" t="inlineStr">
        <is>
          <t xml:space="preserve">                f"Series '{s.id}' declares unregistered transform "</t>
        </is>
      </c>
    </row>
    <row r="369">
      <c r="A369" s="25" t="inlineStr">
        <is>
          <t xml:space="preserve">                f"'{s.transform}'; known transforms: "</t>
        </is>
      </c>
    </row>
    <row r="370">
      <c r="A370" s="25" t="inlineStr">
        <is>
          <t xml:space="preserve">                f"{', '.join(sorted(TRANSFORMS))}.")</t>
        </is>
      </c>
    </row>
    <row r="371">
      <c r="A371" s="25" t="inlineStr">
        <is>
          <t xml:space="preserve">        g = s.geo_segment</t>
        </is>
      </c>
    </row>
    <row r="372">
      <c r="A372" s="25" t="inlineStr">
        <is>
          <t xml:space="preserve">        if not (g == "national" or g == "county"</t>
        </is>
      </c>
    </row>
    <row r="373">
      <c r="A373" s="25" t="inlineStr">
        <is>
          <t xml:space="preserve">                or re.match(r"^state:[0-9]{2}$", g)):</t>
        </is>
      </c>
    </row>
    <row r="374">
      <c r="A374" s="25" t="inlineStr">
        <is>
          <t xml:space="preserve">            raise SeriesError(</t>
        </is>
      </c>
    </row>
    <row r="375">
      <c r="A375" s="25" t="inlineStr">
        <is>
          <t xml:space="preserve">                f"Series '{s.id}' has unrecognized geo_segment '{g}' "</t>
        </is>
      </c>
    </row>
    <row r="376">
      <c r="A376" s="25" t="inlineStr">
        <is>
          <t xml:space="preserve">                "(expected national, state:XX, or county).")</t>
        </is>
      </c>
    </row>
    <row r="377">
      <c r="A377" s="25" t="inlineStr"/>
    </row>
    <row r="378">
      <c r="A378" s="25" t="inlineStr"/>
    </row>
    <row r="379">
      <c r="A379" s="25" t="inlineStr">
        <is>
          <t>def state_slot_map(cfg: Config) -&gt; Dict[str, int]:</t>
        </is>
      </c>
    </row>
    <row r="380">
      <c r="A380" s="25" t="inlineStr">
        <is>
          <t xml:space="preserve">    """fips2 -&gt; state slot (1-based), in [SERIES] first-appearance order.</t>
        </is>
      </c>
    </row>
    <row r="381">
      <c r="A381" s="25" t="inlineStr">
        <is>
          <t xml:space="preserve">    The workbook is provisioned for STATE_SLOTS state rows; more distinct</t>
        </is>
      </c>
    </row>
    <row r="382">
      <c r="A382" s="25" t="inlineStr">
        <is>
          <t xml:space="preserve">    states than that is REFUSED, never truncated."""</t>
        </is>
      </c>
    </row>
    <row r="383">
      <c r="A383" s="25" t="inlineStr">
        <is>
          <t xml:space="preserve">    smap: Dict[str, int] = {}</t>
        </is>
      </c>
    </row>
    <row r="384">
      <c r="A384" s="25" t="inlineStr">
        <is>
          <t xml:space="preserve">    for s in state_series(cfg):</t>
        </is>
      </c>
    </row>
    <row r="385">
      <c r="A385" s="25" t="inlineStr">
        <is>
          <t xml:space="preserve">        fips2 = s.geo_segment.split(":", 1)[1]</t>
        </is>
      </c>
    </row>
    <row r="386">
      <c r="A386" s="25" t="inlineStr">
        <is>
          <t xml:space="preserve">        if fips2 not in smap:</t>
        </is>
      </c>
    </row>
    <row r="387">
      <c r="A387" s="25" t="inlineStr">
        <is>
          <t xml:space="preserve">            smap[fips2] = len(smap) + 1</t>
        </is>
      </c>
    </row>
    <row r="388">
      <c r="A388" s="25" t="inlineStr">
        <is>
          <t xml:space="preserve">    if len(smap) &gt; STATE_SLOTS:</t>
        </is>
      </c>
    </row>
    <row r="389">
      <c r="A389" s="25" t="inlineStr">
        <is>
          <t xml:space="preserve">        raise StateCapacityError(</t>
        </is>
      </c>
    </row>
    <row r="390">
      <c r="A390" s="25" t="inlineStr">
        <is>
          <t xml:space="preserve">            f"[SERIES] lists {len(smap)} distinct states but the workbook "</t>
        </is>
      </c>
    </row>
    <row r="391">
      <c r="A391" s="25" t="inlineStr">
        <is>
          <t xml:space="preserve">            f"is provisioned for {STATE_SLOTS} state dashboard slots. Trim "</t>
        </is>
      </c>
    </row>
    <row r="392">
      <c r="A392" s="25" t="inlineStr">
        <is>
          <t xml:space="preserve">            f"the st_* rows to the states your footprint actually spans "</t>
        </is>
      </c>
    </row>
    <row r="393">
      <c r="A393" s="25" t="inlineStr">
        <is>
          <t xml:space="preserve">            f"(the county watchlist is unaffected).")</t>
        </is>
      </c>
    </row>
    <row r="394">
      <c r="A394" s="25" t="inlineStr">
        <is>
          <t xml:space="preserve">    return smap</t>
        </is>
      </c>
    </row>
    <row r="395">
      <c r="A395" s="25" t="inlineStr"/>
    </row>
    <row r="396">
      <c r="A396" s="25" t="inlineStr"/>
    </row>
    <row r="397">
      <c r="A397" s="25" t="inlineStr">
        <is>
          <t># ---------------------------------------------------------------------------</t>
        </is>
      </c>
    </row>
    <row r="398">
      <c r="A398" s="25" t="inlineStr">
        <is>
          <t># TRANSFORM REGISTRY -- pure functions over NEWEST-FIRST value lists</t>
        </is>
      </c>
    </row>
    <row r="399">
      <c r="A399" s="25" t="inlineStr">
        <is>
          <t># (v[0] = latest month). Defined IDENTICALLY in the Excel formulas</t>
        </is>
      </c>
    </row>
    <row r="400">
      <c r="A400" s="25" t="inlineStr">
        <is>
          <t># (build_workbook.py) -- parity is machine-tested, never assumed.</t>
        </is>
      </c>
    </row>
    <row r="401">
      <c r="A401" s="25" t="inlineStr">
        <is>
          <t># ---------------------------------------------------------------------------</t>
        </is>
      </c>
    </row>
    <row r="402">
      <c r="A402" s="25" t="inlineStr">
        <is>
          <t>def t_level(v: Sequence[Optional[float]]) -&gt; Optional[float]:</t>
        </is>
      </c>
    </row>
    <row r="403">
      <c r="A403" s="25" t="inlineStr">
        <is>
          <t xml:space="preserve">    """Latest value. Excel: =IF(v0="","",v0)."""</t>
        </is>
      </c>
    </row>
    <row r="404">
      <c r="A404" s="25" t="inlineStr">
        <is>
          <t xml:space="preserve">    return v[0] if v else None</t>
        </is>
      </c>
    </row>
    <row r="405">
      <c r="A405" s="25" t="inlineStr"/>
    </row>
    <row r="406">
      <c r="A406" s="25" t="inlineStr"/>
    </row>
    <row r="407">
      <c r="A407" s="25" t="inlineStr">
        <is>
          <t>def t_dev_12m(v: Sequence[Optional[float]]) -&gt; Optional[float]:</t>
        </is>
      </c>
    </row>
    <row r="408">
      <c r="A408" s="25" t="inlineStr">
        <is>
          <t xml:space="preserve">    """v0 - mean(v1..v12): deviation from own trailing-12 average, in</t>
        </is>
      </c>
    </row>
    <row r="409">
      <c r="A409" s="25" t="inlineStr">
        <is>
          <t xml:space="preserve">    percentage points. Excel: =IF(OR(v0="",COUNT(v1:v12)=0),"",</t>
        </is>
      </c>
    </row>
    <row r="410">
      <c r="A410" s="25" t="inlineStr">
        <is>
          <t xml:space="preserve">    v0-AVERAGE(v1:v12)) -- AVERAGE ignores blanks, so the Python mean</t>
        </is>
      </c>
    </row>
    <row r="411">
      <c r="A411" s="25" t="inlineStr">
        <is>
          <t xml:space="preserve">    ignores missing months identically."""</t>
        </is>
      </c>
    </row>
    <row r="412">
      <c r="A412" s="25" t="inlineStr">
        <is>
          <t xml:space="preserve">    if not v or v[0] is None:</t>
        </is>
      </c>
    </row>
    <row r="413">
      <c r="A413" s="25" t="inlineStr">
        <is>
          <t xml:space="preserve">        return None</t>
        </is>
      </c>
    </row>
    <row r="414">
      <c r="A414" s="25" t="inlineStr">
        <is>
          <t xml:space="preserve">    window = [x for x in v[1:13] if x is not None]</t>
        </is>
      </c>
    </row>
    <row r="415">
      <c r="A415" s="25" t="inlineStr">
        <is>
          <t xml:space="preserve">    if not window:</t>
        </is>
      </c>
    </row>
    <row r="416">
      <c r="A416" s="25" t="inlineStr">
        <is>
          <t xml:space="preserve">        return None</t>
        </is>
      </c>
    </row>
    <row r="417">
      <c r="A417" s="25" t="inlineStr">
        <is>
          <t xml:space="preserve">    return v[0] - sum(window) / len(window)</t>
        </is>
      </c>
    </row>
    <row r="418">
      <c r="A418" s="25" t="inlineStr"/>
    </row>
    <row r="419">
      <c r="A419" s="25" t="inlineStr"/>
    </row>
    <row r="420">
      <c r="A420" s="25" t="inlineStr">
        <is>
          <t>def t_rise_streak3(v: Sequence[Optional[float]]) -&gt; Optional[float]:</t>
        </is>
      </c>
    </row>
    <row r="421">
      <c r="A421" s="25" t="inlineStr">
        <is>
          <t xml:space="preserve">    """Consecutive-rise count CAPPED at 3. Excel (identical, capped):</t>
        </is>
      </c>
    </row>
    <row r="422">
      <c r="A422" s="25" t="inlineStr">
        <is>
          <t xml:space="preserve">    =IF(COUNT(v0:v3)&lt;4,"",IF(v0&gt;v1,1,0)+IF(AND(v0&gt;v1,v1&gt;v2),1,0)</t>
        </is>
      </c>
    </row>
    <row r="423">
      <c r="A423" s="25" t="inlineStr">
        <is>
          <t xml:space="preserve">    +IF(AND(v0&gt;v1,v1&gt;v2,v2&gt;v3),1,0))."""</t>
        </is>
      </c>
    </row>
    <row r="424">
      <c r="A424" s="25" t="inlineStr">
        <is>
          <t xml:space="preserve">    if len(v) &lt; 4 or any(v[i] is None for i in range(4)):</t>
        </is>
      </c>
    </row>
    <row r="425">
      <c r="A425" s="25" t="inlineStr">
        <is>
          <t xml:space="preserve">        return None</t>
        </is>
      </c>
    </row>
    <row r="426">
      <c r="A426" s="25" t="inlineStr">
        <is>
          <t xml:space="preserve">    s = 0</t>
        </is>
      </c>
    </row>
    <row r="427">
      <c r="A427" s="25" t="inlineStr">
        <is>
          <t xml:space="preserve">    if v[0] &gt; v[1]:</t>
        </is>
      </c>
    </row>
    <row r="428">
      <c r="A428" s="25" t="inlineStr">
        <is>
          <t xml:space="preserve">        s += 1</t>
        </is>
      </c>
    </row>
    <row r="429">
      <c r="A429" s="25" t="inlineStr">
        <is>
          <t xml:space="preserve">    if v[0] &gt; v[1] and v[1] &gt; v[2]:</t>
        </is>
      </c>
    </row>
    <row r="430">
      <c r="A430" s="25" t="inlineStr">
        <is>
          <t xml:space="preserve">        s += 1</t>
        </is>
      </c>
    </row>
    <row r="431">
      <c r="A431" s="25" t="inlineStr">
        <is>
          <t xml:space="preserve">    if v[0] &gt; v[1] and v[1] &gt; v[2] and v[2] &gt; v[3]:</t>
        </is>
      </c>
    </row>
    <row r="432">
      <c r="A432" s="25" t="inlineStr">
        <is>
          <t xml:space="preserve">        s += 1</t>
        </is>
      </c>
    </row>
    <row r="433">
      <c r="A433" s="25" t="inlineStr">
        <is>
          <t xml:space="preserve">    return float(s)</t>
        </is>
      </c>
    </row>
    <row r="434">
      <c r="A434" s="25" t="inlineStr"/>
    </row>
    <row r="435">
      <c r="A435" s="25" t="inlineStr"/>
    </row>
    <row r="436">
      <c r="A436" s="25" t="inlineStr">
        <is>
          <t>def t_yoy_pct(v: Sequence[Optional[float]]) -&gt; Optional[float]:</t>
        </is>
      </c>
    </row>
    <row r="437">
      <c r="A437" s="25" t="inlineStr">
        <is>
          <t xml:space="preserve">    """Percent change vs 12 months earlier. Excel:</t>
        </is>
      </c>
    </row>
    <row r="438">
      <c r="A438" s="25" t="inlineStr">
        <is>
          <t xml:space="preserve">    =IF(OR(v0="",v12="",v12=0),"",(v0/v12-1)*100)."""</t>
        </is>
      </c>
    </row>
    <row r="439">
      <c r="A439" s="25" t="inlineStr">
        <is>
          <t xml:space="preserve">    if len(v) &lt; 13 or v[0] is None or v[12] is None or v[12] == 0:</t>
        </is>
      </c>
    </row>
    <row r="440">
      <c r="A440" s="25" t="inlineStr">
        <is>
          <t xml:space="preserve">        return None</t>
        </is>
      </c>
    </row>
    <row r="441">
      <c r="A441" s="25" t="inlineStr">
        <is>
          <t xml:space="preserve">    return (v[0] / v[12] - 1.0) * 100.0</t>
        </is>
      </c>
    </row>
    <row r="442">
      <c r="A442" s="25" t="inlineStr"/>
    </row>
    <row r="443">
      <c r="A443" s="25" t="inlineStr"/>
    </row>
    <row r="444">
      <c r="A444" s="25" t="inlineStr">
        <is>
          <t>TRANSFORMS = {</t>
        </is>
      </c>
    </row>
    <row r="445">
      <c r="A445" s="25" t="inlineStr">
        <is>
          <t xml:space="preserve">    "level": t_level,</t>
        </is>
      </c>
    </row>
    <row r="446">
      <c r="A446" s="25" t="inlineStr">
        <is>
          <t xml:space="preserve">    "yoy_pct": t_yoy_pct,</t>
        </is>
      </c>
    </row>
    <row r="447">
      <c r="A447" s="25" t="inlineStr">
        <is>
          <t xml:space="preserve">    "dev_12m": t_dev_12m,</t>
        </is>
      </c>
    </row>
    <row r="448">
      <c r="A448" s="25" t="inlineStr">
        <is>
          <t xml:space="preserve">    "rise_streak3": t_rise_streak3,</t>
        </is>
      </c>
    </row>
    <row r="449">
      <c r="A449" s="25" t="inlineStr">
        <is>
          <t>}</t>
        </is>
      </c>
    </row>
    <row r="450">
      <c r="A450" s="25" t="inlineStr"/>
    </row>
    <row r="451">
      <c r="A451" s="25" t="inlineStr"/>
    </row>
    <row r="452">
      <c r="A452" s="25" t="inlineStr">
        <is>
          <t># ---------------------------------------------------------------------------</t>
        </is>
      </c>
    </row>
    <row r="453">
      <c r="A453" s="25" t="inlineStr">
        <is>
          <t># THRESHOLD ENGINE -- config-driven OK/WATCH/ALERT, direction-aware</t>
        </is>
      </c>
    </row>
    <row r="454">
      <c r="A454" s="25" t="inlineStr">
        <is>
          <t># ---------------------------------------------------------------------------</t>
        </is>
      </c>
    </row>
    <row r="455">
      <c r="A455" s="25" t="inlineStr">
        <is>
          <t>def status_for(value: Optional[float], thr: Optional[Threshold]) -&gt; str:</t>
        </is>
      </c>
    </row>
    <row r="456">
      <c r="A456" s="25" t="inlineStr">
        <is>
          <t xml:space="preserve">    """direction='above': flag when value &gt;= bound; 'below': value &lt;= bound.</t>
        </is>
      </c>
    </row>
    <row r="457">
      <c r="A457" s="25" t="inlineStr">
        <is>
          <t xml:space="preserve">    Blank value -&gt; OK (blanks are surfaced by the suppression/continuity</t>
        </is>
      </c>
    </row>
    <row r="458">
      <c r="A458" s="25" t="inlineStr">
        <is>
          <t xml:space="preserve">    paths, never fabricated into a flag)."""</t>
        </is>
      </c>
    </row>
    <row r="459">
      <c r="A459" s="25" t="inlineStr">
        <is>
          <t xml:space="preserve">    if value is None or thr is None or (isinstance(value, float)</t>
        </is>
      </c>
    </row>
    <row r="460">
      <c r="A460" s="25" t="inlineStr">
        <is>
          <t xml:space="preserve">                                        and math.isnan(value)):</t>
        </is>
      </c>
    </row>
    <row r="461">
      <c r="A461" s="25" t="inlineStr">
        <is>
          <t xml:space="preserve">        return "OK"</t>
        </is>
      </c>
    </row>
    <row r="462">
      <c r="A462" s="25" t="inlineStr">
        <is>
          <t xml:space="preserve">    above = thr.direction != "below"</t>
        </is>
      </c>
    </row>
    <row r="463">
      <c r="A463" s="25" t="inlineStr"/>
    </row>
    <row r="464">
      <c r="A464" s="25" t="inlineStr">
        <is>
          <t xml:space="preserve">    def hit(bound):</t>
        </is>
      </c>
    </row>
    <row r="465">
      <c r="A465" s="25" t="inlineStr">
        <is>
          <t xml:space="preserve">        if bound is None:</t>
        </is>
      </c>
    </row>
    <row r="466">
      <c r="A466" s="25" t="inlineStr">
        <is>
          <t xml:space="preserve">            return False</t>
        </is>
      </c>
    </row>
    <row r="467">
      <c r="A467" s="25" t="inlineStr">
        <is>
          <t xml:space="preserve">        return value &gt;= bound if above else value &lt;= bound</t>
        </is>
      </c>
    </row>
    <row r="468">
      <c r="A468" s="25" t="inlineStr"/>
    </row>
    <row r="469">
      <c r="A469" s="25" t="inlineStr">
        <is>
          <t xml:space="preserve">    if hit(thr.alert):</t>
        </is>
      </c>
    </row>
    <row r="470">
      <c r="A470" s="25" t="inlineStr">
        <is>
          <t xml:space="preserve">        return "ALERT"</t>
        </is>
      </c>
    </row>
    <row r="471">
      <c r="A471" s="25" t="inlineStr">
        <is>
          <t xml:space="preserve">    if hit(thr.watch):</t>
        </is>
      </c>
    </row>
    <row r="472">
      <c r="A472" s="25" t="inlineStr">
        <is>
          <t xml:space="preserve">        return "WATCH"</t>
        </is>
      </c>
    </row>
    <row r="473">
      <c r="A473" s="25" t="inlineStr">
        <is>
          <t xml:space="preserve">    return "OK"</t>
        </is>
      </c>
    </row>
    <row r="474">
      <c r="A474" s="25" t="inlineStr"/>
    </row>
    <row r="475">
      <c r="A475" s="25" t="inlineStr"/>
    </row>
    <row r="476">
      <c r="A476" s="25" t="inlineStr">
        <is>
          <t>SEVERITY = {"OK": 0, "WATCH": 1, "ALERT": 2}</t>
        </is>
      </c>
    </row>
    <row r="477">
      <c r="A477" s="25" t="inlineStr"/>
    </row>
    <row r="478">
      <c r="A478" s="25" t="inlineStr"/>
    </row>
    <row r="479">
      <c r="A479" s="25" t="inlineStr">
        <is>
          <t># ---------------------------------------------------------------------------</t>
        </is>
      </c>
    </row>
    <row r="480">
      <c r="A480" s="25" t="inlineStr">
        <is>
          <t># VINTAGE / CONTINUITY (BUILD SPEC 0.6 -- traps C3/C6)</t>
        </is>
      </c>
    </row>
    <row r="481">
      <c r="A481" s="25" t="inlineStr">
        <is>
          <t># ---------------------------------------------------------------------------</t>
        </is>
      </c>
    </row>
    <row r="482">
      <c r="A482" s="25" t="inlineStr">
        <is>
          <t>def vintage_ym(vintage: Optional[str]) -&gt; Optional[Tuple[int, int]]:</t>
        </is>
      </c>
    </row>
    <row r="483">
      <c r="A483" s="25" t="inlineStr">
        <is>
          <t xml:space="preserve">    """Parse 'thru-2025-09' (or bare '2025-09') -&gt; (2025, 9); None if not</t>
        </is>
      </c>
    </row>
    <row r="484">
      <c r="A484" s="25" t="inlineStr">
        <is>
          <t xml:space="preserve">    parseable (e.g. the demo provider's fabricated label is still thru-*)."""</t>
        </is>
      </c>
    </row>
    <row r="485">
      <c r="A485" s="25" t="inlineStr">
        <is>
          <t xml:space="preserve">    if not vintage:</t>
        </is>
      </c>
    </row>
    <row r="486">
      <c r="A486" s="25" t="inlineStr">
        <is>
          <t xml:space="preserve">        return None</t>
        </is>
      </c>
    </row>
    <row r="487">
      <c r="A487" s="25" t="inlineStr">
        <is>
          <t xml:space="preserve">    m = VINTAGE_RE.match(str(vintage).strip())</t>
        </is>
      </c>
    </row>
    <row r="488">
      <c r="A488" s="25" t="inlineStr">
        <is>
          <t xml:space="preserve">    if not m:</t>
        </is>
      </c>
    </row>
    <row r="489">
      <c r="A489" s="25" t="inlineStr">
        <is>
          <t xml:space="preserve">        return None</t>
        </is>
      </c>
    </row>
    <row r="490">
      <c r="A490" s="25" t="inlineStr">
        <is>
          <t xml:space="preserve">    return int(m.group(1)), int(m.group(2))</t>
        </is>
      </c>
    </row>
    <row r="491">
      <c r="A491" s="25" t="inlineStr"/>
    </row>
    <row r="492">
      <c r="A492" s="25" t="inlineStr"/>
    </row>
    <row r="493">
      <c r="A493" s="25" t="inlineStr">
        <is>
          <t>def months_behind(asof: date, vintage: Optional[str]) -&gt; Optional[int]:</t>
        </is>
      </c>
    </row>
    <row r="494">
      <c r="A494" s="25" t="inlineStr">
        <is>
          <t xml:space="preserve">    ym = vintage_ym(vintage)</t>
        </is>
      </c>
    </row>
    <row r="495">
      <c r="A495" s="25" t="inlineStr">
        <is>
          <t xml:space="preserve">    if ym is None:</t>
        </is>
      </c>
    </row>
    <row r="496">
      <c r="A496" s="25" t="inlineStr">
        <is>
          <t xml:space="preserve">        return None</t>
        </is>
      </c>
    </row>
    <row r="497">
      <c r="A497" s="25" t="inlineStr">
        <is>
          <t xml:space="preserve">    return (asof.year * 12 + asof.month) - (ym[0] * 12 + ym[1])</t>
        </is>
      </c>
    </row>
    <row r="498">
      <c r="A498" s="25" t="inlineStr"/>
    </row>
    <row r="499">
      <c r="A499" s="25" t="inlineStr"/>
    </row>
    <row r="500">
      <c r="A500" s="25" t="inlineStr">
        <is>
          <t>def continuity_warning(asof: date, vintage: Optional[str],</t>
        </is>
      </c>
    </row>
    <row r="501">
      <c r="A501" s="25" t="inlineStr">
        <is>
          <t xml:space="preserve">                       limit_months: int) -&gt; Optional[str]:</t>
        </is>
      </c>
    </row>
    <row r="502">
      <c r="A502" s="25" t="inlineStr">
        <is>
          <t xml:space="preserve">    """The tripwire: the CFPB publishes semiannually-ish with a ~6-7 month</t>
        </is>
      </c>
    </row>
    <row r="503">
      <c r="A503" s="25" t="inlineStr">
        <is>
          <t xml:space="preserve">    lag and no formal cadence promise; a vintage more than limit_months</t>
        </is>
      </c>
    </row>
    <row r="504">
      <c r="A504" s="25" t="inlineStr">
        <is>
          <t xml:space="preserve">    behind asof means the program may have stalled (it survived the 2025</t>
        </is>
      </c>
    </row>
    <row r="505">
      <c r="A505" s="25" t="inlineStr">
        <is>
          <t xml:space="preserve">    turmoil once -- check the download page and the DataLumos mirror)."""</t>
        </is>
      </c>
    </row>
    <row r="506">
      <c r="A506" s="25" t="inlineStr">
        <is>
          <t xml:space="preserve">    behind = months_behind(asof, vintage)</t>
        </is>
      </c>
    </row>
    <row r="507">
      <c r="A507" s="25" t="inlineStr">
        <is>
          <t xml:space="preserve">    if behind is None:</t>
        </is>
      </c>
    </row>
    <row r="508">
      <c r="A508" s="25" t="inlineStr">
        <is>
          <t xml:space="preserve">        return (f"CONTINUITY WARNING: data vintage '{vintage}' is not "</t>
        </is>
      </c>
    </row>
    <row r="509">
      <c r="A509" s="25" t="inlineStr">
        <is>
          <t xml:space="preserve">                f"parseable as thru-YYYY-MM; cannot verify freshness.")</t>
        </is>
      </c>
    </row>
    <row r="510">
      <c r="A510" s="25" t="inlineStr">
        <is>
          <t xml:space="preserve">    if behind &gt; limit_months:</t>
        </is>
      </c>
    </row>
    <row r="511">
      <c r="A511" s="25" t="inlineStr">
        <is>
          <t xml:space="preserve">        return (f"CONTINUITY WARNING: newest vintage {vintage} is {behind} "</t>
        </is>
      </c>
    </row>
    <row r="512">
      <c r="A512" s="25" t="inlineStr">
        <is>
          <t xml:space="preserve">                f"months behind asof {asof.isoformat()} (tripwire "</t>
        </is>
      </c>
    </row>
    <row r="513">
      <c r="A513" s="25" t="inlineStr">
        <is>
          <t xml:space="preserve">                f"{limit_months}). The CFPB publishes informally -- check "</t>
        </is>
      </c>
    </row>
    <row r="514">
      <c r="A514" s="25" t="inlineStr">
        <is>
          <t xml:space="preserve">                f"the download page; the DataLumos archive is the recovery "</t>
        </is>
      </c>
    </row>
    <row r="515">
      <c r="A515" s="25" t="inlineStr">
        <is>
          <t xml:space="preserve">                f"mirror if the program has stalled.")</t>
        </is>
      </c>
    </row>
    <row r="516">
      <c r="A516" s="25" t="inlineStr">
        <is>
          <t xml:space="preserve">    return None</t>
        </is>
      </c>
    </row>
    <row r="517">
      <c r="A517" s="25" t="inlineStr"/>
    </row>
    <row r="518">
      <c r="A518" s="25" t="inlineStr"/>
    </row>
    <row r="519">
      <c r="A519" s="25" t="inlineStr">
        <is>
          <t># ---------------------------------------------------------------------------</t>
        </is>
      </c>
    </row>
    <row r="520">
      <c r="A520" s="25" t="inlineStr">
        <is>
          <t># THE WATCHLIST VALIDATOR -- DEFAULT-DENY (BUILD SPEC 0.1 / sec 3).</t>
        </is>
      </c>
    </row>
    <row r="521">
      <c r="A521" s="25" t="inlineStr">
        <is>
          <t># Gate 1: the footprint slot is active=TRUE (inactive = EXCLUDED, blanked).</t>
        </is>
      </c>
    </row>
    <row r="522">
      <c r="A522" s="25" t="inlineStr">
        <is>
          <t># Gate 2: every watchlist-capable series row is the Class A county template</t>
        </is>
      </c>
    </row>
    <row r="523">
      <c r="A523" s="25" t="inlineStr">
        <is>
          <t>#         (a state/metro/national row marked watchlist-capable refuses the</t>
        </is>
      </c>
    </row>
    <row r="524">
      <c r="A524" s="25" t="inlineStr">
        <is>
          <t>#         whole run, series-named -- aggregates are context, never watchlist).</t>
        </is>
      </c>
    </row>
    <row r="525">
      <c r="A525" s="25" t="inlineStr">
        <is>
          <t># Gate 3: the entity key built from the [FOOTPRINT] fips cell matches</t>
        </is>
      </c>
    </row>
    <row r="526">
      <c r="A526" s="25" t="inlineStr">
        <is>
          <t>#         ^county:[0-9]{5}$ (blank/malformed FIPS = refused BY NAME).</t>
        </is>
      </c>
    </row>
    <row r="527">
      <c r="A527" s="25" t="inlineStr">
        <is>
          <t># ---------------------------------------------------------------------------</t>
        </is>
      </c>
    </row>
    <row r="528">
      <c r="A528" s="25" t="inlineStr">
        <is>
          <t>class WatchlistRefused(Exception):</t>
        </is>
      </c>
    </row>
    <row r="529">
      <c r="A529" s="25" t="inlineStr">
        <is>
          <t xml:space="preserve">    """Raised by the hard gates; carries the interpolated refusal message."""</t>
        </is>
      </c>
    </row>
    <row r="530">
      <c r="A530" s="25" t="inlineStr"/>
    </row>
    <row r="531">
      <c r="A531" s="25" t="inlineStr"/>
    </row>
    <row r="532">
      <c r="A532" s="25" t="inlineStr">
        <is>
          <t>class FootprintCapacityError(Exception):</t>
        </is>
      </c>
    </row>
    <row r="533">
      <c r="A533" s="25" t="inlineStr">
        <is>
          <t xml:space="preserve">    """More counties than BUILT slots: refuse with the rebuild command --</t>
        </is>
      </c>
    </row>
    <row r="534">
      <c r="A534" s="25" t="inlineStr">
        <is>
          <t xml:space="preserve">    the runner never truncates a footprint."""</t>
        </is>
      </c>
    </row>
    <row r="535">
      <c r="A535" s="25" t="inlineStr"/>
    </row>
    <row r="536">
      <c r="A536" s="25" t="inlineStr"/>
    </row>
    <row r="537">
      <c r="A537" s="25" t="inlineStr">
        <is>
          <t>def county_refusal_message(fp: FootprintRow, reasons: List[str]) -&gt; str:</t>
        </is>
      </c>
    </row>
    <row r="538">
      <c r="A538" s="25" t="inlineStr">
        <is>
          <t xml:space="preserve">    return (</t>
        </is>
      </c>
    </row>
    <row r="539">
      <c r="A539" s="25" t="inlineStr">
        <is>
          <t xml:space="preserve">        f'WATCHLIST REFUSED: footprint slot {fp.slot} '</t>
        </is>
      </c>
    </row>
    <row r="540">
      <c r="A540" s="25" t="inlineStr">
        <is>
          <t xml:space="preserve">        f'"{fp.name or "(unnamed)"}" has fips="{fp.fips}", '</t>
        </is>
      </c>
    </row>
    <row r="541">
      <c r="A541" s="25" t="inlineStr">
        <is>
          <t xml:space="preserve">        f'active={"TRUE" if fp.active else "FALSE"}. '</t>
        </is>
      </c>
    </row>
    <row r="542">
      <c r="A542" s="25" t="inlineStr">
        <is>
          <t xml:space="preserve">        + " ".join(reasons) +</t>
        </is>
      </c>
    </row>
    <row r="543">
      <c r="A543" s="25" t="inlineStr">
        <is>
          <t xml:space="preserve">        " Only 5-digit county-FIPS-keyed rows can be monitored; states,"</t>
        </is>
      </c>
    </row>
    <row r="544">
      <c r="A544" s="25" t="inlineStr">
        <is>
          <t xml:space="preserve">        " metros and national are dashboard context, never watchlist."</t>
        </is>
      </c>
    </row>
    <row r="545">
      <c r="A545" s="25" t="inlineStr">
        <is>
          <t xml:space="preserve">        " Find the FIPS with: python runner.py --lookup"</t>
        </is>
      </c>
    </row>
    <row r="546">
      <c r="A546" s="25" t="inlineStr">
        <is>
          <t xml:space="preserve">        f' "{fp.name or "&lt;county name&gt;"}" (works offline with --demo).')</t>
        </is>
      </c>
    </row>
    <row r="547">
      <c r="A547" s="25" t="inlineStr"/>
    </row>
    <row r="548">
      <c r="A548" s="25" t="inlineStr"/>
    </row>
    <row r="549">
      <c r="A549" s="25" t="inlineStr">
        <is>
          <t>def series_refusal_message(spec: SeriesSpec, reasons: List[str]) -&gt; str:</t>
        </is>
      </c>
    </row>
    <row r="550">
      <c r="A550" s="25" t="inlineStr">
        <is>
          <t xml:space="preserve">    return (</t>
        </is>
      </c>
    </row>
    <row r="551">
      <c r="A551" s="25" t="inlineStr">
        <is>
          <t xml:space="preserve">        f'WATCHLIST REFUSED: series "{spec.id}" (geo_segment='</t>
        </is>
      </c>
    </row>
    <row r="552">
      <c r="A552" s="25" t="inlineStr">
        <is>
          <t xml:space="preserve">        f'"{spec.geo_segment}", source_class="{spec.source_class}") is '</t>
        </is>
      </c>
    </row>
    <row r="553">
      <c r="A553" s="25" t="inlineStr">
        <is>
          <t xml:space="preserve">        f'marked watchlist_capable={"TRUE" if spec.watchlist_capable else "FALSE"}. '</t>
        </is>
      </c>
    </row>
    <row r="554">
      <c r="A554" s="25" t="inlineStr">
        <is>
          <t xml:space="preserve">        + " ".join(reasons) +</t>
        </is>
      </c>
    </row>
    <row r="555">
      <c r="A555" s="25" t="inlineStr">
        <is>
          <t xml:space="preserve">        " This template's watchlist lane admits ONLY the Class A county"</t>
        </is>
      </c>
    </row>
    <row r="556">
      <c r="A556" s="25" t="inlineStr">
        <is>
          <t xml:space="preserve">        " template rows; state, metro and national aggregates are dashboard"</t>
        </is>
      </c>
    </row>
    <row r="557">
      <c r="A557" s="25" t="inlineStr">
        <is>
          <t xml:space="preserve">        " context by design (BUILD SPEC 0.1).")</t>
        </is>
      </c>
    </row>
    <row r="558">
      <c r="A558" s="25" t="inlineStr"/>
    </row>
    <row r="559">
      <c r="A559" s="25" t="inlineStr"/>
    </row>
    <row r="560">
      <c r="A560" s="25" t="inlineStr">
        <is>
          <t>def gate_footprint_row(fp: FootprintRow) -&gt; List[str]:</t>
        </is>
      </c>
    </row>
    <row r="561">
      <c r="A561" s="25" t="inlineStr">
        <is>
          <t xml:space="preserve">    """Failed-gate reasons for an ACTIVE footprint row carrying a county.</t>
        </is>
      </c>
    </row>
    <row r="562">
      <c r="A562" s="25" t="inlineStr">
        <is>
          <t xml:space="preserve">    Empty list == a genuinely county-FIPS-keyed row."""</t>
        </is>
      </c>
    </row>
    <row r="563">
      <c r="A563" s="25" t="inlineStr">
        <is>
          <t xml:space="preserve">    reasons = []</t>
        </is>
      </c>
    </row>
    <row r="564">
      <c r="A564" s="25" t="inlineStr">
        <is>
          <t xml:space="preserve">    if not re.match(ENTITY_KEY_PATTERN, fp.entity_key):</t>
        </is>
      </c>
    </row>
    <row r="565">
      <c r="A565" s="25" t="inlineStr">
        <is>
          <t xml:space="preserve">        reasons.append(</t>
        </is>
      </c>
    </row>
    <row r="566">
      <c r="A566" s="25" t="inlineStr">
        <is>
          <t xml:space="preserve">            f"Gate3: entity key '{fp.entity_key}' does not match the "</t>
        </is>
      </c>
    </row>
    <row r="567">
      <c r="A567" s="25" t="inlineStr">
        <is>
          <t xml:space="preserve">            f"join-key whitelist pattern {ENTITY_KEY_PATTERN} (default-deny; "</t>
        </is>
      </c>
    </row>
    <row r="568">
      <c r="A568" s="25" t="inlineStr">
        <is>
          <t xml:space="preserve">            "a blank or malformed FIPS cannot be joined).")</t>
        </is>
      </c>
    </row>
    <row r="569">
      <c r="A569" s="25" t="inlineStr">
        <is>
          <t xml:space="preserve">    return reasons</t>
        </is>
      </c>
    </row>
    <row r="570">
      <c r="A570" s="25" t="inlineStr"/>
    </row>
    <row r="571">
      <c r="A571" s="25" t="inlineStr"/>
    </row>
    <row r="572">
      <c r="A572" s="25" t="inlineStr">
        <is>
          <t>def gate_series_row(spec: SeriesSpec) -&gt; List[str]:</t>
        </is>
      </c>
    </row>
    <row r="573">
      <c r="A573" s="25" t="inlineStr">
        <is>
          <t xml:space="preserve">    """Reasons a watchlist-capable series row fails the lane gates."""</t>
        </is>
      </c>
    </row>
    <row r="574">
      <c r="A574" s="25" t="inlineStr">
        <is>
          <t xml:space="preserve">    reasons = []</t>
        </is>
      </c>
    </row>
    <row r="575">
      <c r="A575" s="25" t="inlineStr">
        <is>
          <t xml:space="preserve">    if spec.geo_segment != "county":</t>
        </is>
      </c>
    </row>
    <row r="576">
      <c r="A576" s="25" t="inlineStr">
        <is>
          <t xml:space="preserve">        reasons.append(</t>
        </is>
      </c>
    </row>
    <row r="577">
      <c r="A577" s="25" t="inlineStr">
        <is>
          <t xml:space="preserve">            f"Gate2a: geo_segment '{spec.geo_segment}' is not the county "</t>
        </is>
      </c>
    </row>
    <row r="578">
      <c r="A578" s="25" t="inlineStr">
        <is>
          <t xml:space="preserve">            "template -- states/metros/national are never watchlist.")</t>
        </is>
      </c>
    </row>
    <row r="579">
      <c r="A579" s="25" t="inlineStr">
        <is>
          <t xml:space="preserve">    if spec.source_class != "A":</t>
        </is>
      </c>
    </row>
    <row r="580">
      <c r="A580" s="25" t="inlineStr">
        <is>
          <t xml:space="preserve">        reasons.append(</t>
        </is>
      </c>
    </row>
    <row r="581">
      <c r="A581" s="25" t="inlineStr">
        <is>
          <t xml:space="preserve">            "Gate2b: source_class is not A -- this template's only admitted "</t>
        </is>
      </c>
    </row>
    <row r="582">
      <c r="A582" s="25" t="inlineStr">
        <is>
          <t xml:space="preserve">            "class is the keyless public CFPB file adapter; any other class "</t>
        </is>
      </c>
    </row>
    <row r="583">
      <c r="A583" s="25" t="inlineStr">
        <is>
          <t xml:space="preserve">            "requires its own review before admission.")</t>
        </is>
      </c>
    </row>
    <row r="584">
      <c r="A584" s="25" t="inlineStr">
        <is>
          <t xml:space="preserve">    return reasons</t>
        </is>
      </c>
    </row>
    <row r="585">
      <c r="A585" s="25" t="inlineStr"/>
    </row>
    <row r="586">
      <c r="A586" s="25" t="inlineStr"/>
    </row>
    <row r="587">
      <c r="A587" s="25" t="inlineStr">
        <is>
          <t>def assert_series_admissible(series: Sequence[SeriesSpec]) -&gt; None:</t>
        </is>
      </c>
    </row>
    <row r="588">
      <c r="A588" s="25" t="inlineStr">
        <is>
          <t xml:space="preserve">    """Hard gate (build-time AND run start): a fabricated watchlist-capable</t>
        </is>
      </c>
    </row>
    <row r="589">
      <c r="A589" s="25" t="inlineStr">
        <is>
          <t xml:space="preserve">    aggregate row or non-Class-A row refuses everything, series-named --</t>
        </is>
      </c>
    </row>
    <row r="590">
      <c r="A590" s="25" t="inlineStr">
        <is>
          <t xml:space="preserve">    defense in depth behind the runtime gates."""</t>
        </is>
      </c>
    </row>
    <row r="591">
      <c r="A591" s="25" t="inlineStr">
        <is>
          <t xml:space="preserve">    for s in series:</t>
        </is>
      </c>
    </row>
    <row r="592">
      <c r="A592" s="25" t="inlineStr">
        <is>
          <t xml:space="preserve">        if not s.watchlist_capable:</t>
        </is>
      </c>
    </row>
    <row r="593">
      <c r="A593" s="25" t="inlineStr">
        <is>
          <t xml:space="preserve">            continue</t>
        </is>
      </c>
    </row>
    <row r="594">
      <c r="A594" s="25" t="inlineStr">
        <is>
          <t xml:space="preserve">        reasons = gate_series_row(s)</t>
        </is>
      </c>
    </row>
    <row r="595">
      <c r="A595" s="25" t="inlineStr">
        <is>
          <t xml:space="preserve">        if reasons:</t>
        </is>
      </c>
    </row>
    <row r="596">
      <c r="A596" s="25" t="inlineStr">
        <is>
          <t xml:space="preserve">            raise WatchlistRefused(series_refusal_message(s, reasons))</t>
        </is>
      </c>
    </row>
    <row r="597">
      <c r="A597" s="25" t="inlineStr"/>
    </row>
    <row r="598">
      <c r="A598" s="25" t="inlineStr"/>
    </row>
    <row r="599">
      <c r="A599" s="25" t="inlineStr">
        <is>
          <t>def evaluate_footprint(cfg: Config):</t>
        </is>
      </c>
    </row>
    <row r="600">
      <c r="A600" s="25" t="inlineStr">
        <is>
          <t xml:space="preserve">    """Apply the default-deny gates to every [FOOTPRINT] row carrying a</t>
        </is>
      </c>
    </row>
    <row r="601">
      <c r="A601" s="25" t="inlineStr">
        <is>
          <t xml:space="preserve">    county. Returns (admitted, refusals, excluded): admitted rows are</t>
        </is>
      </c>
    </row>
    <row r="602">
      <c r="A602" s="25" t="inlineStr">
        <is>
          <t xml:space="preserve">    fetched and landed; refusals is [(row, message)] -- those slots are</t>
        </is>
      </c>
    </row>
    <row r="603">
      <c r="A603" s="25" t="inlineStr">
        <is>
          <t xml:space="preserve">    never fetched and stay blank; excluded is the active=FALSE list</t>
        </is>
      </c>
    </row>
    <row r="604">
      <c r="A604" s="25" t="inlineStr">
        <is>
          <t xml:space="preserve">    (blanked, not refused)."""</t>
        </is>
      </c>
    </row>
    <row r="605">
      <c r="A605" s="25" t="inlineStr">
        <is>
          <t xml:space="preserve">    admitted, refusals, excluded = [], [], []</t>
        </is>
      </c>
    </row>
    <row r="606">
      <c r="A606" s="25" t="inlineStr">
        <is>
          <t xml:space="preserve">    for fp in cfg.footprint:</t>
        </is>
      </c>
    </row>
    <row r="607">
      <c r="A607" s="25" t="inlineStr">
        <is>
          <t xml:space="preserve">        if not fp.has_county:</t>
        </is>
      </c>
    </row>
    <row r="608">
      <c r="A608" s="25" t="inlineStr">
        <is>
          <t xml:space="preserve">            continue                       # provisioned empty slot</t>
        </is>
      </c>
    </row>
    <row r="609">
      <c r="A609" s="25" t="inlineStr">
        <is>
          <t xml:space="preserve">        if not fp.active:</t>
        </is>
      </c>
    </row>
    <row r="610">
      <c r="A610" s="25" t="inlineStr">
        <is>
          <t xml:space="preserve">            excluded.append(fp)            # gate 1: exclusion, not refusal</t>
        </is>
      </c>
    </row>
    <row r="611">
      <c r="A611" s="25" t="inlineStr">
        <is>
          <t xml:space="preserve">            continue</t>
        </is>
      </c>
    </row>
    <row r="612">
      <c r="A612" s="25" t="inlineStr">
        <is>
          <t xml:space="preserve">        reasons = gate_footprint_row(fp)</t>
        </is>
      </c>
    </row>
    <row r="613">
      <c r="A613" s="25" t="inlineStr">
        <is>
          <t xml:space="preserve">        if reasons:</t>
        </is>
      </c>
    </row>
    <row r="614">
      <c r="A614" s="25" t="inlineStr">
        <is>
          <t xml:space="preserve">            refusals.append((fp, county_refusal_message(fp, reasons)))</t>
        </is>
      </c>
    </row>
    <row r="615">
      <c r="A615" s="25" t="inlineStr">
        <is>
          <t xml:space="preserve">        else:</t>
        </is>
      </c>
    </row>
    <row r="616">
      <c r="A616" s="25" t="inlineStr">
        <is>
          <t xml:space="preserve">            admitted.append(fp)</t>
        </is>
      </c>
    </row>
    <row r="617">
      <c r="A617" s="25" t="inlineStr">
        <is>
          <t xml:space="preserve">    return admitted, refusals, excluded</t>
        </is>
      </c>
    </row>
    <row r="618">
      <c r="A618" s="25" t="inlineStr"/>
    </row>
    <row r="619">
      <c r="A619" s="25" t="inlineStr"/>
    </row>
    <row r="620">
      <c r="A620" s="25" t="inlineStr">
        <is>
          <t>def assert_entity_gates(cfg: Config) -&gt; None:</t>
        </is>
      </c>
    </row>
    <row r="621">
      <c r="A621" s="25" t="inlineStr">
        <is>
          <t xml:space="preserve">    """BUILD-TIME hard gate backing the runtime gates: a bad series row or a</t>
        </is>
      </c>
    </row>
    <row r="622">
      <c r="A622" s="25" t="inlineStr">
        <is>
          <t xml:space="preserve">    bad SEED county cannot even be built into the lane. (At run time the</t>
        </is>
      </c>
    </row>
    <row r="623">
      <c r="A623" s="25" t="inlineStr">
        <is>
          <t xml:space="preserve">    per-county gate refuses-and-continues so one typo does not kill the</t>
        </is>
      </c>
    </row>
    <row r="624">
      <c r="A624" s="25" t="inlineStr">
        <is>
          <t xml:space="preserve">    whole refresh; the refusal is rendered, the slot stays blank.)"""</t>
        </is>
      </c>
    </row>
    <row r="625">
      <c r="A625" s="25" t="inlineStr">
        <is>
          <t xml:space="preserve">    assert_series_admissible(cfg.series)</t>
        </is>
      </c>
    </row>
    <row r="626">
      <c r="A626" s="25" t="inlineStr">
        <is>
          <t xml:space="preserve">    _, refusals, _ = evaluate_footprint(cfg)</t>
        </is>
      </c>
    </row>
    <row r="627">
      <c r="A627" s="25" t="inlineStr">
        <is>
          <t xml:space="preserve">    if refusals:</t>
        </is>
      </c>
    </row>
    <row r="628">
      <c r="A628" s="25" t="inlineStr">
        <is>
          <t xml:space="preserve">        raise WatchlistRefused(refusals[0][1])</t>
        </is>
      </c>
    </row>
    <row r="629">
      <c r="A629" s="25" t="inlineStr"/>
    </row>
    <row r="630">
      <c r="A630" s="25" t="inlineStr"/>
    </row>
    <row r="631">
      <c r="A631" s="25" t="inlineStr">
        <is>
          <t>def validate_footprint_capacity(cfg: Config) -&gt; None:</t>
        </is>
      </c>
    </row>
    <row r="632">
      <c r="A632" s="25" t="inlineStr">
        <is>
          <t xml:space="preserve">    """The flexible-footprint guard: every county-carrying row needs a slot</t>
        </is>
      </c>
    </row>
    <row r="633">
      <c r="A633" s="25" t="inlineStr">
        <is>
          <t xml:space="preserve">    inside the BUILT capacity, unique. Over capacity is REFUSED with the</t>
        </is>
      </c>
    </row>
    <row r="634">
      <c r="A634" s="25" t="inlineStr">
        <is>
          <t xml:space="preserve">    rebuild command -- never truncated."""</t>
        </is>
      </c>
    </row>
    <row r="635">
      <c r="A635" s="25" t="inlineStr">
        <is>
          <t xml:space="preserve">    cap = cfg.footprint_slots</t>
        </is>
      </c>
    </row>
    <row r="636">
      <c r="A636" s="25" t="inlineStr">
        <is>
          <t xml:space="preserve">    filled = [f for f in cfg.footprint if f.has_county]</t>
        </is>
      </c>
    </row>
    <row r="637">
      <c r="A637" s="25" t="inlineStr">
        <is>
          <t xml:space="preserve">    seen: Dict[int, FootprintRow] = {}</t>
        </is>
      </c>
    </row>
    <row r="638">
      <c r="A638" s="25" t="inlineStr">
        <is>
          <t xml:space="preserve">    bad = []</t>
        </is>
      </c>
    </row>
    <row r="639">
      <c r="A639" s="25" t="inlineStr">
        <is>
          <t xml:space="preserve">    for f in filled:</t>
        </is>
      </c>
    </row>
    <row r="640">
      <c r="A640" s="25" t="inlineStr">
        <is>
          <t xml:space="preserve">        if f.slot is None or f.slot &lt; 1 or f.slot &gt; cap:</t>
        </is>
      </c>
    </row>
    <row r="641">
      <c r="A641" s="25" t="inlineStr">
        <is>
          <t xml:space="preserve">            bad.append(f)</t>
        </is>
      </c>
    </row>
    <row r="642">
      <c r="A642" s="25" t="inlineStr">
        <is>
          <t xml:space="preserve">        elif f.slot in seen:</t>
        </is>
      </c>
    </row>
    <row r="643">
      <c r="A643" s="25" t="inlineStr">
        <is>
          <t xml:space="preserve">            raise FootprintCapacityError(</t>
        </is>
      </c>
    </row>
    <row r="644">
      <c r="A644" s="25" t="inlineStr">
        <is>
          <t xml:space="preserve">                f"[FOOTPRINT] slot {f.slot} is listed twice "</t>
        </is>
      </c>
    </row>
    <row r="645">
      <c r="A645" s="25" t="inlineStr">
        <is>
          <t xml:space="preserve">                f'("{seen[f.slot].name}" and "{f.name}"); slots must be '</t>
        </is>
      </c>
    </row>
    <row r="646">
      <c r="A646" s="25" t="inlineStr">
        <is>
          <t xml:space="preserve">                "unique -- fix the [FOOTPRINT] table.")</t>
        </is>
      </c>
    </row>
    <row r="647">
      <c r="A647" s="25" t="inlineStr">
        <is>
          <t xml:space="preserve">        else:</t>
        </is>
      </c>
    </row>
    <row r="648">
      <c r="A648" s="25" t="inlineStr">
        <is>
          <t xml:space="preserve">            seen[f.slot] = f</t>
        </is>
      </c>
    </row>
    <row r="649">
      <c r="A649" s="25" t="inlineStr">
        <is>
          <t xml:space="preserve">    if bad:</t>
        </is>
      </c>
    </row>
    <row r="650">
      <c r="A650" s="25" t="inlineStr">
        <is>
          <t xml:space="preserve">        need = max(len(filled), max((f.slot or 0) for f in filled))</t>
        </is>
      </c>
    </row>
    <row r="651">
      <c r="A651" s="25" t="inlineStr">
        <is>
          <t xml:space="preserve">        names = ", ".join(f'"{f.name or f.fips}" (slot {f.slot})' for f in bad)</t>
        </is>
      </c>
    </row>
    <row r="652">
      <c r="A652" s="25" t="inlineStr">
        <is>
          <t xml:space="preserve">        raise FootprintCapacityError(</t>
        </is>
      </c>
    </row>
    <row r="653">
      <c r="A653" s="25" t="inlineStr">
        <is>
          <t xml:space="preserve">            f"[FOOTPRINT] lists more counties than the workbook was built "</t>
        </is>
      </c>
    </row>
    <row r="654">
      <c r="A654" s="25" t="inlineStr">
        <is>
          <t xml:space="preserve">            f"for: {names} outside the built capacity of {cap} slots. The "</t>
        </is>
      </c>
    </row>
    <row r="655">
      <c r="A655" s="25" t="inlineStr">
        <is>
          <t xml:space="preserve">            f"runner never truncates a footprint -- rebuild with "</t>
        </is>
      </c>
    </row>
    <row r="656">
      <c r="A656" s="25" t="inlineStr">
        <is>
          <t xml:space="preserve">            f"--footprint-slots {max(need, cap + 1)} "</t>
        </is>
      </c>
    </row>
    <row r="657">
      <c r="A657" s="25" t="inlineStr">
        <is>
          <t xml:space="preserve">            f"(python make_workbook.py --footprint-slots {max(need, cap + 1)}).")</t>
        </is>
      </c>
    </row>
    <row r="658">
      <c r="A658" s="25" t="inlineStr"/>
    </row>
    <row r="659">
      <c r="A659" s="25" t="inlineStr"/>
    </row>
    <row r="660">
      <c r="A660" s="25" t="inlineStr">
        <is>
          <t># ---------------------------------------------------------------------------</t>
        </is>
      </c>
    </row>
    <row r="661">
      <c r="A661" s="25" t="inlineStr">
        <is>
          <t># THE ADAPTER SEAM -- the only provider-specific code</t>
        </is>
      </c>
    </row>
    <row r="662">
      <c r="A662" s="25" t="inlineStr">
        <is>
          <t># ---------------------------------------------------------------------------</t>
        </is>
      </c>
    </row>
    <row r="663">
      <c r="A663" s="25" t="inlineStr">
        <is>
          <t>@dataclass</t>
        </is>
      </c>
    </row>
    <row r="664">
      <c r="A664" s="25" t="inlineStr">
        <is>
          <t>class NormalizedRow:</t>
        </is>
      </c>
    </row>
    <row r="665">
      <c r="A665" s="25" t="inlineStr">
        <is>
          <t xml:space="preserve">    id: str</t>
        </is>
      </c>
    </row>
    <row r="666">
      <c r="A666" s="25" t="inlineStr">
        <is>
          <t xml:space="preserve">    period: str            # month "YYYY-MM" (text)</t>
        </is>
      </c>
    </row>
    <row r="667">
      <c r="A667" s="25" t="inlineStr">
        <is>
          <t xml:space="preserve">    value: Optional[float]</t>
        </is>
      </c>
    </row>
    <row r="668">
      <c r="A668" s="25" t="inlineStr">
        <is>
          <t xml:space="preserve">    geo_segment: str       # national | state:XX | county:XXXXX</t>
        </is>
      </c>
    </row>
    <row r="669">
      <c r="A669" s="25" t="inlineStr">
        <is>
          <t xml:space="preserve">    source_class: str</t>
        </is>
      </c>
    </row>
    <row r="670">
      <c r="A670" s="25" t="inlineStr">
        <is>
          <t xml:space="preserve">    units: str = "pct"</t>
        </is>
      </c>
    </row>
    <row r="671">
      <c r="A671" s="25" t="inlineStr"/>
    </row>
    <row r="672">
      <c r="A672" s="25" t="inlineStr"/>
    </row>
    <row r="673">
      <c r="A673" s="25" t="inlineStr">
        <is>
          <t>@dataclass</t>
        </is>
      </c>
    </row>
    <row r="674">
      <c r="A674" s="25" t="inlineStr">
        <is>
          <t>class UnitSpec:</t>
        </is>
      </c>
    </row>
    <row r="675">
      <c r="A675" s="25" t="inlineStr">
        <is>
          <t xml:space="preserve">    """One expanded fetch/land unit: a (geo, measure) pair. County units are</t>
        </is>
      </c>
    </row>
    <row r="676">
      <c r="A676" s="25" t="inlineStr">
        <is>
          <t xml:space="preserve">    SLOT-keyed (co_{slot:02d}_{measure}) so anchors never move on a</t>
        </is>
      </c>
    </row>
    <row r="677">
      <c r="A677" s="25" t="inlineStr">
        <is>
          <t xml:space="preserve">    [FOOTPRINT] edit; state units carry the FIPS2 (st_{FIPS2}_{measure});</t>
        </is>
      </c>
    </row>
    <row r="678">
      <c r="A678" s="25" t="inlineStr">
        <is>
          <t xml:space="preserve">    national is nat_{measure}."""</t>
        </is>
      </c>
    </row>
    <row r="679">
      <c r="A679" s="25" t="inlineStr">
        <is>
          <t xml:space="preserve">    kind: str              # "national" | "state" | "county"</t>
        </is>
      </c>
    </row>
    <row r="680">
      <c r="A680" s="25" t="inlineStr">
        <is>
          <t xml:space="preserve">    slot: int              # 0 for national; state slot; footprint slot</t>
        </is>
      </c>
    </row>
    <row r="681">
      <c r="A681" s="25" t="inlineStr">
        <is>
          <t xml:space="preserve">    fips: str              # "" | 2-digit | 5-digit (text)</t>
        </is>
      </c>
    </row>
    <row r="682">
      <c r="A682" s="25" t="inlineStr">
        <is>
          <t xml:space="preserve">    measure: str</t>
        </is>
      </c>
    </row>
    <row r="683">
      <c r="A683" s="25" t="inlineStr">
        <is>
          <t xml:space="preserve">    id: str</t>
        </is>
      </c>
    </row>
    <row r="684">
      <c r="A684" s="25" t="inlineStr">
        <is>
          <t xml:space="preserve">    geo_segment: str</t>
        </is>
      </c>
    </row>
    <row r="685">
      <c r="A685" s="25" t="inlineStr">
        <is>
          <t xml:space="preserve">    source_class: str = "A"</t>
        </is>
      </c>
    </row>
    <row r="686">
      <c r="A686" s="25" t="inlineStr"/>
    </row>
    <row r="687">
      <c r="A687" s="25" t="inlineStr"/>
    </row>
    <row r="688">
      <c r="A688" s="25" t="inlineStr">
        <is>
          <t>def make_national_spec(measure: str) -&gt; UnitSpec:</t>
        </is>
      </c>
    </row>
    <row r="689">
      <c r="A689" s="25" t="inlineStr">
        <is>
          <t xml:space="preserve">    return UnitSpec("national", 0, "", measure, f"nat_{measure}", "national")</t>
        </is>
      </c>
    </row>
    <row r="690">
      <c r="A690" s="25" t="inlineStr"/>
    </row>
    <row r="691">
      <c r="A691" s="25" t="inlineStr"/>
    </row>
    <row r="692">
      <c r="A692" s="25" t="inlineStr">
        <is>
          <t>def make_state_spec(slot: int, fips2: str, measure: str) -&gt; UnitSpec:</t>
        </is>
      </c>
    </row>
    <row r="693">
      <c r="A693" s="25" t="inlineStr">
        <is>
          <t xml:space="preserve">    return UnitSpec("state", slot, fips2, measure,</t>
        </is>
      </c>
    </row>
    <row r="694">
      <c r="A694" s="25" t="inlineStr">
        <is>
          <t xml:space="preserve">                    f"st_{fips2}_{measure}", f"state:{fips2}")</t>
        </is>
      </c>
    </row>
    <row r="695">
      <c r="A695" s="25" t="inlineStr"/>
    </row>
    <row r="696">
      <c r="A696" s="25" t="inlineStr"/>
    </row>
    <row r="697">
      <c r="A697" s="25" t="inlineStr">
        <is>
          <t>def make_county_spec(fp: FootprintRow, measure: str) -&gt; UnitSpec:</t>
        </is>
      </c>
    </row>
    <row r="698">
      <c r="A698" s="25" t="inlineStr">
        <is>
          <t xml:space="preserve">    return UnitSpec("county", fp.slot, fp.fips, measure,</t>
        </is>
      </c>
    </row>
    <row r="699">
      <c r="A699" s="25" t="inlineStr">
        <is>
          <t xml:space="preserve">                    f"co_{fp.slot:02d}_{measure}", fp.entity_key)</t>
        </is>
      </c>
    </row>
    <row r="700">
      <c r="A700" s="25" t="inlineStr"/>
    </row>
    <row r="701">
      <c r="A701" s="25" t="inlineStr"/>
    </row>
    <row r="702">
      <c r="A702" s="25" t="inlineStr">
        <is>
          <t>def parse_wide_csv(text: str) -&gt; dict:</t>
        </is>
      </c>
    </row>
    <row r="703">
      <c r="A703" s="25" t="inlineStr">
        <is>
          <t xml:space="preserve">    """Parse one CFPB wide CSV (schema CONFIRMED from the inspected file +</t>
        </is>
      </c>
    </row>
    <row r="704">
      <c r="A704" s="25" t="inlineStr">
        <is>
          <t xml:space="preserve">    the CFPB's own generator source):</t>
        </is>
      </c>
    </row>
    <row r="705">
      <c r="A705" s="25" t="inlineStr"/>
    </row>
    <row r="706">
      <c r="A706" s="25" t="inlineStr">
        <is>
          <t xml:space="preserve">        RegionType,State,Name,FIPSCode,2008-01,...,2025-09</t>
        </is>
      </c>
    </row>
    <row r="707">
      <c r="A707" s="25" t="inlineStr">
        <is>
          <t xml:space="preserve">        National,,United States,-----,3.5,...</t>
        </is>
      </c>
    </row>
    <row r="708">
      <c r="A708" s="25" t="inlineStr">
        <is>
          <t xml:space="preserve">        County,AL,Baldwin County,'01003',2.8,...</t>
        </is>
      </c>
    </row>
    <row r="709">
      <c r="A709" s="25" t="inlineStr"/>
    </row>
    <row r="710">
      <c r="A710" s="25" t="inlineStr">
        <is>
          <t xml:space="preserve">    - month columns found by the ^\\d{4}-\\d{2}$ HEADER pattern, never by</t>
        </is>
      </c>
    </row>
    <row r="711">
      <c r="A711" s="25" t="inlineStr">
        <is>
          <t xml:space="preserve">      position (trap C5: new columns appear every release);</t>
        </is>
      </c>
    </row>
    <row r="712">
      <c r="A712" s="25" t="inlineStr">
        <is>
          <t xml:space="preserve">    - the literal single quotes around FIPS are STRIPPED, FIPS kept as TEXT</t>
        </is>
      </c>
    </row>
    <row r="713">
      <c r="A713" s="25" t="inlineStr">
        <is>
          <t xml:space="preserve">      (trap C1);</t>
        </is>
      </c>
    </row>
    <row r="714">
      <c r="A714" s="25" t="inlineStr">
        <is>
          <t xml:space="preserve">    - the National row (RegionType) is its own series, filtered out of the</t>
        </is>
      </c>
    </row>
    <row r="715">
      <c r="A715" s="25" t="inlineStr">
        <is>
          <t xml:space="preserve">      geo dict (trap C7); Metro/other region types are skipped;</t>
        </is>
      </c>
    </row>
    <row r="716">
      <c r="A716" s="25" t="inlineStr">
        <is>
          <t xml:space="preserve">    - values are percent floats; empty cells are None, never zero.</t>
        </is>
      </c>
    </row>
    <row r="717">
      <c r="A717" s="25" t="inlineStr">
        <is>
          <t xml:space="preserve">    Returns {"months": [asc], "national": {month: val} | None,</t>
        </is>
      </c>
    </row>
    <row r="718">
      <c r="A718" s="25" t="inlineStr">
        <is>
          <t xml:space="preserve">             "geos": {fips: {"name","state","values"}}}."""</t>
        </is>
      </c>
    </row>
    <row r="719">
      <c r="A719" s="25" t="inlineStr">
        <is>
          <t xml:space="preserve">    rdr = csv.reader(io.StringIO(text))</t>
        </is>
      </c>
    </row>
    <row r="720">
      <c r="A720" s="25" t="inlineStr">
        <is>
          <t xml:space="preserve">    try:</t>
        </is>
      </c>
    </row>
    <row r="721">
      <c r="A721" s="25" t="inlineStr">
        <is>
          <t xml:space="preserve">        header = next(rdr)</t>
        </is>
      </c>
    </row>
    <row r="722">
      <c r="A722" s="25" t="inlineStr">
        <is>
          <t xml:space="preserve">    except StopIteration:</t>
        </is>
      </c>
    </row>
    <row r="723">
      <c r="A723" s="25" t="inlineStr">
        <is>
          <t xml:space="preserve">        raise RuntimeError("CFPB CSV is empty (no header row).")</t>
        </is>
      </c>
    </row>
    <row r="724">
      <c r="A724" s="25" t="inlineStr">
        <is>
          <t xml:space="preserve">    header = [h.strip() for h in header]</t>
        </is>
      </c>
    </row>
    <row r="725">
      <c r="A725" s="25" t="inlineStr">
        <is>
          <t xml:space="preserve">    for req in ("RegionType", "State", "Name", "FIPSCode"):</t>
        </is>
      </c>
    </row>
    <row r="726">
      <c r="A726" s="25" t="inlineStr">
        <is>
          <t xml:space="preserve">        if req not in header:</t>
        </is>
      </c>
    </row>
    <row r="727">
      <c r="A727" s="25" t="inlineStr">
        <is>
          <t xml:space="preserve">            raise RuntimeError(</t>
        </is>
      </c>
    </row>
    <row r="728">
      <c r="A728" s="25" t="inlineStr">
        <is>
          <t xml:space="preserve">                f"CFPB CSV header is missing the '{req}' column -- schema "</t>
        </is>
      </c>
    </row>
    <row r="729">
      <c r="A729" s="25" t="inlineStr">
        <is>
          <t xml:space="preserve">                f"changed? Header starts: {header[:6]}")</t>
        </is>
      </c>
    </row>
    <row r="730">
      <c r="A730" s="25" t="inlineStr">
        <is>
          <t xml:space="preserve">    col = {name: header.index(name)</t>
        </is>
      </c>
    </row>
    <row r="731">
      <c r="A731" s="25" t="inlineStr">
        <is>
          <t xml:space="preserve">           for name in ("RegionType", "State", "Name", "FIPSCode")}</t>
        </is>
      </c>
    </row>
    <row r="732">
      <c r="A732" s="25" t="inlineStr">
        <is>
          <t xml:space="preserve">    month_cols = [(i, h) for i, h in enumerate(header) if MONTH_RE.match(h)]</t>
        </is>
      </c>
    </row>
    <row r="733">
      <c r="A733" s="25" t="inlineStr">
        <is>
          <t xml:space="preserve">    if not month_cols:</t>
        </is>
      </c>
    </row>
    <row r="734">
      <c r="A734" s="25" t="inlineStr">
        <is>
          <t xml:space="preserve">        raise RuntimeError("CFPB CSV header has no YYYY-MM month columns.")</t>
        </is>
      </c>
    </row>
    <row r="735">
      <c r="A735" s="25" t="inlineStr">
        <is>
          <t xml:space="preserve">    months = [h for _i, h in month_cols]</t>
        </is>
      </c>
    </row>
    <row r="736">
      <c r="A736" s="25" t="inlineStr">
        <is>
          <t xml:space="preserve">    out = {"months": months, "national": None, "geos": {}}</t>
        </is>
      </c>
    </row>
    <row r="737">
      <c r="A737" s="25" t="inlineStr"/>
    </row>
    <row r="738">
      <c r="A738" s="25" t="inlineStr">
        <is>
          <t xml:space="preserve">    def vals(row):</t>
        </is>
      </c>
    </row>
    <row r="739">
      <c r="A739" s="25" t="inlineStr">
        <is>
          <t xml:space="preserve">        d = {}</t>
        </is>
      </c>
    </row>
    <row r="740">
      <c r="A740" s="25" t="inlineStr">
        <is>
          <t xml:space="preserve">        for i, mon in month_cols:</t>
        </is>
      </c>
    </row>
    <row r="741">
      <c r="A741" s="25" t="inlineStr">
        <is>
          <t xml:space="preserve">            cell = row[i].strip() if i &lt; len(row) else ""</t>
        </is>
      </c>
    </row>
    <row r="742">
      <c r="A742" s="25" t="inlineStr">
        <is>
          <t xml:space="preserve">            d[mon] = float(cell) if cell != "" else None</t>
        </is>
      </c>
    </row>
    <row r="743">
      <c r="A743" s="25" t="inlineStr">
        <is>
          <t xml:space="preserve">        return d</t>
        </is>
      </c>
    </row>
    <row r="744">
      <c r="A744" s="25" t="inlineStr"/>
    </row>
    <row r="745">
      <c r="A745" s="25" t="inlineStr">
        <is>
          <t xml:space="preserve">    for row in rdr:</t>
        </is>
      </c>
    </row>
    <row r="746">
      <c r="A746" s="25" t="inlineStr">
        <is>
          <t xml:space="preserve">        if not row or all(not c.strip() for c in row):</t>
        </is>
      </c>
    </row>
    <row r="747">
      <c r="A747" s="25" t="inlineStr">
        <is>
          <t xml:space="preserve">            continue</t>
        </is>
      </c>
    </row>
    <row r="748">
      <c r="A748" s="25" t="inlineStr">
        <is>
          <t xml:space="preserve">        rtype = row[col["RegionType"]].strip()</t>
        </is>
      </c>
    </row>
    <row r="749">
      <c r="A749" s="25" t="inlineStr">
        <is>
          <t xml:space="preserve">        if rtype == "National":</t>
        </is>
      </c>
    </row>
    <row r="750">
      <c r="A750" s="25" t="inlineStr">
        <is>
          <t xml:space="preserve">            out["national"] = vals(row)          # FIPSCode is '-----'</t>
        </is>
      </c>
    </row>
    <row r="751">
      <c r="A751" s="25" t="inlineStr">
        <is>
          <t xml:space="preserve">            continue</t>
        </is>
      </c>
    </row>
    <row r="752">
      <c r="A752" s="25" t="inlineStr">
        <is>
          <t xml:space="preserve">        if rtype not in ("State", "County"):</t>
        </is>
      </c>
    </row>
    <row r="753">
      <c r="A753" s="25" t="inlineStr">
        <is>
          <t xml:space="preserve">            continue                             # Metro etc: no FIPS join</t>
        </is>
      </c>
    </row>
    <row r="754">
      <c r="A754" s="25" t="inlineStr">
        <is>
          <t xml:space="preserve">        fips = row[col["FIPSCode"]].strip().strip("'")   # trap C1</t>
        </is>
      </c>
    </row>
    <row r="755">
      <c r="A755" s="25" t="inlineStr">
        <is>
          <t xml:space="preserve">        if not fips:</t>
        </is>
      </c>
    </row>
    <row r="756">
      <c r="A756" s="25" t="inlineStr">
        <is>
          <t xml:space="preserve">            continue</t>
        </is>
      </c>
    </row>
    <row r="757">
      <c r="A757" s="25" t="inlineStr">
        <is>
          <t xml:space="preserve">        out["geos"][fips] = {</t>
        </is>
      </c>
    </row>
    <row r="758">
      <c r="A758" s="25" t="inlineStr">
        <is>
          <t xml:space="preserve">            "name": row[col["Name"]].strip(),</t>
        </is>
      </c>
    </row>
    <row r="759">
      <c r="A759" s="25" t="inlineStr">
        <is>
          <t xml:space="preserve">            "state": row[col["State"]].strip(),</t>
        </is>
      </c>
    </row>
    <row r="760">
      <c r="A760" s="25" t="inlineStr">
        <is>
          <t xml:space="preserve">            "values": vals(row),</t>
        </is>
      </c>
    </row>
    <row r="761">
      <c r="A761" s="25" t="inlineStr">
        <is>
          <t xml:space="preserve">        }</t>
        </is>
      </c>
    </row>
    <row r="762">
      <c r="A762" s="25" t="inlineStr">
        <is>
          <t xml:space="preserve">    return out</t>
        </is>
      </c>
    </row>
    <row r="763">
      <c r="A763" s="25" t="inlineStr"/>
    </row>
    <row r="764">
      <c r="A764" s="25" t="inlineStr"/>
    </row>
    <row r="765">
      <c r="A765" s="25" t="inlineStr">
        <is>
          <t>class Provider:</t>
        </is>
      </c>
    </row>
    <row r="766">
      <c r="A766" s="25" t="inlineStr">
        <is>
          <t xml:space="preserve">    """Adapter interface: prime(asof) once per run (the 4 CSV fetches), then</t>
        </is>
      </c>
    </row>
    <row r="767">
      <c r="A767" s="25" t="inlineStr">
        <is>
          <t xml:space="preserve">    fetch_series(spec, secret) -&gt; [NormalizedRow] slices per unit. A county</t>
        </is>
      </c>
    </row>
    <row r="768">
      <c r="A768" s="25" t="inlineStr">
        <is>
          <t xml:space="preserve">    ABSENT from the primed data returns [] -- the runner renders that as</t>
        </is>
      </c>
    </row>
    <row r="769">
      <c r="A769" s="25" t="inlineStr">
        <is>
          <t xml:space="preserve">    SUPPRESSED (trap C4), never zero."""</t>
        </is>
      </c>
    </row>
    <row r="770">
      <c r="A770" s="25" t="inlineStr"/>
    </row>
    <row r="771">
      <c r="A771" s="25" t="inlineStr">
        <is>
          <t xml:space="preserve">    source_class = "A"</t>
        </is>
      </c>
    </row>
    <row r="772">
      <c r="A772" s="25" t="inlineStr">
        <is>
          <t xml:space="preserve">    vintage: Optional[str] = None          # "thru-YYYY-MM"</t>
        </is>
      </c>
    </row>
    <row r="773">
      <c r="A773" s="25" t="inlineStr">
        <is>
          <t xml:space="preserve">    vintage_source: str = ""               # discovered | override | demo</t>
        </is>
      </c>
    </row>
    <row r="774">
      <c r="A774" s="25" t="inlineStr"/>
    </row>
    <row r="775">
      <c r="A775" s="25" t="inlineStr">
        <is>
          <t xml:space="preserve">    def prime(self, asof: date) -&gt; None:  # pragma: no cover</t>
        </is>
      </c>
    </row>
    <row r="776">
      <c r="A776" s="25" t="inlineStr">
        <is>
          <t xml:space="preserve">        raise NotImplementedError</t>
        </is>
      </c>
    </row>
    <row r="777">
      <c r="A777" s="25" t="inlineStr"/>
    </row>
    <row r="778">
      <c r="A778" s="25" t="inlineStr">
        <is>
          <t xml:space="preserve">    def fetch_series(self, spec: UnitSpec, secret=None) -&gt; List[NormalizedRow]:  # pragma: no cover</t>
        </is>
      </c>
    </row>
    <row r="779">
      <c r="A779" s="25" t="inlineStr">
        <is>
          <t xml:space="preserve">        raise NotImplementedError</t>
        </is>
      </c>
    </row>
    <row r="780">
      <c r="A780" s="25" t="inlineStr"/>
    </row>
    <row r="781">
      <c r="A781" s="25" t="inlineStr"/>
    </row>
    <row r="782">
      <c r="A782" s="25" t="inlineStr">
        <is>
          <t># Embedded mini-index for the OFFLINE --lookup path: the 12 seed counties</t>
        </is>
      </c>
    </row>
    <row r="783">
      <c r="A783" s="25" t="inlineStr">
        <is>
          <t># plus a dozen well-known large counties. Live mode greps the fetched county</t>
        </is>
      </c>
    </row>
    <row r="784">
      <c r="A784" s="25" t="inlineStr">
        <is>
          <t># CSV (~470 counties) instead.</t>
        </is>
      </c>
    </row>
    <row r="785">
      <c r="A785" s="25" t="inlineStr">
        <is>
          <t>MINI_INDEX = {</t>
        </is>
      </c>
    </row>
    <row r="786">
      <c r="A786" s="25" t="inlineStr">
        <is>
          <t xml:space="preserve">    "01003": ("Baldwin County", "AL"), "01073": ("Jefferson County", "AL"),</t>
        </is>
      </c>
    </row>
    <row r="787">
      <c r="A787" s="25" t="inlineStr">
        <is>
          <t xml:space="preserve">    "06037": ("Los Angeles County", "CA"), "17031": ("Cook County", "IL"),</t>
        </is>
      </c>
    </row>
    <row r="788">
      <c r="A788" s="25" t="inlineStr">
        <is>
          <t xml:space="preserve">    "48201": ("Harris County", "TX"), "04013": ("Maricopa County", "AZ"),</t>
        </is>
      </c>
    </row>
    <row r="789">
      <c r="A789" s="25" t="inlineStr">
        <is>
          <t xml:space="preserve">    "06073": ("San Diego County", "CA"), "12086": ("Miami-Dade County", "FL"),</t>
        </is>
      </c>
    </row>
    <row r="790">
      <c r="A790" s="25" t="inlineStr">
        <is>
          <t xml:space="preserve">    "36047": ("Kings County", "NY"), "39035": ("Cuyahoga County", "OH"),</t>
        </is>
      </c>
    </row>
    <row r="791">
      <c r="A791" s="25" t="inlineStr">
        <is>
          <t xml:space="preserve">    "42101": ("Philadelphia County", "PA"), "53033": ("King County", "WA"),</t>
        </is>
      </c>
    </row>
    <row r="792">
      <c r="A792" s="25" t="inlineStr">
        <is>
          <t xml:space="preserve">    "06059": ("Orange County", "CA"), "48113": ("Dallas County", "TX"),</t>
        </is>
      </c>
    </row>
    <row r="793">
      <c r="A793" s="25" t="inlineStr">
        <is>
          <t xml:space="preserve">    "32003": ("Clark County", "NV"), "26163": ("Wayne County", "MI"),</t>
        </is>
      </c>
    </row>
    <row r="794">
      <c r="A794" s="25" t="inlineStr">
        <is>
          <t xml:space="preserve">    "36061": ("New York County", "NY"), "13121": ("Fulton County", "GA"),</t>
        </is>
      </c>
    </row>
    <row r="795">
      <c r="A795" s="25" t="inlineStr">
        <is>
          <t xml:space="preserve">    "25025": ("Suffolk County", "MA"), "08031": ("Denver County", "CO"),</t>
        </is>
      </c>
    </row>
    <row r="796">
      <c r="A796" s="25" t="inlineStr">
        <is>
          <t xml:space="preserve">    "27053": ("Hennepin County", "MN"), "37119": ("Mecklenburg County", "NC"),</t>
        </is>
      </c>
    </row>
    <row r="797">
      <c r="A797" s="25" t="inlineStr">
        <is>
          <t xml:space="preserve">    "51059": ("Fairfax County", "VA"), "12011": ("Broward County", "FL"),</t>
        </is>
      </c>
    </row>
    <row r="798">
      <c r="A798" s="25" t="inlineStr">
        <is>
          <t>}</t>
        </is>
      </c>
    </row>
    <row r="799">
      <c r="A799" s="25" t="inlineStr"/>
    </row>
    <row r="800">
      <c r="A800" s="25" t="inlineStr"/>
    </row>
    <row r="801">
      <c r="A801" s="25" t="inlineStr">
        <is>
          <t>class CfpbDemoProvider(Provider):</t>
        </is>
      </c>
    </row>
    <row r="802">
      <c r="A802" s="25" t="inlineStr">
        <is>
          <t xml:space="preserve">    """Deterministic offline stand-in (BUILD SPEC 0.7). Values are a pure</t>
        </is>
      </c>
    </row>
    <row r="803">
      <c r="A803" s="25" t="inlineStr">
        <is>
          <t xml:space="preserve">    function of (geo key, measure, vintage): ~1-6 pct with drift so a few</t>
        </is>
      </c>
    </row>
    <row r="804">
      <c r="A804" s="25" t="inlineStr">
        <is>
          <t xml:space="preserve">    footprint counties trip WATCH/ALERT, and histories CHANGE between</t>
        </is>
      </c>
    </row>
    <row r="805">
      <c r="A805" s="25" t="inlineStr">
        <is>
          <t xml:space="preserve">    vintages (the full-history revision semantics, trap C3). One seeded</t>
        </is>
      </c>
    </row>
    <row r="806">
      <c r="A806" s="25" t="inlineStr">
        <is>
          <t xml:space="preserve">    footprint county -- slot 12, King County WA 53033 -- is deliberately</t>
        </is>
      </c>
    </row>
    <row r="807">
      <c r="A807" s="25" t="inlineStr">
        <is>
          <t xml:space="preserve">    ABSENT from the demo data so the SUPPRESSED path (trap C4) is always</t>
        </is>
      </c>
    </row>
    <row r="808">
      <c r="A808" s="25" t="inlineStr">
        <is>
          <t xml:space="preserve">    exercised. NO network, NO key."""</t>
        </is>
      </c>
    </row>
    <row r="809">
      <c r="A809" s="25" t="inlineStr"/>
    </row>
    <row r="810">
      <c r="A810" s="25" t="inlineStr">
        <is>
          <t xml:space="preserve">    source_class = "A"</t>
        </is>
      </c>
    </row>
    <row r="811">
      <c r="A811" s="25" t="inlineStr">
        <is>
          <t xml:space="preserve">    DEFAULT_LAG_MONTHS = 7             # fabricated vintage = asof - 7 months,</t>
        </is>
      </c>
    </row>
    <row r="812">
      <c r="A812" s="25" t="inlineStr">
        <is>
          <t xml:space="preserve">    #                                    mirroring the real ~6-7 month lag</t>
        </is>
      </c>
    </row>
    <row r="813">
      <c r="A813" s="25" t="inlineStr">
        <is>
          <t xml:space="preserve">    SUPPRESSED_FIPS = "53033"          # seed slot 12: King County WA</t>
        </is>
      </c>
    </row>
    <row r="814">
      <c r="A814" s="25" t="inlineStr"/>
    </row>
    <row r="815">
      <c r="A815" s="25" t="inlineStr">
        <is>
          <t xml:space="preserve">    # fixed stress tiers for seed counties (fiction assigned by hand, stated</t>
        </is>
      </c>
    </row>
    <row r="816">
      <c r="A816" s="25" t="inlineStr">
        <is>
          <t xml:space="preserve">    # in-sheet): d90 streak-3 + dev ALERTs, level per base below</t>
        </is>
      </c>
    </row>
    <row r="817">
      <c r="A817" s="25" t="inlineStr">
        <is>
          <t xml:space="preserve">    TIERS = {"12086": "alert", "48201": "alert",</t>
        </is>
      </c>
    </row>
    <row r="818">
      <c r="A818" s="25" t="inlineStr">
        <is>
          <t xml:space="preserve">             "04013": "watch", "39035": "watch"}</t>
        </is>
      </c>
    </row>
    <row r="819">
      <c r="A819" s="25" t="inlineStr"/>
    </row>
    <row r="820">
      <c r="A820" s="25" t="inlineStr">
        <is>
          <t xml:space="preserve">    def __init__(self, asof: Optional[date] = None,</t>
        </is>
      </c>
    </row>
    <row r="821">
      <c r="A821" s="25" t="inlineStr">
        <is>
          <t xml:space="preserve">                 raw_slots: int = RAW_SLOTS_DEFAULT,</t>
        </is>
      </c>
    </row>
    <row r="822">
      <c r="A822" s="25" t="inlineStr">
        <is>
          <t xml:space="preserve">                 vintage: Optional[str] = None):</t>
        </is>
      </c>
    </row>
    <row r="823">
      <c r="A823" s="25" t="inlineStr">
        <is>
          <t xml:space="preserve">        self.asof = asof or date(2026, 4, 30)</t>
        </is>
      </c>
    </row>
    <row r="824">
      <c r="A824" s="25" t="inlineStr">
        <is>
          <t xml:space="preserve">        self.raw_slots = int(raw_slots)</t>
        </is>
      </c>
    </row>
    <row r="825">
      <c r="A825" s="25" t="inlineStr">
        <is>
          <t xml:space="preserve">        v = (vintage or "").strip()</t>
        </is>
      </c>
    </row>
    <row r="826">
      <c r="A826" s="25" t="inlineStr">
        <is>
          <t xml:space="preserve">        if not v:</t>
        </is>
      </c>
    </row>
    <row r="827">
      <c r="A827" s="25" t="inlineStr">
        <is>
          <t xml:space="preserve">            k = (self.asof.year * 12 + self.asof.month - 1</t>
        </is>
      </c>
    </row>
    <row r="828">
      <c r="A828" s="25" t="inlineStr">
        <is>
          <t xml:space="preserve">                 - self.DEFAULT_LAG_MONTHS)</t>
        </is>
      </c>
    </row>
    <row r="829">
      <c r="A829" s="25" t="inlineStr">
        <is>
          <t xml:space="preserve">            v = f"thru-{k // 12:04d}-{k % 12 + 1:02d}"</t>
        </is>
      </c>
    </row>
    <row r="830">
      <c r="A830" s="25" t="inlineStr">
        <is>
          <t xml:space="preserve">        if not VINTAGE_RE.match(v):</t>
        </is>
      </c>
    </row>
    <row r="831">
      <c r="A831" s="25" t="inlineStr">
        <is>
          <t xml:space="preserve">            raise RuntimeError(f"demo vintage '{v}' is not thru-YYYY-MM")</t>
        </is>
      </c>
    </row>
    <row r="832">
      <c r="A832" s="25" t="inlineStr">
        <is>
          <t xml:space="preserve">        self.vintage = v if v.startswith("thru-") else "thru-" + v</t>
        </is>
      </c>
    </row>
    <row r="833">
      <c r="A833" s="25" t="inlineStr">
        <is>
          <t xml:space="preserve">        self.vintage_source = "demo"</t>
        </is>
      </c>
    </row>
    <row r="834">
      <c r="A834" s="25" t="inlineStr"/>
    </row>
    <row r="835">
      <c r="A835" s="25" t="inlineStr">
        <is>
          <t xml:space="preserve">    def prime(self, asof: date) -&gt; None:</t>
        </is>
      </c>
    </row>
    <row r="836">
      <c r="A836" s="25" t="inlineStr">
        <is>
          <t xml:space="preserve">        return None                     # nothing to fetch</t>
        </is>
      </c>
    </row>
    <row r="837">
      <c r="A837" s="25" t="inlineStr"/>
    </row>
    <row r="838">
      <c r="A838" s="25" t="inlineStr">
        <is>
          <t xml:space="preserve">    def _months(self) -&gt; List[str]:</t>
        </is>
      </c>
    </row>
    <row r="839">
      <c r="A839" s="25" t="inlineStr">
        <is>
          <t xml:space="preserve">        y, m = vintage_ym(self.vintage)</t>
        </is>
      </c>
    </row>
    <row r="840">
      <c r="A840" s="25" t="inlineStr">
        <is>
          <t xml:space="preserve">        end = y * 12 + (m - 1)</t>
        </is>
      </c>
    </row>
    <row r="841">
      <c r="A841" s="25" t="inlineStr">
        <is>
          <t xml:space="preserve">        idx = range(end - self.raw_slots + 1, end + 1)</t>
        </is>
      </c>
    </row>
    <row r="842">
      <c r="A842" s="25" t="inlineStr">
        <is>
          <t xml:space="preserve">        return [f"{k // 12:04d}-{k % 12 + 1:02d}" for k in idx]</t>
        </is>
      </c>
    </row>
    <row r="843">
      <c r="A843" s="25" t="inlineStr"/>
    </row>
    <row r="844">
      <c r="A844" s="25" t="inlineStr">
        <is>
          <t xml:space="preserve">    @staticmethod</t>
        </is>
      </c>
    </row>
    <row r="845">
      <c r="A845" s="25" t="inlineStr">
        <is>
          <t xml:space="preserve">    def _seed(key: str) -&gt; int:</t>
        </is>
      </c>
    </row>
    <row r="846">
      <c r="A846" s="25" t="inlineStr">
        <is>
          <t xml:space="preserve">        n = 0</t>
        </is>
      </c>
    </row>
    <row r="847">
      <c r="A847" s="25" t="inlineStr">
        <is>
          <t xml:space="preserve">        for i, c in enumerate(key):</t>
        </is>
      </c>
    </row>
    <row r="848">
      <c r="A848" s="25" t="inlineStr">
        <is>
          <t xml:space="preserve">            n = (n * 131 + (i + 1) * ord(c)) % (2 ** 32)</t>
        </is>
      </c>
    </row>
    <row r="849">
      <c r="A849" s="25" t="inlineStr">
        <is>
          <t xml:space="preserve">        return (n * 2654435761) % (2 ** 32)</t>
        </is>
      </c>
    </row>
    <row r="850">
      <c r="A850" s="25" t="inlineStr"/>
    </row>
    <row r="851">
      <c r="A851" s="25" t="inlineStr">
        <is>
          <t xml:space="preserve">    def _values(self, key: str, kind: str, measure: str) -&gt; List[Optional[float]]:</t>
        </is>
      </c>
    </row>
    <row r="852">
      <c r="A852" s="25" t="inlineStr">
        <is>
          <t xml:space="preserve">        """Oldest-first value list for one geo x measure. Bases sit in the</t>
        </is>
      </c>
    </row>
    <row r="853">
      <c r="A853" s="25" t="inlineStr">
        <is>
          <t xml:space="preserve">        realistic 1-6 pct (d3089) / 0.4-3 pct (d90) ranges; tiered counties</t>
        </is>
      </c>
    </row>
    <row r="854">
      <c r="A854" s="25" t="inlineStr">
        <is>
          <t xml:space="preserve">        get deterministic rising tails (no wobble in the tail) so their</t>
        </is>
      </c>
    </row>
    <row r="855">
      <c r="A855" s="25" t="inlineStr">
        <is>
          <t xml:space="preserve">        dev_12m / rise_streak3 statuses are exact."""</t>
        </is>
      </c>
    </row>
    <row r="856">
      <c r="A856" s="25" t="inlineStr">
        <is>
          <t xml:space="preserve">        s = self._seed(key + "|" + measure)</t>
        </is>
      </c>
    </row>
    <row r="857">
      <c r="A857" s="25" t="inlineStr">
        <is>
          <t xml:space="preserve">        rev = self._seed(self.vintage) % 9          # vintage revision shift</t>
        </is>
      </c>
    </row>
    <row r="858">
      <c r="A858" s="25" t="inlineStr">
        <is>
          <t xml:space="preserve">        shift = (rev - 4) * 0.02</t>
        </is>
      </c>
    </row>
    <row r="859">
      <c r="A859" s="25" t="inlineStr">
        <is>
          <t xml:space="preserve">        n = self.raw_slots</t>
        </is>
      </c>
    </row>
    <row r="860">
      <c r="A860" s="25" t="inlineStr">
        <is>
          <t xml:space="preserve">        tier = self.TIERS.get(key, "calm") if kind == "county" else "calm"</t>
        </is>
      </c>
    </row>
    <row r="861">
      <c r="A861" s="25" t="inlineStr">
        <is>
          <t xml:space="preserve">        if measure == "d3089":</t>
        </is>
      </c>
    </row>
    <row r="862">
      <c r="A862" s="25" t="inlineStr">
        <is>
          <t xml:space="preserve">            base = 1.6 + (s % 27) * 0.1             # 1.6 - 4.2</t>
        </is>
      </c>
    </row>
    <row r="863">
      <c r="A863" s="25" t="inlineStr">
        <is>
          <t xml:space="preserve">        else:</t>
        </is>
      </c>
    </row>
    <row r="864">
      <c r="A864" s="25" t="inlineStr">
        <is>
          <t xml:space="preserve">            base = 0.45 + (s % 24) * 0.05           # 0.45 - 1.60</t>
        </is>
      </c>
    </row>
    <row r="865">
      <c r="A865" s="25" t="inlineStr">
        <is>
          <t xml:space="preserve">            if tier == "alert":</t>
        </is>
      </c>
    </row>
    <row r="866">
      <c r="A866" s="25" t="inlineStr">
        <is>
          <t xml:space="preserve">                base = 2.6 if key == "12086" else 2.0</t>
        </is>
      </c>
    </row>
    <row r="867">
      <c r="A867" s="25" t="inlineStr">
        <is>
          <t xml:space="preserve">        if kind == "national":</t>
        </is>
      </c>
    </row>
    <row r="868">
      <c r="A868" s="25" t="inlineStr">
        <is>
          <t xml:space="preserve">            base = 2.8 if measure == "d3089" else 1.0</t>
        </is>
      </c>
    </row>
    <row r="869">
      <c r="A869" s="25" t="inlineStr">
        <is>
          <t xml:space="preserve">        vals: List[Optional[float]] = []</t>
        </is>
      </c>
    </row>
    <row r="870">
      <c r="A870" s="25" t="inlineStr">
        <is>
          <t xml:space="preserve">        for i in range(n):</t>
        </is>
      </c>
    </row>
    <row r="871">
      <c r="A871" s="25" t="inlineStr">
        <is>
          <t xml:space="preserve">            wob = 0.12 * math.sin((i + s % 11) / 2.6)</t>
        </is>
      </c>
    </row>
    <row r="872">
      <c r="A872" s="25" t="inlineStr">
        <is>
          <t xml:space="preserve">            trend = ((s % 5) - 2) * 0.002 * i</t>
        </is>
      </c>
    </row>
    <row r="873">
      <c r="A873" s="25" t="inlineStr">
        <is>
          <t xml:space="preserve">            v = base + shift + trend + wob</t>
        </is>
      </c>
    </row>
    <row r="874">
      <c r="A874" s="25" t="inlineStr">
        <is>
          <t xml:space="preserve">            if tier == "calm" and kind == "county" and i &gt;= n - 5:</t>
        </is>
      </c>
    </row>
    <row r="875">
      <c r="A875" s="25" t="inlineStr">
        <is>
          <t xml:space="preserve">                # calm counties: an alternating tail dominates the slow sine</t>
        </is>
      </c>
    </row>
    <row r="876">
      <c r="A876" s="25" t="inlineStr">
        <is>
          <t xml:space="preserve">                # so a chance 3-month rise never fabricates a streak ALERT</t>
        </is>
      </c>
    </row>
    <row r="877">
      <c r="A877" s="25" t="inlineStr">
        <is>
          <t xml:space="preserve">                # (the flagged demo counties are the hand-tiered ones only)</t>
        </is>
      </c>
    </row>
    <row r="878">
      <c r="A878" s="25" t="inlineStr">
        <is>
          <t xml:space="preserve">                v += 0.05 * (1 if i % 2 else -1)</t>
        </is>
      </c>
    </row>
    <row r="879">
      <c r="A879" s="25" t="inlineStr">
        <is>
          <t xml:space="preserve">            if tier != "calm" and i &gt;= n - 14:</t>
        </is>
      </c>
    </row>
    <row r="880">
      <c r="A880" s="25" t="inlineStr">
        <is>
          <t xml:space="preserve">                # deterministic tail: freeze the wobble/trend at the window</t>
        </is>
      </c>
    </row>
    <row r="881">
      <c r="A881" s="25" t="inlineStr">
        <is>
          <t xml:space="preserve">                # edge so the transform arithmetic is exact</t>
        </is>
      </c>
    </row>
    <row r="882">
      <c r="A882" s="25" t="inlineStr">
        <is>
          <t xml:space="preserve">                v = base + shift + ((s % 5) - 2) * 0.002 * (n - 14) \</t>
        </is>
      </c>
    </row>
    <row r="883">
      <c r="A883" s="25" t="inlineStr">
        <is>
          <t xml:space="preserve">                    + 0.12 * math.sin((n - 14 + s % 11) / 2.6)</t>
        </is>
      </c>
    </row>
    <row r="884">
      <c r="A884" s="25" t="inlineStr">
        <is>
          <t xml:space="preserve">                k = i - (n - 14)                     # 0..13, 13 = newest</t>
        </is>
      </c>
    </row>
    <row r="885">
      <c r="A885" s="25" t="inlineStr">
        <is>
          <t xml:space="preserve">                if tier == "alert":</t>
        </is>
      </c>
    </row>
    <row r="886">
      <c r="A886" s="25" t="inlineStr">
        <is>
          <t xml:space="preserve">                    ramp3089 = [0, 0, 0, 0, 0, 0, 0, 0,</t>
        </is>
      </c>
    </row>
    <row r="887">
      <c r="A887" s="25" t="inlineStr">
        <is>
          <t xml:space="preserve">                                0.15, 0.32, 0.5, 0.7, 0.9, 1.1]</t>
        </is>
      </c>
    </row>
    <row r="888">
      <c r="A888" s="25" t="inlineStr">
        <is>
          <t xml:space="preserve">                    ramp90 = [0, 0, 0, 0, 0, 0,</t>
        </is>
      </c>
    </row>
    <row r="889">
      <c r="A889" s="25" t="inlineStr">
        <is>
          <t xml:space="preserve">                              0, 0, 0.05, 0.12, 0.22, 0.34, 0.45, 0.55]</t>
        </is>
      </c>
    </row>
    <row r="890">
      <c r="A890" s="25" t="inlineStr">
        <is>
          <t xml:space="preserve">                else:                                # watch tier</t>
        </is>
      </c>
    </row>
    <row r="891">
      <c r="A891" s="25" t="inlineStr">
        <is>
          <t xml:space="preserve">                    ramp3089 = [0, 0, 0, 0, 0, 0, 0, 0,</t>
        </is>
      </c>
    </row>
    <row r="892">
      <c r="A892" s="25" t="inlineStr">
        <is>
          <t xml:space="preserve">                                0.06, 0.13, 0.22, 0.33, 0.45, 0.45]</t>
        </is>
      </c>
    </row>
    <row r="893">
      <c r="A893" s="25" t="inlineStr">
        <is>
          <t xml:space="preserve">                    ramp90 = [0, 0, 0, 0, 0, 0,</t>
        </is>
      </c>
    </row>
    <row r="894">
      <c r="A894" s="25" t="inlineStr">
        <is>
          <t xml:space="preserve">                              0, 0, 0, 0, 0, 0, 0.10, 0.18]</t>
        </is>
      </c>
    </row>
    <row r="895">
      <c r="A895" s="25" t="inlineStr">
        <is>
          <t xml:space="preserve">                v += (ramp3089 if measure == "d3089" else ramp90)[k]</t>
        </is>
      </c>
    </row>
    <row r="896">
      <c r="A896" s="25" t="inlineStr">
        <is>
          <t xml:space="preserve">            vals.append(round(max(v, 0.05), 3))</t>
        </is>
      </c>
    </row>
    <row r="897">
      <c r="A897" s="25" t="inlineStr">
        <is>
          <t xml:space="preserve">        # one interior None per series (missing-month tolerance), well below</t>
        </is>
      </c>
    </row>
    <row r="898">
      <c r="A898" s="25" t="inlineStr">
        <is>
          <t xml:space="preserve">        # the 13-month transform window so headline statuses never see it</t>
        </is>
      </c>
    </row>
    <row r="899">
      <c r="A899" s="25" t="inlineStr">
        <is>
          <t xml:space="preserve">        if n &gt;= 40:</t>
        </is>
      </c>
    </row>
    <row r="900">
      <c r="A900" s="25" t="inlineStr">
        <is>
          <t xml:space="preserve">            depth = 20 + (s % min(30, n - 21))       # 20..49 from newest</t>
        </is>
      </c>
    </row>
    <row r="901">
      <c r="A901" s="25" t="inlineStr">
        <is>
          <t xml:space="preserve">            vals[n - 1 - depth] = None</t>
        </is>
      </c>
    </row>
    <row r="902">
      <c r="A902" s="25" t="inlineStr">
        <is>
          <t xml:space="preserve">        return vals</t>
        </is>
      </c>
    </row>
    <row r="903">
      <c r="A903" s="25" t="inlineStr"/>
    </row>
    <row r="904">
      <c r="A904" s="25" t="inlineStr">
        <is>
          <t xml:space="preserve">    def fetch_series(self, spec: UnitSpec, secret=None) -&gt; List[NormalizedRow]:</t>
        </is>
      </c>
    </row>
    <row r="905">
      <c r="A905" s="25" t="inlineStr">
        <is>
          <t xml:space="preserve">        if spec.kind == "county" and spec.fips == self.SUPPRESSED_FIPS:</t>
        </is>
      </c>
    </row>
    <row r="906">
      <c r="A906" s="25" t="inlineStr">
        <is>
          <t xml:space="preserve">            return []                    # ABSENT = suppressed (trap C4)</t>
        </is>
      </c>
    </row>
    <row r="907">
      <c r="A907" s="25" t="inlineStr">
        <is>
          <t xml:space="preserve">        key = ("nat" if spec.kind == "national"</t>
        </is>
      </c>
    </row>
    <row r="908">
      <c r="A908" s="25" t="inlineStr">
        <is>
          <t xml:space="preserve">               else ("st" + spec.fips if spec.kind == "state" else spec.fips))</t>
        </is>
      </c>
    </row>
    <row r="909">
      <c r="A909" s="25" t="inlineStr">
        <is>
          <t xml:space="preserve">        months = self._months()</t>
        </is>
      </c>
    </row>
    <row r="910">
      <c r="A910" s="25" t="inlineStr">
        <is>
          <t xml:space="preserve">        vals = self._values(key, spec.kind, spec.measure)</t>
        </is>
      </c>
    </row>
    <row r="911">
      <c r="A911" s="25" t="inlineStr">
        <is>
          <t xml:space="preserve">        return [NormalizedRow(id=spec.id, period=mon, value=val,</t>
        </is>
      </c>
    </row>
    <row r="912">
      <c r="A912" s="25" t="inlineStr">
        <is>
          <t xml:space="preserve">                              geo_segment=spec.geo_segment,</t>
        </is>
      </c>
    </row>
    <row r="913">
      <c r="A913" s="25" t="inlineStr">
        <is>
          <t xml:space="preserve">                              source_class=self.source_class)</t>
        </is>
      </c>
    </row>
    <row r="914">
      <c r="A914" s="25" t="inlineStr">
        <is>
          <t xml:space="preserve">                for mon, val in zip(months, vals)]</t>
        </is>
      </c>
    </row>
    <row r="915">
      <c r="A915" s="25" t="inlineStr"/>
    </row>
    <row r="916">
      <c r="A916" s="25" t="inlineStr"/>
    </row>
    <row r="917">
      <c r="A917" s="25" t="inlineStr">
        <is>
          <t>class CfpbProvider(Provider):</t>
        </is>
      </c>
    </row>
    <row r="918">
      <c r="A918" s="25" t="inlineStr">
        <is>
          <t xml:space="preserve">    """Live Class A provider: plain urllib against consumerfinance.gov</t>
        </is>
      </c>
    </row>
    <row r="919">
      <c r="A919" s="25" t="inlineStr">
        <is>
          <t xml:space="preserve">    (KEYLESS, public domain). TWO-STAGE (BUILD SPEC sec 1):</t>
        </is>
      </c>
    </row>
    <row r="920">
      <c r="A920" s="25" t="inlineStr"/>
    </row>
    <row r="921">
      <c r="A921" s="25" t="inlineStr">
        <is>
          <t xml:space="preserve">      1. GET the download page and regex the CURRENT dated filenames</t>
        </is>
      </c>
    </row>
    <row r="922">
      <c r="A922" s="25" t="inlineStr">
        <is>
          <t xml:space="preserve">         (trap C2). If the page scrape fails or the `vintage` setting is</t>
        </is>
      </c>
    </row>
    <row r="923">
      <c r="A923" s="25" t="inlineStr">
        <is>
          <t xml:space="preserve">         set (e.g. 'thru-2025-09'), construct the URLs directly.</t>
        </is>
      </c>
    </row>
    <row r="924">
      <c r="A924" s="25" t="inlineStr">
        <is>
          <t xml:space="preserve">      2. GET the 4 CSVs (State + County x both measures; the Metro file is</t>
        </is>
      </c>
    </row>
    <row r="925">
      <c r="A925" s="25" t="inlineStr">
        <is>
          <t xml:space="preserve">         SKIPPED -- mixed non-FIPS keys).</t>
        </is>
      </c>
    </row>
    <row r="926">
      <c r="A926" s="25" t="inlineStr"/>
    </row>
    <row r="927">
      <c r="A927" s="25" t="inlineStr">
        <is>
          <t xml:space="preserve">    Throttle 0.6s between requests, retry/backoff on 429/5xx, per-URL</t>
        </is>
      </c>
    </row>
    <row r="928">
      <c r="A928" s="25" t="inlineStr">
        <is>
          <t xml:space="preserve">    cache. The whole refresh is 5 small HTTP GETs."""</t>
        </is>
      </c>
    </row>
    <row r="929">
      <c r="A929" s="25" t="inlineStr"/>
    </row>
    <row r="930">
      <c r="A930" s="25" t="inlineStr">
        <is>
          <t xml:space="preserve">    source_class = "A"</t>
        </is>
      </c>
    </row>
    <row r="931">
      <c r="A931" s="25" t="inlineStr"/>
    </row>
    <row r="932">
      <c r="A932" s="25" t="inlineStr">
        <is>
          <t xml:space="preserve">    def __init__(self, min_interval: float = 0.6, max_retries: int = 4,</t>
        </is>
      </c>
    </row>
    <row r="933">
      <c r="A933" s="25" t="inlineStr">
        <is>
          <t xml:space="preserve">                 raw_slots: int = RAW_SLOTS_DEFAULT,</t>
        </is>
      </c>
    </row>
    <row r="934">
      <c r="A934" s="25" t="inlineStr">
        <is>
          <t xml:space="preserve">                 vintage_override: str = ""):</t>
        </is>
      </c>
    </row>
    <row r="935">
      <c r="A935" s="25" t="inlineStr">
        <is>
          <t xml:space="preserve">        self._min_interval = float(min_interval)</t>
        </is>
      </c>
    </row>
    <row r="936">
      <c r="A936" s="25" t="inlineStr">
        <is>
          <t xml:space="preserve">        self._max_retries = int(max_retries)</t>
        </is>
      </c>
    </row>
    <row r="937">
      <c r="A937" s="25" t="inlineStr">
        <is>
          <t xml:space="preserve">        self._raw_slots = int(raw_slots)</t>
        </is>
      </c>
    </row>
    <row r="938">
      <c r="A938" s="25" t="inlineStr">
        <is>
          <t xml:space="preserve">        self._override = str(vintage_override or "").strip()</t>
        </is>
      </c>
    </row>
    <row r="939">
      <c r="A939" s="25" t="inlineStr">
        <is>
          <t xml:space="preserve">        self._last = 0.0</t>
        </is>
      </c>
    </row>
    <row r="940">
      <c r="A940" s="25" t="inlineStr">
        <is>
          <t xml:space="preserve">        self._cache: Dict[str, bytes] = {}</t>
        </is>
      </c>
    </row>
    <row r="941">
      <c r="A941" s="25" t="inlineStr">
        <is>
          <t xml:space="preserve">        self._data: Optional[Dict[str, Dict[str, dict]]] = None</t>
        </is>
      </c>
    </row>
    <row r="942">
      <c r="A942" s="25" t="inlineStr"/>
    </row>
    <row r="943">
      <c r="A943" s="25" t="inlineStr">
        <is>
          <t xml:space="preserve">    def _throttle(self):</t>
        </is>
      </c>
    </row>
    <row r="944">
      <c r="A944" s="25" t="inlineStr">
        <is>
          <t xml:space="preserve">        gap = time.time() - self._last</t>
        </is>
      </c>
    </row>
    <row r="945">
      <c r="A945" s="25" t="inlineStr">
        <is>
          <t xml:space="preserve">        if gap &lt; self._min_interval:</t>
        </is>
      </c>
    </row>
    <row r="946">
      <c r="A946" s="25" t="inlineStr">
        <is>
          <t xml:space="preserve">            time.sleep(self._min_interval - gap)</t>
        </is>
      </c>
    </row>
    <row r="947">
      <c r="A947" s="25" t="inlineStr">
        <is>
          <t xml:space="preserve">        self._last = time.time()</t>
        </is>
      </c>
    </row>
    <row r="948">
      <c r="A948" s="25" t="inlineStr"/>
    </row>
    <row r="949">
      <c r="A949" s="25" t="inlineStr">
        <is>
          <t xml:space="preserve">    def _http_get(self, url: str) -&gt; bytes:</t>
        </is>
      </c>
    </row>
    <row r="950">
      <c r="A950" s="25" t="inlineStr">
        <is>
          <t xml:space="preserve">        """The one real network call -- isolated so tests can stub it."""</t>
        </is>
      </c>
    </row>
    <row r="951">
      <c r="A951" s="25" t="inlineStr">
        <is>
          <t xml:space="preserve">        import urllib.request</t>
        </is>
      </c>
    </row>
    <row r="952">
      <c r="A952" s="25" t="inlineStr">
        <is>
          <t xml:space="preserve">        req = urllib.request.Request(url, headers={</t>
        </is>
      </c>
    </row>
    <row r="953">
      <c r="A953" s="25" t="inlineStr">
        <is>
          <t xml:space="preserve">            "User-Agent": "cfpb-mortgage-monitor/1.0 (plain urllib)"})</t>
        </is>
      </c>
    </row>
    <row r="954">
      <c r="A954" s="25" t="inlineStr">
        <is>
          <t xml:space="preserve">        with urllib.request.urlopen(req, timeout=120) as resp:</t>
        </is>
      </c>
    </row>
    <row r="955">
      <c r="A955" s="25" t="inlineStr">
        <is>
          <t xml:space="preserve">            return resp.read()</t>
        </is>
      </c>
    </row>
    <row r="956">
      <c r="A956" s="25" t="inlineStr"/>
    </row>
    <row r="957">
      <c r="A957" s="25" t="inlineStr">
        <is>
          <t xml:space="preserve">    def _download(self, url: str, label: str) -&gt; bytes:</t>
        </is>
      </c>
    </row>
    <row r="958">
      <c r="A958" s="25" t="inlineStr">
        <is>
          <t xml:space="preserve">        """Cache + throttle + backoff. 429/5xx retry with backoff; other</t>
        </is>
      </c>
    </row>
    <row r="959">
      <c r="A959" s="25" t="inlineStr">
        <is>
          <t xml:space="preserve">        HTTP codes fail fast (a 404 usually means the vintage moved -- the</t>
        </is>
      </c>
    </row>
    <row r="960">
      <c r="A960" s="25" t="inlineStr">
        <is>
          <t xml:space="preserve">        next discovery pass fixes it)."""</t>
        </is>
      </c>
    </row>
    <row r="961">
      <c r="A961" s="25" t="inlineStr">
        <is>
          <t xml:space="preserve">        if url in self._cache:                       # repeat fetch == cache hit</t>
        </is>
      </c>
    </row>
    <row r="962">
      <c r="A962" s="25" t="inlineStr">
        <is>
          <t xml:space="preserve">            return self._cache[url]</t>
        </is>
      </c>
    </row>
    <row r="963">
      <c r="A963" s="25" t="inlineStr">
        <is>
          <t xml:space="preserve">        import urllib.error</t>
        </is>
      </c>
    </row>
    <row r="964">
      <c r="A964" s="25" t="inlineStr">
        <is>
          <t xml:space="preserve">        for attempt in range(self._max_retries + 1):</t>
        </is>
      </c>
    </row>
    <row r="965">
      <c r="A965" s="25" t="inlineStr">
        <is>
          <t xml:space="preserve">            self._throttle()</t>
        </is>
      </c>
    </row>
    <row r="966">
      <c r="A966" s="25" t="inlineStr">
        <is>
          <t xml:space="preserve">            try:</t>
        </is>
      </c>
    </row>
    <row r="967">
      <c r="A967" s="25" t="inlineStr">
        <is>
          <t xml:space="preserve">                data = self._http_get(url)</t>
        </is>
      </c>
    </row>
    <row r="968">
      <c r="A968" s="25" t="inlineStr">
        <is>
          <t xml:space="preserve">                self._cache[url] = data</t>
        </is>
      </c>
    </row>
    <row r="969">
      <c r="A969" s="25" t="inlineStr">
        <is>
          <t xml:space="preserve">                return data</t>
        </is>
      </c>
    </row>
    <row r="970">
      <c r="A970" s="25" t="inlineStr">
        <is>
          <t xml:space="preserve">            except urllib.error.HTTPError as exc:</t>
        </is>
      </c>
    </row>
    <row r="971">
      <c r="A971" s="25" t="inlineStr">
        <is>
          <t xml:space="preserve">                if exc.code == 429 or exc.code &gt;= 500:</t>
        </is>
      </c>
    </row>
    <row r="972">
      <c r="A972" s="25" t="inlineStr">
        <is>
          <t xml:space="preserve">                    if attempt &lt; self._max_retries:</t>
        </is>
      </c>
    </row>
    <row r="973">
      <c r="A973" s="25" t="inlineStr">
        <is>
          <t xml:space="preserve">                        time.sleep(2.0 * (attempt + 1))</t>
        </is>
      </c>
    </row>
    <row r="974">
      <c r="A974" s="25" t="inlineStr">
        <is>
          <t xml:space="preserve">                        continue</t>
        </is>
      </c>
    </row>
    <row r="975">
      <c r="A975" s="25" t="inlineStr">
        <is>
          <t xml:space="preserve">                raise RuntimeError(f"CFPB fetch failed for {label}: "</t>
        </is>
      </c>
    </row>
    <row r="976">
      <c r="A976" s="25" t="inlineStr">
        <is>
          <t xml:space="preserve">                                   f"HTTP {exc.code}")</t>
        </is>
      </c>
    </row>
    <row r="977">
      <c r="A977" s="25" t="inlineStr">
        <is>
          <t xml:space="preserve">            except Exception as exc:</t>
        </is>
      </c>
    </row>
    <row r="978">
      <c r="A978" s="25" t="inlineStr">
        <is>
          <t xml:space="preserve">                if attempt &lt; self._max_retries:</t>
        </is>
      </c>
    </row>
    <row r="979">
      <c r="A979" s="25" t="inlineStr">
        <is>
          <t xml:space="preserve">                    time.sleep(2.0 * (attempt + 1))</t>
        </is>
      </c>
    </row>
    <row r="980">
      <c r="A980" s="25" t="inlineStr">
        <is>
          <t xml:space="preserve">                    continue</t>
        </is>
      </c>
    </row>
    <row r="981">
      <c r="A981" s="25" t="inlineStr">
        <is>
          <t xml:space="preserve">                raise RuntimeError(f"CFPB fetch failed for {label}: "</t>
        </is>
      </c>
    </row>
    <row r="982">
      <c r="A982" s="25" t="inlineStr">
        <is>
          <t xml:space="preserve">                                   f"{type(exc).__name__}")</t>
        </is>
      </c>
    </row>
    <row r="983">
      <c r="A983" s="25" t="inlineStr"/>
    </row>
    <row r="984">
      <c r="A984" s="25" t="inlineStr">
        <is>
          <t xml:space="preserve">    def discover(self) -&gt; str:</t>
        </is>
      </c>
    </row>
    <row r="985">
      <c r="A985" s="25" t="inlineStr">
        <is>
          <t xml:space="preserve">        """Stage 1: the current vintage 'YYYY-MM'. Honors the `vintage`</t>
        </is>
      </c>
    </row>
    <row r="986">
      <c r="A986" s="25" t="inlineStr">
        <is>
          <t xml:space="preserve">        settings override (skip the scrape entirely); otherwise scrapes the</t>
        </is>
      </c>
    </row>
    <row r="987">
      <c r="A987" s="25" t="inlineStr">
        <is>
          <t xml:space="preserve">        download page for the dated filenames and takes the newest."""</t>
        </is>
      </c>
    </row>
    <row r="988">
      <c r="A988" s="25" t="inlineStr">
        <is>
          <t xml:space="preserve">        if self._override:</t>
        </is>
      </c>
    </row>
    <row r="989">
      <c r="A989" s="25" t="inlineStr">
        <is>
          <t xml:space="preserve">            ym = vintage_ym(self._override)</t>
        </is>
      </c>
    </row>
    <row r="990">
      <c r="A990" s="25" t="inlineStr">
        <is>
          <t xml:space="preserve">            if ym is None:</t>
        </is>
      </c>
    </row>
    <row r="991">
      <c r="A991" s="25" t="inlineStr">
        <is>
          <t xml:space="preserve">                raise RuntimeError(</t>
        </is>
      </c>
    </row>
    <row r="992">
      <c r="A992" s="25" t="inlineStr">
        <is>
          <t xml:space="preserve">                    f"_config vintage override '{self._override}' is not "</t>
        </is>
      </c>
    </row>
    <row r="993">
      <c r="A993" s="25" t="inlineStr">
        <is>
          <t xml:space="preserve">                    "thru-YYYY-MM (e.g. thru-2025-09).")</t>
        </is>
      </c>
    </row>
    <row r="994">
      <c r="A994" s="25" t="inlineStr">
        <is>
          <t xml:space="preserve">            self.vintage_source = "override"</t>
        </is>
      </c>
    </row>
    <row r="995">
      <c r="A995" s="25" t="inlineStr">
        <is>
          <t xml:space="preserve">            return f"{ym[0]:04d}-{ym[1]:02d}"</t>
        </is>
      </c>
    </row>
    <row r="996">
      <c r="A996" s="25" t="inlineStr">
        <is>
          <t xml:space="preserve">        html = self._download(DOWNLOAD_PAGE, "download page").decode(</t>
        </is>
      </c>
    </row>
    <row r="997">
      <c r="A997" s="25" t="inlineStr">
        <is>
          <t xml:space="preserve">            "utf-8", "replace")</t>
        </is>
      </c>
    </row>
    <row r="998">
      <c r="A998" s="25" t="inlineStr">
        <is>
          <t xml:space="preserve">        found = FILENAME_RE.findall(html)</t>
        </is>
      </c>
    </row>
    <row r="999">
      <c r="A999" s="25" t="inlineStr">
        <is>
          <t xml:space="preserve">        if not found:</t>
        </is>
      </c>
    </row>
    <row r="1000">
      <c r="A1000" s="25" t="inlineStr">
        <is>
          <t xml:space="preserve">            raise RuntimeError(</t>
        </is>
      </c>
    </row>
    <row r="1001">
      <c r="A1001" s="25" t="inlineStr">
        <is>
          <t xml:space="preserve">                "Could not discover any dated CFPB filenames on the download "</t>
        </is>
      </c>
    </row>
    <row r="1002">
      <c r="A1002" s="25" t="inlineStr">
        <is>
          <t xml:space="preserve">                "page (page layout changed, or blocked). Set the `vintage` "</t>
        </is>
      </c>
    </row>
    <row r="1003">
      <c r="A1003" s="25" t="inlineStr">
        <is>
          <t xml:space="preserve">                "key in _config [SETTINGS] (e.g. thru-2025-09) to construct "</t>
        </is>
      </c>
    </row>
    <row r="1004">
      <c r="A1004" s="25" t="inlineStr">
        <is>
          <t xml:space="preserve">                "the URLs directly.")</t>
        </is>
      </c>
    </row>
    <row r="1005">
      <c r="A1005" s="25" t="inlineStr">
        <is>
          <t xml:space="preserve">        self.vintage_source = "discovered"</t>
        </is>
      </c>
    </row>
    <row r="1006">
      <c r="A1006" s="25" t="inlineStr">
        <is>
          <t xml:space="preserve">        return max(ym for _geo, _meas, ym in found)</t>
        </is>
      </c>
    </row>
    <row r="1007">
      <c r="A1007" s="25" t="inlineStr"/>
    </row>
    <row r="1008">
      <c r="A1008" s="25" t="inlineStr">
        <is>
          <t xml:space="preserve">    def prime(self, asof: date) -&gt; None:</t>
        </is>
      </c>
    </row>
    <row r="1009">
      <c r="A1009" s="25" t="inlineStr">
        <is>
          <t xml:space="preserve">        """Stage 2: fetch + parse the 4 CSVs for the discovered vintage."""</t>
        </is>
      </c>
    </row>
    <row r="1010">
      <c r="A1010" s="25" t="inlineStr">
        <is>
          <t xml:space="preserve">        ym = self.discover()</t>
        </is>
      </c>
    </row>
    <row r="1011">
      <c r="A1011" s="25" t="inlineStr">
        <is>
          <t xml:space="preserve">        self.vintage = "thru-" + ym</t>
        </is>
      </c>
    </row>
    <row r="1012">
      <c r="A1012" s="25" t="inlineStr">
        <is>
          <t xml:space="preserve">        self._data = {"State": {}, "County": {}}</t>
        </is>
      </c>
    </row>
    <row r="1013">
      <c r="A1013" s="25" t="inlineStr">
        <is>
          <t xml:space="preserve">        for geo in ("State", "County"):</t>
        </is>
      </c>
    </row>
    <row r="1014">
      <c r="A1014" s="25" t="inlineStr">
        <is>
          <t xml:space="preserve">            for m in MEASURES:</t>
        </is>
      </c>
    </row>
    <row r="1015">
      <c r="A1015" s="25" t="inlineStr">
        <is>
          <t xml:space="preserve">                fname = (f"{geo}MortgagesPercent-{MEASURE_FILE[m]}DaysLate-"</t>
        </is>
      </c>
    </row>
    <row r="1016">
      <c r="A1016" s="25" t="inlineStr">
        <is>
          <t xml:space="preserve">                         f"thru-{ym}.csv")</t>
        </is>
      </c>
    </row>
    <row r="1017">
      <c r="A1017" s="25" t="inlineStr">
        <is>
          <t xml:space="preserve">                raw = self._download(FILES_BASE + fname, fname)</t>
        </is>
      </c>
    </row>
    <row r="1018">
      <c r="A1018" s="25" t="inlineStr">
        <is>
          <t xml:space="preserve">                self._data[geo][m] = parse_wide_csv(</t>
        </is>
      </c>
    </row>
    <row r="1019">
      <c r="A1019" s="25" t="inlineStr">
        <is>
          <t xml:space="preserve">                    raw.decode("utf-8-sig", "replace"))</t>
        </is>
      </c>
    </row>
    <row r="1020">
      <c r="A1020" s="25" t="inlineStr"/>
    </row>
    <row r="1021">
      <c r="A1021" s="25" t="inlineStr">
        <is>
          <t xml:space="preserve">    def fetch_series(self, spec: UnitSpec, secret=None) -&gt; List[NormalizedRow]:</t>
        </is>
      </c>
    </row>
    <row r="1022">
      <c r="A1022" s="25" t="inlineStr">
        <is>
          <t xml:space="preserve">        if self._data is None:</t>
        </is>
      </c>
    </row>
    <row r="1023">
      <c r="A1023" s="25" t="inlineStr">
        <is>
          <t xml:space="preserve">            raise RuntimeError("CfpbProvider.fetch_series before prime(): "</t>
        </is>
      </c>
    </row>
    <row r="1024">
      <c r="A1024" s="25" t="inlineStr">
        <is>
          <t xml:space="preserve">                               "the 4-CSV fetch must run once per refresh.")</t>
        </is>
      </c>
    </row>
    <row r="1025">
      <c r="A1025" s="25" t="inlineStr">
        <is>
          <t xml:space="preserve">        geo_file = "County" if spec.kind == "county" else "State"</t>
        </is>
      </c>
    </row>
    <row r="1026">
      <c r="A1026" s="25" t="inlineStr">
        <is>
          <t xml:space="preserve">        if spec.kind == "national":</t>
        </is>
      </c>
    </row>
    <row r="1027">
      <c r="A1027" s="25" t="inlineStr">
        <is>
          <t xml:space="preserve">            # the National row rides in every file (trap C7); read it from</t>
        </is>
      </c>
    </row>
    <row r="1028">
      <c r="A1028" s="25" t="inlineStr">
        <is>
          <t xml:space="preserve">            # the state file (smallest)</t>
        </is>
      </c>
    </row>
    <row r="1029">
      <c r="A1029" s="25" t="inlineStr">
        <is>
          <t xml:space="preserve">            parsed = self._data["State"][spec.measure]</t>
        </is>
      </c>
    </row>
    <row r="1030">
      <c r="A1030" s="25" t="inlineStr">
        <is>
          <t xml:space="preserve">            series = parsed["national"] or {}</t>
        </is>
      </c>
    </row>
    <row r="1031">
      <c r="A1031" s="25" t="inlineStr">
        <is>
          <t xml:space="preserve">        else:</t>
        </is>
      </c>
    </row>
    <row r="1032">
      <c r="A1032" s="25" t="inlineStr">
        <is>
          <t xml:space="preserve">            parsed = self._data[geo_file][spec.measure]</t>
        </is>
      </c>
    </row>
    <row r="1033">
      <c r="A1033" s="25" t="inlineStr">
        <is>
          <t xml:space="preserve">            geo = parsed["geos"].get(spec.fips)</t>
        </is>
      </c>
    </row>
    <row r="1034">
      <c r="A1034" s="25" t="inlineStr">
        <is>
          <t xml:space="preserve">            if geo is None:</t>
        </is>
      </c>
    </row>
    <row r="1035">
      <c r="A1035" s="25" t="inlineStr">
        <is>
          <t xml:space="preserve">                return []                # ABSENT = suppressed (trap C4)</t>
        </is>
      </c>
    </row>
    <row r="1036">
      <c r="A1036" s="25" t="inlineStr">
        <is>
          <t xml:space="preserve">            series = geo["values"]</t>
        </is>
      </c>
    </row>
    <row r="1037">
      <c r="A1037" s="25" t="inlineStr">
        <is>
          <t xml:space="preserve">        months = parsed["months"][-self._raw_slots:]</t>
        </is>
      </c>
    </row>
    <row r="1038">
      <c r="A1038" s="25" t="inlineStr">
        <is>
          <t xml:space="preserve">        return [NormalizedRow(id=spec.id, period=mon,</t>
        </is>
      </c>
    </row>
    <row r="1039">
      <c r="A1039" s="25" t="inlineStr">
        <is>
          <t xml:space="preserve">                              value=series.get(mon),</t>
        </is>
      </c>
    </row>
    <row r="1040">
      <c r="A1040" s="25" t="inlineStr">
        <is>
          <t xml:space="preserve">                              geo_segment=spec.geo_segment,</t>
        </is>
      </c>
    </row>
    <row r="1041">
      <c r="A1041" s="25" t="inlineStr">
        <is>
          <t xml:space="preserve">                              source_class=self.source_class)</t>
        </is>
      </c>
    </row>
    <row r="1042">
      <c r="A1042" s="25" t="inlineStr">
        <is>
          <t xml:space="preserve">                for mon in months]</t>
        </is>
      </c>
    </row>
    <row r="1043">
      <c r="A1043" s="25" t="inlineStr"/>
    </row>
    <row r="1044">
      <c r="A1044" s="25" t="inlineStr">
        <is>
          <t xml:space="preserve">    def lookup(self, name: str) -&gt; List[dict]:</t>
        </is>
      </c>
    </row>
    <row r="1045">
      <c r="A1045" s="25" t="inlineStr">
        <is>
          <t xml:space="preserve">        """--lookup support: grep the fetched county CSV (one measure is</t>
        </is>
      </c>
    </row>
    <row r="1046">
      <c r="A1046" s="25" t="inlineStr">
        <is>
          <t xml:space="preserve">        enough) for name/state matches. LIVE path; the offline path searches</t>
        </is>
      </c>
    </row>
    <row r="1047">
      <c r="A1047" s="25" t="inlineStr">
        <is>
          <t xml:space="preserve">        the embedded MINI_INDEX instead."""</t>
        </is>
      </c>
    </row>
    <row r="1048">
      <c r="A1048" s="25" t="inlineStr">
        <is>
          <t xml:space="preserve">        ym = self.discover()</t>
        </is>
      </c>
    </row>
    <row r="1049">
      <c r="A1049" s="25" t="inlineStr">
        <is>
          <t xml:space="preserve">        fname = f"CountyMortgagesPercent-30-89DaysLate-thru-{ym}.csv"</t>
        </is>
      </c>
    </row>
    <row r="1050">
      <c r="A1050" s="25" t="inlineStr">
        <is>
          <t xml:space="preserve">        parsed = parse_wide_csv(</t>
        </is>
      </c>
    </row>
    <row r="1051">
      <c r="A1051" s="25" t="inlineStr">
        <is>
          <t xml:space="preserve">            self._download(FILES_BASE + fname, fname).decode("utf-8-sig",</t>
        </is>
      </c>
    </row>
    <row r="1052">
      <c r="A1052" s="25" t="inlineStr">
        <is>
          <t xml:space="preserve">                                                             "replace"))</t>
        </is>
      </c>
    </row>
    <row r="1053">
      <c r="A1053" s="25" t="inlineStr">
        <is>
          <t xml:space="preserve">        needle = name.strip().lower()</t>
        </is>
      </c>
    </row>
    <row r="1054">
      <c r="A1054" s="25" t="inlineStr">
        <is>
          <t xml:space="preserve">        hits = []</t>
        </is>
      </c>
    </row>
    <row r="1055">
      <c r="A1055" s="25" t="inlineStr">
        <is>
          <t xml:space="preserve">        for fips, geo in sorted(parsed["geos"].items()):</t>
        </is>
      </c>
    </row>
    <row r="1056">
      <c r="A1056" s="25" t="inlineStr">
        <is>
          <t xml:space="preserve">            hay = f"{geo['name']} {geo['state']}".lower()</t>
        </is>
      </c>
    </row>
    <row r="1057">
      <c r="A1057" s="25" t="inlineStr">
        <is>
          <t xml:space="preserve">            if needle in hay:</t>
        </is>
      </c>
    </row>
    <row r="1058">
      <c r="A1058" s="25" t="inlineStr">
        <is>
          <t xml:space="preserve">                hits.append({"fips": fips, "name": geo["name"],</t>
        </is>
      </c>
    </row>
    <row r="1059">
      <c r="A1059" s="25" t="inlineStr">
        <is>
          <t xml:space="preserve">                             "state": geo["state"]})</t>
        </is>
      </c>
    </row>
    <row r="1060">
      <c r="A1060" s="25" t="inlineStr">
        <is>
          <t xml:space="preserve">        return hits</t>
        </is>
      </c>
    </row>
    <row r="1061">
      <c r="A1061" s="25" t="inlineStr"/>
    </row>
    <row r="1062">
      <c r="A1062" s="25" t="inlineStr"/>
    </row>
    <row r="1063">
      <c r="A1063" s="25" t="inlineStr">
        <is>
          <t>def resolve_secret(cfg: Config) -&gt; Optional[str]:</t>
        </is>
      </c>
    </row>
    <row r="1064">
      <c r="A1064" s="25" t="inlineStr">
        <is>
          <t xml:space="preserve">    """Contract plumbing: a licensed (Class C) secret would come from the</t>
        </is>
      </c>
    </row>
    <row r="1065">
      <c r="A1065" s="25" t="inlineStr">
        <is>
          <t xml:space="preserve">    env var NAMED in _config, never stored. Unused in v1 -- the CFPB files</t>
        </is>
      </c>
    </row>
    <row r="1066">
      <c r="A1066" s="25" t="inlineStr">
        <is>
          <t xml:space="preserve">    are public domain and keyless, and the gates admit only Class A."""</t>
        </is>
      </c>
    </row>
    <row r="1067">
      <c r="A1067" s="25" t="inlineStr">
        <is>
          <t xml:space="preserve">    name = str(cfg.setting("secret_env", "") or "").strip()</t>
        </is>
      </c>
    </row>
    <row r="1068">
      <c r="A1068" s="25" t="inlineStr">
        <is>
          <t xml:space="preserve">    if not name:</t>
        </is>
      </c>
    </row>
    <row r="1069">
      <c r="A1069" s="25" t="inlineStr">
        <is>
          <t xml:space="preserve">        return None</t>
        </is>
      </c>
    </row>
    <row r="1070">
      <c r="A1070" s="25" t="inlineStr">
        <is>
          <t xml:space="preserve">    return os.environ.get(name)</t>
        </is>
      </c>
    </row>
    <row r="1071">
      <c r="A1071" s="25" t="inlineStr"/>
    </row>
    <row r="1072">
      <c r="A1072" s="25" t="inlineStr"/>
    </row>
    <row r="1073">
      <c r="A1073" s="25" t="inlineStr">
        <is>
          <t>def make_provider(cfg: Config, demo: bool, asof: Optional[date]) -&gt; Provider:</t>
        </is>
      </c>
    </row>
    <row r="1074">
      <c r="A1074" s="25" t="inlineStr">
        <is>
          <t xml:space="preserve">    if demo or _as_bool(cfg.setting("demo_mode", "false")):</t>
        </is>
      </c>
    </row>
    <row r="1075">
      <c r="A1075" s="25" t="inlineStr">
        <is>
          <t xml:space="preserve">        return CfpbDemoProvider(asof=asof, raw_slots=cfg.raw_slots,</t>
        </is>
      </c>
    </row>
    <row r="1076">
      <c r="A1076" s="25" t="inlineStr">
        <is>
          <t xml:space="preserve">                                vintage=cfg.vintage_override or None)</t>
        </is>
      </c>
    </row>
    <row r="1077">
      <c r="A1077" s="25" t="inlineStr">
        <is>
          <t xml:space="preserve">    return CfpbProvider(</t>
        </is>
      </c>
    </row>
    <row r="1078">
      <c r="A1078" s="25" t="inlineStr">
        <is>
          <t xml:space="preserve">        min_interval=float(cfg.setting("http_min_interval", 0.6) or 0.6),</t>
        </is>
      </c>
    </row>
    <row r="1079">
      <c r="A1079" s="25" t="inlineStr">
        <is>
          <t xml:space="preserve">        max_retries=int(float(cfg.setting("cfpb_max_retries", 4) or 4)),</t>
        </is>
      </c>
    </row>
    <row r="1080">
      <c r="A1080" s="25" t="inlineStr">
        <is>
          <t xml:space="preserve">        raw_slots=cfg.raw_slots,</t>
        </is>
      </c>
    </row>
    <row r="1081">
      <c r="A1081" s="25" t="inlineStr">
        <is>
          <t xml:space="preserve">        vintage_override=cfg.vintage_override)</t>
        </is>
      </c>
    </row>
    <row r="1082">
      <c r="A1082" s="25" t="inlineStr"/>
    </row>
    <row r="1083">
      <c r="A1083" s="25" t="inlineStr"/>
    </row>
    <row r="1084">
      <c r="A1084" s="25" t="inlineStr">
        <is>
          <t># ---------------------------------------------------------------------------</t>
        </is>
      </c>
    </row>
    <row r="1085">
      <c r="A1085" s="25" t="inlineStr">
        <is>
          <t># RAW LAYOUT -- fixed anchors shared with the builder. One block per GEO</t>
        </is>
      </c>
    </row>
    <row r="1086">
      <c r="A1086" s="25" t="inlineStr">
        <is>
          <t># SLOT: months as rows (newest-first), measures as columns B/C.</t>
        </is>
      </c>
    </row>
    <row r="1087">
      <c r="A1087" s="25" t="inlineStr">
        <is>
          <t># ---------------------------------------------------------------------------</t>
        </is>
      </c>
    </row>
    <row r="1088">
      <c r="A1088" s="25" t="inlineStr">
        <is>
          <t>@dataclass</t>
        </is>
      </c>
    </row>
    <row r="1089">
      <c r="A1089" s="25" t="inlineStr">
        <is>
          <t>class GeoBlock:</t>
        </is>
      </c>
    </row>
    <row r="1090">
      <c r="A1090" s="25" t="inlineStr">
        <is>
          <t xml:space="preserve">    kind: str</t>
        </is>
      </c>
    </row>
    <row r="1091">
      <c r="A1091" s="25" t="inlineStr">
        <is>
          <t xml:space="preserve">    slot: int</t>
        </is>
      </c>
    </row>
    <row r="1092">
      <c r="A1092" s="25" t="inlineStr">
        <is>
          <t xml:space="preserve">    header_row: int</t>
        </is>
      </c>
    </row>
    <row r="1093">
      <c r="A1093" s="25" t="inlineStr">
        <is>
          <t xml:space="preserve">    label_row: int</t>
        </is>
      </c>
    </row>
    <row r="1094">
      <c r="A1094" s="25" t="inlineStr">
        <is>
          <t xml:space="preserve">    first_data_row: int</t>
        </is>
      </c>
    </row>
    <row r="1095">
      <c r="A1095" s="25" t="inlineStr">
        <is>
          <t xml:space="preserve">    slots: int                 # month rows (raw_slots)</t>
        </is>
      </c>
    </row>
    <row r="1096">
      <c r="A1096" s="25" t="inlineStr"/>
    </row>
    <row r="1097">
      <c r="A1097" s="25" t="inlineStr"/>
    </row>
    <row r="1098">
      <c r="A1098" s="25" t="inlineStr">
        <is>
          <t>def block_ordinal(kind: str, slot: int) -&gt; int:</t>
        </is>
      </c>
    </row>
    <row r="1099">
      <c r="A1099" s="25" t="inlineStr">
        <is>
          <t xml:space="preserve">    if kind == "national":</t>
        </is>
      </c>
    </row>
    <row r="1100">
      <c r="A1100" s="25" t="inlineStr">
        <is>
          <t xml:space="preserve">        return 0</t>
        </is>
      </c>
    </row>
    <row r="1101">
      <c r="A1101" s="25" t="inlineStr">
        <is>
          <t xml:space="preserve">    if kind == "state":</t>
        </is>
      </c>
    </row>
    <row r="1102">
      <c r="A1102" s="25" t="inlineStr">
        <is>
          <t xml:space="preserve">        return slot                          # 1..STATE_SLOTS</t>
        </is>
      </c>
    </row>
    <row r="1103">
      <c r="A1103" s="25" t="inlineStr">
        <is>
          <t xml:space="preserve">    return STATE_SLOTS + slot                # county slots follow the states</t>
        </is>
      </c>
    </row>
    <row r="1104">
      <c r="A1104" s="25" t="inlineStr"/>
    </row>
    <row r="1105">
      <c r="A1105" s="25" t="inlineStr"/>
    </row>
    <row r="1106">
      <c r="A1106" s="25" t="inlineStr">
        <is>
          <t>def geo_block(kind: str, slot: int,</t>
        </is>
      </c>
    </row>
    <row r="1107">
      <c r="A1107" s="25" t="inlineStr">
        <is>
          <t xml:space="preserve">              raw_slots: int = RAW_SLOTS_DEFAULT) -&gt; GeoBlock:</t>
        </is>
      </c>
    </row>
    <row r="1108">
      <c r="A1108" s="25" t="inlineStr">
        <is>
          <t xml:space="preserve">    """Deterministic block placement: anchors depend ONLY on (kind, slot,</t>
        </is>
      </c>
    </row>
    <row r="1109">
      <c r="A1109" s="25" t="inlineStr">
        <is>
          <t xml:space="preserve">    raw_slots) -- editing which county occupies the slot moves nothing."""</t>
        </is>
      </c>
    </row>
    <row r="1110">
      <c r="A1110" s="25" t="inlineStr">
        <is>
          <t xml:space="preserve">    stride = RAW_HEADER_ROWS + raw_slots + RAW_GAP_ROWS</t>
        </is>
      </c>
    </row>
    <row r="1111">
      <c r="A1111" s="25" t="inlineStr">
        <is>
          <t xml:space="preserve">    header_row = RAW_FIRST_ROW + block_ordinal(kind, slot) * stride</t>
        </is>
      </c>
    </row>
    <row r="1112">
      <c r="A1112" s="25" t="inlineStr">
        <is>
          <t xml:space="preserve">    return GeoBlock(kind, slot, header_row, header_row + 1,</t>
        </is>
      </c>
    </row>
    <row r="1113">
      <c r="A1113" s="25" t="inlineStr">
        <is>
          <t xml:space="preserve">                    header_row + RAW_HEADER_ROWS, raw_slots)</t>
        </is>
      </c>
    </row>
    <row r="1114">
      <c r="A1114" s="25" t="inlineStr"/>
    </row>
    <row r="1115">
      <c r="A1115" s="25" t="inlineStr"/>
    </row>
    <row r="1116">
      <c r="A1116" s="25" t="inlineStr">
        <is>
          <t>def assemble_months(measure_rows: Dict[str, List[NormalizedRow]],</t>
        </is>
      </c>
    </row>
    <row r="1117">
      <c r="A1117" s="25" t="inlineStr">
        <is>
          <t xml:space="preserve">                    raw_slots: int):</t>
        </is>
      </c>
    </row>
    <row r="1118">
      <c r="A1118" s="25" t="inlineStr">
        <is>
          <t xml:space="preserve">    """Per-measure NormalizedRows -&gt; newest-first [(month, {measure: value})]</t>
        </is>
      </c>
    </row>
    <row r="1119">
      <c r="A1119" s="25" t="inlineStr">
        <is>
          <t xml:space="preserve">    rows ready to land. Months are unioned so a measure missing one month</t>
        </is>
      </c>
    </row>
    <row r="1120">
      <c r="A1120" s="25" t="inlineStr">
        <is>
          <t xml:space="preserve">    still aligns (blank cell, not a shifted row)."""</t>
        </is>
      </c>
    </row>
    <row r="1121">
      <c r="A1121" s="25" t="inlineStr">
        <is>
          <t xml:space="preserve">    months = sorted({r.period for rows in measure_rows.values() for r in rows},</t>
        </is>
      </c>
    </row>
    <row r="1122">
      <c r="A1122" s="25" t="inlineStr">
        <is>
          <t xml:space="preserve">                    reverse=True)[:raw_slots]</t>
        </is>
      </c>
    </row>
    <row r="1123">
      <c r="A1123" s="25" t="inlineStr">
        <is>
          <t xml:space="preserve">    per: Dict[str, Dict[str, Optional[float]]] = {p: {} for p in months}</t>
        </is>
      </c>
    </row>
    <row r="1124">
      <c r="A1124" s="25" t="inlineStr">
        <is>
          <t xml:space="preserve">    for m, rows in measure_rows.items():</t>
        </is>
      </c>
    </row>
    <row r="1125">
      <c r="A1125" s="25" t="inlineStr">
        <is>
          <t xml:space="preserve">        for r in rows:</t>
        </is>
      </c>
    </row>
    <row r="1126">
      <c r="A1126" s="25" t="inlineStr">
        <is>
          <t xml:space="preserve">            if r.period in per:</t>
        </is>
      </c>
    </row>
    <row r="1127">
      <c r="A1127" s="25" t="inlineStr">
        <is>
          <t xml:space="preserve">                per[r.period][m] = r.value</t>
        </is>
      </c>
    </row>
    <row r="1128">
      <c r="A1128" s="25" t="inlineStr">
        <is>
          <t xml:space="preserve">    return [(p, {m: per[p].get(m) for m in MEASURES}) for p in months]</t>
        </is>
      </c>
    </row>
    <row r="1129">
      <c r="A1129" s="25" t="inlineStr"/>
    </row>
    <row r="1130">
      <c r="A1130" s="25" t="inlineStr"/>
    </row>
    <row r="1131">
      <c r="A1131" s="25" t="inlineStr">
        <is>
          <t># ---------------------------------------------------------------------------</t>
        </is>
      </c>
    </row>
    <row r="1132">
      <c r="A1132" s="25" t="inlineStr">
        <is>
          <t># WRITE BACKEND -- openpyxl on the closed workbook (contract sec 4 / L2)</t>
        </is>
      </c>
    </row>
    <row r="1133">
      <c r="A1133" s="25" t="inlineStr">
        <is>
          <t># ---------------------------------------------------------------------------</t>
        </is>
      </c>
    </row>
    <row r="1134">
      <c r="A1134" s="25" t="inlineStr">
        <is>
          <t>class OpenpyxlBackend:</t>
        </is>
      </c>
    </row>
    <row r="1135">
      <c r="A1135" s="25" t="inlineStr">
        <is>
          <t xml:space="preserve">    def __init__(self, path: str):</t>
        </is>
      </c>
    </row>
    <row r="1136">
      <c r="A1136" s="25" t="inlineStr">
        <is>
          <t xml:space="preserve">        self.path = path</t>
        </is>
      </c>
    </row>
    <row r="1137">
      <c r="A1137" s="25" t="inlineStr">
        <is>
          <t xml:space="preserve">        import openpyxl</t>
        </is>
      </c>
    </row>
    <row r="1138">
      <c r="A1138" s="25" t="inlineStr">
        <is>
          <t xml:space="preserve">        # L2: keep_vba=True ONLY for .xlsm; on .xlsx it injects a dangling</t>
        </is>
      </c>
    </row>
    <row r="1139">
      <c r="A1139" s="25" t="inlineStr">
        <is>
          <t xml:space="preserve">        # vbaProject relationship Excel rejects.</t>
        </is>
      </c>
    </row>
    <row r="1140">
      <c r="A1140" s="25" t="inlineStr">
        <is>
          <t xml:space="preserve">        keep_vba = path.lower().endswith(".xlsm")</t>
        </is>
      </c>
    </row>
    <row r="1141">
      <c r="A1141" s="25" t="inlineStr">
        <is>
          <t xml:space="preserve">        self._wb = openpyxl.load_workbook(path, keep_vba=keep_vba)</t>
        </is>
      </c>
    </row>
    <row r="1142">
      <c r="A1142" s="25" t="inlineStr"/>
    </row>
    <row r="1143">
      <c r="A1143" s="25" t="inlineStr">
        <is>
          <t xml:space="preserve">    def read_config(self) -&gt; Config:</t>
        </is>
      </c>
    </row>
    <row r="1144">
      <c r="A1144" s="25" t="inlineStr">
        <is>
          <t xml:space="preserve">        ws = self._wb["_config"]</t>
        </is>
      </c>
    </row>
    <row r="1145">
      <c r="A1145" s="25" t="inlineStr">
        <is>
          <t xml:space="preserve">        return parse_config([[c.value for c in row] for row in ws.iter_rows()])</t>
        </is>
      </c>
    </row>
    <row r="1146">
      <c r="A1146" s="25" t="inlineStr"/>
    </row>
    <row r="1147">
      <c r="A1147" s="25" t="inlineStr">
        <is>
          <t xml:space="preserve">    def _check_block(self, block: GeoBlock):</t>
        </is>
      </c>
    </row>
    <row r="1148">
      <c r="A1148" s="25" t="inlineStr">
        <is>
          <t xml:space="preserve">        """Refuse to write into a workbook whose raw layout doesn't match</t>
        </is>
      </c>
    </row>
    <row r="1149">
      <c r="A1149" s="25" t="inlineStr">
        <is>
          <t xml:space="preserve">        the computed one (raw_slots edited after build): every dashboard and</t>
        </is>
      </c>
    </row>
    <row r="1150">
      <c r="A1150" s="25" t="inlineStr">
        <is>
          <t xml:space="preserve">        Watchlist formula is anchored to the BUILT layout, so a silent</t>
        </is>
      </c>
    </row>
    <row r="1151">
      <c r="A1151" s="25" t="inlineStr">
        <is>
          <t xml:space="preserve">        mismatch would make the whole workbook quietly wrong. The block</t>
        </is>
      </c>
    </row>
    <row r="1152">
      <c r="A1152" s="25" t="inlineStr">
        <is>
          <t xml:space="preserve">        label is constant regardless of which county occupies the slot, so</t>
        </is>
      </c>
    </row>
    <row r="1153">
      <c r="A1153" s="25" t="inlineStr">
        <is>
          <t xml:space="preserve">        [FOOTPRINT] edits never trip this."""</t>
        </is>
      </c>
    </row>
    <row r="1154">
      <c r="A1154" s="25" t="inlineStr">
        <is>
          <t xml:space="preserve">        ws = self._wb[RAW_TAB]</t>
        </is>
      </c>
    </row>
    <row r="1155">
      <c r="A1155" s="25" t="inlineStr">
        <is>
          <t xml:space="preserve">        expected = slot_label(block.kind, block.slot)</t>
        </is>
      </c>
    </row>
    <row r="1156">
      <c r="A1156" s="25" t="inlineStr">
        <is>
          <t xml:space="preserve">        existing = ws.cell(block.header_row, 1).value</t>
        </is>
      </c>
    </row>
    <row r="1157">
      <c r="A1157" s="25" t="inlineStr">
        <is>
          <t xml:space="preserve">        if existing is not None and str(existing).strip() not in ("", expected):</t>
        </is>
      </c>
    </row>
    <row r="1158">
      <c r="A1158" s="25" t="inlineStr">
        <is>
          <t xml:space="preserve">            raise RuntimeError(</t>
        </is>
      </c>
    </row>
    <row r="1159">
      <c r="A1159" s="25" t="inlineStr">
        <is>
          <t xml:space="preserve">                f"Raw layout mismatch in {RAW_TAB} at row {block.header_row}: "</t>
        </is>
      </c>
    </row>
    <row r="1160">
      <c r="A1160" s="25" t="inlineStr">
        <is>
          <t xml:space="preserve">                f"expected block '{expected}' but found '{existing}'. The "</t>
        </is>
      </c>
    </row>
    <row r="1161">
      <c r="A1161" s="25" t="inlineStr">
        <is>
          <t xml:space="preserve">                f"workbook was built with a different raw_slots/"</t>
        </is>
      </c>
    </row>
    <row r="1162">
      <c r="A1162" s="25" t="inlineStr">
        <is>
          <t xml:space="preserve">                f"footprint_slots layout than _config now describes; "</t>
        </is>
      </c>
    </row>
    <row r="1163">
      <c r="A1163" s="25" t="inlineStr">
        <is>
          <t xml:space="preserve">                f"formulas are anchored to the built layout. Rebuild the "</t>
        </is>
      </c>
    </row>
    <row r="1164">
      <c r="A1164" s="25" t="inlineStr">
        <is>
          <t xml:space="preserve">                f"workbook (python make_workbook.py --footprint-slots N) "</t>
        </is>
      </c>
    </row>
    <row r="1165">
      <c r="A1165" s="25" t="inlineStr">
        <is>
          <t xml:space="preserve">                f"instead of editing the layout settings in place.")</t>
        </is>
      </c>
    </row>
    <row r="1166">
      <c r="A1166" s="25" t="inlineStr"/>
    </row>
    <row r="1167">
      <c r="A1167" s="25" t="inlineStr">
        <is>
          <t xml:space="preserve">    def clear_geo_block(self, block: GeoBlock):</t>
        </is>
      </c>
    </row>
    <row r="1168">
      <c r="A1168" s="25" t="inlineStr">
        <is>
          <t xml:space="preserve">        """Blank a block's identity AND data (stateless FULL REPLACE, BUILD</t>
        </is>
      </c>
    </row>
    <row r="1169">
      <c r="A1169" s="25" t="inlineStr">
        <is>
          <t xml:space="preserve">        SPEC 0.2 -- every CFPB vintage revises the ENTIRE history, and a</t>
        </is>
      </c>
    </row>
    <row r="1170">
      <c r="A1170" s="25" t="inlineStr">
        <is>
          <t xml:space="preserve">        removed/suppressed/failed geo must show empty, never last vintage's</t>
        </is>
      </c>
    </row>
    <row r="1171">
      <c r="A1171" s="25" t="inlineStr">
        <is>
          <t xml:space="preserve">        values masquerading as current)."""</t>
        </is>
      </c>
    </row>
    <row r="1172">
      <c r="A1172" s="25" t="inlineStr">
        <is>
          <t xml:space="preserve">        self._check_block(block)</t>
        </is>
      </c>
    </row>
    <row r="1173">
      <c r="A1173" s="25" t="inlineStr">
        <is>
          <t xml:space="preserve">        ws = self._wb[RAW_TAB]</t>
        </is>
      </c>
    </row>
    <row r="1174">
      <c r="A1174" s="25" t="inlineStr">
        <is>
          <t xml:space="preserve">        # L7: ws.cell(r, c, None) is a silent NO-OP in openpyxl (the value</t>
        </is>
      </c>
    </row>
    <row r="1175">
      <c r="A1175" s="25" t="inlineStr">
        <is>
          <t xml:space="preserve">        # arg is ignored when None) -- clearing MUST assign .value directly.</t>
        </is>
      </c>
    </row>
    <row r="1176">
      <c r="A1176" s="25" t="inlineStr">
        <is>
          <t xml:space="preserve">        for c in (2, 3, 4):                          # runtime identity cells</t>
        </is>
      </c>
    </row>
    <row r="1177">
      <c r="A1177" s="25" t="inlineStr">
        <is>
          <t xml:space="preserve">            ws.cell(block.header_row, c).value = None</t>
        </is>
      </c>
    </row>
    <row r="1178">
      <c r="A1178" s="25" t="inlineStr">
        <is>
          <t xml:space="preserve">        for r in range(block.first_data_row, block.first_data_row + block.slots):</t>
        </is>
      </c>
    </row>
    <row r="1179">
      <c r="A1179" s="25" t="inlineStr">
        <is>
          <t xml:space="preserve">            for c in (1, 2, 3):</t>
        </is>
      </c>
    </row>
    <row r="1180">
      <c r="A1180" s="25" t="inlineStr">
        <is>
          <t xml:space="preserve">                ws.cell(r, c).value = None</t>
        </is>
      </c>
    </row>
    <row r="1181">
      <c r="A1181" s="25" t="inlineStr"/>
    </row>
    <row r="1182">
      <c r="A1182" s="25" t="inlineStr">
        <is>
          <t xml:space="preserve">    def write_block_identity(self, block: GeoBlock, unit_key: str,</t>
        </is>
      </c>
    </row>
    <row r="1183">
      <c r="A1183" s="25" t="inlineStr">
        <is>
          <t xml:space="preserve">                             name: str, note: str):</t>
        </is>
      </c>
    </row>
    <row r="1184">
      <c r="A1184" s="25" t="inlineStr">
        <is>
          <t xml:space="preserve">        self._check_block(block)</t>
        </is>
      </c>
    </row>
    <row r="1185">
      <c r="A1185" s="25" t="inlineStr">
        <is>
          <t xml:space="preserve">        ws = self._wb[RAW_TAB]</t>
        </is>
      </c>
    </row>
    <row r="1186">
      <c r="A1186" s="25" t="inlineStr">
        <is>
          <t xml:space="preserve">        ws.cell(block.header_row, 1, slot_label(block.kind, block.slot))</t>
        </is>
      </c>
    </row>
    <row r="1187">
      <c r="A1187" s="25" t="inlineStr">
        <is>
          <t xml:space="preserve">        ws.cell(block.header_row, 2, unit_key)</t>
        </is>
      </c>
    </row>
    <row r="1188">
      <c r="A1188" s="25" t="inlineStr">
        <is>
          <t xml:space="preserve">        ws.cell(block.header_row, 3, name)</t>
        </is>
      </c>
    </row>
    <row r="1189">
      <c r="A1189" s="25" t="inlineStr">
        <is>
          <t xml:space="preserve">        ws.cell(block.header_row, 4, note)</t>
        </is>
      </c>
    </row>
    <row r="1190">
      <c r="A1190" s="25" t="inlineStr"/>
    </row>
    <row r="1191">
      <c r="A1191" s="25" t="inlineStr">
        <is>
          <t xml:space="preserve">    def write_geo_block(self, block: GeoBlock, unit_key: str, name: str,</t>
        </is>
      </c>
    </row>
    <row r="1192">
      <c r="A1192" s="25" t="inlineStr">
        <is>
          <t xml:space="preserve">                        note: str, months):</t>
        </is>
      </c>
    </row>
    <row r="1193">
      <c r="A1193" s="25" t="inlineStr">
        <is>
          <t xml:space="preserve">        """months: newest-first [(month, {measure: value})]."""</t>
        </is>
      </c>
    </row>
    <row r="1194">
      <c r="A1194" s="25" t="inlineStr">
        <is>
          <t xml:space="preserve">        self.write_block_identity(block, unit_key, name, note)</t>
        </is>
      </c>
    </row>
    <row r="1195">
      <c r="A1195" s="25" t="inlineStr">
        <is>
          <t xml:space="preserve">        ws = self._wb[RAW_TAB]</t>
        </is>
      </c>
    </row>
    <row r="1196">
      <c r="A1196" s="25" t="inlineStr">
        <is>
          <t xml:space="preserve">        for i, (mon, mv) in enumerate(months[:block.slots]):</t>
        </is>
      </c>
    </row>
    <row r="1197">
      <c r="A1197" s="25" t="inlineStr">
        <is>
          <t xml:space="preserve">            r = block.first_data_row + i             # newest-first</t>
        </is>
      </c>
    </row>
    <row r="1198">
      <c r="A1198" s="25" t="inlineStr">
        <is>
          <t xml:space="preserve">            ws.cell(r, 1, str(mon))</t>
        </is>
      </c>
    </row>
    <row r="1199">
      <c r="A1199" s="25" t="inlineStr">
        <is>
          <t xml:space="preserve">            for m in MEASURES:</t>
        </is>
      </c>
    </row>
    <row r="1200">
      <c r="A1200" s="25" t="inlineStr">
        <is>
          <t xml:space="preserve">                v = mv.get(m)</t>
        </is>
      </c>
    </row>
    <row r="1201">
      <c r="A1201" s="25" t="inlineStr">
        <is>
          <t xml:space="preserve">                # explicit .value assignment: None must LAND as blank (L7)</t>
        </is>
      </c>
    </row>
    <row r="1202">
      <c r="A1202" s="25" t="inlineStr">
        <is>
          <t xml:space="preserve">                ws.cell(r, MEASURE_COL[m]).value = \</t>
        </is>
      </c>
    </row>
    <row r="1203">
      <c r="A1203" s="25" t="inlineStr">
        <is>
          <t xml:space="preserve">                    None if v is None else float(v)</t>
        </is>
      </c>
    </row>
    <row r="1204">
      <c r="A1204" s="25" t="inlineStr"/>
    </row>
    <row r="1205">
      <c r="A1205" s="25" t="inlineStr">
        <is>
          <t xml:space="preserve">    def write_status(self, status: dict):</t>
        </is>
      </c>
    </row>
    <row r="1206">
      <c r="A1206" s="25" t="inlineStr">
        <is>
          <t xml:space="preserve">        line2 = (f"Counties {status.get('counties_landed', 0)}/"</t>
        </is>
      </c>
    </row>
    <row r="1207">
      <c r="A1207" s="25" t="inlineStr">
        <is>
          <t xml:space="preserve">                 f"{status.get('counties_active', 0)} - "</t>
        </is>
      </c>
    </row>
    <row r="1208">
      <c r="A1208" s="25" t="inlineStr">
        <is>
          <t xml:space="preserve">                 f"{status.get('alert_counties', 0)} ALERT / "</t>
        </is>
      </c>
    </row>
    <row r="1209">
      <c r="A1209" s="25" t="inlineStr">
        <is>
          <t xml:space="preserve">                 f"{status.get('watch_counties', 0)} WATCH / "</t>
        </is>
      </c>
    </row>
    <row r="1210">
      <c r="A1210" s="25" t="inlineStr">
        <is>
          <t xml:space="preserve">                 f"{status.get('counties_suppressed', 0)} SUPPRESSED")</t>
        </is>
      </c>
    </row>
    <row r="1211">
      <c r="A1211" s="25" t="inlineStr">
        <is>
          <t xml:space="preserve">        n_ref = len(status.get("watchlist_refusals") or [])</t>
        </is>
      </c>
    </row>
    <row r="1212">
      <c r="A1212" s="25" t="inlineStr">
        <is>
          <t xml:space="preserve">        if n_ref:</t>
        </is>
      </c>
    </row>
    <row r="1213">
      <c r="A1213" s="25" t="inlineStr">
        <is>
          <t xml:space="preserve">            line2 += f" - {n_ref} REFUSED (see digest)"</t>
        </is>
      </c>
    </row>
    <row r="1214">
      <c r="A1214" s="25" t="inlineStr">
        <is>
          <t xml:space="preserve">        n_err = len(status.get("errors") or [])</t>
        </is>
      </c>
    </row>
    <row r="1215">
      <c r="A1215" s="25" t="inlineStr">
        <is>
          <t xml:space="preserve">        if n_err:</t>
        </is>
      </c>
    </row>
    <row r="1216">
      <c r="A1216" s="25" t="inlineStr">
        <is>
          <t xml:space="preserve">            line2 += f" - {n_err} FETCH ERRORS"</t>
        </is>
      </c>
    </row>
    <row r="1217">
      <c r="A1217" s="25" t="inlineStr">
        <is>
          <t xml:space="preserve">        line3 = (f"CFPB vintage: {status.get('vintage') or 'n/a'} "</t>
        </is>
      </c>
    </row>
    <row r="1218">
      <c r="A1218" s="25" t="inlineStr">
        <is>
          <t xml:space="preserve">                 f"({status.get('vintage_source') or 'n/a'}) - data lag "</t>
        </is>
      </c>
    </row>
    <row r="1219">
      <c r="A1219" s="25" t="inlineStr">
        <is>
          <t xml:space="preserve">                 f"~6-7 months by design")</t>
        </is>
      </c>
    </row>
    <row r="1220">
      <c r="A1220" s="25" t="inlineStr">
        <is>
          <t xml:space="preserve">        warn = status.get("continuity_warning")</t>
        </is>
      </c>
    </row>
    <row r="1221">
      <c r="A1221" s="25" t="inlineStr">
        <is>
          <t xml:space="preserve">        behind = status.get("months_behind")</t>
        </is>
      </c>
    </row>
    <row r="1222">
      <c r="A1222" s="25" t="inlineStr">
        <is>
          <t xml:space="preserve">        line4 = warn if warn else (</t>
        </is>
      </c>
    </row>
    <row r="1223">
      <c r="A1223" s="25" t="inlineStr">
        <is>
          <t xml:space="preserve">            f"Continuity OK: vintage {behind} months behind asof "</t>
        </is>
      </c>
    </row>
    <row r="1224">
      <c r="A1224" s="25" t="inlineStr">
        <is>
          <t xml:space="preserve">            f"(tripwire {status.get('continuity_months')})"</t>
        </is>
      </c>
    </row>
    <row r="1225">
      <c r="A1225" s="25" t="inlineStr">
        <is>
          <t xml:space="preserve">            if behind is not None else "Continuity: vintage unparsed")</t>
        </is>
      </c>
    </row>
    <row r="1226">
      <c r="A1226" s="25" t="inlineStr">
        <is>
          <t xml:space="preserve">        for tab in DASH_TABS:</t>
        </is>
      </c>
    </row>
    <row r="1227">
      <c r="A1227" s="25" t="inlineStr">
        <is>
          <t xml:space="preserve">            if tab in self._wb.sheetnames:</t>
        </is>
      </c>
    </row>
    <row r="1228">
      <c r="A1228" s="25" t="inlineStr">
        <is>
          <t xml:space="preserve">                ws = self._wb[tab]</t>
        </is>
      </c>
    </row>
    <row r="1229">
      <c r="A1229" s="25" t="inlineStr">
        <is>
          <t xml:space="preserve">                # explicit .value writes: line 4 must OVERWRITE any previous</t>
        </is>
      </c>
    </row>
    <row r="1230">
      <c r="A1230" s="25" t="inlineStr">
        <is>
          <t xml:space="preserve">                # warning, never leave one stale (L7 discipline)</t>
        </is>
      </c>
    </row>
    <row r="1231">
      <c r="A1231" s="25" t="inlineStr">
        <is>
          <t xml:space="preserve">                ws.cell(1, STATUS_COL).value = ("Last run  "</t>
        </is>
      </c>
    </row>
    <row r="1232">
      <c r="A1232" s="25" t="inlineStr">
        <is>
          <t xml:space="preserve">                                                + status.get("timestamp", "")</t>
        </is>
      </c>
    </row>
    <row r="1233">
      <c r="A1233" s="25" t="inlineStr">
        <is>
          <t xml:space="preserve">                                                + f" ({status.get('mode', '')})")</t>
        </is>
      </c>
    </row>
    <row r="1234">
      <c r="A1234" s="25" t="inlineStr">
        <is>
          <t xml:space="preserve">                ws.cell(2, STATUS_COL).value = line2</t>
        </is>
      </c>
    </row>
    <row r="1235">
      <c r="A1235" s="25" t="inlineStr">
        <is>
          <t xml:space="preserve">                ws.cell(3, STATUS_COL).value = line3</t>
        </is>
      </c>
    </row>
    <row r="1236">
      <c r="A1236" s="25" t="inlineStr">
        <is>
          <t xml:space="preserve">                ws.cell(4, STATUS_COL).value = line4</t>
        </is>
      </c>
    </row>
    <row r="1237">
      <c r="A1237" s="25" t="inlineStr"/>
    </row>
    <row r="1238">
      <c r="A1238" s="25" t="inlineStr">
        <is>
          <t xml:space="preserve">    def finalize(self):</t>
        </is>
      </c>
    </row>
    <row r="1239">
      <c r="A1239" s="25" t="inlineStr">
        <is>
          <t xml:space="preserve">        self._wb.save(self.path)</t>
        </is>
      </c>
    </row>
    <row r="1240">
      <c r="A1240" s="25" t="inlineStr"/>
    </row>
    <row r="1241">
      <c r="A1241" s="25" t="inlineStr"/>
    </row>
    <row r="1242">
      <c r="A1242" s="25" t="inlineStr">
        <is>
          <t># ---------------------------------------------------------------------------</t>
        </is>
      </c>
    </row>
    <row r="1243">
      <c r="A1243" s="25" t="inlineStr">
        <is>
          <t># ORCHESTRATION</t>
        </is>
      </c>
    </row>
    <row r="1244">
      <c r="A1244" s="25" t="inlineStr">
        <is>
          <t># ---------------------------------------------------------------------------</t>
        </is>
      </c>
    </row>
    <row r="1245">
      <c r="A1245" s="25" t="inlineStr">
        <is>
          <t>def _measure_vals(months, measure) -&gt; List[Optional[float]]:</t>
        </is>
      </c>
    </row>
    <row r="1246">
      <c r="A1246" s="25" t="inlineStr">
        <is>
          <t xml:space="preserve">    """Newest-first value list for one measure off assembled month rows."""</t>
        </is>
      </c>
    </row>
    <row r="1247">
      <c r="A1247" s="25" t="inlineStr">
        <is>
          <t xml:space="preserve">    return [mv.get(measure) for _mon, mv in months]</t>
        </is>
      </c>
    </row>
    <row r="1248">
      <c r="A1248" s="25" t="inlineStr"/>
    </row>
    <row r="1249">
      <c r="A1249" s="25" t="inlineStr"/>
    </row>
    <row r="1250">
      <c r="A1250" s="25" t="inlineStr">
        <is>
          <t>def compute_digest(cfg: Config, asof: date,</t>
        </is>
      </c>
    </row>
    <row r="1251">
      <c r="A1251" s="25" t="inlineStr">
        <is>
          <t xml:space="preserve">                   nat_months, state_landed, county_landed,</t>
        </is>
      </c>
    </row>
    <row r="1252">
      <c r="A1252" s="25" t="inlineStr">
        <is>
          <t xml:space="preserve">                   suppressed: List[FootprintRow],</t>
        </is>
      </c>
    </row>
    <row r="1253">
      <c r="A1253" s="25" t="inlineStr">
        <is>
          <t xml:space="preserve">                   smap: Dict[str, int]) -&gt; dict:</t>
        </is>
      </c>
    </row>
    <row r="1254">
      <c r="A1254" s="25" t="inlineStr">
        <is>
          <t xml:space="preserve">    """Latest-month transform values + statuses + flag counts (the engine</t>
        </is>
      </c>
    </row>
    <row r="1255">
      <c r="A1255" s="25" t="inlineStr">
        <is>
          <t xml:space="preserve">    output consumed by the Watchlist parity tests and email_sim).</t>
        </is>
      </c>
    </row>
    <row r="1256">
      <c r="A1256" s="25" t="inlineStr">
        <is>
          <t xml:space="preserve">    Suppression (BUILD SPEC 0.6) is first-class: a suppressed county's</t>
        </is>
      </c>
    </row>
    <row r="1257">
      <c r="A1257" s="25" t="inlineStr">
        <is>
          <t xml:space="preserve">    STATUS is SUPPRESSED and it never counts toward the alert/watch KPIs."""</t>
        </is>
      </c>
    </row>
    <row r="1258">
      <c r="A1258" s="25" t="inlineStr">
        <is>
          <t xml:space="preserve">    thr_dev = cfg.thresholds.get("d3089_dev12m")</t>
        </is>
      </c>
    </row>
    <row r="1259">
      <c r="A1259" s="25" t="inlineStr">
        <is>
          <t xml:space="preserve">    thr_stk = cfg.thresholds.get("d90_streak3")</t>
        </is>
      </c>
    </row>
    <row r="1260">
      <c r="A1260" s="25" t="inlineStr">
        <is>
          <t xml:space="preserve">    thr_lvl = cfg.thresholds.get("d90_level")</t>
        </is>
      </c>
    </row>
    <row r="1261">
      <c r="A1261" s="25" t="inlineStr"/>
    </row>
    <row r="1262">
      <c r="A1262" s="25" t="inlineStr">
        <is>
          <t xml:space="preserve">    def geo_metrics(months):</t>
        </is>
      </c>
    </row>
    <row r="1263">
      <c r="A1263" s="25" t="inlineStr">
        <is>
          <t xml:space="preserve">        v3089 = _measure_vals(months, "d3089")</t>
        </is>
      </c>
    </row>
    <row r="1264">
      <c r="A1264" s="25" t="inlineStr">
        <is>
          <t xml:space="preserve">        v90 = _measure_vals(months, "d90")</t>
        </is>
      </c>
    </row>
    <row r="1265">
      <c r="A1265" s="25" t="inlineStr">
        <is>
          <t xml:space="preserve">        return {</t>
        </is>
      </c>
    </row>
    <row r="1266">
      <c r="A1266" s="25" t="inlineStr">
        <is>
          <t xml:space="preserve">            "d3089_latest": t_level(v3089),</t>
        </is>
      </c>
    </row>
    <row r="1267">
      <c r="A1267" s="25" t="inlineStr">
        <is>
          <t xml:space="preserve">            "d3089_dev12": t_dev_12m(v3089),</t>
        </is>
      </c>
    </row>
    <row r="1268">
      <c r="A1268" s="25" t="inlineStr">
        <is>
          <t xml:space="preserve">            "d90_latest": t_level(v90),</t>
        </is>
      </c>
    </row>
    <row r="1269">
      <c r="A1269" s="25" t="inlineStr">
        <is>
          <t xml:space="preserve">            "d90_dev12": t_dev_12m(v90),</t>
        </is>
      </c>
    </row>
    <row r="1270">
      <c r="A1270" s="25" t="inlineStr">
        <is>
          <t xml:space="preserve">            "d90_streak": t_rise_streak3(v90),</t>
        </is>
      </c>
    </row>
    <row r="1271">
      <c r="A1271" s="25" t="inlineStr">
        <is>
          <t xml:space="preserve">        }</t>
        </is>
      </c>
    </row>
    <row r="1272">
      <c r="A1272" s="25" t="inlineStr"/>
    </row>
    <row r="1273">
      <c r="A1273" s="25" t="inlineStr">
        <is>
          <t xml:space="preserve">    national = geo_metrics(nat_months) if nat_months else None</t>
        </is>
      </c>
    </row>
    <row r="1274">
      <c r="A1274" s="25" t="inlineStr"/>
    </row>
    <row r="1275">
      <c r="A1275" s="25" t="inlineStr">
        <is>
          <t xml:space="preserve">    states = []</t>
        </is>
      </c>
    </row>
    <row r="1276">
      <c r="A1276" s="25" t="inlineStr">
        <is>
          <t xml:space="preserve">    for fips2 in sorted(smap, key=lambda f: smap[f]):</t>
        </is>
      </c>
    </row>
    <row r="1277">
      <c r="A1277" s="25" t="inlineStr">
        <is>
          <t xml:space="preserve">        slot = smap[fips2]</t>
        </is>
      </c>
    </row>
    <row r="1278">
      <c r="A1278" s="25" t="inlineStr">
        <is>
          <t xml:space="preserve">        entry = {"slot": slot, "fips2": fips2,</t>
        </is>
      </c>
    </row>
    <row r="1279">
      <c r="A1279" s="25" t="inlineStr">
        <is>
          <t xml:space="preserve">                 "abbrev": (state_landed.get(fips2) or {}).get("abbrev", ""),</t>
        </is>
      </c>
    </row>
    <row r="1280">
      <c r="A1280" s="25" t="inlineStr">
        <is>
          <t xml:space="preserve">                 "landed": fips2 in state_landed}</t>
        </is>
      </c>
    </row>
    <row r="1281">
      <c r="A1281" s="25" t="inlineStr">
        <is>
          <t xml:space="preserve">        if fips2 in state_landed:</t>
        </is>
      </c>
    </row>
    <row r="1282">
      <c r="A1282" s="25" t="inlineStr">
        <is>
          <t xml:space="preserve">            entry.update(geo_metrics(state_landed[fips2]["months"]))</t>
        </is>
      </c>
    </row>
    <row r="1283">
      <c r="A1283" s="25" t="inlineStr">
        <is>
          <t xml:space="preserve">        states.append(entry)</t>
        </is>
      </c>
    </row>
    <row r="1284">
      <c r="A1284" s="25" t="inlineStr"/>
    </row>
    <row r="1285">
      <c r="A1285" s="25" t="inlineStr">
        <is>
          <t xml:space="preserve">    counties = []</t>
        </is>
      </c>
    </row>
    <row r="1286">
      <c r="A1286" s="25" t="inlineStr">
        <is>
          <t xml:space="preserve">    sup_slots = {f.slot for f in suppressed}</t>
        </is>
      </c>
    </row>
    <row r="1287">
      <c r="A1287" s="25" t="inlineStr">
        <is>
          <t xml:space="preserve">    for fp, months in sorted(</t>
        </is>
      </c>
    </row>
    <row r="1288">
      <c r="A1288" s="25" t="inlineStr">
        <is>
          <t xml:space="preserve">            list(county_landed.values()) + [(f, None) for f in suppressed],</t>
        </is>
      </c>
    </row>
    <row r="1289">
      <c r="A1289" s="25" t="inlineStr">
        <is>
          <t xml:space="preserve">            key=lambda t: t[0].slot):</t>
        </is>
      </c>
    </row>
    <row r="1290">
      <c r="A1290" s="25" t="inlineStr">
        <is>
          <t xml:space="preserve">        entry = {"slot": fp.slot, "fips": fp.fips, "name": fp.name,</t>
        </is>
      </c>
    </row>
    <row r="1291">
      <c r="A1291" s="25" t="inlineStr">
        <is>
          <t xml:space="preserve">                 "state": fp.state, "entity_key": fp.entity_key,</t>
        </is>
      </c>
    </row>
    <row r="1292">
      <c r="A1292" s="25" t="inlineStr">
        <is>
          <t xml:space="preserve">                 "suppressed": fp.slot in sup_slots}</t>
        </is>
      </c>
    </row>
    <row r="1293">
      <c r="A1293" s="25" t="inlineStr">
        <is>
          <t xml:space="preserve">        if entry["suppressed"]:</t>
        </is>
      </c>
    </row>
    <row r="1294">
      <c r="A1294" s="25" t="inlineStr">
        <is>
          <t xml:space="preserve">            entry.update({"d3089_latest": None, "d3089_dev12": None,</t>
        </is>
      </c>
    </row>
    <row r="1295">
      <c r="A1295" s="25" t="inlineStr">
        <is>
          <t xml:space="preserve">                          "d90_latest": None, "d90_dev12": None,</t>
        </is>
      </c>
    </row>
    <row r="1296">
      <c r="A1296" s="25" t="inlineStr">
        <is>
          <t xml:space="preserve">                          "d90_streak": None, "flags": {},</t>
        </is>
      </c>
    </row>
    <row r="1297">
      <c r="A1297" s="25" t="inlineStr">
        <is>
          <t xml:space="preserve">                          "status": "SUPPRESSED", "severity": None})</t>
        </is>
      </c>
    </row>
    <row r="1298">
      <c r="A1298" s="25" t="inlineStr">
        <is>
          <t xml:space="preserve">            counties.append(entry)</t>
        </is>
      </c>
    </row>
    <row r="1299">
      <c r="A1299" s="25" t="inlineStr">
        <is>
          <t xml:space="preserve">            continue</t>
        </is>
      </c>
    </row>
    <row r="1300">
      <c r="A1300" s="25" t="inlineStr">
        <is>
          <t xml:space="preserve">        entry.update(geo_metrics(months))</t>
        </is>
      </c>
    </row>
    <row r="1301">
      <c r="A1301" s="25" t="inlineStr">
        <is>
          <t xml:space="preserve">        flags = {</t>
        </is>
      </c>
    </row>
    <row r="1302">
      <c r="A1302" s="25" t="inlineStr">
        <is>
          <t xml:space="preserve">            "d3089_dev12m": status_for(entry["d3089_dev12"], thr_dev),</t>
        </is>
      </c>
    </row>
    <row r="1303">
      <c r="A1303" s="25" t="inlineStr">
        <is>
          <t xml:space="preserve">            "d90_streak3": status_for(entry["d90_streak"], thr_stk),</t>
        </is>
      </c>
    </row>
    <row r="1304">
      <c r="A1304" s="25" t="inlineStr">
        <is>
          <t xml:space="preserve">            "d90_level": status_for(entry["d90_latest"], thr_lvl),</t>
        </is>
      </c>
    </row>
    <row r="1305">
      <c r="A1305" s="25" t="inlineStr">
        <is>
          <t xml:space="preserve">        }</t>
        </is>
      </c>
    </row>
    <row r="1306">
      <c r="A1306" s="25" t="inlineStr">
        <is>
          <t xml:space="preserve">        sev = max(SEVERITY[f] for f in flags.values())</t>
        </is>
      </c>
    </row>
    <row r="1307">
      <c r="A1307" s="25" t="inlineStr">
        <is>
          <t xml:space="preserve">        entry["flags"] = flags</t>
        </is>
      </c>
    </row>
    <row r="1308">
      <c r="A1308" s="25" t="inlineStr">
        <is>
          <t xml:space="preserve">        entry["status"] = {0: "OK", 1: "WATCH", 2: "ALERT"}[sev]</t>
        </is>
      </c>
    </row>
    <row r="1309">
      <c r="A1309" s="25" t="inlineStr">
        <is>
          <t xml:space="preserve">        entry["severity"] = sev</t>
        </is>
      </c>
    </row>
    <row r="1310">
      <c r="A1310" s="25" t="inlineStr">
        <is>
          <t xml:space="preserve">        counties.append(entry)</t>
        </is>
      </c>
    </row>
    <row r="1311">
      <c r="A1311" s="25" t="inlineStr"/>
    </row>
    <row r="1312">
      <c r="A1312" s="25" t="inlineStr">
        <is>
          <t xml:space="preserve">    return {"national": national, "states": states, "counties": counties}</t>
        </is>
      </c>
    </row>
    <row r="1313">
      <c r="A1313" s="25" t="inlineStr"/>
    </row>
    <row r="1314">
      <c r="A1314" s="25" t="inlineStr"/>
    </row>
    <row r="1315">
      <c r="A1315" s="25" t="inlineStr">
        <is>
          <t>def run(workbook_path: str, demo: bool = False, asof: Optional[date] = None,</t>
        </is>
      </c>
    </row>
    <row r="1316">
      <c r="A1316" s="25" t="inlineStr">
        <is>
          <t xml:space="preserve">        provider: Optional[Provider] = None) -&gt; dict:</t>
        </is>
      </c>
    </row>
    <row r="1317">
      <c r="A1317" s="25" t="inlineStr">
        <is>
          <t xml:space="preserve">    """One refresh against the CLOSED workbook. `provider` is injectable for</t>
        </is>
      </c>
    </row>
    <row r="1318">
      <c r="A1318" s="25" t="inlineStr">
        <is>
          <t xml:space="preserve">    tests (e.g. the two-vintage full-replace regression)."""</t>
        </is>
      </c>
    </row>
    <row r="1319">
      <c r="A1319" s="25" t="inlineStr">
        <is>
          <t xml:space="preserve">    asof = asof or date.today()</t>
        </is>
      </c>
    </row>
    <row r="1320">
      <c r="A1320" s="25" t="inlineStr">
        <is>
          <t xml:space="preserve">    backend = OpenpyxlBackend(workbook_path)</t>
        </is>
      </c>
    </row>
    <row r="1321">
      <c r="A1321" s="25" t="inlineStr">
        <is>
          <t xml:space="preserve">    cfg = backend.read_config()</t>
        </is>
      </c>
    </row>
    <row r="1322">
      <c r="A1322" s="25" t="inlineStr"/>
    </row>
    <row r="1323">
      <c r="A1323" s="25" t="inlineStr">
        <is>
          <t xml:space="preserve">    # Hard gates BEFORE any fetch (BUILD SPEC 0.1 / sec 3).</t>
        </is>
      </c>
    </row>
    <row r="1324">
      <c r="A1324" s="25" t="inlineStr">
        <is>
          <t xml:space="preserve">    validate_series(cfg.series)</t>
        </is>
      </c>
    </row>
    <row r="1325">
      <c r="A1325" s="25" t="inlineStr">
        <is>
          <t xml:space="preserve">    assert_series_admissible(cfg.series)</t>
        </is>
      </c>
    </row>
    <row r="1326">
      <c r="A1326" s="25" t="inlineStr">
        <is>
          <t xml:space="preserve">    validate_footprint_capacity(cfg)</t>
        </is>
      </c>
    </row>
    <row r="1327">
      <c r="A1327" s="25" t="inlineStr">
        <is>
          <t xml:space="preserve">    admitted, refusals, excluded = evaluate_footprint(cfg)</t>
        </is>
      </c>
    </row>
    <row r="1328">
      <c r="A1328" s="25" t="inlineStr">
        <is>
          <t xml:space="preserve">    smap = state_slot_map(cfg)</t>
        </is>
      </c>
    </row>
    <row r="1329">
      <c r="A1329" s="25" t="inlineStr"/>
    </row>
    <row r="1330">
      <c r="A1330" s="25" t="inlineStr">
        <is>
          <t xml:space="preserve">    if provider is None:</t>
        </is>
      </c>
    </row>
    <row r="1331">
      <c r="A1331" s="25" t="inlineStr">
        <is>
          <t xml:space="preserve">        provider = make_provider(cfg, demo, asof)</t>
        </is>
      </c>
    </row>
    <row r="1332">
      <c r="A1332" s="25" t="inlineStr">
        <is>
          <t xml:space="preserve">    mode = "demo" if isinstance(provider, CfpbDemoProvider) else "live"</t>
        </is>
      </c>
    </row>
    <row r="1333">
      <c r="A1333" s="25" t="inlineStr"/>
    </row>
    <row r="1334">
      <c r="A1334" s="25" t="inlineStr">
        <is>
          <t xml:space="preserve">    # Stateless FULL REPLACE (BUILD SPEC 0.2): blank the national block,</t>
        </is>
      </c>
    </row>
    <row r="1335">
      <c r="A1335" s="25" t="inlineStr">
        <is>
          <t xml:space="preserve">    # every state slot and every county slot 1..capacity FIRST -- every CFPB</t>
        </is>
      </c>
    </row>
    <row r="1336">
      <c r="A1336" s="25" t="inlineStr">
        <is>
          <t xml:space="preserve">    # vintage revises the ENTIRE history, and removed/refused/suppressed</t>
        </is>
      </c>
    </row>
    <row r="1337">
      <c r="A1337" s="25" t="inlineStr">
        <is>
          <t xml:space="preserve">    # slots must show blank under the fresh timestamp, never the previous</t>
        </is>
      </c>
    </row>
    <row r="1338">
      <c r="A1338" s="25" t="inlineStr">
        <is>
          <t xml:space="preserve">    # vintage. This also validates the workbook's raw layout before any</t>
        </is>
      </c>
    </row>
    <row r="1339">
      <c r="A1339" s="25" t="inlineStr">
        <is>
          <t xml:space="preserve">    # fetch.</t>
        </is>
      </c>
    </row>
    <row r="1340">
      <c r="A1340" s="25" t="inlineStr">
        <is>
          <t xml:space="preserve">    backend.clear_geo_block(geo_block("national", 0, cfg.raw_slots))</t>
        </is>
      </c>
    </row>
    <row r="1341">
      <c r="A1341" s="25" t="inlineStr">
        <is>
          <t xml:space="preserve">    for slot in range(1, STATE_SLOTS + 1):</t>
        </is>
      </c>
    </row>
    <row r="1342">
      <c r="A1342" s="25" t="inlineStr">
        <is>
          <t xml:space="preserve">        backend.clear_geo_block(geo_block("state", slot, cfg.raw_slots))</t>
        </is>
      </c>
    </row>
    <row r="1343">
      <c r="A1343" s="25" t="inlineStr">
        <is>
          <t xml:space="preserve">    for slot in range(1, cfg.footprint_slots + 1):</t>
        </is>
      </c>
    </row>
    <row r="1344">
      <c r="A1344" s="25" t="inlineStr">
        <is>
          <t xml:space="preserve">        backend.clear_geo_block(geo_block("county", slot, cfg.raw_slots))</t>
        </is>
      </c>
    </row>
    <row r="1345">
      <c r="A1345" s="25" t="inlineStr"/>
    </row>
    <row r="1346">
      <c r="A1346" s="25" t="inlineStr">
        <is>
          <t xml:space="preserve">    errors: List[str] = []</t>
        </is>
      </c>
    </row>
    <row r="1347">
      <c r="A1347" s="25" t="inlineStr">
        <is>
          <t xml:space="preserve">    nat_months = None</t>
        </is>
      </c>
    </row>
    <row r="1348">
      <c r="A1348" s="25" t="inlineStr">
        <is>
          <t xml:space="preserve">    state_landed: Dict[str, dict] = {}</t>
        </is>
      </c>
    </row>
    <row r="1349">
      <c r="A1349" s="25" t="inlineStr">
        <is>
          <t xml:space="preserve">    county_landed: Dict[int, Tuple[FootprintRow, list]] = {}</t>
        </is>
      </c>
    </row>
    <row r="1350">
      <c r="A1350" s="25" t="inlineStr">
        <is>
          <t xml:space="preserve">    suppressed: List[FootprintRow] = []</t>
        </is>
      </c>
    </row>
    <row r="1351">
      <c r="A1351" s="25" t="inlineStr">
        <is>
          <t xml:space="preserve">    try:</t>
        </is>
      </c>
    </row>
    <row r="1352">
      <c r="A1352" s="25" t="inlineStr">
        <is>
          <t xml:space="preserve">        provider.prime(asof)</t>
        </is>
      </c>
    </row>
    <row r="1353">
      <c r="A1353" s="25" t="inlineStr">
        <is>
          <t xml:space="preserve">    except Exception as exc:</t>
        </is>
      </c>
    </row>
    <row r="1354">
      <c r="A1354" s="25" t="inlineStr">
        <is>
          <t xml:space="preserve">        errors.append(f"fetch: {exc}")</t>
        </is>
      </c>
    </row>
    <row r="1355">
      <c r="A1355" s="25" t="inlineStr">
        <is>
          <t xml:space="preserve">    else:</t>
        </is>
      </c>
    </row>
    <row r="1356">
      <c r="A1356" s="25" t="inlineStr">
        <is>
          <t xml:space="preserve">        # ---- national ----</t>
        </is>
      </c>
    </row>
    <row r="1357">
      <c r="A1357" s="25" t="inlineStr">
        <is>
          <t xml:space="preserve">        try:</t>
        </is>
      </c>
    </row>
    <row r="1358">
      <c r="A1358" s="25" t="inlineStr">
        <is>
          <t xml:space="preserve">            rows = {m: provider.fetch_series(make_national_spec(m))</t>
        </is>
      </c>
    </row>
    <row r="1359">
      <c r="A1359" s="25" t="inlineStr">
        <is>
          <t xml:space="preserve">                    for m in MEASURES}</t>
        </is>
      </c>
    </row>
    <row r="1360">
      <c r="A1360" s="25" t="inlineStr">
        <is>
          <t xml:space="preserve">            nat_months = assemble_months(rows, cfg.raw_slots)</t>
        </is>
      </c>
    </row>
    <row r="1361">
      <c r="A1361" s="25" t="inlineStr">
        <is>
          <t xml:space="preserve">            backend.write_geo_block(</t>
        </is>
      </c>
    </row>
    <row r="1362">
      <c r="A1362" s="25" t="inlineStr">
        <is>
          <t xml:space="preserve">                geo_block("national", 0, cfg.raw_slots),</t>
        </is>
      </c>
    </row>
    <row r="1363">
      <c r="A1363" s="25" t="inlineStr">
        <is>
          <t xml:space="preserve">                "nat national", "UNITED STATES", "RegionType=National",</t>
        </is>
      </c>
    </row>
    <row r="1364">
      <c r="A1364" s="25" t="inlineStr">
        <is>
          <t xml:space="preserve">                nat_months)</t>
        </is>
      </c>
    </row>
    <row r="1365">
      <c r="A1365" s="25" t="inlineStr">
        <is>
          <t xml:space="preserve">        except Exception as exc:</t>
        </is>
      </c>
    </row>
    <row r="1366">
      <c r="A1366" s="25" t="inlineStr">
        <is>
          <t xml:space="preserve">            errors.append(f"national: {exc}")</t>
        </is>
      </c>
    </row>
    <row r="1367">
      <c r="A1367" s="25" t="inlineStr">
        <is>
          <t xml:space="preserve">        # ---- states (dashboard context) ----</t>
        </is>
      </c>
    </row>
    <row r="1368">
      <c r="A1368" s="25" t="inlineStr">
        <is>
          <t xml:space="preserve">        abbrevs = {}</t>
        </is>
      </c>
    </row>
    <row r="1369">
      <c r="A1369" s="25" t="inlineStr">
        <is>
          <t xml:space="preserve">        for s in state_series(cfg):</t>
        </is>
      </c>
    </row>
    <row r="1370">
      <c r="A1370" s="25" t="inlineStr">
        <is>
          <t xml:space="preserve">            fips2 = s.geo_segment.split(":", 1)[1]</t>
        </is>
      </c>
    </row>
    <row r="1371">
      <c r="A1371" s="25" t="inlineStr">
        <is>
          <t xml:space="preserve">            abbrevs.setdefault(fips2, s.title.split(" ", 1)[0])</t>
        </is>
      </c>
    </row>
    <row r="1372">
      <c r="A1372" s="25" t="inlineStr">
        <is>
          <t xml:space="preserve">        for fips2, slot in sorted(smap.items(), key=lambda kv: kv[1]):</t>
        </is>
      </c>
    </row>
    <row r="1373">
      <c r="A1373" s="25" t="inlineStr">
        <is>
          <t xml:space="preserve">            try:</t>
        </is>
      </c>
    </row>
    <row r="1374">
      <c r="A1374" s="25" t="inlineStr">
        <is>
          <t xml:space="preserve">                rows = {m: provider.fetch_series(</t>
        </is>
      </c>
    </row>
    <row r="1375">
      <c r="A1375" s="25" t="inlineStr">
        <is>
          <t xml:space="preserve">                    make_state_spec(slot, fips2, m)) for m in MEASURES}</t>
        </is>
      </c>
    </row>
    <row r="1376">
      <c r="A1376" s="25" t="inlineStr">
        <is>
          <t xml:space="preserve">                if not any(rows.values()):</t>
        </is>
      </c>
    </row>
    <row r="1377">
      <c r="A1377" s="25" t="inlineStr">
        <is>
          <t xml:space="preserve">                    errors.append(f"st{slot:02d} state:{fips2}: no data "</t>
        </is>
      </c>
    </row>
    <row r="1378">
      <c r="A1378" s="25" t="inlineStr">
        <is>
          <t xml:space="preserve">                                  "in the state file")</t>
        </is>
      </c>
    </row>
    <row r="1379">
      <c r="A1379" s="25" t="inlineStr">
        <is>
          <t xml:space="preserve">                    continue</t>
        </is>
      </c>
    </row>
    <row r="1380">
      <c r="A1380" s="25" t="inlineStr">
        <is>
          <t xml:space="preserve">                months = assemble_months(rows, cfg.raw_slots)</t>
        </is>
      </c>
    </row>
    <row r="1381">
      <c r="A1381" s="25" t="inlineStr">
        <is>
          <t xml:space="preserve">                ab = abbrevs.get(fips2, "")</t>
        </is>
      </c>
    </row>
    <row r="1382">
      <c r="A1382" s="25" t="inlineStr">
        <is>
          <t xml:space="preserve">                backend.write_geo_block(</t>
        </is>
      </c>
    </row>
    <row r="1383">
      <c r="A1383" s="25" t="inlineStr">
        <is>
          <t xml:space="preserve">                    geo_block("state", slot, cfg.raw_slots),</t>
        </is>
      </c>
    </row>
    <row r="1384">
      <c r="A1384" s="25" t="inlineStr">
        <is>
          <t xml:space="preserve">                    f"st{slot:02d} state:{fips2}", ab,</t>
        </is>
      </c>
    </row>
    <row r="1385">
      <c r="A1385" s="25" t="inlineStr">
        <is>
          <t xml:space="preserve">                    fips2, months)</t>
        </is>
      </c>
    </row>
    <row r="1386">
      <c r="A1386" s="25" t="inlineStr">
        <is>
          <t xml:space="preserve">                state_landed[fips2] = {"months": months, "abbrev": ab,</t>
        </is>
      </c>
    </row>
    <row r="1387">
      <c r="A1387" s="25" t="inlineStr">
        <is>
          <t xml:space="preserve">                                       "slot": slot}</t>
        </is>
      </c>
    </row>
    <row r="1388">
      <c r="A1388" s="25" t="inlineStr">
        <is>
          <t xml:space="preserve">            except Exception as exc:</t>
        </is>
      </c>
    </row>
    <row r="1389">
      <c r="A1389" s="25" t="inlineStr">
        <is>
          <t xml:space="preserve">                errors.append(f"st{slot:02d} state:{fips2}: {exc}")</t>
        </is>
      </c>
    </row>
    <row r="1390">
      <c r="A1390" s="25" t="inlineStr">
        <is>
          <t xml:space="preserve">        # ---- footprint counties (the watchlist lane) ----</t>
        </is>
      </c>
    </row>
    <row r="1391">
      <c r="A1391" s="25" t="inlineStr">
        <is>
          <t xml:space="preserve">        for fp in admitted:</t>
        </is>
      </c>
    </row>
    <row r="1392">
      <c r="A1392" s="25" t="inlineStr">
        <is>
          <t xml:space="preserve">            try:</t>
        </is>
      </c>
    </row>
    <row r="1393">
      <c r="A1393" s="25" t="inlineStr">
        <is>
          <t xml:space="preserve">                rows = {m: provider.fetch_series(make_county_spec(fp, m))</t>
        </is>
      </c>
    </row>
    <row r="1394">
      <c r="A1394" s="25" t="inlineStr">
        <is>
          <t xml:space="preserve">                        for m in MEASURES}</t>
        </is>
      </c>
    </row>
    <row r="1395">
      <c r="A1395" s="25" t="inlineStr">
        <is>
          <t xml:space="preserve">            except Exception as exc:</t>
        </is>
      </c>
    </row>
    <row r="1396">
      <c r="A1396" s="25" t="inlineStr">
        <is>
          <t xml:space="preserve">                errors.append(f"co{fp.slot:02d} {fp.entity_key}: {exc}")</t>
        </is>
      </c>
    </row>
    <row r="1397">
      <c r="A1397" s="25" t="inlineStr">
        <is>
          <t xml:space="preserve">                continue</t>
        </is>
      </c>
    </row>
    <row r="1398">
      <c r="A1398" s="25" t="inlineStr">
        <is>
          <t xml:space="preserve">            if not any(rows.values()):</t>
        </is>
      </c>
    </row>
    <row r="1399">
      <c r="A1399" s="25" t="inlineStr">
        <is>
          <t xml:space="preserve">                # ABSENT from the vintage = SUPPRESSED (trap C4): identity</t>
        </is>
      </c>
    </row>
    <row r="1400">
      <c r="A1400" s="25" t="inlineStr">
        <is>
          <t xml:space="preserve">                # is written so the block is explicit, data stays blank, and</t>
        </is>
      </c>
    </row>
    <row r="1401">
      <c r="A1401" s="25" t="inlineStr">
        <is>
          <t xml:space="preserve">                # the Watchlist formula renders the SUPPRESSED text.</t>
        </is>
      </c>
    </row>
    <row r="1402">
      <c r="A1402" s="25" t="inlineStr">
        <is>
          <t xml:space="preserve">                backend.write_block_identity(</t>
        </is>
      </c>
    </row>
    <row r="1403">
      <c r="A1403" s="25" t="inlineStr">
        <is>
          <t xml:space="preserve">                    geo_block("county", fp.slot, cfg.raw_slots),</t>
        </is>
      </c>
    </row>
    <row r="1404">
      <c r="A1404" s="25" t="inlineStr">
        <is>
          <t xml:space="preserve">                    f"co{fp.slot:02d} {fp.entity_key}", fp.name,</t>
        </is>
      </c>
    </row>
    <row r="1405">
      <c r="A1405" s="25" t="inlineStr">
        <is>
          <t xml:space="preserve">                    "SUPPRESSED: absent from this vintage (below the "</t>
        </is>
      </c>
    </row>
    <row r="1406">
      <c r="A1406" s="25" t="inlineStr">
        <is>
          <t xml:space="preserve">                    "~1,000-mortgage sample threshold) -- use the state row")</t>
        </is>
      </c>
    </row>
    <row r="1407">
      <c r="A1407" s="25" t="inlineStr">
        <is>
          <t xml:space="preserve">                suppressed.append(fp)</t>
        </is>
      </c>
    </row>
    <row r="1408">
      <c r="A1408" s="25" t="inlineStr">
        <is>
          <t xml:space="preserve">                continue</t>
        </is>
      </c>
    </row>
    <row r="1409">
      <c r="A1409" s="25" t="inlineStr">
        <is>
          <t xml:space="preserve">            months = assemble_months(rows, cfg.raw_slots)</t>
        </is>
      </c>
    </row>
    <row r="1410">
      <c r="A1410" s="25" t="inlineStr">
        <is>
          <t xml:space="preserve">            backend.write_geo_block(</t>
        </is>
      </c>
    </row>
    <row r="1411">
      <c r="A1411" s="25" t="inlineStr">
        <is>
          <t xml:space="preserve">                geo_block("county", fp.slot, cfg.raw_slots),</t>
        </is>
      </c>
    </row>
    <row r="1412">
      <c r="A1412" s="25" t="inlineStr">
        <is>
          <t xml:space="preserve">                f"co{fp.slot:02d} {fp.entity_key}", fp.name,</t>
        </is>
      </c>
    </row>
    <row r="1413">
      <c r="A1413" s="25" t="inlineStr">
        <is>
          <t xml:space="preserve">                f"{fp.state}", months)</t>
        </is>
      </c>
    </row>
    <row r="1414">
      <c r="A1414" s="25" t="inlineStr">
        <is>
          <t xml:space="preserve">            county_landed[fp.slot] = (fp, months)</t>
        </is>
      </c>
    </row>
    <row r="1415">
      <c r="A1415" s="25" t="inlineStr"/>
    </row>
    <row r="1416">
      <c r="A1416" s="25" t="inlineStr">
        <is>
          <t xml:space="preserve">    digest = compute_digest(cfg, asof, nat_months, state_landed,</t>
        </is>
      </c>
    </row>
    <row r="1417">
      <c r="A1417" s="25" t="inlineStr">
        <is>
          <t xml:space="preserve">                            county_landed, suppressed, smap)</t>
        </is>
      </c>
    </row>
    <row r="1418">
      <c r="A1418" s="25" t="inlineStr">
        <is>
          <t xml:space="preserve">    warn = continuity_warning(asof, provider.vintage, cfg.continuity_months) \</t>
        </is>
      </c>
    </row>
    <row r="1419">
      <c r="A1419" s="25" t="inlineStr">
        <is>
          <t xml:space="preserve">        if provider.vintage else ("CONTINUITY WARNING: no vintage recorded "</t>
        </is>
      </c>
    </row>
    <row r="1420">
      <c r="A1420" s="25" t="inlineStr">
        <is>
          <t xml:space="preserve">                                  "(fetch failed?)")</t>
        </is>
      </c>
    </row>
    <row r="1421">
      <c r="A1421" s="25" t="inlineStr">
        <is>
          <t xml:space="preserve">    live = [c for c in digest["counties"] if not c["suppressed"]]</t>
        </is>
      </c>
    </row>
    <row r="1422">
      <c r="A1422" s="25" t="inlineStr">
        <is>
          <t xml:space="preserve">    # footprint states with no state dashboard row: honest note, not a gate</t>
        </is>
      </c>
    </row>
    <row r="1423">
      <c r="A1423" s="25" t="inlineStr">
        <is>
          <t xml:space="preserve">    missing_states = sorted({fp.state for fp in admitted if fp.state</t>
        </is>
      </c>
    </row>
    <row r="1424">
      <c r="A1424" s="25" t="inlineStr">
        <is>
          <t xml:space="preserve">                             and fp.state not in</t>
        </is>
      </c>
    </row>
    <row r="1425">
      <c r="A1425" s="25" t="inlineStr">
        <is>
          <t xml:space="preserve">                             {s.title.split(" ", 1)[0]</t>
        </is>
      </c>
    </row>
    <row r="1426">
      <c r="A1426" s="25" t="inlineStr">
        <is>
          <t xml:space="preserve">                              for s in state_series(cfg)}})</t>
        </is>
      </c>
    </row>
    <row r="1427">
      <c r="A1427" s="25" t="inlineStr">
        <is>
          <t xml:space="preserve">    notes = []</t>
        </is>
      </c>
    </row>
    <row r="1428">
      <c r="A1428" s="25" t="inlineStr">
        <is>
          <t xml:space="preserve">    if missing_states:</t>
        </is>
      </c>
    </row>
    <row r="1429">
      <c r="A1429" s="25" t="inlineStr">
        <is>
          <t xml:space="preserve">        notes.append("footprint states without a state dashboard row: "</t>
        </is>
      </c>
    </row>
    <row r="1430">
      <c r="A1430" s="25" t="inlineStr">
        <is>
          <t xml:space="preserve">                     + ", ".join(missing_states)</t>
        </is>
      </c>
    </row>
    <row r="1431">
      <c r="A1431" s="25" t="inlineStr">
        <is>
          <t xml:space="preserve">                     + " (add st_* rows to _config [SERIES] if wanted)")</t>
        </is>
      </c>
    </row>
    <row r="1432">
      <c r="A1432" s="25" t="inlineStr">
        <is>
          <t xml:space="preserve">    status = {</t>
        </is>
      </c>
    </row>
    <row r="1433">
      <c r="A1433" s="25" t="inlineStr">
        <is>
          <t xml:space="preserve">        "timestamp": asof.isoformat(),</t>
        </is>
      </c>
    </row>
    <row r="1434">
      <c r="A1434" s="25" t="inlineStr">
        <is>
          <t xml:space="preserve">        "mode": mode,</t>
        </is>
      </c>
    </row>
    <row r="1435">
      <c r="A1435" s="25" t="inlineStr">
        <is>
          <t xml:space="preserve">        "footprint_slots": cfg.footprint_slots,</t>
        </is>
      </c>
    </row>
    <row r="1436">
      <c r="A1436" s="25" t="inlineStr">
        <is>
          <t xml:space="preserve">        "counties_active": len(admitted) + len(refusals),</t>
        </is>
      </c>
    </row>
    <row r="1437">
      <c r="A1437" s="25" t="inlineStr">
        <is>
          <t xml:space="preserve">        "counties_landed": len(county_landed),</t>
        </is>
      </c>
    </row>
    <row r="1438">
      <c r="A1438" s="25" t="inlineStr">
        <is>
          <t xml:space="preserve">        "counties_suppressed": len(suppressed),</t>
        </is>
      </c>
    </row>
    <row r="1439">
      <c r="A1439" s="25" t="inlineStr">
        <is>
          <t xml:space="preserve">        "counties_excluded": len(excluded),</t>
        </is>
      </c>
    </row>
    <row r="1440">
      <c r="A1440" s="25" t="inlineStr">
        <is>
          <t xml:space="preserve">        # suppression excludes a county from every alert KPI (BUILD SPEC 0.6)</t>
        </is>
      </c>
    </row>
    <row r="1441">
      <c r="A1441" s="25" t="inlineStr">
        <is>
          <t xml:space="preserve">        "alert_counties": sum(1 for c in live if c["status"] == "ALERT"),</t>
        </is>
      </c>
    </row>
    <row r="1442">
      <c r="A1442" s="25" t="inlineStr">
        <is>
          <t xml:space="preserve">        "watch_counties": sum(1 for c in live if c["status"] == "WATCH"),</t>
        </is>
      </c>
    </row>
    <row r="1443">
      <c r="A1443" s="25" t="inlineStr">
        <is>
          <t xml:space="preserve">        "states_landed": len(state_landed),</t>
        </is>
      </c>
    </row>
    <row r="1444">
      <c r="A1444" s="25" t="inlineStr">
        <is>
          <t xml:space="preserve">        "vintage": provider.vintage,</t>
        </is>
      </c>
    </row>
    <row r="1445">
      <c r="A1445" s="25" t="inlineStr">
        <is>
          <t xml:space="preserve">        "vintage_source": provider.vintage_source,</t>
        </is>
      </c>
    </row>
    <row r="1446">
      <c r="A1446" s="25" t="inlineStr">
        <is>
          <t xml:space="preserve">        "months_behind": months_behind(asof, provider.vintage),</t>
        </is>
      </c>
    </row>
    <row r="1447">
      <c r="A1447" s="25" t="inlineStr">
        <is>
          <t xml:space="preserve">        "continuity_months": cfg.continuity_months,</t>
        </is>
      </c>
    </row>
    <row r="1448">
      <c r="A1448" s="25" t="inlineStr">
        <is>
          <t xml:space="preserve">        "continuity_warning": warn,</t>
        </is>
      </c>
    </row>
    <row r="1449">
      <c r="A1449" s="25" t="inlineStr">
        <is>
          <t xml:space="preserve">        "digest": digest,</t>
        </is>
      </c>
    </row>
    <row r="1450">
      <c r="A1450" s="25" t="inlineStr">
        <is>
          <t xml:space="preserve">        "watchlist_refusals": [m for _, m in refusals],</t>
        </is>
      </c>
    </row>
    <row r="1451">
      <c r="A1451" s="25" t="inlineStr">
        <is>
          <t xml:space="preserve">        "watchlist_admitted": [f"co{f.slot:02d} {f.entity_key}"</t>
        </is>
      </c>
    </row>
    <row r="1452">
      <c r="A1452" s="25" t="inlineStr">
        <is>
          <t xml:space="preserve">                               for f in admitted],</t>
        </is>
      </c>
    </row>
    <row r="1453">
      <c r="A1453" s="25" t="inlineStr">
        <is>
          <t xml:space="preserve">        "suppressed_counties": [f"co{f.slot:02d} {f.entity_key} {f.name}"</t>
        </is>
      </c>
    </row>
    <row r="1454">
      <c r="A1454" s="25" t="inlineStr">
        <is>
          <t xml:space="preserve">                                for f in suppressed],</t>
        </is>
      </c>
    </row>
    <row r="1455">
      <c r="A1455" s="25" t="inlineStr">
        <is>
          <t xml:space="preserve">        "notes": notes,</t>
        </is>
      </c>
    </row>
    <row r="1456">
      <c r="A1456" s="25" t="inlineStr">
        <is>
          <t xml:space="preserve">        "errors": errors[:25],</t>
        </is>
      </c>
    </row>
    <row r="1457">
      <c r="A1457" s="25" t="inlineStr">
        <is>
          <t xml:space="preserve">    }</t>
        </is>
      </c>
    </row>
    <row r="1458">
      <c r="A1458" s="25" t="inlineStr">
        <is>
          <t xml:space="preserve">    backend.write_status(status)</t>
        </is>
      </c>
    </row>
    <row r="1459">
      <c r="A1459" s="25" t="inlineStr">
        <is>
          <t xml:space="preserve">    backend.finalize()</t>
        </is>
      </c>
    </row>
    <row r="1460">
      <c r="A1460" s="25" t="inlineStr">
        <is>
          <t xml:space="preserve">    return status</t>
        </is>
      </c>
    </row>
    <row r="1461">
      <c r="A1461" s="25" t="inlineStr"/>
    </row>
    <row r="1462">
      <c r="A1462" s="25" t="inlineStr"/>
    </row>
    <row r="1463">
      <c r="A1463" s="25" t="inlineStr">
        <is>
          <t># ---------------------------------------------------------------------------</t>
        </is>
      </c>
    </row>
    <row r="1464">
      <c r="A1464" s="25" t="inlineStr">
        <is>
          <t># CLI (contract sec 4) + --lookup (offline-friendly)</t>
        </is>
      </c>
    </row>
    <row r="1465">
      <c r="A1465" s="25" t="inlineStr">
        <is>
          <t># ---------------------------------------------------------------------------</t>
        </is>
      </c>
    </row>
    <row r="1466">
      <c r="A1466" s="25" t="inlineStr">
        <is>
          <t>def do_lookup(name: str, demo: bool) -&gt; int:</t>
        </is>
      </c>
    </row>
    <row r="1467">
      <c r="A1467" s="25" t="inlineStr">
        <is>
          <t xml:space="preserve">    needle = name.strip().lower()</t>
        </is>
      </c>
    </row>
    <row r="1468">
      <c r="A1468" s="25" t="inlineStr">
        <is>
          <t xml:space="preserve">    if demo:</t>
        </is>
      </c>
    </row>
    <row r="1469">
      <c r="A1469" s="25" t="inlineStr">
        <is>
          <t xml:space="preserve">        hits = [{"fips": f, "name": n, "state": st}</t>
        </is>
      </c>
    </row>
    <row r="1470">
      <c r="A1470" s="25" t="inlineStr">
        <is>
          <t xml:space="preserve">                for f, (n, st) in sorted(MINI_INDEX.items())</t>
        </is>
      </c>
    </row>
    <row r="1471">
      <c r="A1471" s="25" t="inlineStr">
        <is>
          <t xml:space="preserve">                if needle in f"{n} {st}".lower()]</t>
        </is>
      </c>
    </row>
    <row r="1472">
      <c r="A1472" s="25" t="inlineStr">
        <is>
          <t xml:space="preserve">        src = (f"offline mini-index ({len(MINI_INDEX)} well-known counties; "</t>
        </is>
      </c>
    </row>
    <row r="1473">
      <c r="A1473" s="25" t="inlineStr">
        <is>
          <t xml:space="preserve">               "run without --demo to grep the full CFPB county file, "</t>
        </is>
      </c>
    </row>
    <row r="1474">
      <c r="A1474" s="25" t="inlineStr">
        <is>
          <t xml:space="preserve">               "~470 counties)")</t>
        </is>
      </c>
    </row>
    <row r="1475">
      <c r="A1475" s="25" t="inlineStr">
        <is>
          <t xml:space="preserve">    else:</t>
        </is>
      </c>
    </row>
    <row r="1476">
      <c r="A1476" s="25" t="inlineStr">
        <is>
          <t xml:space="preserve">        prov = CfpbProvider()</t>
        </is>
      </c>
    </row>
    <row r="1477">
      <c r="A1477" s="25" t="inlineStr">
        <is>
          <t xml:space="preserve">        try:</t>
        </is>
      </c>
    </row>
    <row r="1478">
      <c r="A1478" s="25" t="inlineStr">
        <is>
          <t xml:space="preserve">            hits = prov.lookup(name)</t>
        </is>
      </c>
    </row>
    <row r="1479">
      <c r="A1479" s="25" t="inlineStr">
        <is>
          <t xml:space="preserve">        except Exception as exc:</t>
        </is>
      </c>
    </row>
    <row r="1480">
      <c r="A1480" s="25" t="inlineStr">
        <is>
          <t xml:space="preserve">            sys.stderr.write(</t>
        </is>
      </c>
    </row>
    <row r="1481">
      <c r="A1481" s="25" t="inlineStr">
        <is>
          <t xml:space="preserve">                f"lookup failed: {exc}\n"</t>
        </is>
      </c>
    </row>
    <row r="1482">
      <c r="A1482" s="25" t="inlineStr">
        <is>
          <t xml:space="preserve">                "Check network access to consumerfinance.gov (keyless; no "</t>
        </is>
      </c>
    </row>
    <row r="1483">
      <c r="A1483" s="25" t="inlineStr">
        <is>
          <t xml:space="preserve">                "account needed), or use the offline mini-index: "</t>
        </is>
      </c>
    </row>
    <row r="1484">
      <c r="A1484" s="25" t="inlineStr">
        <is>
          <t xml:space="preserve">                f'python runner.py --lookup "{name}" --demo\n')</t>
        </is>
      </c>
    </row>
    <row r="1485">
      <c r="A1485" s="25" t="inlineStr">
        <is>
          <t xml:space="preserve">            return 1</t>
        </is>
      </c>
    </row>
    <row r="1486">
      <c r="A1486" s="25" t="inlineStr">
        <is>
          <t xml:space="preserve">        src = f"CFPB county file {prov.vintage or ''}".strip()</t>
        </is>
      </c>
    </row>
    <row r="1487">
      <c r="A1487" s="25" t="inlineStr">
        <is>
          <t xml:space="preserve">    if not hits:</t>
        </is>
      </c>
    </row>
    <row r="1488">
      <c r="A1488" s="25" t="inlineStr">
        <is>
          <t xml:space="preserve">        print(f'No counties matched "{name}" ({src}).')</t>
        </is>
      </c>
    </row>
    <row r="1489">
      <c r="A1489" s="25" t="inlineStr">
        <is>
          <t xml:space="preserve">        print("NOTE: only counties above the ~1,000-sample-mortgage "</t>
        </is>
      </c>
    </row>
    <row r="1490">
      <c r="A1490" s="25" t="inlineStr">
        <is>
          <t xml:space="preserve">              "threshold appear in the live file; a missing rural county "</t>
        </is>
      </c>
    </row>
    <row r="1491">
      <c r="A1491" s="25" t="inlineStr">
        <is>
          <t xml:space="preserve">              "is SUPPRESSED by the source -- use its state row.")</t>
        </is>
      </c>
    </row>
    <row r="1492">
      <c r="A1492" s="25" t="inlineStr">
        <is>
          <t xml:space="preserve">        return 0</t>
        </is>
      </c>
    </row>
    <row r="1493">
      <c r="A1493" s="25" t="inlineStr">
        <is>
          <t xml:space="preserve">    print(f'{"FIPS":&gt;6}  {"ST":&lt;3} COUNTY        [{src}]')</t>
        </is>
      </c>
    </row>
    <row r="1494">
      <c r="A1494" s="25" t="inlineStr">
        <is>
          <t xml:space="preserve">    for d in hits:</t>
        </is>
      </c>
    </row>
    <row r="1495">
      <c r="A1495" s="25" t="inlineStr">
        <is>
          <t xml:space="preserve">        print(f'{d["fips"]:&gt;6}  {d["state"]:&lt;3} {d["name"]}')</t>
        </is>
      </c>
    </row>
    <row r="1496">
      <c r="A1496" s="25" t="inlineStr">
        <is>
          <t xml:space="preserve">    print("\nPut the FIPS into the _config [FOOTPRINT] table "</t>
        </is>
      </c>
    </row>
    <row r="1497">
      <c r="A1497" s="25" t="inlineStr">
        <is>
          <t xml:space="preserve">          "(slot | fips | name | state | active) and re-run the runner -- "</t>
        </is>
      </c>
    </row>
    <row r="1498">
      <c r="A1498" s="25" t="inlineStr">
        <is>
          <t xml:space="preserve">          "no rebuild needed within the built slot capacity. Keep the cell "</t>
        </is>
      </c>
    </row>
    <row r="1499">
      <c r="A1499" s="25" t="inlineStr">
        <is>
          <t xml:space="preserve">          "TEXT-formatted so the leading zero survives.")</t>
        </is>
      </c>
    </row>
    <row r="1500">
      <c r="A1500" s="25" t="inlineStr">
        <is>
          <t xml:space="preserve">    return 0</t>
        </is>
      </c>
    </row>
    <row r="1501">
      <c r="A1501" s="25" t="inlineStr"/>
    </row>
    <row r="1502">
      <c r="A1502" s="25" t="inlineStr"/>
    </row>
    <row r="1503">
      <c r="A1503" s="25" t="inlineStr">
        <is>
          <t>def main(argv: Optional[Sequence[str]] = None) -&gt; int:</t>
        </is>
      </c>
    </row>
    <row r="1504">
      <c r="A1504" s="25" t="inlineStr">
        <is>
          <t xml:space="preserve">    ap = argparse.ArgumentParser(</t>
        </is>
      </c>
    </row>
    <row r="1505">
      <c r="A1505" s="25" t="inlineStr">
        <is>
          <t xml:space="preserve">        description="County Mortgage Delinquency Monitor runner "</t>
        </is>
      </c>
    </row>
    <row r="1506">
      <c r="A1506" s="25" t="inlineStr">
        <is>
          <t xml:space="preserve">                    "(CFPB Mortgage Performance Trends)")</t>
        </is>
      </c>
    </row>
    <row r="1507">
      <c r="A1507" s="25" t="inlineStr">
        <is>
          <t xml:space="preserve">    ap.add_argument("--workbook", "-w", default=None,</t>
        </is>
      </c>
    </row>
    <row r="1508">
      <c r="A1508" s="25" t="inlineStr">
        <is>
          <t xml:space="preserve">                    help="path to the .xlsm (required unless --lookup)")</t>
        </is>
      </c>
    </row>
    <row r="1509">
      <c r="A1509" s="25" t="inlineStr">
        <is>
          <t xml:space="preserve">    ap.add_argument("--demo", action="store_true",</t>
        </is>
      </c>
    </row>
    <row r="1510">
      <c r="A1510" s="25" t="inlineStr">
        <is>
          <t xml:space="preserve">                    help="deterministic offline CfpbDemoProvider "</t>
        </is>
      </c>
    </row>
    <row r="1511">
      <c r="A1511" s="25" t="inlineStr">
        <is>
          <t xml:space="preserve">                         "(no network; the live files are keyless anyway)")</t>
        </is>
      </c>
    </row>
    <row r="1512">
      <c r="A1512" s="25" t="inlineStr">
        <is>
          <t xml:space="preserve">    ap.add_argument("--asof", default=None, help="YYYY-MM-DD (testing)")</t>
        </is>
      </c>
    </row>
    <row r="1513">
      <c r="A1513" s="25" t="inlineStr">
        <is>
          <t xml:space="preserve">    ap.add_argument("--lookup", default=None, metavar="NAME",</t>
        </is>
      </c>
    </row>
    <row r="1514">
      <c r="A1514" s="25" t="inlineStr">
        <is>
          <t xml:space="preserve">                    help='find a county\'s FIPS by name: --lookup "Cook" '</t>
        </is>
      </c>
    </row>
    <row r="1515">
      <c r="A1515" s="25" t="inlineStr">
        <is>
          <t xml:space="preserve">                         "(offline with --demo, live otherwise)")</t>
        </is>
      </c>
    </row>
    <row r="1516">
      <c r="A1516" s="25" t="inlineStr">
        <is>
          <t xml:space="preserve">    args = ap.parse_args(argv)</t>
        </is>
      </c>
    </row>
    <row r="1517">
      <c r="A1517" s="25" t="inlineStr">
        <is>
          <t xml:space="preserve">    if args.lookup is not None:</t>
        </is>
      </c>
    </row>
    <row r="1518">
      <c r="A1518" s="25" t="inlineStr">
        <is>
          <t xml:space="preserve">        return do_lookup(args.lookup, args.demo)</t>
        </is>
      </c>
    </row>
    <row r="1519">
      <c r="A1519" s="25" t="inlineStr">
        <is>
          <t xml:space="preserve">    if not args.workbook:</t>
        </is>
      </c>
    </row>
    <row r="1520">
      <c r="A1520" s="25" t="inlineStr">
        <is>
          <t xml:space="preserve">        sys.stderr.write("--workbook is required (or use --lookup).\n")</t>
        </is>
      </c>
    </row>
    <row r="1521">
      <c r="A1521" s="25" t="inlineStr">
        <is>
          <t xml:space="preserve">        return 2</t>
        </is>
      </c>
    </row>
    <row r="1522">
      <c r="A1522" s="25" t="inlineStr">
        <is>
          <t xml:space="preserve">    asof = datetime.strptime(args.asof, "%Y-%m-%d").date() if args.asof else None</t>
        </is>
      </c>
    </row>
    <row r="1523">
      <c r="A1523" s="25" t="inlineStr">
        <is>
          <t xml:space="preserve">    try:</t>
        </is>
      </c>
    </row>
    <row r="1524">
      <c r="A1524" s="25" t="inlineStr">
        <is>
          <t xml:space="preserve">        status = run(args.workbook, demo=args.demo, asof=asof)</t>
        </is>
      </c>
    </row>
    <row r="1525">
      <c r="A1525" s="25" t="inlineStr">
        <is>
          <t xml:space="preserve">    except (WatchlistRefused, SeriesError, FootprintCapacityError,</t>
        </is>
      </c>
    </row>
    <row r="1526">
      <c r="A1526" s="25" t="inlineStr">
        <is>
          <t xml:space="preserve">            StateCapacityError) as exc:</t>
        </is>
      </c>
    </row>
    <row r="1527">
      <c r="A1527" s="25" t="inlineStr">
        <is>
          <t xml:space="preserve">        sys.stderr.write(f"GATE ERROR: {exc}\n")</t>
        </is>
      </c>
    </row>
    <row r="1528">
      <c r="A1528" s="25" t="inlineStr">
        <is>
          <t xml:space="preserve">        print(json.dumps({"ok": False, "error": str(exc)}))</t>
        </is>
      </c>
    </row>
    <row r="1529">
      <c r="A1529" s="25" t="inlineStr">
        <is>
          <t xml:space="preserve">        return 2</t>
        </is>
      </c>
    </row>
    <row r="1530">
      <c r="A1530" s="25" t="inlineStr">
        <is>
          <t xml:space="preserve">    except SystemExit as exc:</t>
        </is>
      </c>
    </row>
    <row r="1531">
      <c r="A1531" s="25" t="inlineStr">
        <is>
          <t xml:space="preserve">        sys.stderr.write(f"{exc}\n")</t>
        </is>
      </c>
    </row>
    <row r="1532">
      <c r="A1532" s="25" t="inlineStr">
        <is>
          <t xml:space="preserve">        print(json.dumps({"ok": False, "error": str(exc)}))</t>
        </is>
      </c>
    </row>
    <row r="1533">
      <c r="A1533" s="25" t="inlineStr">
        <is>
          <t xml:space="preserve">        return 3</t>
        </is>
      </c>
    </row>
    <row r="1534">
      <c r="A1534" s="25" t="inlineStr">
        <is>
          <t xml:space="preserve">    except Exception as exc:</t>
        </is>
      </c>
    </row>
    <row r="1535">
      <c r="A1535" s="25" t="inlineStr">
        <is>
          <t xml:space="preserve">        sys.stderr.write(f"RUN ERROR: {exc}\n")</t>
        </is>
      </c>
    </row>
    <row r="1536">
      <c r="A1536" s="25" t="inlineStr">
        <is>
          <t xml:space="preserve">        print(json.dumps({"ok": False, "error": str(exc)}))</t>
        </is>
      </c>
    </row>
    <row r="1537">
      <c r="A1537" s="25" t="inlineStr">
        <is>
          <t xml:space="preserve">        return 1</t>
        </is>
      </c>
    </row>
    <row r="1538">
      <c r="A1538" s="25" t="inlineStr">
        <is>
          <t xml:space="preserve">    print(json.dumps({"ok": True,</t>
        </is>
      </c>
    </row>
    <row r="1539">
      <c r="A1539" s="25" t="inlineStr">
        <is>
          <t xml:space="preserve">                      **{k: v for k, v in status.items() if k != "digest"}}))</t>
        </is>
      </c>
    </row>
    <row r="1540">
      <c r="A1540" s="25" t="inlineStr">
        <is>
          <t xml:space="preserve">    warn = status.get("continuity_warning")</t>
        </is>
      </c>
    </row>
    <row r="1541">
      <c r="A1541" s="25" t="inlineStr">
        <is>
          <t xml:space="preserve">    sys.stderr.write(</t>
        </is>
      </c>
    </row>
    <row r="1542">
      <c r="A1542" s="25" t="inlineStr">
        <is>
          <t xml:space="preserve">        f"OK ({status['mode']}): {status['counties_landed']}/"</t>
        </is>
      </c>
    </row>
    <row r="1543">
      <c r="A1543" s="25" t="inlineStr">
        <is>
          <t xml:space="preserve">        f"{status['counties_active']} counties landed, "</t>
        </is>
      </c>
    </row>
    <row r="1544">
      <c r="A1544" s="25" t="inlineStr">
        <is>
          <t xml:space="preserve">        f"{status['alert_counties']} ALERT / {status['watch_counties']} "</t>
        </is>
      </c>
    </row>
    <row r="1545">
      <c r="A1545" s="25" t="inlineStr">
        <is>
          <t xml:space="preserve">        f"WATCH / {status['counties_suppressed']} SUPPRESSED, "</t>
        </is>
      </c>
    </row>
    <row r="1546">
      <c r="A1546" s="25" t="inlineStr">
        <is>
          <t xml:space="preserve">        f"states={status['states_landed']}, vintage={status['vintage']} "</t>
        </is>
      </c>
    </row>
    <row r="1547">
      <c r="A1547" s="25" t="inlineStr">
        <is>
          <t xml:space="preserve">        f"({status['vintage_source']})"</t>
        </is>
      </c>
    </row>
    <row r="1548">
      <c r="A1548" s="25" t="inlineStr">
        <is>
          <t xml:space="preserve">        + (f" -- {warn}" if warn else "") + "\n")</t>
        </is>
      </c>
    </row>
    <row r="1549">
      <c r="A1549" s="25" t="inlineStr">
        <is>
          <t xml:space="preserve">    return 0</t>
        </is>
      </c>
    </row>
    <row r="1550">
      <c r="A1550" s="25" t="inlineStr"/>
    </row>
    <row r="1551">
      <c r="A1551" s="25" t="inlineStr"/>
    </row>
    <row r="1552">
      <c r="A1552" s="25" t="inlineStr">
        <is>
          <t>if __name__ == "__main__":</t>
        </is>
      </c>
    </row>
    <row r="1553">
      <c r="A1553" s="25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13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5" t="inlineStr">
        <is>
          <t>'================================================================================</t>
        </is>
      </c>
    </row>
    <row r="2">
      <c r="A2" s="25" t="inlineStr">
        <is>
          <t>' County Mortgage Delinquency Monitor (CFPB Mortgage Performance Trends)</t>
        </is>
      </c>
    </row>
    <row r="3">
      <c r="A3" s="25" t="inlineStr">
        <is>
          <t>' extractor macro (BUILD_SPEC_CFPB.md Section 5: EXTRACT-ONLY).</t>
        </is>
      </c>
    </row>
    <row r="4">
      <c r="A4" s="25" t="inlineStr">
        <is>
          <t>'</t>
        </is>
      </c>
    </row>
    <row r="5">
      <c r="A5" s="25" t="inlineStr">
        <is>
          <t>' The workbook is already the finished product: every dashboard, formula and</t>
        </is>
      </c>
    </row>
    <row r="6">
      <c r="A6" s="25" t="inlineStr">
        <is>
          <t>' heat rule is built in, and the county list lives in _config [FOOTPRINT]. The</t>
        </is>
      </c>
    </row>
    <row r="7">
      <c r="A7" s="25" t="inlineStr">
        <is>
          <t>' data is the only thing missing.</t>
        </is>
      </c>
    </row>
    <row r="8">
      <c r="A8" s="25" t="inlineStr">
        <is>
          <t>'</t>
        </is>
      </c>
    </row>
    <row r="9">
      <c r="A9" s="25" t="inlineStr">
        <is>
          <t>' "Extract" (run ExtractFiles, or the ExtractAndRun alias, via Alt+F8):</t>
        </is>
      </c>
    </row>
    <row r="10">
      <c r="A10" s="25" t="inlineStr">
        <is>
          <t>'   1. Writes runner.py from the _code_py tab into the workbook's folder.</t>
        </is>
      </c>
    </row>
    <row r="11">
      <c r="A11" s="25" t="inlineStr">
        <is>
          <t>'   2. Writes requirements.txt (the Python dependencies).</t>
        </is>
      </c>
    </row>
    <row r="12">
      <c r="A12" s="25" t="inlineStr">
        <is>
          <t>'   3. Writes RUN.txt (the exact PowerShell commands, incl. --lookup).</t>
        </is>
      </c>
    </row>
    <row r="13">
      <c r="A13" s="25" t="inlineStr">
        <is>
          <t>'</t>
        </is>
      </c>
    </row>
    <row r="14">
      <c r="A14" s="25" t="inlineStr">
        <is>
          <t>' NOTHING runs inside Excel (no shell-out, no xlwings, no save-from-VBA). After</t>
        </is>
      </c>
    </row>
    <row r="15">
      <c r="A15" s="25" t="inlineStr">
        <is>
          <t>' extracting: SAVE and CLOSE the workbook, then follow RUN.txt from PowerShell.</t>
        </is>
      </c>
    </row>
    <row r="16">
      <c r="A16" s="25" t="inlineStr">
        <is>
          <t>' runner.py writes the data into the CLOSED workbook via openpyxl. Reopen and</t>
        </is>
      </c>
    </row>
    <row r="17">
      <c r="A17" s="25" t="inlineStr">
        <is>
          <t>' the formulas recalc into the finished dashboards.</t>
        </is>
      </c>
    </row>
    <row r="18">
      <c r="A18" s="25" t="inlineStr">
        <is>
          <t>'</t>
        </is>
      </c>
    </row>
    <row r="19">
      <c r="A19" s="25" t="inlineStr">
        <is>
          <t>' This is a readable/portable reference copy; the identical text lives in the</t>
        </is>
      </c>
    </row>
    <row r="20">
      <c r="A20" s="25" t="inlineStr">
        <is>
          <t>' _code_vba tab so the workbook stays the single source of truth.</t>
        </is>
      </c>
    </row>
    <row r="21">
      <c r="A21" s="25" t="inlineStr">
        <is>
          <t>'================================================================================</t>
        </is>
      </c>
    </row>
    <row r="22">
      <c r="A22" s="25" t="inlineStr">
        <is>
          <t>Option Explicit</t>
        </is>
      </c>
    </row>
    <row r="23">
      <c r="A23" s="25" t="inlineStr"/>
    </row>
    <row r="24">
      <c r="A24" s="25" t="inlineStr">
        <is>
          <t>Private Const STATUS_SHEET As String = "Dashboard_State"</t>
        </is>
      </c>
    </row>
    <row r="25">
      <c r="A25" s="25" t="inlineStr"/>
    </row>
    <row r="26">
      <c r="A26" s="25" t="inlineStr">
        <is>
          <t>' Kept as an alias so any assigned button still works.</t>
        </is>
      </c>
    </row>
    <row r="27">
      <c r="A27" s="25" t="inlineStr">
        <is>
          <t>Public Sub ExtractAndRun()</t>
        </is>
      </c>
    </row>
    <row r="28">
      <c r="A28" s="25" t="inlineStr">
        <is>
          <t xml:space="preserve">    ExtractFiles</t>
        </is>
      </c>
    </row>
    <row r="29">
      <c r="A29" s="25" t="inlineStr">
        <is>
          <t>End Sub</t>
        </is>
      </c>
    </row>
    <row r="30">
      <c r="A30" s="25" t="inlineStr"/>
    </row>
    <row r="31">
      <c r="A31" s="25" t="inlineStr">
        <is>
          <t>Public Sub ExtractFiles()</t>
        </is>
      </c>
    </row>
    <row r="32">
      <c r="A32" s="25" t="inlineStr">
        <is>
          <t xml:space="preserve">    Dim folder As String, sep As String</t>
        </is>
      </c>
    </row>
    <row r="33">
      <c r="A33" s="25" t="inlineStr">
        <is>
          <t xml:space="preserve">    On Error GoTo Fail</t>
        </is>
      </c>
    </row>
    <row r="34">
      <c r="A34" s="25" t="inlineStr"/>
    </row>
    <row r="35">
      <c r="A35" s="25" t="inlineStr">
        <is>
          <t xml:space="preserve">    folder = ThisWorkbook.Path</t>
        </is>
      </c>
    </row>
    <row r="36">
      <c r="A36" s="25" t="inlineStr">
        <is>
          <t xml:space="preserve">    If Len(folder) = 0 Then</t>
        </is>
      </c>
    </row>
    <row r="37">
      <c r="A37" s="25" t="inlineStr">
        <is>
          <t xml:space="preserve">        MsgBox "Save the workbook to a folder first, then run ExtractFiles.", vbExclamation</t>
        </is>
      </c>
    </row>
    <row r="38">
      <c r="A38" s="25" t="inlineStr">
        <is>
          <t xml:space="preserve">        Exit Sub</t>
        </is>
      </c>
    </row>
    <row r="39">
      <c r="A39" s="25" t="inlineStr">
        <is>
          <t xml:space="preserve">    End If</t>
        </is>
      </c>
    </row>
    <row r="40">
      <c r="A40" s="25" t="inlineStr">
        <is>
          <t xml:space="preserve">    sep = Application.PathSeparator</t>
        </is>
      </c>
    </row>
    <row r="41">
      <c r="A41" s="25" t="inlineStr"/>
    </row>
    <row r="42">
      <c r="A42" s="25" t="inlineStr">
        <is>
          <t xml:space="preserve">    WriteTabToFile "_code_py", folder &amp; sep &amp; "runner.py"          ' the data-path script</t>
        </is>
      </c>
    </row>
    <row r="43">
      <c r="A43" s="25" t="inlineStr">
        <is>
          <t xml:space="preserve">    WriteTextFile folder &amp; sep &amp; "requirements.txt", RequirementsText()</t>
        </is>
      </c>
    </row>
    <row r="44">
      <c r="A44" s="25" t="inlineStr">
        <is>
          <t xml:space="preserve">    WriteTextFile folder &amp; sep &amp; "RUN.txt", RunText()             ' the PowerShell commands</t>
        </is>
      </c>
    </row>
    <row r="45">
      <c r="A45" s="25" t="inlineStr"/>
    </row>
    <row r="46">
      <c r="A46" s="25" t="inlineStr">
        <is>
          <t xml:space="preserve">    SetStatus "Extracted", "runner.py + requirements.txt + RUN.txt written -- see RUN.txt."</t>
        </is>
      </c>
    </row>
    <row r="47">
      <c r="A47" s="25" t="inlineStr">
        <is>
          <t xml:space="preserve">    MsgBox "Extracted next to this workbook:" &amp; vbCrLf &amp; _</t>
        </is>
      </c>
    </row>
    <row r="48">
      <c r="A48" s="25" t="inlineStr">
        <is>
          <t xml:space="preserve">           "    runner.py" &amp; vbCrLf &amp; _</t>
        </is>
      </c>
    </row>
    <row r="49">
      <c r="A49" s="25" t="inlineStr">
        <is>
          <t xml:space="preserve">           "    requirements.txt" &amp; vbCrLf &amp; _</t>
        </is>
      </c>
    </row>
    <row r="50">
      <c r="A50" s="25" t="inlineStr">
        <is>
          <t xml:space="preserve">           "    RUN.txt   (the PowerShell commands)" &amp; vbCrLf &amp; vbCrLf &amp; _</t>
        </is>
      </c>
    </row>
    <row r="51">
      <c r="A51" s="25" t="inlineStr">
        <is>
          <t xml:space="preserve">           "Open RUN.txt and follow it: install the deps, then run runner.py from " &amp; _</t>
        </is>
      </c>
    </row>
    <row r="52">
      <c r="A52" s="25" t="inlineStr">
        <is>
          <t xml:space="preserve">           "PowerShell with this workbook CLOSED. Reopen to see the dashboards." &amp; vbCrLf &amp; vbCrLf &amp; _</t>
        </is>
      </c>
    </row>
    <row r="53">
      <c r="A53" s="25" t="inlineStr">
        <is>
          <t xml:space="preserve">           "Just trying it out? Use the --demo command in RUN.txt (offline). " &amp; _</t>
        </is>
      </c>
    </row>
    <row r="54">
      <c r="A54" s="25" t="inlineStr">
        <is>
          <t xml:space="preserve">           "Live pulls need NO API key -- the CFPB files are public domain.", _</t>
        </is>
      </c>
    </row>
    <row r="55">
      <c r="A55" s="25" t="inlineStr">
        <is>
          <t xml:space="preserve">           vbInformation, "Extract complete"</t>
        </is>
      </c>
    </row>
    <row r="56">
      <c r="A56" s="25" t="inlineStr">
        <is>
          <t xml:space="preserve">    Exit Sub</t>
        </is>
      </c>
    </row>
    <row r="57">
      <c r="A57" s="25" t="inlineStr"/>
    </row>
    <row r="58">
      <c r="A58" s="25" t="inlineStr">
        <is>
          <t>Fail:</t>
        </is>
      </c>
    </row>
    <row r="59">
      <c r="A59" s="25" t="inlineStr">
        <is>
          <t xml:space="preserve">    MsgBox "Extract failed: " &amp; Err.Description, vbCritical</t>
        </is>
      </c>
    </row>
    <row r="60">
      <c r="A60" s="25" t="inlineStr">
        <is>
          <t>End Sub</t>
        </is>
      </c>
    </row>
    <row r="61">
      <c r="A61" s="25" t="inlineStr"/>
    </row>
    <row r="62">
      <c r="A62" s="25" t="inlineStr">
        <is>
          <t>Private Function RequirementsText() As String</t>
        </is>
      </c>
    </row>
    <row r="63">
      <c r="A63" s="25" t="inlineStr">
        <is>
          <t xml:space="preserve">    Dim nl As String</t>
        </is>
      </c>
    </row>
    <row r="64">
      <c r="A64" s="25" t="inlineStr">
        <is>
          <t xml:space="preserve">    nl = vbCrLf</t>
        </is>
      </c>
    </row>
    <row r="65">
      <c r="A65" s="25" t="inlineStr">
        <is>
          <t xml:space="preserve">    RequirementsText = "pandas&gt;=1.5" &amp; nl &amp; "openpyxl&gt;=3.0" &amp; nl</t>
        </is>
      </c>
    </row>
    <row r="66">
      <c r="A66" s="25" t="inlineStr">
        <is>
          <t>End Function</t>
        </is>
      </c>
    </row>
    <row r="67">
      <c r="A67" s="25" t="inlineStr"/>
    </row>
    <row r="68">
      <c r="A68" s="25" t="inlineStr">
        <is>
          <t>Private Function RunText() As String</t>
        </is>
      </c>
    </row>
    <row r="69">
      <c r="A69" s="25" t="inlineStr">
        <is>
          <t xml:space="preserve">    Dim nl As String, q As String, wb As String</t>
        </is>
      </c>
    </row>
    <row r="70">
      <c r="A70" s="25" t="inlineStr">
        <is>
          <t xml:space="preserve">    nl = vbCrLf</t>
        </is>
      </c>
    </row>
    <row r="71">
      <c r="A71" s="25" t="inlineStr">
        <is>
          <t xml:space="preserve">    q = Chr(34)</t>
        </is>
      </c>
    </row>
    <row r="72">
      <c r="A72" s="25" t="inlineStr">
        <is>
          <t xml:space="preserve">    wb = ThisWorkbook.Name</t>
        </is>
      </c>
    </row>
    <row r="73">
      <c r="A73" s="25" t="inlineStr">
        <is>
          <t xml:space="preserve">    RunText = _</t>
        </is>
      </c>
    </row>
    <row r="74">
      <c r="A74" s="25" t="inlineStr">
        <is>
          <t xml:space="preserve">        "County Mortgage Delinquency Monitor -- run from PowerShell (workbook must be CLOSED)" &amp; nl &amp; nl &amp; _</t>
        </is>
      </c>
    </row>
    <row r="75">
      <c r="A75" s="25" t="inlineStr">
        <is>
          <t xml:space="preserve">        "1) Install dependencies (once):" &amp; nl &amp; _</t>
        </is>
      </c>
    </row>
    <row r="76">
      <c r="A76" s="25" t="inlineStr">
        <is>
          <t xml:space="preserve">        "   python -m pip install -r requirements.txt" &amp; nl &amp; nl &amp; _</t>
        </is>
      </c>
    </row>
    <row r="77">
      <c r="A77" s="25" t="inlineStr">
        <is>
          <t xml:space="preserve">        "2) Try-the-button demo data (offline, deterministic):" &amp; nl &amp; _</t>
        </is>
      </c>
    </row>
    <row r="78">
      <c r="A78" s="25" t="inlineStr">
        <is>
          <t xml:space="preserve">        "   python .\runner.py --workbook " &amp; q &amp; ".\" &amp; wb &amp; q &amp; " --demo" &amp; nl &amp; nl &amp; _</t>
        </is>
      </c>
    </row>
    <row r="79">
      <c r="A79" s="25" t="inlineStr">
        <is>
          <t xml:space="preserve">        "3) Live data (CFPB Mortgage Performance Trends -- KEYLESS, public domain):" &amp; nl &amp; _</t>
        </is>
      </c>
    </row>
    <row r="80">
      <c r="A80" s="25" t="inlineStr">
        <is>
          <t xml:space="preserve">        "   python .\runner.py --workbook " &amp; q &amp; ".\" &amp; wb &amp; q &amp; nl &amp; _</t>
        </is>
      </c>
    </row>
    <row r="81">
      <c r="A81" s="25" t="inlineStr">
        <is>
          <t xml:space="preserve">        "   The runner discovers the newest DATED files from the CFPB download page" &amp; nl &amp; _</t>
        </is>
      </c>
    </row>
    <row r="82">
      <c r="A82" s="25" t="inlineStr">
        <is>
          <t xml:space="preserve">        "   automatically. If that page ever changes, set the `vintage` key in the" &amp; nl &amp; _</t>
        </is>
      </c>
    </row>
    <row r="83">
      <c r="A83" s="25" t="inlineStr">
        <is>
          <t xml:space="preserve">        "   _config [SETTINGS] tab (e.g. thru-2025-09) to fetch that vintage directly." &amp; nl &amp; nl &amp; _</t>
        </is>
      </c>
    </row>
    <row r="84">
      <c r="A84" s="25" t="inlineStr">
        <is>
          <t xml:space="preserve">        "4) Find a county's 5-digit FIPS to add to the _config [FOOTPRINT] table:" &amp; nl &amp; _</t>
        </is>
      </c>
    </row>
    <row r="85">
      <c r="A85" s="25" t="inlineStr">
        <is>
          <t xml:space="preserve">        "   python .\runner.py --lookup " &amp; q &amp; "Cook" &amp; q &amp; "            (live: greps the CFPB county file)" &amp; nl &amp; _</t>
        </is>
      </c>
    </row>
    <row r="86">
      <c r="A86" s="25" t="inlineStr">
        <is>
          <t xml:space="preserve">        "   python .\runner.py --lookup " &amp; q &amp; "Cook" &amp; q &amp; " --demo     (offline mini-index)" &amp; nl &amp; nl &amp; _</t>
        </is>
      </c>
    </row>
    <row r="87">
      <c r="A87" s="25" t="inlineStr">
        <is>
          <t xml:space="preserve">        "The footprint lives in the _config [FOOTPRINT] table: slot | fips | name | state | active." &amp; nl &amp; _</t>
        </is>
      </c>
    </row>
    <row r="88">
      <c r="A88" s="25" t="inlineStr">
        <is>
          <t xml:space="preserve">        "Add a county = fill a free slot row + re-run (no rebuild). Remove = active FALSE." &amp; nl &amp; _</t>
        </is>
      </c>
    </row>
    <row r="89">
      <c r="A89" s="25" t="inlineStr">
        <is>
          <t xml:space="preserve">        "Keep fips cells TEXT-formatted so leading zeros survive. More counties than built" &amp; nl &amp; _</t>
        </is>
      </c>
    </row>
    <row r="90">
      <c r="A90" s="25" t="inlineStr">
        <is>
          <t xml:space="preserve">        "slots and the runner tells you the exact rebuild command." &amp; nl &amp; nl &amp; _</t>
        </is>
      </c>
    </row>
    <row r="91">
      <c r="A91" s="25" t="inlineStr">
        <is>
          <t xml:space="preserve">        "A footprint county missing from the CFPB file shows SUPPRESSED (below the ~1,000-" &amp; nl &amp; _</t>
        </is>
      </c>
    </row>
    <row r="92">
      <c r="A92" s="25" t="inlineStr">
        <is>
          <t xml:space="preserve">        "sample threshold) -- monitor its state row instead. The data lags ~6-7 months by design." &amp; nl &amp; nl &amp; _</t>
        </is>
      </c>
    </row>
    <row r="93">
      <c r="A93" s="25" t="inlineStr">
        <is>
          <t xml:space="preserve">        "If 'python' is not found, use 'py' instead. Reopen the workbook afterward." &amp; nl</t>
        </is>
      </c>
    </row>
    <row r="94">
      <c r="A94" s="25" t="inlineStr">
        <is>
          <t>End Function</t>
        </is>
      </c>
    </row>
    <row r="95">
      <c r="A95" s="25" t="inlineStr"/>
    </row>
    <row r="96">
      <c r="A96" s="25" t="inlineStr">
        <is>
          <t>Private Sub WriteTextFile(filePath As String, content As String)</t>
        </is>
      </c>
    </row>
    <row r="97">
      <c r="A97" s="25" t="inlineStr">
        <is>
          <t xml:space="preserve">    Dim fso As Object, ts As Object</t>
        </is>
      </c>
    </row>
    <row r="98">
      <c r="A98" s="25" t="inlineStr">
        <is>
          <t xml:space="preserve">    Set fso = CreateObject("Scripting.FileSystemObject")</t>
        </is>
      </c>
    </row>
    <row r="99">
      <c r="A99" s="25" t="inlineStr">
        <is>
          <t xml:space="preserve">    Set ts = fso.CreateTextFile(filePath, True, False)</t>
        </is>
      </c>
    </row>
    <row r="100">
      <c r="A100" s="25" t="inlineStr">
        <is>
          <t xml:space="preserve">    ts.Write content</t>
        </is>
      </c>
    </row>
    <row r="101">
      <c r="A101" s="25" t="inlineStr">
        <is>
          <t xml:space="preserve">    ts.Close</t>
        </is>
      </c>
    </row>
    <row r="102">
      <c r="A102" s="25" t="inlineStr">
        <is>
          <t>End Sub</t>
        </is>
      </c>
    </row>
    <row r="103">
      <c r="A103" s="25" t="inlineStr"/>
    </row>
    <row r="104">
      <c r="A104" s="25" t="inlineStr">
        <is>
          <t>' Write one tab's column A (one source line per cell) to a UTF-8 text file.</t>
        </is>
      </c>
    </row>
    <row r="105">
      <c r="A105" s="25" t="inlineStr">
        <is>
          <t>' ADODB.Stream writes real UTF-8 (FSO would write ANSI, and Python, which reads</t>
        </is>
      </c>
    </row>
    <row r="106">
      <c r="A106" s="25" t="inlineStr">
        <is>
          <t>' source as UTF-8, would raise SyntaxError on any non-ASCII byte).</t>
        </is>
      </c>
    </row>
    <row r="107">
      <c r="A107" s="25" t="inlineStr">
        <is>
          <t>Private Sub WriteTabToFile(tabName As String, filePath As String)</t>
        </is>
      </c>
    </row>
    <row r="108">
      <c r="A108" s="25" t="inlineStr">
        <is>
          <t xml:space="preserve">    Dim ws As Worksheet, lastRow As Long, r As Long, body As String</t>
        </is>
      </c>
    </row>
    <row r="109">
      <c r="A109" s="25" t="inlineStr">
        <is>
          <t xml:space="preserve">    Set ws = ThisWorkbook.Worksheets(tabName)</t>
        </is>
      </c>
    </row>
    <row r="110">
      <c r="A110" s="25" t="inlineStr">
        <is>
          <t xml:space="preserve">    lastRow = ws.Cells(ws.Rows.Count, 1).End(xlUp).Row</t>
        </is>
      </c>
    </row>
    <row r="111">
      <c r="A111" s="25" t="inlineStr">
        <is>
          <t xml:space="preserve">    For r = 1 To lastRow</t>
        </is>
      </c>
    </row>
    <row r="112">
      <c r="A112" s="25" t="inlineStr">
        <is>
          <t xml:space="preserve">        body = body &amp; CStr(ws.Cells(r, 1).Value) &amp; vbLf</t>
        </is>
      </c>
    </row>
    <row r="113">
      <c r="A113" s="25" t="inlineStr">
        <is>
          <t xml:space="preserve">    Next r</t>
        </is>
      </c>
    </row>
    <row r="114">
      <c r="A114" s="25" t="inlineStr">
        <is>
          <t xml:space="preserve">    Dim stm As Object</t>
        </is>
      </c>
    </row>
    <row r="115">
      <c r="A115" s="25" t="inlineStr">
        <is>
          <t xml:space="preserve">    Set stm = CreateObject("ADODB.Stream")</t>
        </is>
      </c>
    </row>
    <row r="116">
      <c r="A116" s="25" t="inlineStr">
        <is>
          <t xml:space="preserve">    stm.Type = 2                 ' adTypeText</t>
        </is>
      </c>
    </row>
    <row r="117">
      <c r="A117" s="25" t="inlineStr">
        <is>
          <t xml:space="preserve">    stm.Charset = "utf-8"</t>
        </is>
      </c>
    </row>
    <row r="118">
      <c r="A118" s="25" t="inlineStr">
        <is>
          <t xml:space="preserve">    stm.Open</t>
        </is>
      </c>
    </row>
    <row r="119">
      <c r="A119" s="25" t="inlineStr">
        <is>
          <t xml:space="preserve">    stm.WriteText body</t>
        </is>
      </c>
    </row>
    <row r="120">
      <c r="A120" s="25" t="inlineStr">
        <is>
          <t xml:space="preserve">    stm.SaveToFile filePath, 2   ' adSaveCreateOverWrite</t>
        </is>
      </c>
    </row>
    <row r="121">
      <c r="A121" s="25" t="inlineStr">
        <is>
          <t xml:space="preserve">    stm.Close</t>
        </is>
      </c>
    </row>
    <row r="122">
      <c r="A122" s="25" t="inlineStr">
        <is>
          <t>End Sub</t>
        </is>
      </c>
    </row>
    <row r="123">
      <c r="A123" s="25" t="inlineStr"/>
    </row>
    <row r="124">
      <c r="A124" s="25" t="inlineStr">
        <is>
          <t>Private Sub SetStatus(state As String, msg As String)</t>
        </is>
      </c>
    </row>
    <row r="125">
      <c r="A125" s="25" t="inlineStr">
        <is>
          <t xml:space="preserve">    Dim ws As Worksheet</t>
        </is>
      </c>
    </row>
    <row r="126">
      <c r="A126" s="25" t="inlineStr">
        <is>
          <t xml:space="preserve">    On Error Resume Next</t>
        </is>
      </c>
    </row>
    <row r="127">
      <c r="A127" s="25" t="inlineStr">
        <is>
          <t xml:space="preserve">    Set ws = ThisWorkbook.Worksheets(STATUS_SHEET)</t>
        </is>
      </c>
    </row>
    <row r="128">
      <c r="A128" s="25" t="inlineStr">
        <is>
          <t xml:space="preserve">    If ws Is Nothing Then Exit Sub</t>
        </is>
      </c>
    </row>
    <row r="129">
      <c r="A129" s="25" t="inlineStr">
        <is>
          <t xml:space="preserve">    ' Column L (12), row 5 -- the masthead status panel (free of the merged</t>
        </is>
      </c>
    </row>
    <row r="130">
      <c r="A130" s="25" t="inlineStr">
        <is>
          <t xml:space="preserve">    ' banner/KPI cells; the runner fills rows 1-4).</t>
        </is>
      </c>
    </row>
    <row r="131">
      <c r="A131" s="25" t="inlineStr">
        <is>
          <t xml:space="preserve">    ws.Cells(5, 12).Value = state &amp; " -- " &amp; msg</t>
        </is>
      </c>
    </row>
    <row r="132">
      <c r="A132" s="25" t="inlineStr">
        <is>
          <t>End Sub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3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t="inlineStr">
        <is>
          <t>COUNTY MORTGAGE DELINQUENCY MONITOR (CFPB Mortgage Performance Trends)</t>
        </is>
      </c>
    </row>
    <row r="2">
      <c r="A2" t="inlineStr">
        <is>
          <t>======================================================================</t>
        </is>
      </c>
    </row>
    <row r="3">
      <c r="A3" t="inlineStr"/>
    </row>
    <row r="4">
      <c r="A4" s="24" t="inlineStr">
        <is>
          <t>WHAT THIS IS</t>
        </is>
      </c>
    </row>
    <row r="5">
      <c r="A5" t="inlineStr">
        <is>
          <t xml:space="preserve">  The leanest template in the series: county-level mortgage credit</t>
        </is>
      </c>
    </row>
    <row r="6">
      <c r="A6" t="inlineStr">
        <is>
          <t xml:space="preserve">  OUTCOMES for a collateral footprint. One workbook pulls the CFPB's</t>
        </is>
      </c>
    </row>
    <row r="7">
      <c r="A7" t="inlineStr">
        <is>
          <t xml:space="preserve">  Mortgage Performance Trends files (public domain, KEYLESS -- no API key,</t>
        </is>
      </c>
    </row>
    <row r="8">
      <c r="A8" t="inlineStr">
        <is>
          <t xml:space="preserve">  no account: five small CSV downloads), lands National + footprint-state</t>
        </is>
      </c>
    </row>
    <row r="9">
      <c r="A9" t="inlineStr">
        <is>
          <t xml:space="preserve">  + footprint-county 30-89 and 90+ DPD shares, and answers: "in the</t>
        </is>
      </c>
    </row>
    <row r="10">
      <c r="A10" t="inlineStr">
        <is>
          <t xml:space="preserve">  counties where my collateral actually sits, is mortgage delinquency</t>
        </is>
      </c>
    </row>
    <row r="11">
      <c r="A11" t="inlineStr">
        <is>
          <t xml:space="preserve">  rising?" It is the CONFIRMING counterpart to the macro template's</t>
        </is>
      </c>
    </row>
    <row r="12">
      <c r="A12" t="inlineStr">
        <is>
          <t xml:space="preserve">  leading indicators -- realized outcomes, ~6-7 months lagged by design.</t>
        </is>
      </c>
    </row>
    <row r="13">
      <c r="A13" t="inlineStr"/>
    </row>
    <row r="14">
      <c r="A14" t="inlineStr">
        <is>
          <t>THE FLEXIBLE FOOTPRINT (the point of this template)</t>
        </is>
      </c>
    </row>
    <row r="15">
      <c r="A15" t="inlineStr">
        <is>
          <t xml:space="preserve">  [FOOTPRINT] in _config: slot | fips | name | state | active.</t>
        </is>
      </c>
    </row>
    <row r="16">
      <c r="A16" t="inlineStr">
        <is>
          <t xml:space="preserve">  - ADD a county: type its 5-digit FIPS/name/state/active=TRUE on a free</t>
        </is>
      </c>
    </row>
    <row r="17">
      <c r="A17" t="inlineStr">
        <is>
          <t xml:space="preserve">    slot row, re-run the runner. No rebuild. Find FIPS from PowerShell:</t>
        </is>
      </c>
    </row>
    <row r="18">
      <c r="A18" t="inlineStr">
        <is>
          <t xml:space="preserve">        python runner.py --lookup "Cook"            (live: greps the file)</t>
        </is>
      </c>
    </row>
    <row r="19">
      <c r="A19" t="inlineStr">
        <is>
          <t xml:space="preserve">        python runner.py --lookup "Cook" --demo     (offline mini-index)</t>
        </is>
      </c>
    </row>
    <row r="20">
      <c r="A20" t="inlineStr">
        <is>
          <t xml:space="preserve">  - REMOVE a county: set active=FALSE (or clear the row); the slot blanks</t>
        </is>
      </c>
    </row>
    <row r="21">
      <c r="A21" t="inlineStr">
        <is>
          <t xml:space="preserve">    on the next run (stateless clearing -- never last vintage's values).</t>
        </is>
      </c>
    </row>
    <row r="22">
      <c r="A22" t="inlineStr">
        <is>
          <t xml:space="preserve">  - CAPACITY is built in (see footprint_slots in [SETTINGS]). More</t>
        </is>
      </c>
    </row>
    <row r="23">
      <c r="A23" t="inlineStr">
        <is>
          <t xml:space="preserve">    counties than slots = the runner REFUSES with the exact rebuild</t>
        </is>
      </c>
    </row>
    <row r="24">
      <c r="A24" t="inlineStr">
        <is>
          <t xml:space="preserve">    command (make_workbook.py --footprint-slots N). It never truncates.</t>
        </is>
      </c>
    </row>
    <row r="25">
      <c r="A25" t="inlineStr">
        <is>
          <t xml:space="preserve">  - KEEP FIPS CELLS TEXT-FORMATTED: the CFPB quote-wraps FIPS in its own</t>
        </is>
      </c>
    </row>
    <row r="26">
      <c r="A26" t="inlineStr">
        <is>
          <t xml:space="preserve">    files precisely so Excel cannot strip leading zeros (trap C1).</t>
        </is>
      </c>
    </row>
    <row r="27">
      <c r="A27" t="inlineStr">
        <is>
          <t xml:space="preserve">  County identity flows into every tab BY FORMULA from the [FOOTPRINT]</t>
        </is>
      </c>
    </row>
    <row r="28">
      <c r="A28" t="inlineStr">
        <is>
          <t xml:space="preserve">  cells, and raw anchors depend only on the SLOT -- a swap re-labels and</t>
        </is>
      </c>
    </row>
    <row r="29">
      <c r="A29" t="inlineStr">
        <is>
          <t xml:space="preserve">  re-points everything on recalc.</t>
        </is>
      </c>
    </row>
    <row r="30">
      <c r="A30" t="inlineStr"/>
    </row>
    <row r="31">
      <c r="A31" t="inlineStr">
        <is>
          <t>THE DATA (honest provenance)</t>
        </is>
      </c>
    </row>
    <row r="32">
      <c r="A32" t="inlineStr">
        <is>
          <t xml:space="preserve">  Source: CFPB Mortgage Performance Trends, built on the National Mortgage</t>
        </is>
      </c>
    </row>
    <row r="33">
      <c r="A33" t="inlineStr">
        <is>
          <t xml:space="preserve">  Database (NMDB, joint CFPB/FHFA) -- a nationally representative 5%</t>
        </is>
      </c>
    </row>
    <row r="34">
      <c r="A34" t="inlineStr">
        <is>
          <t xml:space="preserve">  (1-in-20) sample of outstanding closed-end first-lien 1-4-family</t>
        </is>
      </c>
    </row>
    <row r="35">
      <c r="A35" t="inlineStr">
        <is>
          <t xml:space="preserve">  mortgages, credit-repository sourced. These are credit-record buckets,</t>
        </is>
      </c>
    </row>
    <row r="36">
      <c r="A36" t="inlineStr">
        <is>
          <t xml:space="preserve">  not the MBA survey rates:</t>
        </is>
      </c>
    </row>
    <row r="37">
      <c r="A37" t="inlineStr">
        <is>
          <t xml:space="preserve">    30-89 DPD share = one-two missed payments / all outstanding loans</t>
        </is>
      </c>
    </row>
    <row r="38">
      <c r="A38" t="inlineStr">
        <is>
          <t xml:space="preserve">    90+  DPD share = three or more missed payments / all outstanding</t>
        </is>
      </c>
    </row>
    <row r="39">
      <c r="A39" t="inlineStr">
        <is>
          <t xml:space="preserve">  Monthly series from 2008-01, published ~SEMIANNUALLY with a ~6-7 MONTH</t>
        </is>
      </c>
    </row>
    <row r="40">
      <c r="A40" t="inlineStr">
        <is>
          <t xml:space="preserve">  LAG (trap C6) -- a confirming indicator, never a nowcast. Values are</t>
        </is>
      </c>
    </row>
    <row r="41">
      <c r="A41" t="inlineStr">
        <is>
          <t xml:space="preserve">  percent, one decimal in the source. U.S. government work: public domain</t>
        </is>
      </c>
    </row>
    <row r="42">
      <c r="A42" t="inlineStr">
        <is>
          <t xml:space="preserve">  (17 U.S.C. s105); credit "CFPB Mortgage Performance Trends (NMDB)" as</t>
        </is>
      </c>
    </row>
    <row r="43">
      <c r="A43" t="inlineStr">
        <is>
          <t xml:space="preserve">  good practice.</t>
        </is>
      </c>
    </row>
    <row r="44">
      <c r="A44" t="inlineStr"/>
    </row>
    <row r="45">
      <c r="A45" t="inlineStr">
        <is>
          <t>SUPPRESSION (trap C4 -- absence is NOT zero)</t>
        </is>
      </c>
    </row>
    <row r="46">
      <c r="A46" t="inlineStr">
        <is>
          <t xml:space="preserve">  Only counties averaging &gt;= ~1,000 sample mortgages in the threshold year</t>
        </is>
      </c>
    </row>
    <row r="47">
      <c r="A47" t="inlineStr">
        <is>
          <t xml:space="preserve">  clear the CFPB's inclusion bar -- roughly 470 of ~3,100 counties, i.e. a</t>
        </is>
      </c>
    </row>
    <row r="48">
      <c r="A48" t="inlineStr">
        <is>
          <t xml:space="preserve">  big-county filter (in a 5% sample that's ~20,000 real mortgages).</t>
        </is>
      </c>
    </row>
    <row r="49">
      <c r="A49" t="inlineStr">
        <is>
          <t xml:space="preserve">  Suppressed counties are simply ABSENT from the file. This template</t>
        </is>
      </c>
    </row>
    <row r="50">
      <c r="A50" t="inlineStr">
        <is>
          <t xml:space="preserve">  renders them "SUPPRESSED (below sample threshold) -- use the state row",</t>
        </is>
      </c>
    </row>
    <row r="51">
      <c r="A51" t="inlineStr">
        <is>
          <t xml:space="preserve">  excludes them from every alert KPI, and lists them in the email digest.</t>
        </is>
      </c>
    </row>
    <row r="52">
      <c r="A52" t="inlineStr">
        <is>
          <t xml:space="preserve">  Never interpolated, never zero. Rural footprints: monitor the state row.</t>
        </is>
      </c>
    </row>
    <row r="53">
      <c r="A53" t="inlineStr"/>
    </row>
    <row r="54">
      <c r="A54" t="inlineStr">
        <is>
          <t>VINTAGES AND REVISIONS (trap C3 -- why every run is a FULL REPLACE)</t>
        </is>
      </c>
    </row>
    <row r="55">
      <c r="A55" t="inlineStr">
        <is>
          <t xml:space="preserve">  Every release revises the ENTIRE history ("rates may change between</t>
        </is>
      </c>
    </row>
    <row r="56">
      <c r="A56" t="inlineStr">
        <is>
          <t xml:space="preserve">  updates due to updated credit data"). The runner therefore blanks and</t>
        </is>
      </c>
    </row>
    <row r="57">
      <c r="A57" t="inlineStr">
        <is>
          <t xml:space="preserve">  rewrites every raw block on every run, and records the vintage</t>
        </is>
      </c>
    </row>
    <row r="58">
      <c r="A58" t="inlineStr">
        <is>
          <t xml:space="preserve">  (thru-YYYY-MM, from the dated filename) in the status panel. NEVER diff</t>
        </is>
      </c>
    </row>
    <row r="59">
      <c r="A59" t="inlineStr">
        <is>
          <t xml:space="preserve">  a stored history against a new vintage and read it as market movement.</t>
        </is>
      </c>
    </row>
    <row r="60">
      <c r="A60" t="inlineStr"/>
    </row>
    <row r="61">
      <c r="A61" t="inlineStr">
        <is>
          <t>FILENAME DISCOVERY (trap C2)</t>
        </is>
      </c>
    </row>
    <row r="62">
      <c r="A62" t="inlineStr">
        <is>
          <t xml:space="preserve">  The files are DATED (CountyMortgagesPercent-90-plusDaysLate-thru-</t>
        </is>
      </c>
    </row>
    <row r="63">
      <c r="A63" t="inlineStr">
        <is>
          <t xml:space="preserve">  YYYY-MM.csv), so hardcoded URLs die every release. The live provider</t>
        </is>
      </c>
    </row>
    <row r="64">
      <c r="A64" t="inlineStr">
        <is>
          <t xml:space="preserve">  scrapes the download page for the current names; if the page changes,</t>
        </is>
      </c>
    </row>
    <row r="65">
      <c r="A65" t="inlineStr">
        <is>
          <t xml:space="preserve">  set the `vintage` key in [SETTINGS] (e.g. thru-2025-09) to construct</t>
        </is>
      </c>
    </row>
    <row r="66">
      <c r="A66" t="inlineStr">
        <is>
          <t xml:space="preserve">  the URLs directly.</t>
        </is>
      </c>
    </row>
    <row r="67">
      <c r="A67" t="inlineStr"/>
    </row>
    <row r="68">
      <c r="A68" t="inlineStr">
        <is>
          <t>CONTINUITY TRIPWIRE (the 2025 lesson)</t>
        </is>
      </c>
    </row>
    <row r="69">
      <c r="A69" t="inlineStr">
        <is>
          <t xml:space="preserve">  The CFPB publishes this dataset informally -- no promised cadence -- and</t>
        </is>
      </c>
    </row>
    <row r="70">
      <c r="A70" t="inlineStr">
        <is>
          <t xml:space="preserve">  the program survived the 2025 turmoil once (the dataset was community-</t>
        </is>
      </c>
    </row>
    <row r="71">
      <c r="A71" t="inlineStr">
        <is>
          <t xml:space="preserve">  archived to DataLumos as a recovery mirror). If the newest vintage falls</t>
        </is>
      </c>
    </row>
    <row r="72">
      <c r="A72" t="inlineStr">
        <is>
          <t xml:space="preserve">  more than continuity_months (default 9) behind --asof, the run surfaces</t>
        </is>
      </c>
    </row>
    <row r="73">
      <c r="A73" t="inlineStr">
        <is>
          <t xml:space="preserve">  a CONTINUITY WARNING in the status panel and the email. If it trips:</t>
        </is>
      </c>
    </row>
    <row r="74">
      <c r="A74" t="inlineStr">
        <is>
          <t xml:space="preserve">  check the download page, then the DataLumos mirror; the FHFA NMDB</t>
        </is>
      </c>
    </row>
    <row r="75">
      <c r="A75" t="inlineStr">
        <is>
          <t xml:space="preserve">  aggregate statistics are a partial (state/CBSA, quarterly) fallback --</t>
        </is>
      </c>
    </row>
    <row r="76">
      <c r="A76" t="inlineStr">
        <is>
          <t xml:space="preserve">  there is NO like-for-like county-monthly substitute.</t>
        </is>
      </c>
    </row>
    <row r="77">
      <c r="A77" t="inlineStr"/>
    </row>
    <row r="78">
      <c r="A78" t="inlineStr">
        <is>
          <t>PROVIDERS (the adapter seam)</t>
        </is>
      </c>
    </row>
    <row r="79">
      <c r="A79" t="inlineStr">
        <is>
          <t xml:space="preserve">  Class A (public, KEYLESS):</t>
        </is>
      </c>
    </row>
    <row r="80">
      <c r="A80" t="inlineStr">
        <is>
          <t xml:space="preserve">    - CfpbProvider     -- LIVE plain-urllib, TWO-STAGE: scrape the download</t>
        </is>
      </c>
    </row>
    <row r="81">
      <c r="A81" t="inlineStr">
        <is>
          <t xml:space="preserve">                          page for dated filenames, then fetch 4 CSVs</t>
        </is>
      </c>
    </row>
    <row r="82">
      <c r="A82" t="inlineStr">
        <is>
          <t xml:space="preserve">                          (State + County x both measures; the Metro file</t>
        </is>
      </c>
    </row>
    <row r="83">
      <c r="A83" t="inlineStr">
        <is>
          <t xml:space="preserve">                          is SKIPPED -- mixed non-FIPS keys). Throttled</t>
        </is>
      </c>
    </row>
    <row r="84">
      <c r="A84" t="inlineStr">
        <is>
          <t xml:space="preserve">                          0.6s, backoff on 429/5xx, per-URL cache.</t>
        </is>
      </c>
    </row>
    <row r="85">
      <c r="A85" t="inlineStr">
        <is>
          <t xml:space="preserve">    - CfpbDemoProvider -- deterministic OFFLINE stand-in; used by every</t>
        </is>
      </c>
    </row>
    <row r="86">
      <c r="A86" t="inlineStr">
        <is>
          <t xml:space="preserve">                          test and the --demo flag. Demo stress counties</t>
        </is>
      </c>
    </row>
    <row r="87">
      <c r="A87" t="inlineStr">
        <is>
          <t xml:space="preserve">                          are FICTION assigned by hand; the demo also</t>
        </is>
      </c>
    </row>
    <row r="88">
      <c r="A88" t="inlineStr">
        <is>
          <t xml:space="preserve">                          omits one seeded county (King County WA) so the</t>
        </is>
      </c>
    </row>
    <row r="89">
      <c r="A89" t="inlineStr">
        <is>
          <t xml:space="preserve">                          SUPPRESSED path is always visible.</t>
        </is>
      </c>
    </row>
    <row r="90">
      <c r="A90" t="inlineStr">
        <is>
          <t xml:space="preserve">  Class C (licensed): NOT admitted anywhere in this template.</t>
        </is>
      </c>
    </row>
    <row r="91">
      <c r="A91" t="inlineStr"/>
    </row>
    <row r="92">
      <c r="A92" s="24" t="inlineStr">
        <is>
          <t>ONE-TIME SETUP</t>
        </is>
      </c>
    </row>
    <row r="93">
      <c r="A93" t="inlineStr">
        <is>
          <t xml:space="preserve">  1. Install Python 3 (add it to PATH) and the dependencies:</t>
        </is>
      </c>
    </row>
    <row r="94">
      <c r="A94" t="inlineStr">
        <is>
          <t xml:space="preserve">         pip install pandas openpyxl</t>
        </is>
      </c>
    </row>
    <row r="95">
      <c r="A95" t="inlineStr">
        <is>
          <t xml:space="preserve">  2. Enable macros when prompted (the Extract button needs them).</t>
        </is>
      </c>
    </row>
    <row r="96">
      <c r="A96" t="inlineStr">
        <is>
          <t xml:space="preserve">  That is all -- the live files need NO key.</t>
        </is>
      </c>
    </row>
    <row r="97">
      <c r="A97" t="inlineStr"/>
    </row>
    <row r="98">
      <c r="A98" t="inlineStr">
        <is>
          <t>RUN IT  (the workbook is the finished product; you only add data)</t>
        </is>
      </c>
    </row>
    <row r="99">
      <c r="A99" t="inlineStr">
        <is>
          <t xml:space="preserve">  1. In Excel press Alt+F8 -&gt; run ExtractFiles. It writes runner.py (from</t>
        </is>
      </c>
    </row>
    <row r="100">
      <c r="A100" t="inlineStr">
        <is>
          <t xml:space="preserve">     _code_py), requirements.txt, and RUN.txt next to the workbook.</t>
        </is>
      </c>
    </row>
    <row r="101">
      <c r="A101" t="inlineStr">
        <is>
          <t xml:space="preserve">     NOTHING runs inside Excel.</t>
        </is>
      </c>
    </row>
    <row r="102">
      <c r="A102" t="inlineStr">
        <is>
          <t xml:space="preserve">  2. SAVE and CLOSE the workbook.</t>
        </is>
      </c>
    </row>
    <row r="103">
      <c r="A103" t="inlineStr">
        <is>
          <t xml:space="preserve">  3. From PowerShell (see RUN.txt):</t>
        </is>
      </c>
    </row>
    <row r="104">
      <c r="A104" t="inlineStr">
        <is>
          <t xml:space="preserve">       - Try-the-button (offline): python runner.py -w &lt;book&gt;.xlsm --demo</t>
        </is>
      </c>
    </row>
    <row r="105">
      <c r="A105" t="inlineStr">
        <is>
          <t xml:space="preserve">       - Live CFPB (keyless):      python runner.py -w &lt;book&gt;.xlsm</t>
        </is>
      </c>
    </row>
    <row r="106">
      <c r="A106" t="inlineStr">
        <is>
          <t xml:space="preserve">       - Find a FIPS:              python runner.py --lookup "&lt;name&gt;"</t>
        </is>
      </c>
    </row>
    <row r="107">
      <c r="A107" t="inlineStr">
        <is>
          <t xml:space="preserve">  4. Reopen the workbook -- the formulas recalc into the dashboards.</t>
        </is>
      </c>
    </row>
    <row r="108">
      <c r="A108" t="inlineStr"/>
    </row>
    <row r="109">
      <c r="A109" t="inlineStr">
        <is>
          <t>THE MEASURES AND BANDS (heuristic, honestly labeled)</t>
        </is>
      </c>
    </row>
    <row r="110">
      <c r="A110" t="inlineStr">
        <is>
          <t xml:space="preserve">  30-89 dev 12m: latest 30-89 share minus its own trailing-12 average</t>
        </is>
      </c>
    </row>
    <row r="111">
      <c r="A111" t="inlineStr">
        <is>
          <t xml:space="preserve">    (percentage points). WATCH +0.3 / ALERT +0.6 -- the early-stage</t>
        </is>
      </c>
    </row>
    <row r="112">
      <c r="A112" t="inlineStr">
        <is>
          <t xml:space="preserve">    pipeline turning against its own trend.</t>
        </is>
      </c>
    </row>
    <row r="113">
      <c r="A113" t="inlineStr">
        <is>
          <t xml:space="preserve">  90+ rise streak: consecutive monthly rises in the 90+ share, capped at</t>
        </is>
      </c>
    </row>
    <row r="114">
      <c r="A114" t="inlineStr">
        <is>
          <t xml:space="preserve">    3. WATCH 2 / ALERT 3 -- persistence beats level for a slow series.</t>
        </is>
      </c>
    </row>
    <row r="115">
      <c r="A115" t="inlineStr">
        <is>
          <t xml:space="preserve">  90+ level: WATCH 1.5 / ALERT 3.0 -- long-run non-crisis is under ~1%;</t>
        </is>
      </c>
    </row>
    <row r="116">
      <c r="A116" t="inlineStr">
        <is>
          <t xml:space="preserve">    GFC county peaks ran far higher.</t>
        </is>
      </c>
    </row>
    <row r="117">
      <c r="A117" t="inlineStr">
        <is>
          <t xml:space="preserve">  All bands are heuristic screens for portfolio review, not regulatory</t>
        </is>
      </c>
    </row>
    <row r="118">
      <c r="A118" t="inlineStr">
        <is>
          <t xml:space="preserve">  standards; they live in _config [THRESHOLDS] as numeric cells.</t>
        </is>
      </c>
    </row>
    <row r="119">
      <c r="A119" t="inlineStr"/>
    </row>
    <row r="120">
      <c r="A120" t="inlineStr">
        <is>
          <t>DATA-QUALITY TRAPS (baked in -- C1-C7)</t>
        </is>
      </c>
    </row>
    <row r="121">
      <c r="A121" t="inlineStr">
        <is>
          <t xml:space="preserve">  C1 quote-wrapped FIPS (stripped; kept TEXT end-to-end)</t>
        </is>
      </c>
    </row>
    <row r="122">
      <c r="A122" t="inlineStr">
        <is>
          <t xml:space="preserve">  C2 dated filenames (discovered each run; `vintage` override knob)</t>
        </is>
      </c>
    </row>
    <row r="123">
      <c r="A123" t="inlineStr">
        <is>
          <t xml:space="preserve">  C3 full-history revisions (stateless full replace; vintage labeled)</t>
        </is>
      </c>
    </row>
    <row r="124">
      <c r="A124" t="inlineStr">
        <is>
          <t xml:space="preserve">  C4 suppression by omission (absent != zero; explicit SUPPRESSED)</t>
        </is>
      </c>
    </row>
    <row r="125">
      <c r="A125" t="inlineStr">
        <is>
          <t xml:space="preserve">  C5 wide format (unpivoted by the YYYY-MM header pattern, never position)</t>
        </is>
      </c>
    </row>
    <row r="126">
      <c r="A126" t="inlineStr">
        <is>
          <t xml:space="preserve">  C6 ~6-7 month lag (labeled in the masthead and status panel)</t>
        </is>
      </c>
    </row>
    <row r="127">
      <c r="A127" t="inlineStr">
        <is>
          <t xml:space="preserve">  C7 National row inside every file (RegionType filter; own nat_* series)</t>
        </is>
      </c>
    </row>
    <row r="128">
      <c r="A128" t="inlineStr"/>
    </row>
    <row r="129">
      <c r="A129" t="inlineStr">
        <is>
          <t>NO AI IS INVOLVED IN THE DATA PATH. The gates, transforms, thresholds and</t>
        </is>
      </c>
    </row>
    <row r="130">
      <c r="A130" t="inlineStr">
        <is>
          <t>continuity guard are deterministic and config-driven: the same input</t>
        </is>
      </c>
    </row>
    <row r="131">
      <c r="A131" t="inlineStr">
        <is>
          <t>always yields the same workbook.</t>
        </is>
      </c>
    </row>
    <row r="132">
      <c r="A13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2026-07-03T12:35:29Z</dcterms:created>
  <dcterms:modified xsi:type="dcterms:W3CDTF">2026-07-03T12:35:29Z</dcterms:modified>
</cp:coreProperties>
</file>