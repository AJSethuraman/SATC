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Consumer" sheetId="1" state="visible" r:id="rId1"/>
    <sheet name="Dashboard_Commercial" sheetId="2" state="visible" r:id="rId2"/>
    <sheet name="Dashboard_Price" sheetId="3" state="visible" r:id="rId3"/>
    <sheet name="Watchlist_Geo" sheetId="4" state="visible" r:id="rId4"/>
    <sheet name="Raw_Consumer" sheetId="5" state="visible" r:id="rId5"/>
    <sheet name="Raw_Commercial" sheetId="6" state="visible" r:id="rId6"/>
    <sheet name="Raw_Price" sheetId="7" state="visible" r:id="rId7"/>
    <sheet name="_config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>
    <definedName name="zscore_band">_config!$B$13</definedName>
    <definedName name="sloos_band">_config!$B$14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8">
    <font>
      <name val="Calibri"/>
      <family val="2"/>
      <color theme="1"/>
      <sz val="11"/>
      <scheme val="minor"/>
    </font>
    <font>
      <i val="1"/>
      <color rgb="00808080"/>
      <sz val="9"/>
    </font>
    <font>
      <b val="1"/>
      <color rgb="001F3864"/>
    </font>
    <font>
      <b val="1"/>
      <sz val="9"/>
    </font>
    <font>
      <b val="1"/>
      <color rgb="001F3864"/>
      <sz val="16"/>
    </font>
    <font>
      <b val="1"/>
      <color rgb="00FFFFFF"/>
    </font>
    <font>
      <b val="1"/>
      <color rgb="00C00000"/>
    </font>
    <font>
      <name val="Consolas"/>
      <sz val="9"/>
    </font>
  </fonts>
  <fills count="4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2E5496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12">
    <xf numFmtId="0" fontId="0" fillId="0" borderId="0" pivotButton="0" quotePrefix="0" xfId="0"/>
    <xf numFmtId="0" fontId="4" fillId="0" borderId="0" pivotButton="0" quotePrefix="0" xfId="0"/>
    <xf numFmtId="0" fontId="2" fillId="0" borderId="0" pivotButton="0" quotePrefix="0" xfId="0"/>
    <xf numFmtId="0" fontId="1" fillId="0" borderId="0" pivotButton="0" quotePrefix="0" xfId="0"/>
    <xf numFmtId="0" fontId="5" fillId="2" borderId="1" applyAlignment="1" pivotButton="0" quotePrefix="0" xfId="0">
      <alignment horizontal="center"/>
    </xf>
    <xf numFmtId="0" fontId="0" fillId="0" borderId="1" pivotButton="0" quotePrefix="0" xfId="0"/>
    <xf numFmtId="2" fontId="0" fillId="0" borderId="1" pivotButton="0" quotePrefix="0" xfId="0"/>
    <xf numFmtId="164" fontId="0" fillId="0" borderId="1" pivotButton="0" quotePrefix="0" xfId="0"/>
    <xf numFmtId="0" fontId="6" fillId="0" borderId="0" applyAlignment="1" pivotButton="0" quotePrefix="0" xfId="0">
      <alignment vertical="top" wrapText="1"/>
    </xf>
    <xf numFmtId="0" fontId="3" fillId="0" borderId="0" pivotButton="0" quotePrefix="0" xfId="0"/>
    <xf numFmtId="0" fontId="5" fillId="3" borderId="0" pivotButton="0" quotePrefix="0" xfId="0"/>
    <xf numFmtId="0" fontId="7" fillId="0" borderId="0" pivotButton="0" quotePrefix="0" xfId="0"/>
  </cellXfs>
  <cellStyles count="1">
    <cellStyle name="Normal" xfId="0" builtinId="0" hidden="0"/>
  </cellStyles>
  <dxfs count="2">
    <dxf>
      <font>
        <b val="1"/>
        <color rgb="00C00000"/>
      </font>
      <fill>
        <patternFill patternType="solid">
          <fgColor rgb="00FFC7CE"/>
        </patternFill>
      </fill>
    </dxf>
    <dxf>
      <font>
        <b val="1"/>
      </font>
      <fill>
        <patternFill patternType="solid">
          <fgColor rgb="00FFEB9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I40"/>
  <sheetViews>
    <sheetView showGridLines="0" workbookViewId="0">
      <pane ySplit="8" topLeftCell="A9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2" customWidth="1" min="4" max="4"/>
    <col width="10" customWidth="1" min="5" max="5"/>
    <col width="10" customWidth="1" min="6" max="6"/>
    <col width="9" customWidth="1" min="7" max="7"/>
    <col width="12" customWidth="1" min="8" max="8"/>
    <col width="14" customWidth="1" min="9" max="9"/>
  </cols>
  <sheetData>
    <row r="1">
      <c r="A1" s="1" t="inlineStr">
        <is>
          <t>Consumer Credit-Risk Dashboard</t>
        </is>
      </c>
      <c r="H1" s="2" t="inlineStr">
        <is>
          <t>Last run:</t>
        </is>
      </c>
    </row>
    <row r="2">
      <c r="A2" s="3" t="inlineStr">
        <is>
          <t>Charge-offs, delinquencies, G.19, debt-service, SLOOS -- national (bank-tier where available).</t>
        </is>
      </c>
      <c r="H2" s="2" t="inlineStr">
        <is>
          <t>Series pulled:</t>
        </is>
      </c>
    </row>
    <row r="3">
      <c r="H3" s="2" t="inlineStr">
        <is>
          <t>Alerts:</t>
        </is>
      </c>
    </row>
    <row r="4">
      <c r="H4" s="2" t="inlineStr">
        <is>
          <t>Stale warnings:</t>
        </is>
      </c>
    </row>
    <row r="6">
      <c r="H6" s="2" t="inlineStr">
        <is>
          <t>Macro:</t>
        </is>
      </c>
    </row>
    <row r="8">
      <c r="A8" s="4" t="inlineStr">
        <is>
          <t>Tier</t>
        </is>
      </c>
      <c r="B8" s="4" t="inlineStr">
        <is>
          <t>Category</t>
        </is>
      </c>
      <c r="C8" s="4" t="inlineStr">
        <is>
          <t>Series ID</t>
        </is>
      </c>
      <c r="D8" s="4" t="inlineStr">
        <is>
          <t>Title</t>
        </is>
      </c>
      <c r="E8" s="4" t="inlineStr">
        <is>
          <t>Latest</t>
        </is>
      </c>
      <c r="F8" s="4" t="inlineStr">
        <is>
          <t>Prior</t>
        </is>
      </c>
      <c r="G8" s="4" t="inlineStr">
        <is>
          <t>YoY %</t>
        </is>
      </c>
      <c r="H8" s="4" t="inlineStr">
        <is>
          <t>Z-score (8)</t>
        </is>
      </c>
      <c r="I8" s="4" t="inlineStr">
        <is>
          <t>Flag</t>
        </is>
      </c>
    </row>
    <row r="9">
      <c r="A9" s="5" t="inlineStr">
        <is>
          <t>All banks</t>
        </is>
      </c>
      <c r="B9" s="5" t="inlineStr">
        <is>
          <t>consumer_loans</t>
        </is>
      </c>
      <c r="C9" s="5" t="inlineStr">
        <is>
          <t>CORCACBS</t>
        </is>
      </c>
      <c r="D9" s="5" t="inlineStr">
        <is>
          <t>Charge-Off Rate on Consumer Loans, All Commercial Banks</t>
        </is>
      </c>
      <c r="E9" s="6">
        <f>IFERROR(Raw_Consumer!B628,"")</f>
        <v/>
      </c>
      <c r="F9" s="6">
        <f>IFERROR(Raw_Consumer!B629,"")</f>
        <v/>
      </c>
      <c r="G9" s="7">
        <f>IFERROR((Raw_Consumer!B628-Raw_Consumer!B632)/Raw_Consumer!B632*100,"")</f>
        <v/>
      </c>
      <c r="H9" s="6">
        <f>IFERROR((Raw_Consumer!B628-AVERAGE(Raw_Consumer!B628:B635))/STDEV(Raw_Consumer!B628:B635),"")</f>
        <v/>
      </c>
      <c r="I9" s="5">
        <f>IF(AND(ISNUMBER($H9),$H9&gt;=zscore_band),"⚠ ALERT","")</f>
        <v/>
      </c>
    </row>
    <row r="10">
      <c r="A10" s="5" t="inlineStr">
        <is>
          <t>Not top 100</t>
        </is>
      </c>
      <c r="B10" s="5" t="inlineStr">
        <is>
          <t>consumer_loans</t>
        </is>
      </c>
      <c r="C10" s="5" t="inlineStr">
        <is>
          <t>CORCOBS</t>
        </is>
      </c>
      <c r="D10" s="5" t="inlineStr">
        <is>
          <t>Charge-Off Rate on Consumer Loans, Other Banks</t>
        </is>
      </c>
      <c r="E10" s="6">
        <f>IFERROR(Raw_Consumer!B1044,"")</f>
        <v/>
      </c>
      <c r="F10" s="6">
        <f>IFERROR(Raw_Consumer!B1045,"")</f>
        <v/>
      </c>
      <c r="G10" s="7">
        <f>IFERROR((Raw_Consumer!B1044-Raw_Consumer!B1048)/Raw_Consumer!B1048*100,"")</f>
        <v/>
      </c>
      <c r="H10" s="6">
        <f>IFERROR((Raw_Consumer!B1044-AVERAGE(Raw_Consumer!B1044:B1051))/STDEV(Raw_Consumer!B1044:B1051),"")</f>
        <v/>
      </c>
      <c r="I10" s="5">
        <f>IF(AND(ISNUMBER($H10),$H10&gt;=zscore_band),"⚠ ALERT","")</f>
        <v/>
      </c>
    </row>
    <row r="11">
      <c r="A11" s="5" t="inlineStr">
        <is>
          <t>All banks</t>
        </is>
      </c>
      <c r="B11" s="5" t="inlineStr">
        <is>
          <t>consumer_loans</t>
        </is>
      </c>
      <c r="C11" s="5" t="inlineStr">
        <is>
          <t>DRCLACBS</t>
        </is>
      </c>
      <c r="D11" s="5" t="inlineStr">
        <is>
          <t>Delinquency Rate on Consumer Loans, All Commercial Banks</t>
        </is>
      </c>
      <c r="E11" s="6">
        <f>IFERROR(Raw_Consumer!B732,"")</f>
        <v/>
      </c>
      <c r="F11" s="6">
        <f>IFERROR(Raw_Consumer!B733,"")</f>
        <v/>
      </c>
      <c r="G11" s="7">
        <f>IFERROR((Raw_Consumer!B732-Raw_Consumer!B736)/Raw_Consumer!B736*100,"")</f>
        <v/>
      </c>
      <c r="H11" s="6">
        <f>IFERROR((Raw_Consumer!B732-AVERAGE(Raw_Consumer!B732:B739))/STDEV(Raw_Consumer!B732:B739),"")</f>
        <v/>
      </c>
      <c r="I11" s="5">
        <f>IF(AND(ISNUMBER($H11),$H11&gt;=zscore_band),"⚠ ALERT","")</f>
        <v/>
      </c>
    </row>
    <row r="12">
      <c r="A12" s="5" t="inlineStr">
        <is>
          <t>Not top 100</t>
        </is>
      </c>
      <c r="B12" s="5" t="inlineStr">
        <is>
          <t>consumer_loans</t>
        </is>
      </c>
      <c r="C12" s="5" t="inlineStr">
        <is>
          <t>DRCLOBS</t>
        </is>
      </c>
      <c r="D12" s="5" t="inlineStr">
        <is>
          <t>Delinquency Rate on Consumer Loans, Other Banks</t>
        </is>
      </c>
      <c r="E12" s="6">
        <f>IFERROR(Raw_Consumer!B940,"")</f>
        <v/>
      </c>
      <c r="F12" s="6">
        <f>IFERROR(Raw_Consumer!B941,"")</f>
        <v/>
      </c>
      <c r="G12" s="7">
        <f>IFERROR((Raw_Consumer!B940-Raw_Consumer!B944)/Raw_Consumer!B944*100,"")</f>
        <v/>
      </c>
      <c r="H12" s="6">
        <f>IFERROR((Raw_Consumer!B940-AVERAGE(Raw_Consumer!B940:B947))/STDEV(Raw_Consumer!B940:B947),"")</f>
        <v/>
      </c>
      <c r="I12" s="5">
        <f>IF(AND(ISNUMBER($H12),$H12&gt;=zscore_band),"⚠ ALERT","")</f>
        <v/>
      </c>
    </row>
    <row r="13">
      <c r="A13" s="5" t="inlineStr">
        <is>
          <t>Top 100</t>
        </is>
      </c>
      <c r="B13" s="5" t="inlineStr">
        <is>
          <t>consumer_loans</t>
        </is>
      </c>
      <c r="C13" s="5" t="inlineStr">
        <is>
          <t>DRCLT100S</t>
        </is>
      </c>
      <c r="D13" s="5" t="inlineStr">
        <is>
          <t>Delinquency Rate on Consumer Loans, Top 100 Banks</t>
        </is>
      </c>
      <c r="E13" s="6">
        <f>IFERROR(Raw_Consumer!B836,"")</f>
        <v/>
      </c>
      <c r="F13" s="6">
        <f>IFERROR(Raw_Consumer!B837,"")</f>
        <v/>
      </c>
      <c r="G13" s="7">
        <f>IFERROR((Raw_Consumer!B836-Raw_Consumer!B840)/Raw_Consumer!B840*100,"")</f>
        <v/>
      </c>
      <c r="H13" s="6">
        <f>IFERROR((Raw_Consumer!B836-AVERAGE(Raw_Consumer!B836:B843))/STDEV(Raw_Consumer!B836:B843),"")</f>
        <v/>
      </c>
      <c r="I13" s="5">
        <f>IF(AND(ISNUMBER($H13),$H13&gt;=zscore_band),"⚠ ALERT","")</f>
        <v/>
      </c>
    </row>
    <row r="14">
      <c r="A14" s="5" t="inlineStr">
        <is>
          <t>All banks</t>
        </is>
      </c>
      <c r="B14" s="5" t="inlineStr">
        <is>
          <t>credit_card</t>
        </is>
      </c>
      <c r="C14" s="5" t="inlineStr">
        <is>
          <t>CORCCACBS</t>
        </is>
      </c>
      <c r="D14" s="5" t="inlineStr">
        <is>
          <t>Charge-Off Rate on Credit Card Loans, All Commercial Banks</t>
        </is>
      </c>
      <c r="E14" s="6">
        <f>IFERROR(Raw_Consumer!B4,"")</f>
        <v/>
      </c>
      <c r="F14" s="6">
        <f>IFERROR(Raw_Consumer!B5,"")</f>
        <v/>
      </c>
      <c r="G14" s="7">
        <f>IFERROR((Raw_Consumer!B4-Raw_Consumer!B8)/Raw_Consumer!B8*100,"")</f>
        <v/>
      </c>
      <c r="H14" s="6">
        <f>IFERROR((Raw_Consumer!B4-AVERAGE(Raw_Consumer!B4:B11))/STDEV(Raw_Consumer!B4:B11),"")</f>
        <v/>
      </c>
      <c r="I14" s="5">
        <f>IF(AND(ISNUMBER($H14),$H14&gt;=zscore_band),"⚠ ALERT","")</f>
        <v/>
      </c>
    </row>
    <row r="15">
      <c r="A15" s="5" t="inlineStr">
        <is>
          <t>Not top 100</t>
        </is>
      </c>
      <c r="B15" s="5" t="inlineStr">
        <is>
          <t>credit_card</t>
        </is>
      </c>
      <c r="C15" s="5" t="inlineStr">
        <is>
          <t>CORCCOBS</t>
        </is>
      </c>
      <c r="D15" s="5" t="inlineStr">
        <is>
          <t>Charge-Off Rate on Credit Card Loans, Banks Not Among 100 Largest</t>
        </is>
      </c>
      <c r="E15" s="6">
        <f>IFERROR(Raw_Consumer!B316,"")</f>
        <v/>
      </c>
      <c r="F15" s="6">
        <f>IFERROR(Raw_Consumer!B317,"")</f>
        <v/>
      </c>
      <c r="G15" s="7">
        <f>IFERROR((Raw_Consumer!B316-Raw_Consumer!B320)/Raw_Consumer!B320*100,"")</f>
        <v/>
      </c>
      <c r="H15" s="6">
        <f>IFERROR((Raw_Consumer!B316-AVERAGE(Raw_Consumer!B316:B323))/STDEV(Raw_Consumer!B316:B323),"")</f>
        <v/>
      </c>
      <c r="I15" s="5">
        <f>IF(AND(ISNUMBER($H15),$H15&gt;=zscore_band),"⚠ ALERT","")</f>
        <v/>
      </c>
    </row>
    <row r="16">
      <c r="A16" s="5" t="inlineStr">
        <is>
          <t>Top 100</t>
        </is>
      </c>
      <c r="B16" s="5" t="inlineStr">
        <is>
          <t>credit_card</t>
        </is>
      </c>
      <c r="C16" s="5" t="inlineStr">
        <is>
          <t>CORCCT100S</t>
        </is>
      </c>
      <c r="D16" s="5" t="inlineStr">
        <is>
          <t>Charge-Off Rate on Credit Card Loans, Top 100 Banks</t>
        </is>
      </c>
      <c r="E16" s="6">
        <f>IFERROR(Raw_Consumer!B212,"")</f>
        <v/>
      </c>
      <c r="F16" s="6">
        <f>IFERROR(Raw_Consumer!B213,"")</f>
        <v/>
      </c>
      <c r="G16" s="7">
        <f>IFERROR((Raw_Consumer!B212-Raw_Consumer!B216)/Raw_Consumer!B216*100,"")</f>
        <v/>
      </c>
      <c r="H16" s="6">
        <f>IFERROR((Raw_Consumer!B212-AVERAGE(Raw_Consumer!B212:B219))/STDEV(Raw_Consumer!B212:B219),"")</f>
        <v/>
      </c>
      <c r="I16" s="5">
        <f>IF(AND(ISNUMBER($H16),$H16&gt;=zscore_band),"⚠ ALERT","")</f>
        <v/>
      </c>
    </row>
    <row r="17">
      <c r="A17" s="5" t="inlineStr">
        <is>
          <t>All banks</t>
        </is>
      </c>
      <c r="B17" s="5" t="inlineStr">
        <is>
          <t>credit_card</t>
        </is>
      </c>
      <c r="C17" s="5" t="inlineStr">
        <is>
          <t>DRCCLACBS</t>
        </is>
      </c>
      <c r="D17" s="5" t="inlineStr">
        <is>
          <t>Delinquency Rate on Credit Card Loans, All Commercial Banks</t>
        </is>
      </c>
      <c r="E17" s="6">
        <f>IFERROR(Raw_Consumer!B108,"")</f>
        <v/>
      </c>
      <c r="F17" s="6">
        <f>IFERROR(Raw_Consumer!B109,"")</f>
        <v/>
      </c>
      <c r="G17" s="7">
        <f>IFERROR((Raw_Consumer!B108-Raw_Consumer!B112)/Raw_Consumer!B112*100,"")</f>
        <v/>
      </c>
      <c r="H17" s="6">
        <f>IFERROR((Raw_Consumer!B108-AVERAGE(Raw_Consumer!B108:B115))/STDEV(Raw_Consumer!B108:B115),"")</f>
        <v/>
      </c>
      <c r="I17" s="5">
        <f>IF(AND(ISNUMBER($H17),$H17&gt;=zscore_band),"⚠ ALERT","")</f>
        <v/>
      </c>
    </row>
    <row r="18">
      <c r="A18" s="5" t="inlineStr">
        <is>
          <t>Not top 100</t>
        </is>
      </c>
      <c r="B18" s="5" t="inlineStr">
        <is>
          <t>credit_card</t>
        </is>
      </c>
      <c r="C18" s="5" t="inlineStr">
        <is>
          <t>DRCCLOBS</t>
        </is>
      </c>
      <c r="D18" s="5" t="inlineStr">
        <is>
          <t>Delinquency Rate on Credit Card Loans, Other Banks</t>
        </is>
      </c>
      <c r="E18" s="6">
        <f>IFERROR(Raw_Consumer!B524,"")</f>
        <v/>
      </c>
      <c r="F18" s="6">
        <f>IFERROR(Raw_Consumer!B525,"")</f>
        <v/>
      </c>
      <c r="G18" s="7">
        <f>IFERROR((Raw_Consumer!B524-Raw_Consumer!B528)/Raw_Consumer!B528*100,"")</f>
        <v/>
      </c>
      <c r="H18" s="6">
        <f>IFERROR((Raw_Consumer!B524-AVERAGE(Raw_Consumer!B524:B531))/STDEV(Raw_Consumer!B524:B531),"")</f>
        <v/>
      </c>
      <c r="I18" s="5">
        <f>IF(AND(ISNUMBER($H18),$H18&gt;=zscore_band),"⚠ ALERT","")</f>
        <v/>
      </c>
    </row>
    <row r="19">
      <c r="A19" s="5" t="inlineStr">
        <is>
          <t>Top 100</t>
        </is>
      </c>
      <c r="B19" s="5" t="inlineStr">
        <is>
          <t>credit_card</t>
        </is>
      </c>
      <c r="C19" s="5" t="inlineStr">
        <is>
          <t>DRCCLT100S</t>
        </is>
      </c>
      <c r="D19" s="5" t="inlineStr">
        <is>
          <t>Delinquency Rate on Credit Card Loans, Top 100 Banks</t>
        </is>
      </c>
      <c r="E19" s="6">
        <f>IFERROR(Raw_Consumer!B420,"")</f>
        <v/>
      </c>
      <c r="F19" s="6">
        <f>IFERROR(Raw_Consumer!B421,"")</f>
        <v/>
      </c>
      <c r="G19" s="7">
        <f>IFERROR((Raw_Consumer!B420-Raw_Consumer!B424)/Raw_Consumer!B424*100,"")</f>
        <v/>
      </c>
      <c r="H19" s="6">
        <f>IFERROR((Raw_Consumer!B420-AVERAGE(Raw_Consumer!B420:B427))/STDEV(Raw_Consumer!B420:B427),"")</f>
        <v/>
      </c>
      <c r="I19" s="5">
        <f>IF(AND(ISNUMBER($H19),$H19&gt;=zscore_band),"⚠ ALERT","")</f>
        <v/>
      </c>
    </row>
    <row r="20">
      <c r="A20" s="5" t="inlineStr">
        <is>
          <t>-</t>
        </is>
      </c>
      <c r="B20" s="5" t="inlineStr">
        <is>
          <t>dsr</t>
        </is>
      </c>
      <c r="C20" s="5" t="inlineStr">
        <is>
          <t>CDSP</t>
        </is>
      </c>
      <c r="D20" s="5" t="inlineStr">
        <is>
          <t>Consumer Debt Service Payments as % of Disposable Income</t>
        </is>
      </c>
      <c r="E20" s="6">
        <f>IFERROR(Raw_Consumer!B2708,"")</f>
        <v/>
      </c>
      <c r="F20" s="6">
        <f>IFERROR(Raw_Consumer!B2709,"")</f>
        <v/>
      </c>
      <c r="G20" s="7">
        <f>IFERROR((Raw_Consumer!B2708-Raw_Consumer!B2712)/Raw_Consumer!B2712*100,"")</f>
        <v/>
      </c>
      <c r="H20" s="6">
        <f>IFERROR((Raw_Consumer!B2708-AVERAGE(Raw_Consumer!B2708:B2715))/STDEV(Raw_Consumer!B2708:B2715),"")</f>
        <v/>
      </c>
      <c r="I20" s="5" t="inlineStr"/>
    </row>
    <row r="21">
      <c r="A21" s="5" t="inlineStr">
        <is>
          <t>-</t>
        </is>
      </c>
      <c r="B21" s="5" t="inlineStr">
        <is>
          <t>dsr</t>
        </is>
      </c>
      <c r="C21" s="5" t="inlineStr">
        <is>
          <t>MDSP</t>
        </is>
      </c>
      <c r="D21" s="5" t="inlineStr">
        <is>
          <t>Mortgage Debt Service Payments as % of Disposable Income</t>
        </is>
      </c>
      <c r="E21" s="6">
        <f>IFERROR(Raw_Consumer!B2604,"")</f>
        <v/>
      </c>
      <c r="F21" s="6">
        <f>IFERROR(Raw_Consumer!B2605,"")</f>
        <v/>
      </c>
      <c r="G21" s="7">
        <f>IFERROR((Raw_Consumer!B2604-Raw_Consumer!B2608)/Raw_Consumer!B2608*100,"")</f>
        <v/>
      </c>
      <c r="H21" s="6">
        <f>IFERROR((Raw_Consumer!B2604-AVERAGE(Raw_Consumer!B2604:B2611))/STDEV(Raw_Consumer!B2604:B2611),"")</f>
        <v/>
      </c>
      <c r="I21" s="5" t="inlineStr"/>
    </row>
    <row r="22">
      <c r="A22" s="5" t="inlineStr">
        <is>
          <t>-</t>
        </is>
      </c>
      <c r="B22" s="5" t="inlineStr">
        <is>
          <t>dsr</t>
        </is>
      </c>
      <c r="C22" s="5" t="inlineStr">
        <is>
          <t>TDSP</t>
        </is>
      </c>
      <c r="D22" s="5" t="inlineStr">
        <is>
          <t>Household Debt Service Payments as % of Disposable Income</t>
        </is>
      </c>
      <c r="E22" s="6">
        <f>IFERROR(Raw_Consumer!B2500,"")</f>
        <v/>
      </c>
      <c r="F22" s="6">
        <f>IFERROR(Raw_Consumer!B2501,"")</f>
        <v/>
      </c>
      <c r="G22" s="7">
        <f>IFERROR((Raw_Consumer!B2500-Raw_Consumer!B2504)/Raw_Consumer!B2504*100,"")</f>
        <v/>
      </c>
      <c r="H22" s="6">
        <f>IFERROR((Raw_Consumer!B2500-AVERAGE(Raw_Consumer!B2500:B2507))/STDEV(Raw_Consumer!B2500:B2507),"")</f>
        <v/>
      </c>
      <c r="I22" s="5" t="inlineStr"/>
    </row>
    <row r="23">
      <c r="A23" s="5" t="inlineStr">
        <is>
          <t>-</t>
        </is>
      </c>
      <c r="B23" s="5" t="inlineStr">
        <is>
          <t>g19</t>
        </is>
      </c>
      <c r="C23" s="5" t="inlineStr">
        <is>
          <t>NONREVSL</t>
        </is>
      </c>
      <c r="D23" s="5" t="inlineStr">
        <is>
          <t>Nonrevolving Consumer Credit Owned and Securitized (SA)</t>
        </is>
      </c>
      <c r="E23" s="6">
        <f>IFERROR(Raw_Consumer!B2292,"")</f>
        <v/>
      </c>
      <c r="F23" s="6">
        <f>IFERROR(Raw_Consumer!B2293,"")</f>
        <v/>
      </c>
      <c r="G23" s="7">
        <f>IFERROR((Raw_Consumer!B2292-Raw_Consumer!B2304)/Raw_Consumer!B2304*100,"")</f>
        <v/>
      </c>
      <c r="H23" s="6">
        <f>IFERROR((Raw_Consumer!B2292-AVERAGE(Raw_Consumer!B2292:B2299))/STDEV(Raw_Consumer!B2292:B2299),"")</f>
        <v/>
      </c>
      <c r="I23" s="5" t="inlineStr"/>
    </row>
    <row r="24">
      <c r="A24" s="5" t="inlineStr">
        <is>
          <t>-</t>
        </is>
      </c>
      <c r="B24" s="5" t="inlineStr">
        <is>
          <t>g19</t>
        </is>
      </c>
      <c r="C24" s="5" t="inlineStr">
        <is>
          <t>REVOLSL</t>
        </is>
      </c>
      <c r="D24" s="5" t="inlineStr">
        <is>
          <t>Revolving Consumer Credit Owned and Securitized (SA)</t>
        </is>
      </c>
      <c r="E24" s="6">
        <f>IFERROR(Raw_Consumer!B2188,"")</f>
        <v/>
      </c>
      <c r="F24" s="6">
        <f>IFERROR(Raw_Consumer!B2189,"")</f>
        <v/>
      </c>
      <c r="G24" s="7">
        <f>IFERROR((Raw_Consumer!B2188-Raw_Consumer!B2200)/Raw_Consumer!B2200*100,"")</f>
        <v/>
      </c>
      <c r="H24" s="6">
        <f>IFERROR((Raw_Consumer!B2188-AVERAGE(Raw_Consumer!B2188:B2195))/STDEV(Raw_Consumer!B2188:B2195),"")</f>
        <v/>
      </c>
      <c r="I24" s="5" t="inlineStr"/>
    </row>
    <row r="25">
      <c r="A25" s="5" t="inlineStr">
        <is>
          <t>-</t>
        </is>
      </c>
      <c r="B25" s="5" t="inlineStr">
        <is>
          <t>g19</t>
        </is>
      </c>
      <c r="C25" s="5" t="inlineStr">
        <is>
          <t>TOTALNS</t>
        </is>
      </c>
      <c r="D25" s="5" t="inlineStr">
        <is>
          <t>Total Consumer Credit Owned and Securitized (NSA)</t>
        </is>
      </c>
      <c r="E25" s="6">
        <f>IFERROR(Raw_Consumer!B2084,"")</f>
        <v/>
      </c>
      <c r="F25" s="6">
        <f>IFERROR(Raw_Consumer!B2085,"")</f>
        <v/>
      </c>
      <c r="G25" s="7">
        <f>IFERROR((Raw_Consumer!B2084-Raw_Consumer!B2096)/Raw_Consumer!B2096*100,"")</f>
        <v/>
      </c>
      <c r="H25" s="6">
        <f>IFERROR((Raw_Consumer!B2084-AVERAGE(Raw_Consumer!B2084:B2091))/STDEV(Raw_Consumer!B2084:B2091),"")</f>
        <v/>
      </c>
      <c r="I25" s="5" t="inlineStr"/>
    </row>
    <row r="26">
      <c r="A26" s="5" t="inlineStr">
        <is>
          <t>-</t>
        </is>
      </c>
      <c r="B26" s="5" t="inlineStr">
        <is>
          <t>g19</t>
        </is>
      </c>
      <c r="C26" s="5" t="inlineStr">
        <is>
          <t>TOTALSL</t>
        </is>
      </c>
      <c r="D26" s="5" t="inlineStr">
        <is>
          <t>Total Consumer Credit Owned and Securitized (SA)</t>
        </is>
      </c>
      <c r="E26" s="6">
        <f>IFERROR(Raw_Consumer!B1980,"")</f>
        <v/>
      </c>
      <c r="F26" s="6">
        <f>IFERROR(Raw_Consumer!B1981,"")</f>
        <v/>
      </c>
      <c r="G26" s="7">
        <f>IFERROR((Raw_Consumer!B1980-Raw_Consumer!B1992)/Raw_Consumer!B1992*100,"")</f>
        <v/>
      </c>
      <c r="H26" s="6">
        <f>IFERROR((Raw_Consumer!B1980-AVERAGE(Raw_Consumer!B1980:B1987))/STDEV(Raw_Consumer!B1980:B1987),"")</f>
        <v/>
      </c>
      <c r="I26" s="5" t="inlineStr"/>
    </row>
    <row r="27">
      <c r="A27" s="5" t="inlineStr">
        <is>
          <t>-</t>
        </is>
      </c>
      <c r="B27" s="5" t="inlineStr">
        <is>
          <t>g19</t>
        </is>
      </c>
      <c r="C27" s="5" t="inlineStr">
        <is>
          <t>TOTALSLAR</t>
        </is>
      </c>
      <c r="D27" s="5" t="inlineStr">
        <is>
          <t>Total Consumer Credit, Percent Change at Annual Rate</t>
        </is>
      </c>
      <c r="E27" s="6">
        <f>IFERROR(Raw_Consumer!B2396,"")</f>
        <v/>
      </c>
      <c r="F27" s="6">
        <f>IFERROR(Raw_Consumer!B2397,"")</f>
        <v/>
      </c>
      <c r="G27" s="7">
        <f>IFERROR((Raw_Consumer!B2396-Raw_Consumer!B2408)/Raw_Consumer!B2408*100,"")</f>
        <v/>
      </c>
      <c r="H27" s="6">
        <f>IFERROR((Raw_Consumer!B2396-AVERAGE(Raw_Consumer!B2396:B2403))/STDEV(Raw_Consumer!B2396:B2403),"")</f>
        <v/>
      </c>
      <c r="I27" s="5" t="inlineStr"/>
    </row>
    <row r="28">
      <c r="A28" s="5" t="inlineStr">
        <is>
          <t>All banks</t>
        </is>
      </c>
      <c r="B28" s="5" t="inlineStr">
        <is>
          <t>leases</t>
        </is>
      </c>
      <c r="C28" s="5" t="inlineStr">
        <is>
          <t>DRLFRACBS</t>
        </is>
      </c>
      <c r="D28" s="5" t="inlineStr">
        <is>
          <t>Delinquency Rate on Leases, All Commercial Banks</t>
        </is>
      </c>
      <c r="E28" s="6">
        <f>IFERROR(Raw_Consumer!B1876,"")</f>
        <v/>
      </c>
      <c r="F28" s="6">
        <f>IFERROR(Raw_Consumer!B1877,"")</f>
        <v/>
      </c>
      <c r="G28" s="7">
        <f>IFERROR((Raw_Consumer!B1876-Raw_Consumer!B1880)/Raw_Consumer!B1880*100,"")</f>
        <v/>
      </c>
      <c r="H28" s="6">
        <f>IFERROR((Raw_Consumer!B1876-AVERAGE(Raw_Consumer!B1876:B1883))/STDEV(Raw_Consumer!B1876:B1883),"")</f>
        <v/>
      </c>
      <c r="I28" s="5">
        <f>IF(AND(ISNUMBER($H28),$H28&gt;=zscore_band),"⚠ ALERT","")</f>
        <v/>
      </c>
    </row>
    <row r="29">
      <c r="A29" s="5" t="inlineStr">
        <is>
          <t>All banks</t>
        </is>
      </c>
      <c r="B29" s="5" t="inlineStr">
        <is>
          <t>other_consumer</t>
        </is>
      </c>
      <c r="C29" s="5" t="inlineStr">
        <is>
          <t>DROCLACBS</t>
        </is>
      </c>
      <c r="D29" s="5" t="inlineStr">
        <is>
          <t>Delinquency Rate on Other Consumer Loans, All Commercial Banks</t>
        </is>
      </c>
      <c r="E29" s="6">
        <f>IFERROR(Raw_Consumer!B1356,"")</f>
        <v/>
      </c>
      <c r="F29" s="6">
        <f>IFERROR(Raw_Consumer!B1357,"")</f>
        <v/>
      </c>
      <c r="G29" s="7">
        <f>IFERROR((Raw_Consumer!B1356-Raw_Consumer!B1360)/Raw_Consumer!B1360*100,"")</f>
        <v/>
      </c>
      <c r="H29" s="6">
        <f>IFERROR((Raw_Consumer!B1356-AVERAGE(Raw_Consumer!B1356:B1363))/STDEV(Raw_Consumer!B1356:B1363),"")</f>
        <v/>
      </c>
      <c r="I29" s="5">
        <f>IF(AND(ISNUMBER($H29),$H29&gt;=zscore_band),"⚠ ALERT","")</f>
        <v/>
      </c>
    </row>
    <row r="30">
      <c r="A30" s="5" t="inlineStr">
        <is>
          <t>Not top 100</t>
        </is>
      </c>
      <c r="B30" s="5" t="inlineStr">
        <is>
          <t>other_consumer</t>
        </is>
      </c>
      <c r="C30" s="5" t="inlineStr">
        <is>
          <t>DROCLOBS</t>
        </is>
      </c>
      <c r="D30" s="5" t="inlineStr">
        <is>
          <t>Delinquency Rate on Other Consumer Loans, Other Banks</t>
        </is>
      </c>
      <c r="E30" s="6">
        <f>IFERROR(Raw_Consumer!B1252,"")</f>
        <v/>
      </c>
      <c r="F30" s="6">
        <f>IFERROR(Raw_Consumer!B1253,"")</f>
        <v/>
      </c>
      <c r="G30" s="7">
        <f>IFERROR((Raw_Consumer!B1252-Raw_Consumer!B1256)/Raw_Consumer!B1256*100,"")</f>
        <v/>
      </c>
      <c r="H30" s="6">
        <f>IFERROR((Raw_Consumer!B1252-AVERAGE(Raw_Consumer!B1252:B1259))/STDEV(Raw_Consumer!B1252:B1259),"")</f>
        <v/>
      </c>
      <c r="I30" s="5">
        <f>IF(AND(ISNUMBER($H30),$H30&gt;=zscore_band),"⚠ ALERT","")</f>
        <v/>
      </c>
    </row>
    <row r="31">
      <c r="A31" s="5" t="inlineStr">
        <is>
          <t>Top 100</t>
        </is>
      </c>
      <c r="B31" s="5" t="inlineStr">
        <is>
          <t>other_consumer</t>
        </is>
      </c>
      <c r="C31" s="5" t="inlineStr">
        <is>
          <t>DROCLT100S</t>
        </is>
      </c>
      <c r="D31" s="5" t="inlineStr">
        <is>
          <t>Delinquency Rate on Other Consumer Loans, Top 100 Banks</t>
        </is>
      </c>
      <c r="E31" s="6">
        <f>IFERROR(Raw_Consumer!B1148,"")</f>
        <v/>
      </c>
      <c r="F31" s="6">
        <f>IFERROR(Raw_Consumer!B1149,"")</f>
        <v/>
      </c>
      <c r="G31" s="7">
        <f>IFERROR((Raw_Consumer!B1148-Raw_Consumer!B1152)/Raw_Consumer!B1152*100,"")</f>
        <v/>
      </c>
      <c r="H31" s="6">
        <f>IFERROR((Raw_Consumer!B1148-AVERAGE(Raw_Consumer!B1148:B1155))/STDEV(Raw_Consumer!B1148:B1155),"")</f>
        <v/>
      </c>
      <c r="I31" s="5">
        <f>IF(AND(ISNUMBER($H31),$H31&gt;=zscore_band),"⚠ ALERT","")</f>
        <v/>
      </c>
    </row>
    <row r="32">
      <c r="A32" s="5" t="inlineStr">
        <is>
          <t>All banks</t>
        </is>
      </c>
      <c r="B32" s="5" t="inlineStr">
        <is>
          <t>sf_mortgage</t>
        </is>
      </c>
      <c r="C32" s="5" t="inlineStr">
        <is>
          <t>CORSFRMACBS</t>
        </is>
      </c>
      <c r="D32" s="5" t="inlineStr">
        <is>
          <t>Charge-Off Rate on Single-Family Residential Mortgages, All Banks</t>
        </is>
      </c>
      <c r="E32" s="6">
        <f>IFERROR(Raw_Consumer!B1460,"")</f>
        <v/>
      </c>
      <c r="F32" s="6">
        <f>IFERROR(Raw_Consumer!B1461,"")</f>
        <v/>
      </c>
      <c r="G32" s="7">
        <f>IFERROR((Raw_Consumer!B1460-Raw_Consumer!B1464)/Raw_Consumer!B1464*100,"")</f>
        <v/>
      </c>
      <c r="H32" s="6">
        <f>IFERROR((Raw_Consumer!B1460-AVERAGE(Raw_Consumer!B1460:B1467))/STDEV(Raw_Consumer!B1460:B1467),"")</f>
        <v/>
      </c>
      <c r="I32" s="5">
        <f>IF(AND(ISNUMBER($H32),$H32&gt;=zscore_band),"⚠ ALERT","")</f>
        <v/>
      </c>
    </row>
    <row r="33">
      <c r="A33" s="5" t="inlineStr">
        <is>
          <t>All banks</t>
        </is>
      </c>
      <c r="B33" s="5" t="inlineStr">
        <is>
          <t>sf_mortgage</t>
        </is>
      </c>
      <c r="C33" s="5" t="inlineStr">
        <is>
          <t>DRSFRMACBS</t>
        </is>
      </c>
      <c r="D33" s="5" t="inlineStr">
        <is>
          <t>Delinquency Rate on Single-Family Residential Mortgages, All Banks</t>
        </is>
      </c>
      <c r="E33" s="6">
        <f>IFERROR(Raw_Consumer!B1564,"")</f>
        <v/>
      </c>
      <c r="F33" s="6">
        <f>IFERROR(Raw_Consumer!B1565,"")</f>
        <v/>
      </c>
      <c r="G33" s="7">
        <f>IFERROR((Raw_Consumer!B1564-Raw_Consumer!B1568)/Raw_Consumer!B1568*100,"")</f>
        <v/>
      </c>
      <c r="H33" s="6">
        <f>IFERROR((Raw_Consumer!B1564-AVERAGE(Raw_Consumer!B1564:B1571))/STDEV(Raw_Consumer!B1564:B1571),"")</f>
        <v/>
      </c>
      <c r="I33" s="5">
        <f>IF(AND(ISNUMBER($H33),$H33&gt;=zscore_band),"⚠ ALERT","")</f>
        <v/>
      </c>
    </row>
    <row r="34">
      <c r="A34" s="5" t="inlineStr">
        <is>
          <t>Not top 100</t>
        </is>
      </c>
      <c r="B34" s="5" t="inlineStr">
        <is>
          <t>sf_mortgage</t>
        </is>
      </c>
      <c r="C34" s="5" t="inlineStr">
        <is>
          <t>DRSFRMOBS</t>
        </is>
      </c>
      <c r="D34" s="5" t="inlineStr">
        <is>
          <t>Delinquency Rate on Single-Family Residential Mortgages, Other Banks</t>
        </is>
      </c>
      <c r="E34" s="6">
        <f>IFERROR(Raw_Consumer!B1772,"")</f>
        <v/>
      </c>
      <c r="F34" s="6">
        <f>IFERROR(Raw_Consumer!B1773,"")</f>
        <v/>
      </c>
      <c r="G34" s="7">
        <f>IFERROR((Raw_Consumer!B1772-Raw_Consumer!B1776)/Raw_Consumer!B1776*100,"")</f>
        <v/>
      </c>
      <c r="H34" s="6">
        <f>IFERROR((Raw_Consumer!B1772-AVERAGE(Raw_Consumer!B1772:B1779))/STDEV(Raw_Consumer!B1772:B1779),"")</f>
        <v/>
      </c>
      <c r="I34" s="5">
        <f>IF(AND(ISNUMBER($H34),$H34&gt;=zscore_band),"⚠ ALERT","")</f>
        <v/>
      </c>
    </row>
    <row r="35">
      <c r="A35" s="5" t="inlineStr">
        <is>
          <t>Top 100</t>
        </is>
      </c>
      <c r="B35" s="5" t="inlineStr">
        <is>
          <t>sf_mortgage</t>
        </is>
      </c>
      <c r="C35" s="5" t="inlineStr">
        <is>
          <t>DRSFRMT100S</t>
        </is>
      </c>
      <c r="D35" s="5" t="inlineStr">
        <is>
          <t>Delinquency Rate on Single-Family Residential Mortgages, Top 100 Banks</t>
        </is>
      </c>
      <c r="E35" s="6">
        <f>IFERROR(Raw_Consumer!B1668,"")</f>
        <v/>
      </c>
      <c r="F35" s="6">
        <f>IFERROR(Raw_Consumer!B1669,"")</f>
        <v/>
      </c>
      <c r="G35" s="7">
        <f>IFERROR((Raw_Consumer!B1668-Raw_Consumer!B1672)/Raw_Consumer!B1672*100,"")</f>
        <v/>
      </c>
      <c r="H35" s="6">
        <f>IFERROR((Raw_Consumer!B1668-AVERAGE(Raw_Consumer!B1668:B1675))/STDEV(Raw_Consumer!B1668:B1675),"")</f>
        <v/>
      </c>
      <c r="I35" s="5">
        <f>IF(AND(ISNUMBER($H35),$H35&gt;=zscore_band),"⚠ ALERT","")</f>
        <v/>
      </c>
    </row>
    <row r="36">
      <c r="A36" s="5" t="inlineStr">
        <is>
          <t>-</t>
        </is>
      </c>
      <c r="B36" s="5" t="inlineStr">
        <is>
          <t>sloos_diffusion</t>
        </is>
      </c>
      <c r="C36" s="5" t="inlineStr">
        <is>
          <t>DRTSCLCC</t>
        </is>
      </c>
      <c r="D36" s="5" t="inlineStr">
        <is>
          <t>Net % Banks Tightening Standards for Credit Card Loans</t>
        </is>
      </c>
      <c r="E36" s="6">
        <f>IFERROR(Raw_Consumer!B2916,"")</f>
        <v/>
      </c>
      <c r="F36" s="6">
        <f>IFERROR(Raw_Consumer!B2917,"")</f>
        <v/>
      </c>
      <c r="G36" s="7">
        <f>IFERROR((Raw_Consumer!B2916-Raw_Consumer!B2920)/Raw_Consumer!B2920*100,"")</f>
        <v/>
      </c>
      <c r="H36" s="6">
        <f>IFERROR((Raw_Consumer!B2916-AVERAGE(Raw_Consumer!B2916:B2923))/STDEV(Raw_Consumer!B2916:B2923),"")</f>
        <v/>
      </c>
      <c r="I36" s="5">
        <f>IF(AND(ISNUMBER($E36),$E36&gt;=sloos_band),"⚠ TIGHTENING","")</f>
        <v/>
      </c>
    </row>
    <row r="37">
      <c r="A37" s="5" t="inlineStr">
        <is>
          <t>-</t>
        </is>
      </c>
      <c r="B37" s="5" t="inlineStr">
        <is>
          <t>sloos_diffusion</t>
        </is>
      </c>
      <c r="C37" s="5" t="inlineStr">
        <is>
          <t>DRTSSP</t>
        </is>
      </c>
      <c r="D37" s="5" t="inlineStr">
        <is>
          <t>Net % Banks Tightening Standards for Consumer Loans (subprime)</t>
        </is>
      </c>
      <c r="E37" s="6">
        <f>IFERROR(Raw_Consumer!B3228,"")</f>
        <v/>
      </c>
      <c r="F37" s="6">
        <f>IFERROR(Raw_Consumer!B3229,"")</f>
        <v/>
      </c>
      <c r="G37" s="7">
        <f>IFERROR((Raw_Consumer!B3228-Raw_Consumer!B3232)/Raw_Consumer!B3232*100,"")</f>
        <v/>
      </c>
      <c r="H37" s="6">
        <f>IFERROR((Raw_Consumer!B3228-AVERAGE(Raw_Consumer!B3228:B3235))/STDEV(Raw_Consumer!B3228:B3235),"")</f>
        <v/>
      </c>
      <c r="I37" s="5">
        <f>IF(AND(ISNUMBER($E37),$E37&gt;=sloos_band),"⚠ TIGHTENING","")</f>
        <v/>
      </c>
    </row>
    <row r="38">
      <c r="A38" s="5" t="inlineStr">
        <is>
          <t>-</t>
        </is>
      </c>
      <c r="B38" s="5" t="inlineStr">
        <is>
          <t>sloos_diffusion</t>
        </is>
      </c>
      <c r="C38" s="5" t="inlineStr">
        <is>
          <t>STDSAUTO</t>
        </is>
      </c>
      <c r="D38" s="5" t="inlineStr">
        <is>
          <t>Net % Banks Tightening Standards for Auto Loans</t>
        </is>
      </c>
      <c r="E38" s="6">
        <f>IFERROR(Raw_Consumer!B3020,"")</f>
        <v/>
      </c>
      <c r="F38" s="6">
        <f>IFERROR(Raw_Consumer!B3021,"")</f>
        <v/>
      </c>
      <c r="G38" s="7">
        <f>IFERROR((Raw_Consumer!B3020-Raw_Consumer!B3024)/Raw_Consumer!B3024*100,"")</f>
        <v/>
      </c>
      <c r="H38" s="6">
        <f>IFERROR((Raw_Consumer!B3020-AVERAGE(Raw_Consumer!B3020:B3027))/STDEV(Raw_Consumer!B3020:B3027),"")</f>
        <v/>
      </c>
      <c r="I38" s="5">
        <f>IF(AND(ISNUMBER($E38),$E38&gt;=sloos_band),"⚠ TIGHTENING","")</f>
        <v/>
      </c>
    </row>
    <row r="39">
      <c r="A39" s="5" t="inlineStr">
        <is>
          <t>-</t>
        </is>
      </c>
      <c r="B39" s="5" t="inlineStr">
        <is>
          <t>sloos_diffusion</t>
        </is>
      </c>
      <c r="C39" s="5" t="inlineStr">
        <is>
          <t>STDSOTHCONS</t>
        </is>
      </c>
      <c r="D39" s="5" t="inlineStr">
        <is>
          <t>Net % Banks Tightening Standards for Other Consumer Loans</t>
        </is>
      </c>
      <c r="E39" s="6">
        <f>IFERROR(Raw_Consumer!B3124,"")</f>
        <v/>
      </c>
      <c r="F39" s="6">
        <f>IFERROR(Raw_Consumer!B3125,"")</f>
        <v/>
      </c>
      <c r="G39" s="7">
        <f>IFERROR((Raw_Consumer!B3124-Raw_Consumer!B3128)/Raw_Consumer!B3128*100,"")</f>
        <v/>
      </c>
      <c r="H39" s="6">
        <f>IFERROR((Raw_Consumer!B3124-AVERAGE(Raw_Consumer!B3124:B3131))/STDEV(Raw_Consumer!B3124:B3131),"")</f>
        <v/>
      </c>
      <c r="I39" s="5">
        <f>IF(AND(ISNUMBER($E39),$E39&gt;=sloos_band),"⚠ TIGHTENING","")</f>
        <v/>
      </c>
    </row>
    <row r="40">
      <c r="A40" s="5" t="inlineStr">
        <is>
          <t>-</t>
        </is>
      </c>
      <c r="B40" s="5" t="inlineStr">
        <is>
          <t>sloos_diffusion</t>
        </is>
      </c>
      <c r="C40" s="5" t="inlineStr">
        <is>
          <t>SUBLPDHMSENQ</t>
        </is>
      </c>
      <c r="D40" s="5" t="inlineStr">
        <is>
          <t>Net % Banks Reporting Stronger Demand for Consumer Loans</t>
        </is>
      </c>
      <c r="E40" s="6">
        <f>IFERROR(Raw_Consumer!B3332,"")</f>
        <v/>
      </c>
      <c r="F40" s="6">
        <f>IFERROR(Raw_Consumer!B3333,"")</f>
        <v/>
      </c>
      <c r="G40" s="7">
        <f>IFERROR((Raw_Consumer!B3332-Raw_Consumer!B3336)/Raw_Consumer!B3336*100,"")</f>
        <v/>
      </c>
      <c r="H40" s="6">
        <f>IFERROR((Raw_Consumer!B3332-AVERAGE(Raw_Consumer!B3332:B3339))/STDEV(Raw_Consumer!B3332:B3339),"")</f>
        <v/>
      </c>
      <c r="I40" s="5" t="inlineStr"/>
    </row>
  </sheetData>
  <conditionalFormatting sqref="H9:H40">
    <cfRule type="colorScale" priority="1">
      <colorScale>
        <cfvo type="num" val="-2"/>
        <cfvo type="num" val="0"/>
        <cfvo type="num" val="2"/>
        <color rgb="0063BE7B"/>
        <color rgb="00FFEB84"/>
        <color rgb="00F8696B"/>
      </colorScale>
    </cfRule>
  </conditionalFormatting>
  <conditionalFormatting sqref="I9:I40">
    <cfRule type="expression" priority="2" dxfId="0">
      <formula>ISNUMBER(SEARCH("ALERT",I9))</formula>
    </cfRule>
    <cfRule type="expression" priority="3" dxfId="1">
      <formula>ISNUMBER(SEARCH("TIGHTENING",I9))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I26"/>
  <sheetViews>
    <sheetView showGridLines="0" workbookViewId="0">
      <pane ySplit="8" topLeftCell="A9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2" customWidth="1" min="4" max="4"/>
    <col width="10" customWidth="1" min="5" max="5"/>
    <col width="10" customWidth="1" min="6" max="6"/>
    <col width="9" customWidth="1" min="7" max="7"/>
    <col width="12" customWidth="1" min="8" max="8"/>
    <col width="14" customWidth="1" min="9" max="9"/>
  </cols>
  <sheetData>
    <row r="1">
      <c r="A1" s="1" t="inlineStr">
        <is>
          <t>Commercial Credit-Risk Dashboard</t>
        </is>
      </c>
      <c r="H1" s="2" t="inlineStr">
        <is>
          <t>Last run:</t>
        </is>
      </c>
    </row>
    <row r="2">
      <c r="A2" s="3" t="inlineStr">
        <is>
          <t>C&amp;I, CRE, all-loans charge-offs/delinquencies + SLOOS diffusion -- national.</t>
        </is>
      </c>
      <c r="H2" s="2" t="inlineStr">
        <is>
          <t>Series pulled:</t>
        </is>
      </c>
    </row>
    <row r="3">
      <c r="H3" s="2" t="inlineStr">
        <is>
          <t>Alerts:</t>
        </is>
      </c>
    </row>
    <row r="4">
      <c r="H4" s="2" t="inlineStr">
        <is>
          <t>Stale warnings:</t>
        </is>
      </c>
    </row>
    <row r="6">
      <c r="H6" s="2" t="inlineStr">
        <is>
          <t>Macro:</t>
        </is>
      </c>
    </row>
    <row r="8">
      <c r="A8" s="4" t="inlineStr">
        <is>
          <t>Tier</t>
        </is>
      </c>
      <c r="B8" s="4" t="inlineStr">
        <is>
          <t>Category</t>
        </is>
      </c>
      <c r="C8" s="4" t="inlineStr">
        <is>
          <t>Series ID</t>
        </is>
      </c>
      <c r="D8" s="4" t="inlineStr">
        <is>
          <t>Title</t>
        </is>
      </c>
      <c r="E8" s="4" t="inlineStr">
        <is>
          <t>Latest</t>
        </is>
      </c>
      <c r="F8" s="4" t="inlineStr">
        <is>
          <t>Prior</t>
        </is>
      </c>
      <c r="G8" s="4" t="inlineStr">
        <is>
          <t>YoY %</t>
        </is>
      </c>
      <c r="H8" s="4" t="inlineStr">
        <is>
          <t>Z-score (8)</t>
        </is>
      </c>
      <c r="I8" s="4" t="inlineStr">
        <is>
          <t>Flag</t>
        </is>
      </c>
    </row>
    <row r="9">
      <c r="A9" s="5" t="inlineStr">
        <is>
          <t>All banks</t>
        </is>
      </c>
      <c r="B9" s="5" t="inlineStr">
        <is>
          <t>all_loans</t>
        </is>
      </c>
      <c r="C9" s="5" t="inlineStr">
        <is>
          <t>CORALACBS</t>
        </is>
      </c>
      <c r="D9" s="5" t="inlineStr">
        <is>
          <t>Charge-Off Rate on All Loans &amp; Leases, All Banks</t>
        </is>
      </c>
      <c r="E9" s="6">
        <f>IFERROR(Raw_Commercial!B836,"")</f>
        <v/>
      </c>
      <c r="F9" s="6">
        <f>IFERROR(Raw_Commercial!B837,"")</f>
        <v/>
      </c>
      <c r="G9" s="7">
        <f>IFERROR((Raw_Commercial!B836-Raw_Commercial!B840)/Raw_Commercial!B840*100,"")</f>
        <v/>
      </c>
      <c r="H9" s="6">
        <f>IFERROR((Raw_Commercial!B836-AVERAGE(Raw_Commercial!B836:B843))/STDEV(Raw_Commercial!B836:B843),"")</f>
        <v/>
      </c>
      <c r="I9" s="5">
        <f>IF(AND(ISNUMBER($H9),$H9&gt;=zscore_band),"⚠ ALERT","")</f>
        <v/>
      </c>
    </row>
    <row r="10">
      <c r="A10" s="5" t="inlineStr">
        <is>
          <t>All banks</t>
        </is>
      </c>
      <c r="B10" s="5" t="inlineStr">
        <is>
          <t>all_loans</t>
        </is>
      </c>
      <c r="C10" s="5" t="inlineStr">
        <is>
          <t>DRALACBS</t>
        </is>
      </c>
      <c r="D10" s="5" t="inlineStr">
        <is>
          <t>Delinquency Rate on All Loans &amp; Leases, All Banks</t>
        </is>
      </c>
      <c r="E10" s="6">
        <f>IFERROR(Raw_Commercial!B940,"")</f>
        <v/>
      </c>
      <c r="F10" s="6">
        <f>IFERROR(Raw_Commercial!B941,"")</f>
        <v/>
      </c>
      <c r="G10" s="7">
        <f>IFERROR((Raw_Commercial!B940-Raw_Commercial!B944)/Raw_Commercial!B944*100,"")</f>
        <v/>
      </c>
      <c r="H10" s="6">
        <f>IFERROR((Raw_Commercial!B940-AVERAGE(Raw_Commercial!B940:B947))/STDEV(Raw_Commercial!B940:B947),"")</f>
        <v/>
      </c>
      <c r="I10" s="5">
        <f>IF(AND(ISNUMBER($H10),$H10&gt;=zscore_band),"⚠ ALERT","")</f>
        <v/>
      </c>
    </row>
    <row r="11">
      <c r="A11" s="5" t="inlineStr">
        <is>
          <t>All banks</t>
        </is>
      </c>
      <c r="B11" s="5" t="inlineStr">
        <is>
          <t>ci</t>
        </is>
      </c>
      <c r="C11" s="5" t="inlineStr">
        <is>
          <t>CORBLACBS</t>
        </is>
      </c>
      <c r="D11" s="5" t="inlineStr">
        <is>
          <t>Charge-Off Rate on Commercial &amp; Industrial Loans, All Banks</t>
        </is>
      </c>
      <c r="E11" s="6">
        <f>IFERROR(Raw_Commercial!B4,"")</f>
        <v/>
      </c>
      <c r="F11" s="6">
        <f>IFERROR(Raw_Commercial!B5,"")</f>
        <v/>
      </c>
      <c r="G11" s="7">
        <f>IFERROR((Raw_Commercial!B4-Raw_Commercial!B8)/Raw_Commercial!B8*100,"")</f>
        <v/>
      </c>
      <c r="H11" s="6">
        <f>IFERROR((Raw_Commercial!B4-AVERAGE(Raw_Commercial!B4:B11))/STDEV(Raw_Commercial!B4:B11),"")</f>
        <v/>
      </c>
      <c r="I11" s="5">
        <f>IF(AND(ISNUMBER($H11),$H11&gt;=zscore_band),"⚠ ALERT","")</f>
        <v/>
      </c>
    </row>
    <row r="12">
      <c r="A12" s="5" t="inlineStr">
        <is>
          <t>All banks</t>
        </is>
      </c>
      <c r="B12" s="5" t="inlineStr">
        <is>
          <t>ci</t>
        </is>
      </c>
      <c r="C12" s="5" t="inlineStr">
        <is>
          <t>DRBLACBS</t>
        </is>
      </c>
      <c r="D12" s="5" t="inlineStr">
        <is>
          <t>Delinquency Rate on Commercial &amp; Industrial Loans, All Banks</t>
        </is>
      </c>
      <c r="E12" s="6">
        <f>IFERROR(Raw_Commercial!B108,"")</f>
        <v/>
      </c>
      <c r="F12" s="6">
        <f>IFERROR(Raw_Commercial!B109,"")</f>
        <v/>
      </c>
      <c r="G12" s="7">
        <f>IFERROR((Raw_Commercial!B108-Raw_Commercial!B112)/Raw_Commercial!B112*100,"")</f>
        <v/>
      </c>
      <c r="H12" s="6">
        <f>IFERROR((Raw_Commercial!B108-AVERAGE(Raw_Commercial!B108:B115))/STDEV(Raw_Commercial!B108:B115),"")</f>
        <v/>
      </c>
      <c r="I12" s="5">
        <f>IF(AND(ISNUMBER($H12),$H12&gt;=zscore_band),"⚠ ALERT","")</f>
        <v/>
      </c>
    </row>
    <row r="13">
      <c r="A13" s="5" t="inlineStr">
        <is>
          <t>Not top 100</t>
        </is>
      </c>
      <c r="B13" s="5" t="inlineStr">
        <is>
          <t>ci</t>
        </is>
      </c>
      <c r="C13" s="5" t="inlineStr">
        <is>
          <t>DRBLOBS</t>
        </is>
      </c>
      <c r="D13" s="5" t="inlineStr">
        <is>
          <t>Delinquency Rate on C&amp;I Loans, Other Banks</t>
        </is>
      </c>
      <c r="E13" s="6">
        <f>IFERROR(Raw_Commercial!B316,"")</f>
        <v/>
      </c>
      <c r="F13" s="6">
        <f>IFERROR(Raw_Commercial!B317,"")</f>
        <v/>
      </c>
      <c r="G13" s="7">
        <f>IFERROR((Raw_Commercial!B316-Raw_Commercial!B320)/Raw_Commercial!B320*100,"")</f>
        <v/>
      </c>
      <c r="H13" s="6">
        <f>IFERROR((Raw_Commercial!B316-AVERAGE(Raw_Commercial!B316:B323))/STDEV(Raw_Commercial!B316:B323),"")</f>
        <v/>
      </c>
      <c r="I13" s="5">
        <f>IF(AND(ISNUMBER($H13),$H13&gt;=zscore_band),"⚠ ALERT","")</f>
        <v/>
      </c>
    </row>
    <row r="14">
      <c r="A14" s="5" t="inlineStr">
        <is>
          <t>Top 100</t>
        </is>
      </c>
      <c r="B14" s="5" t="inlineStr">
        <is>
          <t>ci</t>
        </is>
      </c>
      <c r="C14" s="5" t="inlineStr">
        <is>
          <t>DRBLT100S</t>
        </is>
      </c>
      <c r="D14" s="5" t="inlineStr">
        <is>
          <t>Delinquency Rate on C&amp;I Loans, Top 100 Banks</t>
        </is>
      </c>
      <c r="E14" s="6">
        <f>IFERROR(Raw_Commercial!B212,"")</f>
        <v/>
      </c>
      <c r="F14" s="6">
        <f>IFERROR(Raw_Commercial!B213,"")</f>
        <v/>
      </c>
      <c r="G14" s="7">
        <f>IFERROR((Raw_Commercial!B212-Raw_Commercial!B216)/Raw_Commercial!B216*100,"")</f>
        <v/>
      </c>
      <c r="H14" s="6">
        <f>IFERROR((Raw_Commercial!B212-AVERAGE(Raw_Commercial!B212:B219))/STDEV(Raw_Commercial!B212:B219),"")</f>
        <v/>
      </c>
      <c r="I14" s="5">
        <f>IF(AND(ISNUMBER($H14),$H14&gt;=zscore_band),"⚠ ALERT","")</f>
        <v/>
      </c>
    </row>
    <row r="15">
      <c r="A15" s="5" t="inlineStr">
        <is>
          <t>All banks</t>
        </is>
      </c>
      <c r="B15" s="5" t="inlineStr">
        <is>
          <t>cre</t>
        </is>
      </c>
      <c r="C15" s="5" t="inlineStr">
        <is>
          <t>CORCREXFACBS</t>
        </is>
      </c>
      <c r="D15" s="5" t="inlineStr">
        <is>
          <t>Charge-Off Rate on CRE Loans (excl. Farmland), All Banks</t>
        </is>
      </c>
      <c r="E15" s="6">
        <f>IFERROR(Raw_Commercial!B420,"")</f>
        <v/>
      </c>
      <c r="F15" s="6">
        <f>IFERROR(Raw_Commercial!B421,"")</f>
        <v/>
      </c>
      <c r="G15" s="7">
        <f>IFERROR((Raw_Commercial!B420-Raw_Commercial!B424)/Raw_Commercial!B424*100,"")</f>
        <v/>
      </c>
      <c r="H15" s="6">
        <f>IFERROR((Raw_Commercial!B420-AVERAGE(Raw_Commercial!B420:B427))/STDEV(Raw_Commercial!B420:B427),"")</f>
        <v/>
      </c>
      <c r="I15" s="5">
        <f>IF(AND(ISNUMBER($H15),$H15&gt;=zscore_band),"⚠ ALERT","")</f>
        <v/>
      </c>
    </row>
    <row r="16">
      <c r="A16" s="5" t="inlineStr">
        <is>
          <t>All banks</t>
        </is>
      </c>
      <c r="B16" s="5" t="inlineStr">
        <is>
          <t>cre</t>
        </is>
      </c>
      <c r="C16" s="5" t="inlineStr">
        <is>
          <t>DRCRELEXFACBS</t>
        </is>
      </c>
      <c r="D16" s="5" t="inlineStr">
        <is>
          <t>Delinquency Rate on CRE Loans (excl. Farmland), All Banks</t>
        </is>
      </c>
      <c r="E16" s="6">
        <f>IFERROR(Raw_Commercial!B524,"")</f>
        <v/>
      </c>
      <c r="F16" s="6">
        <f>IFERROR(Raw_Commercial!B525,"")</f>
        <v/>
      </c>
      <c r="G16" s="7">
        <f>IFERROR((Raw_Commercial!B524-Raw_Commercial!B528)/Raw_Commercial!B528*100,"")</f>
        <v/>
      </c>
      <c r="H16" s="6">
        <f>IFERROR((Raw_Commercial!B524-AVERAGE(Raw_Commercial!B524:B531))/STDEV(Raw_Commercial!B524:B531),"")</f>
        <v/>
      </c>
      <c r="I16" s="5">
        <f>IF(AND(ISNUMBER($H16),$H16&gt;=zscore_band),"⚠ ALERT","")</f>
        <v/>
      </c>
    </row>
    <row r="17">
      <c r="A17" s="5" t="inlineStr">
        <is>
          <t>Not top 100</t>
        </is>
      </c>
      <c r="B17" s="5" t="inlineStr">
        <is>
          <t>cre</t>
        </is>
      </c>
      <c r="C17" s="5" t="inlineStr">
        <is>
          <t>DRCRELEXFOBS</t>
        </is>
      </c>
      <c r="D17" s="5" t="inlineStr">
        <is>
          <t>Delinquency Rate on CRE Loans (excl. Farmland), Other Banks</t>
        </is>
      </c>
      <c r="E17" s="6">
        <f>IFERROR(Raw_Commercial!B732,"")</f>
        <v/>
      </c>
      <c r="F17" s="6">
        <f>IFERROR(Raw_Commercial!B733,"")</f>
        <v/>
      </c>
      <c r="G17" s="7">
        <f>IFERROR((Raw_Commercial!B732-Raw_Commercial!B736)/Raw_Commercial!B736*100,"")</f>
        <v/>
      </c>
      <c r="H17" s="6">
        <f>IFERROR((Raw_Commercial!B732-AVERAGE(Raw_Commercial!B732:B739))/STDEV(Raw_Commercial!B732:B739),"")</f>
        <v/>
      </c>
      <c r="I17" s="5">
        <f>IF(AND(ISNUMBER($H17),$H17&gt;=zscore_band),"⚠ ALERT","")</f>
        <v/>
      </c>
    </row>
    <row r="18">
      <c r="A18" s="5" t="inlineStr">
        <is>
          <t>Top 100</t>
        </is>
      </c>
      <c r="B18" s="5" t="inlineStr">
        <is>
          <t>cre</t>
        </is>
      </c>
      <c r="C18" s="5" t="inlineStr">
        <is>
          <t>DRCRELEXFT100S</t>
        </is>
      </c>
      <c r="D18" s="5" t="inlineStr">
        <is>
          <t>Delinquency Rate on CRE Loans (excl. Farmland), Top 100 Banks</t>
        </is>
      </c>
      <c r="E18" s="6">
        <f>IFERROR(Raw_Commercial!B628,"")</f>
        <v/>
      </c>
      <c r="F18" s="6">
        <f>IFERROR(Raw_Commercial!B629,"")</f>
        <v/>
      </c>
      <c r="G18" s="7">
        <f>IFERROR((Raw_Commercial!B628-Raw_Commercial!B632)/Raw_Commercial!B632*100,"")</f>
        <v/>
      </c>
      <c r="H18" s="6">
        <f>IFERROR((Raw_Commercial!B628-AVERAGE(Raw_Commercial!B628:B635))/STDEV(Raw_Commercial!B628:B635),"")</f>
        <v/>
      </c>
      <c r="I18" s="5">
        <f>IF(AND(ISNUMBER($H18),$H18&gt;=zscore_band),"⚠ ALERT","")</f>
        <v/>
      </c>
    </row>
    <row r="19">
      <c r="A19" s="5" t="inlineStr">
        <is>
          <t>-</t>
        </is>
      </c>
      <c r="B19" s="5" t="inlineStr">
        <is>
          <t>sloos_diffusion</t>
        </is>
      </c>
      <c r="C19" s="5" t="inlineStr">
        <is>
          <t>DRSDCILM</t>
        </is>
      </c>
      <c r="D19" s="5" t="inlineStr">
        <is>
          <t>Net % Reporting Stronger Demand for C&amp;I Loans, Large/Medium Firms</t>
        </is>
      </c>
      <c r="E19" s="6">
        <f>IFERROR(Raw_Commercial!B1252,"")</f>
        <v/>
      </c>
      <c r="F19" s="6">
        <f>IFERROR(Raw_Commercial!B1253,"")</f>
        <v/>
      </c>
      <c r="G19" s="7">
        <f>IFERROR((Raw_Commercial!B1252-Raw_Commercial!B1256)/Raw_Commercial!B1256*100,"")</f>
        <v/>
      </c>
      <c r="H19" s="6">
        <f>IFERROR((Raw_Commercial!B1252-AVERAGE(Raw_Commercial!B1252:B1259))/STDEV(Raw_Commercial!B1252:B1259),"")</f>
        <v/>
      </c>
      <c r="I19" s="5" t="inlineStr"/>
    </row>
    <row r="20">
      <c r="A20" s="5" t="inlineStr">
        <is>
          <t>-</t>
        </is>
      </c>
      <c r="B20" s="5" t="inlineStr">
        <is>
          <t>sloos_diffusion</t>
        </is>
      </c>
      <c r="C20" s="5" t="inlineStr">
        <is>
          <t>DRSDCIS</t>
        </is>
      </c>
      <c r="D20" s="5" t="inlineStr">
        <is>
          <t>Net % Reporting Stronger Demand for C&amp;I Loans, Small Firms</t>
        </is>
      </c>
      <c r="E20" s="6">
        <f>IFERROR(Raw_Commercial!B1356,"")</f>
        <v/>
      </c>
      <c r="F20" s="6">
        <f>IFERROR(Raw_Commercial!B1357,"")</f>
        <v/>
      </c>
      <c r="G20" s="7">
        <f>IFERROR((Raw_Commercial!B1356-Raw_Commercial!B1360)/Raw_Commercial!B1360*100,"")</f>
        <v/>
      </c>
      <c r="H20" s="6">
        <f>IFERROR((Raw_Commercial!B1356-AVERAGE(Raw_Commercial!B1356:B1363))/STDEV(Raw_Commercial!B1356:B1363),"")</f>
        <v/>
      </c>
      <c r="I20" s="5" t="inlineStr"/>
    </row>
    <row r="21">
      <c r="A21" s="5" t="inlineStr">
        <is>
          <t>-</t>
        </is>
      </c>
      <c r="B21" s="5" t="inlineStr">
        <is>
          <t>sloos_diffusion</t>
        </is>
      </c>
      <c r="C21" s="5" t="inlineStr">
        <is>
          <t>DRTSCILM</t>
        </is>
      </c>
      <c r="D21" s="5" t="inlineStr">
        <is>
          <t>Net % Tightening Standards for C&amp;I Loans to Large/Medium Firms</t>
        </is>
      </c>
      <c r="E21" s="6">
        <f>IFERROR(Raw_Commercial!B1044,"")</f>
        <v/>
      </c>
      <c r="F21" s="6">
        <f>IFERROR(Raw_Commercial!B1045,"")</f>
        <v/>
      </c>
      <c r="G21" s="7">
        <f>IFERROR((Raw_Commercial!B1044-Raw_Commercial!B1048)/Raw_Commercial!B1048*100,"")</f>
        <v/>
      </c>
      <c r="H21" s="6">
        <f>IFERROR((Raw_Commercial!B1044-AVERAGE(Raw_Commercial!B1044:B1051))/STDEV(Raw_Commercial!B1044:B1051),"")</f>
        <v/>
      </c>
      <c r="I21" s="5">
        <f>IF(AND(ISNUMBER($E21),$E21&gt;=sloos_band),"⚠ TIGHTENING","")</f>
        <v/>
      </c>
    </row>
    <row r="22">
      <c r="A22" s="5" t="inlineStr">
        <is>
          <t>-</t>
        </is>
      </c>
      <c r="B22" s="5" t="inlineStr">
        <is>
          <t>sloos_diffusion</t>
        </is>
      </c>
      <c r="C22" s="5" t="inlineStr">
        <is>
          <t>DRTSCIS</t>
        </is>
      </c>
      <c r="D22" s="5" t="inlineStr">
        <is>
          <t>Net % Tightening Standards for C&amp;I Loans to Small Firms</t>
        </is>
      </c>
      <c r="E22" s="6">
        <f>IFERROR(Raw_Commercial!B1148,"")</f>
        <v/>
      </c>
      <c r="F22" s="6">
        <f>IFERROR(Raw_Commercial!B1149,"")</f>
        <v/>
      </c>
      <c r="G22" s="7">
        <f>IFERROR((Raw_Commercial!B1148-Raw_Commercial!B1152)/Raw_Commercial!B1152*100,"")</f>
        <v/>
      </c>
      <c r="H22" s="6">
        <f>IFERROR((Raw_Commercial!B1148-AVERAGE(Raw_Commercial!B1148:B1155))/STDEV(Raw_Commercial!B1148:B1155),"")</f>
        <v/>
      </c>
      <c r="I22" s="5">
        <f>IF(AND(ISNUMBER($E22),$E22&gt;=sloos_band),"⚠ TIGHTENING","")</f>
        <v/>
      </c>
    </row>
    <row r="23">
      <c r="A23" s="5" t="inlineStr">
        <is>
          <t>-</t>
        </is>
      </c>
      <c r="B23" s="5" t="inlineStr">
        <is>
          <t>sloos_diffusion</t>
        </is>
      </c>
      <c r="C23" s="5" t="inlineStr">
        <is>
          <t>SUBLPDCILSLGNQ</t>
        </is>
      </c>
      <c r="D23" s="5" t="inlineStr">
        <is>
          <t>Net % Increasing Spreads on C&amp;I Loans to Large/Medium Firms</t>
        </is>
      </c>
      <c r="E23" s="6">
        <f>IFERROR(Raw_Commercial!B1772,"")</f>
        <v/>
      </c>
      <c r="F23" s="6">
        <f>IFERROR(Raw_Commercial!B1773,"")</f>
        <v/>
      </c>
      <c r="G23" s="7">
        <f>IFERROR((Raw_Commercial!B1772-Raw_Commercial!B1776)/Raw_Commercial!B1776*100,"")</f>
        <v/>
      </c>
      <c r="H23" s="6">
        <f>IFERROR((Raw_Commercial!B1772-AVERAGE(Raw_Commercial!B1772:B1779))/STDEV(Raw_Commercial!B1772:B1779),"")</f>
        <v/>
      </c>
      <c r="I23" s="5">
        <f>IF(AND(ISNUMBER($E23),$E23&gt;=sloos_band),"⚠ TIGHTENING","")</f>
        <v/>
      </c>
    </row>
    <row r="24">
      <c r="A24" s="5" t="inlineStr">
        <is>
          <t>-</t>
        </is>
      </c>
      <c r="B24" s="5" t="inlineStr">
        <is>
          <t>sloos_diffusion</t>
        </is>
      </c>
      <c r="C24" s="5" t="inlineStr">
        <is>
          <t>SUBLPDRCSC</t>
        </is>
      </c>
      <c r="D24" s="5" t="inlineStr">
        <is>
          <t>Net % Tightening Standards for CRE Nonfarm Nonresidential Loans</t>
        </is>
      </c>
      <c r="E24" s="6">
        <f>IFERROR(Raw_Commercial!B1668,"")</f>
        <v/>
      </c>
      <c r="F24" s="6">
        <f>IFERROR(Raw_Commercial!B1669,"")</f>
        <v/>
      </c>
      <c r="G24" s="7">
        <f>IFERROR((Raw_Commercial!B1668-Raw_Commercial!B1672)/Raw_Commercial!B1672*100,"")</f>
        <v/>
      </c>
      <c r="H24" s="6">
        <f>IFERROR((Raw_Commercial!B1668-AVERAGE(Raw_Commercial!B1668:B1675))/STDEV(Raw_Commercial!B1668:B1675),"")</f>
        <v/>
      </c>
      <c r="I24" s="5">
        <f>IF(AND(ISNUMBER($E24),$E24&gt;=sloos_band),"⚠ TIGHTENING","")</f>
        <v/>
      </c>
    </row>
    <row r="25">
      <c r="A25" s="5" t="inlineStr">
        <is>
          <t>-</t>
        </is>
      </c>
      <c r="B25" s="5" t="inlineStr">
        <is>
          <t>sloos_diffusion</t>
        </is>
      </c>
      <c r="C25" s="5" t="inlineStr">
        <is>
          <t>SUBLPDRCSM</t>
        </is>
      </c>
      <c r="D25" s="5" t="inlineStr">
        <is>
          <t>Net % Tightening Standards for CRE Multifamily Loans</t>
        </is>
      </c>
      <c r="E25" s="6">
        <f>IFERROR(Raw_Commercial!B1564,"")</f>
        <v/>
      </c>
      <c r="F25" s="6">
        <f>IFERROR(Raw_Commercial!B1565,"")</f>
        <v/>
      </c>
      <c r="G25" s="7">
        <f>IFERROR((Raw_Commercial!B1564-Raw_Commercial!B1568)/Raw_Commercial!B1568*100,"")</f>
        <v/>
      </c>
      <c r="H25" s="6">
        <f>IFERROR((Raw_Commercial!B1564-AVERAGE(Raw_Commercial!B1564:B1571))/STDEV(Raw_Commercial!B1564:B1571),"")</f>
        <v/>
      </c>
      <c r="I25" s="5">
        <f>IF(AND(ISNUMBER($E25),$E25&gt;=sloos_band),"⚠ TIGHTENING","")</f>
        <v/>
      </c>
    </row>
    <row r="26">
      <c r="A26" s="5" t="inlineStr">
        <is>
          <t>-</t>
        </is>
      </c>
      <c r="B26" s="5" t="inlineStr">
        <is>
          <t>sloos_diffusion</t>
        </is>
      </c>
      <c r="C26" s="5" t="inlineStr">
        <is>
          <t>SUBLPDRCSN</t>
        </is>
      </c>
      <c r="D26" s="5" t="inlineStr">
        <is>
          <t>Net % Tightening Standards for CRE Construction &amp; Land Loans</t>
        </is>
      </c>
      <c r="E26" s="6">
        <f>IFERROR(Raw_Commercial!B1460,"")</f>
        <v/>
      </c>
      <c r="F26" s="6">
        <f>IFERROR(Raw_Commercial!B1461,"")</f>
        <v/>
      </c>
      <c r="G26" s="7">
        <f>IFERROR((Raw_Commercial!B1460-Raw_Commercial!B1464)/Raw_Commercial!B1464*100,"")</f>
        <v/>
      </c>
      <c r="H26" s="6">
        <f>IFERROR((Raw_Commercial!B1460-AVERAGE(Raw_Commercial!B1460:B1467))/STDEV(Raw_Commercial!B1460:B1467),"")</f>
        <v/>
      </c>
      <c r="I26" s="5">
        <f>IF(AND(ISNUMBER($E26),$E26&gt;=sloos_band),"⚠ TIGHTENING","")</f>
        <v/>
      </c>
    </row>
  </sheetData>
  <conditionalFormatting sqref="H9:H26">
    <cfRule type="colorScale" priority="1">
      <colorScale>
        <cfvo type="num" val="-2"/>
        <cfvo type="num" val="0"/>
        <cfvo type="num" val="2"/>
        <color rgb="0063BE7B"/>
        <color rgb="00FFEB84"/>
        <color rgb="00F8696B"/>
      </colorScale>
    </cfRule>
  </conditionalFormatting>
  <conditionalFormatting sqref="I9:I26">
    <cfRule type="expression" priority="2" dxfId="0">
      <formula>ISNUMBER(SEARCH("ALERT",I9))</formula>
    </cfRule>
    <cfRule type="expression" priority="3" dxfId="1">
      <formula>ISNUMBER(SEARCH("TIGHTENING",I9))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I15"/>
  <sheetViews>
    <sheetView showGridLines="0" workbookViewId="0">
      <pane ySplit="8" topLeftCell="A9" activePane="bottomLeft" state="frozen"/>
      <selection pane="bottomLeft" activeCell="A1" sqref="A1"/>
    </sheetView>
  </sheetViews>
  <sheetFormatPr baseColWidth="8" defaultRowHeight="15"/>
  <cols>
    <col width="12" customWidth="1" min="1" max="1"/>
    <col width="16" customWidth="1" min="2" max="2"/>
    <col width="16" customWidth="1" min="3" max="3"/>
    <col width="52" customWidth="1" min="4" max="4"/>
    <col width="10" customWidth="1" min="5" max="5"/>
    <col width="10" customWidth="1" min="6" max="6"/>
    <col width="9" customWidth="1" min="7" max="7"/>
    <col width="12" customWidth="1" min="8" max="8"/>
    <col width="14" customWidth="1" min="9" max="9"/>
  </cols>
  <sheetData>
    <row r="1">
      <c r="A1" s="1" t="inlineStr">
        <is>
          <t>Price Dashboard</t>
        </is>
      </c>
      <c r="H1" s="2" t="inlineStr">
        <is>
          <t>Last run:</t>
        </is>
      </c>
    </row>
    <row r="2">
      <c r="A2" s="3" t="inlineStr">
        <is>
          <t>National house-price indices + commercial-real-estate price context.</t>
        </is>
      </c>
      <c r="H2" s="2" t="inlineStr">
        <is>
          <t>Series pulled:</t>
        </is>
      </c>
    </row>
    <row r="3">
      <c r="H3" s="2" t="inlineStr">
        <is>
          <t>Alerts:</t>
        </is>
      </c>
    </row>
    <row r="4">
      <c r="H4" s="2" t="inlineStr">
        <is>
          <t>Stale warnings:</t>
        </is>
      </c>
    </row>
    <row r="6">
      <c r="H6" s="2" t="inlineStr">
        <is>
          <t>Macro:</t>
        </is>
      </c>
    </row>
    <row r="8">
      <c r="A8" s="4" t="inlineStr">
        <is>
          <t>Tier</t>
        </is>
      </c>
      <c r="B8" s="4" t="inlineStr">
        <is>
          <t>Category</t>
        </is>
      </c>
      <c r="C8" s="4" t="inlineStr">
        <is>
          <t>Series ID</t>
        </is>
      </c>
      <c r="D8" s="4" t="inlineStr">
        <is>
          <t>Title</t>
        </is>
      </c>
      <c r="E8" s="4" t="inlineStr">
        <is>
          <t>Latest</t>
        </is>
      </c>
      <c r="F8" s="4" t="inlineStr">
        <is>
          <t>Prior</t>
        </is>
      </c>
      <c r="G8" s="4" t="inlineStr">
        <is>
          <t>YoY %</t>
        </is>
      </c>
      <c r="H8" s="4" t="inlineStr">
        <is>
          <t>Z-score (8)</t>
        </is>
      </c>
      <c r="I8" s="4" t="inlineStr">
        <is>
          <t>Flag</t>
        </is>
      </c>
    </row>
    <row r="9">
      <c r="A9" s="5" t="inlineStr">
        <is>
          <t>-</t>
        </is>
      </c>
      <c r="B9" s="5" t="inlineStr">
        <is>
          <t>cre_price</t>
        </is>
      </c>
      <c r="C9" s="5" t="inlineStr">
        <is>
          <t>BOGZ1FL075035403Q</t>
        </is>
      </c>
      <c r="D9" s="5" t="inlineStr">
        <is>
          <t>Z.1 Multifamily Residential Real Estate Value, Level</t>
        </is>
      </c>
      <c r="E9" s="6">
        <f>IFERROR(Raw_Price!B628,"")</f>
        <v/>
      </c>
      <c r="F9" s="6">
        <f>IFERROR(Raw_Price!B629,"")</f>
        <v/>
      </c>
      <c r="G9" s="7">
        <f>IFERROR((Raw_Price!B628-Raw_Price!B632)/Raw_Price!B632*100,"")</f>
        <v/>
      </c>
      <c r="H9" s="6">
        <f>IFERROR((Raw_Price!B628-AVERAGE(Raw_Price!B628:B635))/STDEV(Raw_Price!B628:B635),"")</f>
        <v/>
      </c>
      <c r="I9" s="5" t="inlineStr"/>
    </row>
    <row r="10">
      <c r="A10" s="5" t="inlineStr">
        <is>
          <t>-</t>
        </is>
      </c>
      <c r="B10" s="5" t="inlineStr">
        <is>
          <t>cre_price</t>
        </is>
      </c>
      <c r="C10" s="5" t="inlineStr">
        <is>
          <t>BOGZ1FL075035503Q</t>
        </is>
      </c>
      <c r="D10" s="5" t="inlineStr">
        <is>
          <t>Z.1 Commercial Real Estate Value (Nonfinancial Corporate), Level</t>
        </is>
      </c>
      <c r="E10" s="6">
        <f>IFERROR(Raw_Price!B420,"")</f>
        <v/>
      </c>
      <c r="F10" s="6">
        <f>IFERROR(Raw_Price!B421,"")</f>
        <v/>
      </c>
      <c r="G10" s="7">
        <f>IFERROR((Raw_Price!B420-Raw_Price!B424)/Raw_Price!B424*100,"")</f>
        <v/>
      </c>
      <c r="H10" s="6">
        <f>IFERROR((Raw_Price!B420-AVERAGE(Raw_Price!B420:B427))/STDEV(Raw_Price!B420:B427),"")</f>
        <v/>
      </c>
      <c r="I10" s="5" t="inlineStr"/>
    </row>
    <row r="11">
      <c r="A11" s="5" t="inlineStr">
        <is>
          <t>-</t>
        </is>
      </c>
      <c r="B11" s="5" t="inlineStr">
        <is>
          <t>cre_price</t>
        </is>
      </c>
      <c r="C11" s="5" t="inlineStr">
        <is>
          <t>COMREPUSQ159N</t>
        </is>
      </c>
      <c r="D11" s="5" t="inlineStr">
        <is>
          <t>Commercial Real Estate Prices for United States (YoY %)</t>
        </is>
      </c>
      <c r="E11" s="6">
        <f>IFERROR(Raw_Price!B524,"")</f>
        <v/>
      </c>
      <c r="F11" s="6">
        <f>IFERROR(Raw_Price!B525,"")</f>
        <v/>
      </c>
      <c r="G11" s="7">
        <f>IFERROR((Raw_Price!B524-Raw_Price!B528)/Raw_Price!B528*100,"")</f>
        <v/>
      </c>
      <c r="H11" s="6">
        <f>IFERROR((Raw_Price!B524-AVERAGE(Raw_Price!B524:B531))/STDEV(Raw_Price!B524:B531),"")</f>
        <v/>
      </c>
      <c r="I11" s="5" t="inlineStr"/>
    </row>
    <row r="12">
      <c r="A12" s="5" t="inlineStr">
        <is>
          <t>-</t>
        </is>
      </c>
      <c r="B12" s="5" t="inlineStr">
        <is>
          <t>hpi_national</t>
        </is>
      </c>
      <c r="C12" s="5" t="inlineStr">
        <is>
          <t>CSUSHPINSA</t>
        </is>
      </c>
      <c r="D12" s="5" t="inlineStr">
        <is>
          <t>S&amp;P CoreLogic Case-Shiller U.S. National HPI (NSA)</t>
        </is>
      </c>
      <c r="E12" s="6">
        <f>IFERROR(Raw_Price!B212,"")</f>
        <v/>
      </c>
      <c r="F12" s="6">
        <f>IFERROR(Raw_Price!B213,"")</f>
        <v/>
      </c>
      <c r="G12" s="7">
        <f>IFERROR((Raw_Price!B212-Raw_Price!B224)/Raw_Price!B224*100,"")</f>
        <v/>
      </c>
      <c r="H12" s="6">
        <f>IFERROR((Raw_Price!B212-AVERAGE(Raw_Price!B212:B219))/STDEV(Raw_Price!B212:B219),"")</f>
        <v/>
      </c>
      <c r="I12" s="5" t="inlineStr"/>
    </row>
    <row r="13">
      <c r="A13" s="5" t="inlineStr">
        <is>
          <t>-</t>
        </is>
      </c>
      <c r="B13" s="5" t="inlineStr">
        <is>
          <t>hpi_national</t>
        </is>
      </c>
      <c r="C13" s="5" t="inlineStr">
        <is>
          <t>CSUSHPISA</t>
        </is>
      </c>
      <c r="D13" s="5" t="inlineStr">
        <is>
          <t>S&amp;P CoreLogic Case-Shiller U.S. National HPI (SA)</t>
        </is>
      </c>
      <c r="E13" s="6">
        <f>IFERROR(Raw_Price!B316,"")</f>
        <v/>
      </c>
      <c r="F13" s="6">
        <f>IFERROR(Raw_Price!B317,"")</f>
        <v/>
      </c>
      <c r="G13" s="7">
        <f>IFERROR((Raw_Price!B316-Raw_Price!B328)/Raw_Price!B328*100,"")</f>
        <v/>
      </c>
      <c r="H13" s="6">
        <f>IFERROR((Raw_Price!B316-AVERAGE(Raw_Price!B316:B323))/STDEV(Raw_Price!B316:B323),"")</f>
        <v/>
      </c>
      <c r="I13" s="5" t="inlineStr"/>
    </row>
    <row r="14">
      <c r="A14" s="5" t="inlineStr">
        <is>
          <t>-</t>
        </is>
      </c>
      <c r="B14" s="5" t="inlineStr">
        <is>
          <t>hpi_national</t>
        </is>
      </c>
      <c r="C14" s="5" t="inlineStr">
        <is>
          <t>HPIPONM226S</t>
        </is>
      </c>
      <c r="D14" s="5" t="inlineStr">
        <is>
          <t>FHFA Purchase-Only House Price Index, United States (Monthly, SA)</t>
        </is>
      </c>
      <c r="E14" s="6">
        <f>IFERROR(Raw_Price!B108,"")</f>
        <v/>
      </c>
      <c r="F14" s="6">
        <f>IFERROR(Raw_Price!B109,"")</f>
        <v/>
      </c>
      <c r="G14" s="7">
        <f>IFERROR((Raw_Price!B108-Raw_Price!B120)/Raw_Price!B120*100,"")</f>
        <v/>
      </c>
      <c r="H14" s="6">
        <f>IFERROR((Raw_Price!B108-AVERAGE(Raw_Price!B108:B115))/STDEV(Raw_Price!B108:B115),"")</f>
        <v/>
      </c>
      <c r="I14" s="5" t="inlineStr"/>
    </row>
    <row r="15">
      <c r="A15" s="5" t="inlineStr">
        <is>
          <t>-</t>
        </is>
      </c>
      <c r="B15" s="5" t="inlineStr">
        <is>
          <t>hpi_national</t>
        </is>
      </c>
      <c r="C15" s="5" t="inlineStr">
        <is>
          <t>USSTHPI</t>
        </is>
      </c>
      <c r="D15" s="5" t="inlineStr">
        <is>
          <t>FHFA All-Transactions House Price Index, United States</t>
        </is>
      </c>
      <c r="E15" s="6">
        <f>IFERROR(Raw_Price!B4,"")</f>
        <v/>
      </c>
      <c r="F15" s="6">
        <f>IFERROR(Raw_Price!B5,"")</f>
        <v/>
      </c>
      <c r="G15" s="7">
        <f>IFERROR((Raw_Price!B4-Raw_Price!B8)/Raw_Price!B8*100,"")</f>
        <v/>
      </c>
      <c r="H15" s="6">
        <f>IFERROR((Raw_Price!B4-AVERAGE(Raw_Price!B4:B11))/STDEV(Raw_Price!B4:B11),"")</f>
        <v/>
      </c>
      <c r="I15" s="5" t="inlineStr"/>
    </row>
  </sheetData>
  <conditionalFormatting sqref="H9:H15">
    <cfRule type="colorScale" priority="1">
      <colorScale>
        <cfvo type="num" val="-2"/>
        <cfvo type="num" val="0"/>
        <cfvo type="num" val="2"/>
        <color rgb="0063BE7B"/>
        <color rgb="00FFEB84"/>
        <color rgb="00F8696B"/>
      </colorScale>
    </cfRule>
  </conditionalFormatting>
  <conditionalFormatting sqref="I9:I15">
    <cfRule type="expression" priority="2" dxfId="0">
      <formula>ISNUMBER(SEARCH("ALERT",I9))</formula>
    </cfRule>
    <cfRule type="expression" priority="3" dxfId="1">
      <formula>ISNUMBER(SEARCH("TIGHTENING",I9))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93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16" customWidth="1" min="2" max="2"/>
    <col width="18" customWidth="1" min="3" max="3"/>
    <col width="10" customWidth="1" min="4" max="4"/>
    <col width="9" customWidth="1" min="5" max="5"/>
    <col width="8" customWidth="1" min="6" max="6"/>
    <col width="16" customWidth="1" min="7" max="7"/>
  </cols>
  <sheetData>
    <row r="1">
      <c r="A1" s="1" t="inlineStr">
        <is>
          <t>Watchlist_Geo -- Geographic Stress Watchlist</t>
        </is>
      </c>
    </row>
    <row r="2" ht="42" customHeight="1">
      <c r="A2" s="8" t="inlineStr">
        <is>
          <t>Geographic stress watchlist -- apply against portfolio collateral location manually. National credit-quality series are excluded by design; they cannot localize a portfolio subset.</t>
        </is>
      </c>
    </row>
    <row r="4">
      <c r="A4" s="4" t="inlineStr">
        <is>
          <t>Geography</t>
        </is>
      </c>
      <c r="B4" s="4" t="inlineStr">
        <is>
          <t>Series ID</t>
        </is>
      </c>
      <c r="C4" s="4" t="inlineStr">
        <is>
          <t>Source</t>
        </is>
      </c>
      <c r="D4" s="4" t="inlineStr">
        <is>
          <t>Latest</t>
        </is>
      </c>
      <c r="E4" s="4" t="inlineStr">
        <is>
          <t>YoY %</t>
        </is>
      </c>
      <c r="F4" s="4" t="inlineStr">
        <is>
          <t>Rank</t>
        </is>
      </c>
      <c r="G4" s="4" t="inlineStr">
        <is>
          <t>Trend (recent-&gt;older)</t>
        </is>
      </c>
    </row>
    <row r="5">
      <c r="A5" s="5" t="inlineStr">
        <is>
          <t>Atlanta, GA</t>
        </is>
      </c>
      <c r="B5" s="5" t="inlineStr">
        <is>
          <t>ATXRSA</t>
        </is>
      </c>
      <c r="C5" s="5" t="inlineStr">
        <is>
          <t>Case-Shiller metro</t>
        </is>
      </c>
      <c r="D5" s="7">
        <f>IFERROR(Raw_Price!B7908,"")</f>
        <v/>
      </c>
      <c r="E5" s="7">
        <f>IFERROR((Raw_Price!B7908-Raw_Price!B7920)/Raw_Price!B7920*100,"")</f>
        <v/>
      </c>
      <c r="F5" s="5">
        <f>IFERROR(RANK(E5,$E$5:$E$93,1),"")</f>
        <v/>
      </c>
      <c r="G5" s="5">
        <f>IFERROR(IF(Raw_Price!B7908&gt;Raw_Price!B7909,"▲",IF(Raw_Price!B7908&lt;Raw_Price!B7909,"▼","→"))&amp;IF(Raw_Price!B7909&gt;Raw_Price!B7910,"▲",IF(Raw_Price!B7909&lt;Raw_Price!B7910,"▼","→"))&amp;IF(Raw_Price!B7910&gt;Raw_Price!B7911,"▲",IF(Raw_Price!B7910&lt;Raw_Price!B7911,"▼","→")),"")</f>
        <v/>
      </c>
    </row>
    <row r="6">
      <c r="A6" s="5" t="inlineStr">
        <is>
          <t>Boston, MA</t>
        </is>
      </c>
      <c r="B6" s="5" t="inlineStr">
        <is>
          <t>BOXRSA</t>
        </is>
      </c>
      <c r="C6" s="5" t="inlineStr">
        <is>
          <t>Case-Shiller metro</t>
        </is>
      </c>
      <c r="D6" s="7">
        <f>IFERROR(Raw_Price!B8012,"")</f>
        <v/>
      </c>
      <c r="E6" s="7">
        <f>IFERROR((Raw_Price!B8012-Raw_Price!B8024)/Raw_Price!B8024*100,"")</f>
        <v/>
      </c>
      <c r="F6" s="5">
        <f>IFERROR(RANK(E6,$E$5:$E$93,1),"")</f>
        <v/>
      </c>
      <c r="G6" s="5">
        <f>IFERROR(IF(Raw_Price!B8012&gt;Raw_Price!B8013,"▲",IF(Raw_Price!B8012&lt;Raw_Price!B8013,"▼","→"))&amp;IF(Raw_Price!B8013&gt;Raw_Price!B8014,"▲",IF(Raw_Price!B8013&lt;Raw_Price!B8014,"▼","→"))&amp;IF(Raw_Price!B8014&gt;Raw_Price!B8015,"▲",IF(Raw_Price!B8014&lt;Raw_Price!B8015,"▼","→")),"")</f>
        <v/>
      </c>
    </row>
    <row r="7">
      <c r="A7" s="5" t="inlineStr">
        <is>
          <t>Charlotte, NC</t>
        </is>
      </c>
      <c r="B7" s="5" t="inlineStr">
        <is>
          <t>CRXRSA</t>
        </is>
      </c>
      <c r="C7" s="5" t="inlineStr">
        <is>
          <t>Case-Shiller metro</t>
        </is>
      </c>
      <c r="D7" s="7">
        <f>IFERROR(Raw_Price!B8116,"")</f>
        <v/>
      </c>
      <c r="E7" s="7">
        <f>IFERROR((Raw_Price!B8116-Raw_Price!B8128)/Raw_Price!B8128*100,"")</f>
        <v/>
      </c>
      <c r="F7" s="5">
        <f>IFERROR(RANK(E7,$E$5:$E$93,1),"")</f>
        <v/>
      </c>
      <c r="G7" s="5">
        <f>IFERROR(IF(Raw_Price!B8116&gt;Raw_Price!B8117,"▲",IF(Raw_Price!B8116&lt;Raw_Price!B8117,"▼","→"))&amp;IF(Raw_Price!B8117&gt;Raw_Price!B8118,"▲",IF(Raw_Price!B8117&lt;Raw_Price!B8118,"▼","→"))&amp;IF(Raw_Price!B8118&gt;Raw_Price!B8119,"▲",IF(Raw_Price!B8118&lt;Raw_Price!B8119,"▼","→")),"")</f>
        <v/>
      </c>
    </row>
    <row r="8">
      <c r="A8" s="5" t="inlineStr">
        <is>
          <t>Chicago, IL</t>
        </is>
      </c>
      <c r="B8" s="5" t="inlineStr">
        <is>
          <t>CHXRSA</t>
        </is>
      </c>
      <c r="C8" s="5" t="inlineStr">
        <is>
          <t>Case-Shiller metro</t>
        </is>
      </c>
      <c r="D8" s="7">
        <f>IFERROR(Raw_Price!B8220,"")</f>
        <v/>
      </c>
      <c r="E8" s="7">
        <f>IFERROR((Raw_Price!B8220-Raw_Price!B8232)/Raw_Price!B8232*100,"")</f>
        <v/>
      </c>
      <c r="F8" s="5">
        <f>IFERROR(RANK(E8,$E$5:$E$93,1),"")</f>
        <v/>
      </c>
      <c r="G8" s="5">
        <f>IFERROR(IF(Raw_Price!B8220&gt;Raw_Price!B8221,"▲",IF(Raw_Price!B8220&lt;Raw_Price!B8221,"▼","→"))&amp;IF(Raw_Price!B8221&gt;Raw_Price!B8222,"▲",IF(Raw_Price!B8221&lt;Raw_Price!B8222,"▼","→"))&amp;IF(Raw_Price!B8222&gt;Raw_Price!B8223,"▲",IF(Raw_Price!B8222&lt;Raw_Price!B8223,"▼","→")),"")</f>
        <v/>
      </c>
    </row>
    <row r="9">
      <c r="A9" s="5" t="inlineStr">
        <is>
          <t>Cleveland, OH</t>
        </is>
      </c>
      <c r="B9" s="5" t="inlineStr">
        <is>
          <t>CEXRSA</t>
        </is>
      </c>
      <c r="C9" s="5" t="inlineStr">
        <is>
          <t>Case-Shiller metro</t>
        </is>
      </c>
      <c r="D9" s="7">
        <f>IFERROR(Raw_Price!B8324,"")</f>
        <v/>
      </c>
      <c r="E9" s="7">
        <f>IFERROR((Raw_Price!B8324-Raw_Price!B8336)/Raw_Price!B8336*100,"")</f>
        <v/>
      </c>
      <c r="F9" s="5">
        <f>IFERROR(RANK(E9,$E$5:$E$93,1),"")</f>
        <v/>
      </c>
      <c r="G9" s="5">
        <f>IFERROR(IF(Raw_Price!B8324&gt;Raw_Price!B8325,"▲",IF(Raw_Price!B8324&lt;Raw_Price!B8325,"▼","→"))&amp;IF(Raw_Price!B8325&gt;Raw_Price!B8326,"▲",IF(Raw_Price!B8325&lt;Raw_Price!B8326,"▼","→"))&amp;IF(Raw_Price!B8326&gt;Raw_Price!B8327,"▲",IF(Raw_Price!B8326&lt;Raw_Price!B8327,"▼","→")),"")</f>
        <v/>
      </c>
    </row>
    <row r="10">
      <c r="A10" s="5" t="inlineStr">
        <is>
          <t>Dallas, TX</t>
        </is>
      </c>
      <c r="B10" s="5" t="inlineStr">
        <is>
          <t>DAXRSA</t>
        </is>
      </c>
      <c r="C10" s="5" t="inlineStr">
        <is>
          <t>Case-Shiller metro</t>
        </is>
      </c>
      <c r="D10" s="7">
        <f>IFERROR(Raw_Price!B8428,"")</f>
        <v/>
      </c>
      <c r="E10" s="7">
        <f>IFERROR((Raw_Price!B8428-Raw_Price!B8440)/Raw_Price!B8440*100,"")</f>
        <v/>
      </c>
      <c r="F10" s="5">
        <f>IFERROR(RANK(E10,$E$5:$E$93,1),"")</f>
        <v/>
      </c>
      <c r="G10" s="5">
        <f>IFERROR(IF(Raw_Price!B8428&gt;Raw_Price!B8429,"▲",IF(Raw_Price!B8428&lt;Raw_Price!B8429,"▼","→"))&amp;IF(Raw_Price!B8429&gt;Raw_Price!B8430,"▲",IF(Raw_Price!B8429&lt;Raw_Price!B8430,"▼","→"))&amp;IF(Raw_Price!B8430&gt;Raw_Price!B8431,"▲",IF(Raw_Price!B8430&lt;Raw_Price!B8431,"▼","→")),"")</f>
        <v/>
      </c>
    </row>
    <row r="11">
      <c r="A11" s="5" t="inlineStr">
        <is>
          <t>Denver, CO</t>
        </is>
      </c>
      <c r="B11" s="5" t="inlineStr">
        <is>
          <t>DNXRSA</t>
        </is>
      </c>
      <c r="C11" s="5" t="inlineStr">
        <is>
          <t>Case-Shiller metro</t>
        </is>
      </c>
      <c r="D11" s="7">
        <f>IFERROR(Raw_Price!B8532,"")</f>
        <v/>
      </c>
      <c r="E11" s="7">
        <f>IFERROR((Raw_Price!B8532-Raw_Price!B8544)/Raw_Price!B8544*100,"")</f>
        <v/>
      </c>
      <c r="F11" s="5">
        <f>IFERROR(RANK(E11,$E$5:$E$93,1),"")</f>
        <v/>
      </c>
      <c r="G11" s="5">
        <f>IFERROR(IF(Raw_Price!B8532&gt;Raw_Price!B8533,"▲",IF(Raw_Price!B8532&lt;Raw_Price!B8533,"▼","→"))&amp;IF(Raw_Price!B8533&gt;Raw_Price!B8534,"▲",IF(Raw_Price!B8533&lt;Raw_Price!B8534,"▼","→"))&amp;IF(Raw_Price!B8534&gt;Raw_Price!B8535,"▲",IF(Raw_Price!B8534&lt;Raw_Price!B8535,"▼","→")),"")</f>
        <v/>
      </c>
    </row>
    <row r="12">
      <c r="A12" s="5" t="inlineStr">
        <is>
          <t>Detroit, MI</t>
        </is>
      </c>
      <c r="B12" s="5" t="inlineStr">
        <is>
          <t>DEXRSA</t>
        </is>
      </c>
      <c r="C12" s="5" t="inlineStr">
        <is>
          <t>Case-Shiller metro</t>
        </is>
      </c>
      <c r="D12" s="7">
        <f>IFERROR(Raw_Price!B8636,"")</f>
        <v/>
      </c>
      <c r="E12" s="7">
        <f>IFERROR((Raw_Price!B8636-Raw_Price!B8648)/Raw_Price!B8648*100,"")</f>
        <v/>
      </c>
      <c r="F12" s="5">
        <f>IFERROR(RANK(E12,$E$5:$E$93,1),"")</f>
        <v/>
      </c>
      <c r="G12" s="5">
        <f>IFERROR(IF(Raw_Price!B8636&gt;Raw_Price!B8637,"▲",IF(Raw_Price!B8636&lt;Raw_Price!B8637,"▼","→"))&amp;IF(Raw_Price!B8637&gt;Raw_Price!B8638,"▲",IF(Raw_Price!B8637&lt;Raw_Price!B8638,"▼","→"))&amp;IF(Raw_Price!B8638&gt;Raw_Price!B8639,"▲",IF(Raw_Price!B8638&lt;Raw_Price!B8639,"▼","→")),"")</f>
        <v/>
      </c>
    </row>
    <row r="13">
      <c r="A13" s="5" t="inlineStr">
        <is>
          <t>Las Vegas, NV</t>
        </is>
      </c>
      <c r="B13" s="5" t="inlineStr">
        <is>
          <t>LVXRSA</t>
        </is>
      </c>
      <c r="C13" s="5" t="inlineStr">
        <is>
          <t>Case-Shiller metro</t>
        </is>
      </c>
      <c r="D13" s="7">
        <f>IFERROR(Raw_Price!B8740,"")</f>
        <v/>
      </c>
      <c r="E13" s="7">
        <f>IFERROR((Raw_Price!B8740-Raw_Price!B8752)/Raw_Price!B8752*100,"")</f>
        <v/>
      </c>
      <c r="F13" s="5">
        <f>IFERROR(RANK(E13,$E$5:$E$93,1),"")</f>
        <v/>
      </c>
      <c r="G13" s="5">
        <f>IFERROR(IF(Raw_Price!B8740&gt;Raw_Price!B8741,"▲",IF(Raw_Price!B8740&lt;Raw_Price!B8741,"▼","→"))&amp;IF(Raw_Price!B8741&gt;Raw_Price!B8742,"▲",IF(Raw_Price!B8741&lt;Raw_Price!B8742,"▼","→"))&amp;IF(Raw_Price!B8742&gt;Raw_Price!B8743,"▲",IF(Raw_Price!B8742&lt;Raw_Price!B8743,"▼","→")),"")</f>
        <v/>
      </c>
    </row>
    <row r="14">
      <c r="A14" s="5" t="inlineStr">
        <is>
          <t>Los Angeles, CA</t>
        </is>
      </c>
      <c r="B14" s="5" t="inlineStr">
        <is>
          <t>LXXRSA</t>
        </is>
      </c>
      <c r="C14" s="5" t="inlineStr">
        <is>
          <t>Case-Shiller metro</t>
        </is>
      </c>
      <c r="D14" s="7">
        <f>IFERROR(Raw_Price!B8844,"")</f>
        <v/>
      </c>
      <c r="E14" s="7">
        <f>IFERROR((Raw_Price!B8844-Raw_Price!B8856)/Raw_Price!B8856*100,"")</f>
        <v/>
      </c>
      <c r="F14" s="5">
        <f>IFERROR(RANK(E14,$E$5:$E$93,1),"")</f>
        <v/>
      </c>
      <c r="G14" s="5">
        <f>IFERROR(IF(Raw_Price!B8844&gt;Raw_Price!B8845,"▲",IF(Raw_Price!B8844&lt;Raw_Price!B8845,"▼","→"))&amp;IF(Raw_Price!B8845&gt;Raw_Price!B8846,"▲",IF(Raw_Price!B8845&lt;Raw_Price!B8846,"▼","→"))&amp;IF(Raw_Price!B8846&gt;Raw_Price!B8847,"▲",IF(Raw_Price!B8846&lt;Raw_Price!B8847,"▼","→")),"")</f>
        <v/>
      </c>
    </row>
    <row r="15">
      <c r="A15" s="5" t="inlineStr">
        <is>
          <t>Miami, FL</t>
        </is>
      </c>
      <c r="B15" s="5" t="inlineStr">
        <is>
          <t>MIXRSA</t>
        </is>
      </c>
      <c r="C15" s="5" t="inlineStr">
        <is>
          <t>Case-Shiller metro</t>
        </is>
      </c>
      <c r="D15" s="7">
        <f>IFERROR(Raw_Price!B8948,"")</f>
        <v/>
      </c>
      <c r="E15" s="7">
        <f>IFERROR((Raw_Price!B8948-Raw_Price!B8960)/Raw_Price!B8960*100,"")</f>
        <v/>
      </c>
      <c r="F15" s="5">
        <f>IFERROR(RANK(E15,$E$5:$E$93,1),"")</f>
        <v/>
      </c>
      <c r="G15" s="5">
        <f>IFERROR(IF(Raw_Price!B8948&gt;Raw_Price!B8949,"▲",IF(Raw_Price!B8948&lt;Raw_Price!B8949,"▼","→"))&amp;IF(Raw_Price!B8949&gt;Raw_Price!B8950,"▲",IF(Raw_Price!B8949&lt;Raw_Price!B8950,"▼","→"))&amp;IF(Raw_Price!B8950&gt;Raw_Price!B8951,"▲",IF(Raw_Price!B8950&lt;Raw_Price!B8951,"▼","→")),"")</f>
        <v/>
      </c>
    </row>
    <row r="16">
      <c r="A16" s="5" t="inlineStr">
        <is>
          <t>Minneapolis, MN</t>
        </is>
      </c>
      <c r="B16" s="5" t="inlineStr">
        <is>
          <t>MNXRSA</t>
        </is>
      </c>
      <c r="C16" s="5" t="inlineStr">
        <is>
          <t>Case-Shiller metro</t>
        </is>
      </c>
      <c r="D16" s="7">
        <f>IFERROR(Raw_Price!B9052,"")</f>
        <v/>
      </c>
      <c r="E16" s="7">
        <f>IFERROR((Raw_Price!B9052-Raw_Price!B9064)/Raw_Price!B9064*100,"")</f>
        <v/>
      </c>
      <c r="F16" s="5">
        <f>IFERROR(RANK(E16,$E$5:$E$93,1),"")</f>
        <v/>
      </c>
      <c r="G16" s="5">
        <f>IFERROR(IF(Raw_Price!B9052&gt;Raw_Price!B9053,"▲",IF(Raw_Price!B9052&lt;Raw_Price!B9053,"▼","→"))&amp;IF(Raw_Price!B9053&gt;Raw_Price!B9054,"▲",IF(Raw_Price!B9053&lt;Raw_Price!B9054,"▼","→"))&amp;IF(Raw_Price!B9054&gt;Raw_Price!B9055,"▲",IF(Raw_Price!B9054&lt;Raw_Price!B9055,"▼","→")),"")</f>
        <v/>
      </c>
    </row>
    <row r="17">
      <c r="A17" s="5" t="inlineStr">
        <is>
          <t>New York, NY</t>
        </is>
      </c>
      <c r="B17" s="5" t="inlineStr">
        <is>
          <t>NYXRSA</t>
        </is>
      </c>
      <c r="C17" s="5" t="inlineStr">
        <is>
          <t>Case-Shiller metro</t>
        </is>
      </c>
      <c r="D17" s="7">
        <f>IFERROR(Raw_Price!B9156,"")</f>
        <v/>
      </c>
      <c r="E17" s="7">
        <f>IFERROR((Raw_Price!B9156-Raw_Price!B9168)/Raw_Price!B9168*100,"")</f>
        <v/>
      </c>
      <c r="F17" s="5">
        <f>IFERROR(RANK(E17,$E$5:$E$93,1),"")</f>
        <v/>
      </c>
      <c r="G17" s="5">
        <f>IFERROR(IF(Raw_Price!B9156&gt;Raw_Price!B9157,"▲",IF(Raw_Price!B9156&lt;Raw_Price!B9157,"▼","→"))&amp;IF(Raw_Price!B9157&gt;Raw_Price!B9158,"▲",IF(Raw_Price!B9157&lt;Raw_Price!B9158,"▼","→"))&amp;IF(Raw_Price!B9158&gt;Raw_Price!B9159,"▲",IF(Raw_Price!B9158&lt;Raw_Price!B9159,"▼","→")),"")</f>
        <v/>
      </c>
    </row>
    <row r="18">
      <c r="A18" s="5" t="inlineStr">
        <is>
          <t>Phoenix, AZ</t>
        </is>
      </c>
      <c r="B18" s="5" t="inlineStr">
        <is>
          <t>PHXRSA</t>
        </is>
      </c>
      <c r="C18" s="5" t="inlineStr">
        <is>
          <t>Case-Shiller metro</t>
        </is>
      </c>
      <c r="D18" s="7">
        <f>IFERROR(Raw_Price!B9260,"")</f>
        <v/>
      </c>
      <c r="E18" s="7">
        <f>IFERROR((Raw_Price!B9260-Raw_Price!B9272)/Raw_Price!B9272*100,"")</f>
        <v/>
      </c>
      <c r="F18" s="5">
        <f>IFERROR(RANK(E18,$E$5:$E$93,1),"")</f>
        <v/>
      </c>
      <c r="G18" s="5">
        <f>IFERROR(IF(Raw_Price!B9260&gt;Raw_Price!B9261,"▲",IF(Raw_Price!B9260&lt;Raw_Price!B9261,"▼","→"))&amp;IF(Raw_Price!B9261&gt;Raw_Price!B9262,"▲",IF(Raw_Price!B9261&lt;Raw_Price!B9262,"▼","→"))&amp;IF(Raw_Price!B9262&gt;Raw_Price!B9263,"▲",IF(Raw_Price!B9262&lt;Raw_Price!B9263,"▼","→")),"")</f>
        <v/>
      </c>
    </row>
    <row r="19">
      <c r="A19" s="5" t="inlineStr">
        <is>
          <t>Portland, OR</t>
        </is>
      </c>
      <c r="B19" s="5" t="inlineStr">
        <is>
          <t>POXRSA</t>
        </is>
      </c>
      <c r="C19" s="5" t="inlineStr">
        <is>
          <t>Case-Shiller metro</t>
        </is>
      </c>
      <c r="D19" s="7">
        <f>IFERROR(Raw_Price!B9364,"")</f>
        <v/>
      </c>
      <c r="E19" s="7">
        <f>IFERROR((Raw_Price!B9364-Raw_Price!B9376)/Raw_Price!B9376*100,"")</f>
        <v/>
      </c>
      <c r="F19" s="5">
        <f>IFERROR(RANK(E19,$E$5:$E$93,1),"")</f>
        <v/>
      </c>
      <c r="G19" s="5">
        <f>IFERROR(IF(Raw_Price!B9364&gt;Raw_Price!B9365,"▲",IF(Raw_Price!B9364&lt;Raw_Price!B9365,"▼","→"))&amp;IF(Raw_Price!B9365&gt;Raw_Price!B9366,"▲",IF(Raw_Price!B9365&lt;Raw_Price!B9366,"▼","→"))&amp;IF(Raw_Price!B9366&gt;Raw_Price!B9367,"▲",IF(Raw_Price!B9366&lt;Raw_Price!B9367,"▼","→")),"")</f>
        <v/>
      </c>
    </row>
    <row r="20">
      <c r="A20" s="5" t="inlineStr">
        <is>
          <t>San Diego, CA</t>
        </is>
      </c>
      <c r="B20" s="5" t="inlineStr">
        <is>
          <t>SDXRSA</t>
        </is>
      </c>
      <c r="C20" s="5" t="inlineStr">
        <is>
          <t>Case-Shiller metro</t>
        </is>
      </c>
      <c r="D20" s="7">
        <f>IFERROR(Raw_Price!B9468,"")</f>
        <v/>
      </c>
      <c r="E20" s="7">
        <f>IFERROR((Raw_Price!B9468-Raw_Price!B9480)/Raw_Price!B9480*100,"")</f>
        <v/>
      </c>
      <c r="F20" s="5">
        <f>IFERROR(RANK(E20,$E$5:$E$93,1),"")</f>
        <v/>
      </c>
      <c r="G20" s="5">
        <f>IFERROR(IF(Raw_Price!B9468&gt;Raw_Price!B9469,"▲",IF(Raw_Price!B9468&lt;Raw_Price!B9469,"▼","→"))&amp;IF(Raw_Price!B9469&gt;Raw_Price!B9470,"▲",IF(Raw_Price!B9469&lt;Raw_Price!B9470,"▼","→"))&amp;IF(Raw_Price!B9470&gt;Raw_Price!B9471,"▲",IF(Raw_Price!B9470&lt;Raw_Price!B9471,"▼","→")),"")</f>
        <v/>
      </c>
    </row>
    <row r="21">
      <c r="A21" s="5" t="inlineStr">
        <is>
          <t>San Francisco, CA</t>
        </is>
      </c>
      <c r="B21" s="5" t="inlineStr">
        <is>
          <t>SFXRSA</t>
        </is>
      </c>
      <c r="C21" s="5" t="inlineStr">
        <is>
          <t>Case-Shiller metro</t>
        </is>
      </c>
      <c r="D21" s="7">
        <f>IFERROR(Raw_Price!B9572,"")</f>
        <v/>
      </c>
      <c r="E21" s="7">
        <f>IFERROR((Raw_Price!B9572-Raw_Price!B9584)/Raw_Price!B9584*100,"")</f>
        <v/>
      </c>
      <c r="F21" s="5">
        <f>IFERROR(RANK(E21,$E$5:$E$93,1),"")</f>
        <v/>
      </c>
      <c r="G21" s="5">
        <f>IFERROR(IF(Raw_Price!B9572&gt;Raw_Price!B9573,"▲",IF(Raw_Price!B9572&lt;Raw_Price!B9573,"▼","→"))&amp;IF(Raw_Price!B9573&gt;Raw_Price!B9574,"▲",IF(Raw_Price!B9573&lt;Raw_Price!B9574,"▼","→"))&amp;IF(Raw_Price!B9574&gt;Raw_Price!B9575,"▲",IF(Raw_Price!B9574&lt;Raw_Price!B9575,"▼","→")),"")</f>
        <v/>
      </c>
    </row>
    <row r="22">
      <c r="A22" s="5" t="inlineStr">
        <is>
          <t>Seattle, WA</t>
        </is>
      </c>
      <c r="B22" s="5" t="inlineStr">
        <is>
          <t>SEXRSA</t>
        </is>
      </c>
      <c r="C22" s="5" t="inlineStr">
        <is>
          <t>Case-Shiller metro</t>
        </is>
      </c>
      <c r="D22" s="7">
        <f>IFERROR(Raw_Price!B9676,"")</f>
        <v/>
      </c>
      <c r="E22" s="7">
        <f>IFERROR((Raw_Price!B9676-Raw_Price!B9688)/Raw_Price!B9688*100,"")</f>
        <v/>
      </c>
      <c r="F22" s="5">
        <f>IFERROR(RANK(E22,$E$5:$E$93,1),"")</f>
        <v/>
      </c>
      <c r="G22" s="5">
        <f>IFERROR(IF(Raw_Price!B9676&gt;Raw_Price!B9677,"▲",IF(Raw_Price!B9676&lt;Raw_Price!B9677,"▼","→"))&amp;IF(Raw_Price!B9677&gt;Raw_Price!B9678,"▲",IF(Raw_Price!B9677&lt;Raw_Price!B9678,"▼","→"))&amp;IF(Raw_Price!B9678&gt;Raw_Price!B9679,"▲",IF(Raw_Price!B9678&lt;Raw_Price!B9679,"▼","→")),"")</f>
        <v/>
      </c>
    </row>
    <row r="23">
      <c r="A23" s="5" t="inlineStr">
        <is>
          <t>Tampa, FL</t>
        </is>
      </c>
      <c r="B23" s="5" t="inlineStr">
        <is>
          <t>TPXRSA</t>
        </is>
      </c>
      <c r="C23" s="5" t="inlineStr">
        <is>
          <t>Case-Shiller metro</t>
        </is>
      </c>
      <c r="D23" s="7">
        <f>IFERROR(Raw_Price!B9780,"")</f>
        <v/>
      </c>
      <c r="E23" s="7">
        <f>IFERROR((Raw_Price!B9780-Raw_Price!B9792)/Raw_Price!B9792*100,"")</f>
        <v/>
      </c>
      <c r="F23" s="5">
        <f>IFERROR(RANK(E23,$E$5:$E$93,1),"")</f>
        <v/>
      </c>
      <c r="G23" s="5">
        <f>IFERROR(IF(Raw_Price!B9780&gt;Raw_Price!B9781,"▲",IF(Raw_Price!B9780&lt;Raw_Price!B9781,"▼","→"))&amp;IF(Raw_Price!B9781&gt;Raw_Price!B9782,"▲",IF(Raw_Price!B9781&lt;Raw_Price!B9782,"▼","→"))&amp;IF(Raw_Price!B9782&gt;Raw_Price!B9783,"▲",IF(Raw_Price!B9782&lt;Raw_Price!B9783,"▼","→")),"")</f>
        <v/>
      </c>
    </row>
    <row r="24">
      <c r="A24" s="5" t="inlineStr">
        <is>
          <t>Washington, DC</t>
        </is>
      </c>
      <c r="B24" s="5" t="inlineStr">
        <is>
          <t>WDXRSA</t>
        </is>
      </c>
      <c r="C24" s="5" t="inlineStr">
        <is>
          <t>Case-Shiller metro</t>
        </is>
      </c>
      <c r="D24" s="7">
        <f>IFERROR(Raw_Price!B9884,"")</f>
        <v/>
      </c>
      <c r="E24" s="7">
        <f>IFERROR((Raw_Price!B9884-Raw_Price!B9896)/Raw_Price!B9896*100,"")</f>
        <v/>
      </c>
      <c r="F24" s="5">
        <f>IFERROR(RANK(E24,$E$5:$E$93,1),"")</f>
        <v/>
      </c>
      <c r="G24" s="5">
        <f>IFERROR(IF(Raw_Price!B9884&gt;Raw_Price!B9885,"▲",IF(Raw_Price!B9884&lt;Raw_Price!B9885,"▼","→"))&amp;IF(Raw_Price!B9885&gt;Raw_Price!B9886,"▲",IF(Raw_Price!B9885&lt;Raw_Price!B9886,"▼","→"))&amp;IF(Raw_Price!B9886&gt;Raw_Price!B9887,"▲",IF(Raw_Price!B9886&lt;Raw_Price!B9887,"▼","→")),"")</f>
        <v/>
      </c>
    </row>
    <row r="25">
      <c r="A25" s="5" t="inlineStr">
        <is>
          <t>Atlanta-Sandy Springs-Alpharetta, GA</t>
        </is>
      </c>
      <c r="B25" s="5" t="inlineStr">
        <is>
          <t>ATNHPIUS12060Q</t>
        </is>
      </c>
      <c r="C25" s="5" t="inlineStr">
        <is>
          <t>FHFA metro (CBSA)</t>
        </is>
      </c>
      <c r="D25" s="7">
        <f>IFERROR(Raw_Price!B6868,"")</f>
        <v/>
      </c>
      <c r="E25" s="7">
        <f>IFERROR((Raw_Price!B6868-Raw_Price!B6872)/Raw_Price!B6872*100,"")</f>
        <v/>
      </c>
      <c r="F25" s="5">
        <f>IFERROR(RANK(E25,$E$5:$E$93,1),"")</f>
        <v/>
      </c>
      <c r="G25" s="5">
        <f>IFERROR(IF(Raw_Price!B6868&gt;Raw_Price!B6869,"▲",IF(Raw_Price!B6868&lt;Raw_Price!B6869,"▼","→"))&amp;IF(Raw_Price!B6869&gt;Raw_Price!B6870,"▲",IF(Raw_Price!B6869&lt;Raw_Price!B6870,"▼","→"))&amp;IF(Raw_Price!B6870&gt;Raw_Price!B6871,"▲",IF(Raw_Price!B6870&lt;Raw_Price!B6871,"▼","→")),"")</f>
        <v/>
      </c>
    </row>
    <row r="26">
      <c r="A26" s="5" t="inlineStr">
        <is>
          <t>Austin-Round Rock-Georgetown, TX</t>
        </is>
      </c>
      <c r="B26" s="5" t="inlineStr">
        <is>
          <t>ATNHPIUS12420Q</t>
        </is>
      </c>
      <c r="C26" s="5" t="inlineStr">
        <is>
          <t>FHFA metro (CBSA)</t>
        </is>
      </c>
      <c r="D26" s="7">
        <f>IFERROR(Raw_Price!B7596,"")</f>
        <v/>
      </c>
      <c r="E26" s="7">
        <f>IFERROR((Raw_Price!B7596-Raw_Price!B7600)/Raw_Price!B7600*100,"")</f>
        <v/>
      </c>
      <c r="F26" s="5">
        <f>IFERROR(RANK(E26,$E$5:$E$93,1),"")</f>
        <v/>
      </c>
      <c r="G26" s="5">
        <f>IFERROR(IF(Raw_Price!B7596&gt;Raw_Price!B7597,"▲",IF(Raw_Price!B7596&lt;Raw_Price!B7597,"▼","→"))&amp;IF(Raw_Price!B7597&gt;Raw_Price!B7598,"▲",IF(Raw_Price!B7597&lt;Raw_Price!B7598,"▼","→"))&amp;IF(Raw_Price!B7598&gt;Raw_Price!B7599,"▲",IF(Raw_Price!B7598&lt;Raw_Price!B7599,"▼","→")),"")</f>
        <v/>
      </c>
    </row>
    <row r="27">
      <c r="A27" s="5" t="inlineStr">
        <is>
          <t>Boston-Cambridge-Newton, MA-NH</t>
        </is>
      </c>
      <c r="B27" s="5" t="inlineStr">
        <is>
          <t>ATNHPIUS14460Q</t>
        </is>
      </c>
      <c r="C27" s="5" t="inlineStr">
        <is>
          <t>FHFA metro (CBSA)</t>
        </is>
      </c>
      <c r="D27" s="7">
        <f>IFERROR(Raw_Price!B7076,"")</f>
        <v/>
      </c>
      <c r="E27" s="7">
        <f>IFERROR((Raw_Price!B7076-Raw_Price!B7080)/Raw_Price!B7080*100,"")</f>
        <v/>
      </c>
      <c r="F27" s="5">
        <f>IFERROR(RANK(E27,$E$5:$E$93,1),"")</f>
        <v/>
      </c>
      <c r="G27" s="5">
        <f>IFERROR(IF(Raw_Price!B7076&gt;Raw_Price!B7077,"▲",IF(Raw_Price!B7076&lt;Raw_Price!B7077,"▼","→"))&amp;IF(Raw_Price!B7077&gt;Raw_Price!B7078,"▲",IF(Raw_Price!B7077&lt;Raw_Price!B7078,"▼","→"))&amp;IF(Raw_Price!B7078&gt;Raw_Price!B7079,"▲",IF(Raw_Price!B7078&lt;Raw_Price!B7079,"▼","→")),"")</f>
        <v/>
      </c>
    </row>
    <row r="28">
      <c r="A28" s="5" t="inlineStr">
        <is>
          <t>Chicago-Naperville-Elgin, IL-IN-WI</t>
        </is>
      </c>
      <c r="B28" s="5" t="inlineStr">
        <is>
          <t>ATNHPIUS16980Q</t>
        </is>
      </c>
      <c r="C28" s="5" t="inlineStr">
        <is>
          <t>FHFA metro (CBSA)</t>
        </is>
      </c>
      <c r="D28" s="7">
        <f>IFERROR(Raw_Price!B6244,"")</f>
        <v/>
      </c>
      <c r="E28" s="7">
        <f>IFERROR((Raw_Price!B6244-Raw_Price!B6248)/Raw_Price!B6248*100,"")</f>
        <v/>
      </c>
      <c r="F28" s="5">
        <f>IFERROR(RANK(E28,$E$5:$E$93,1),"")</f>
        <v/>
      </c>
      <c r="G28" s="5">
        <f>IFERROR(IF(Raw_Price!B6244&gt;Raw_Price!B6245,"▲",IF(Raw_Price!B6244&lt;Raw_Price!B6245,"▼","→"))&amp;IF(Raw_Price!B6245&gt;Raw_Price!B6246,"▲",IF(Raw_Price!B6245&lt;Raw_Price!B6246,"▼","→"))&amp;IF(Raw_Price!B6246&gt;Raw_Price!B6247,"▲",IF(Raw_Price!B6246&lt;Raw_Price!B6247,"▼","→")),"")</f>
        <v/>
      </c>
    </row>
    <row r="29">
      <c r="A29" s="5" t="inlineStr">
        <is>
          <t>Dallas-Fort Worth-Arlington, TX</t>
        </is>
      </c>
      <c r="B29" s="5" t="inlineStr">
        <is>
          <t>ATNHPIUS19100Q</t>
        </is>
      </c>
      <c r="C29" s="5" t="inlineStr">
        <is>
          <t>FHFA metro (CBSA)</t>
        </is>
      </c>
      <c r="D29" s="7">
        <f>IFERROR(Raw_Price!B6348,"")</f>
        <v/>
      </c>
      <c r="E29" s="7">
        <f>IFERROR((Raw_Price!B6348-Raw_Price!B6352)/Raw_Price!B6352*100,"")</f>
        <v/>
      </c>
      <c r="F29" s="5">
        <f>IFERROR(RANK(E29,$E$5:$E$93,1),"")</f>
        <v/>
      </c>
      <c r="G29" s="5">
        <f>IFERROR(IF(Raw_Price!B6348&gt;Raw_Price!B6349,"▲",IF(Raw_Price!B6348&lt;Raw_Price!B6349,"▼","→"))&amp;IF(Raw_Price!B6349&gt;Raw_Price!B6350,"▲",IF(Raw_Price!B6349&lt;Raw_Price!B6350,"▼","→"))&amp;IF(Raw_Price!B6350&gt;Raw_Price!B6351,"▲",IF(Raw_Price!B6350&lt;Raw_Price!B6351,"▼","→")),"")</f>
        <v/>
      </c>
    </row>
    <row r="30">
      <c r="A30" s="5" t="inlineStr">
        <is>
          <t>Detroit-Warren-Dearborn, MI</t>
        </is>
      </c>
      <c r="B30" s="5" t="inlineStr">
        <is>
          <t>ATNHPIUS19820Q</t>
        </is>
      </c>
      <c r="C30" s="5" t="inlineStr">
        <is>
          <t>FHFA metro (CBSA)</t>
        </is>
      </c>
      <c r="D30" s="7">
        <f>IFERROR(Raw_Price!B7492,"")</f>
        <v/>
      </c>
      <c r="E30" s="7">
        <f>IFERROR((Raw_Price!B7492-Raw_Price!B7496)/Raw_Price!B7496*100,"")</f>
        <v/>
      </c>
      <c r="F30" s="5">
        <f>IFERROR(RANK(E30,$E$5:$E$93,1),"")</f>
        <v/>
      </c>
      <c r="G30" s="5">
        <f>IFERROR(IF(Raw_Price!B7492&gt;Raw_Price!B7493,"▲",IF(Raw_Price!B7492&lt;Raw_Price!B7493,"▼","→"))&amp;IF(Raw_Price!B7493&gt;Raw_Price!B7494,"▲",IF(Raw_Price!B7493&lt;Raw_Price!B7494,"▼","→"))&amp;IF(Raw_Price!B7494&gt;Raw_Price!B7495,"▲",IF(Raw_Price!B7494&lt;Raw_Price!B7495,"▼","→")),"")</f>
        <v/>
      </c>
    </row>
    <row r="31">
      <c r="A31" s="5" t="inlineStr">
        <is>
          <t>Houston-The Woodlands-Sugar Land, TX</t>
        </is>
      </c>
      <c r="B31" s="5" t="inlineStr">
        <is>
          <t>ATNHPIUS26420Q</t>
        </is>
      </c>
      <c r="C31" s="5" t="inlineStr">
        <is>
          <t>FHFA metro (CBSA)</t>
        </is>
      </c>
      <c r="D31" s="7">
        <f>IFERROR(Raw_Price!B6452,"")</f>
        <v/>
      </c>
      <c r="E31" s="7">
        <f>IFERROR((Raw_Price!B6452-Raw_Price!B6456)/Raw_Price!B6456*100,"")</f>
        <v/>
      </c>
      <c r="F31" s="5">
        <f>IFERROR(RANK(E31,$E$5:$E$93,1),"")</f>
        <v/>
      </c>
      <c r="G31" s="5">
        <f>IFERROR(IF(Raw_Price!B6452&gt;Raw_Price!B6453,"▲",IF(Raw_Price!B6452&lt;Raw_Price!B6453,"▼","→"))&amp;IF(Raw_Price!B6453&gt;Raw_Price!B6454,"▲",IF(Raw_Price!B6453&lt;Raw_Price!B6454,"▼","→"))&amp;IF(Raw_Price!B6454&gt;Raw_Price!B6455,"▲",IF(Raw_Price!B6454&lt;Raw_Price!B6455,"▼","→")),"")</f>
        <v/>
      </c>
    </row>
    <row r="32">
      <c r="A32" s="5" t="inlineStr">
        <is>
          <t>Los Angeles-Long Beach-Anaheim, CA</t>
        </is>
      </c>
      <c r="B32" s="5" t="inlineStr">
        <is>
          <t>ATNHPIUS31080Q</t>
        </is>
      </c>
      <c r="C32" s="5" t="inlineStr">
        <is>
          <t>FHFA metro (CBSA)</t>
        </is>
      </c>
      <c r="D32" s="7">
        <f>IFERROR(Raw_Price!B6140,"")</f>
        <v/>
      </c>
      <c r="E32" s="7">
        <f>IFERROR((Raw_Price!B6140-Raw_Price!B6144)/Raw_Price!B6144*100,"")</f>
        <v/>
      </c>
      <c r="F32" s="5">
        <f>IFERROR(RANK(E32,$E$5:$E$93,1),"")</f>
        <v/>
      </c>
      <c r="G32" s="5">
        <f>IFERROR(IF(Raw_Price!B6140&gt;Raw_Price!B6141,"▲",IF(Raw_Price!B6140&lt;Raw_Price!B6141,"▼","→"))&amp;IF(Raw_Price!B6141&gt;Raw_Price!B6142,"▲",IF(Raw_Price!B6141&lt;Raw_Price!B6142,"▼","→"))&amp;IF(Raw_Price!B6142&gt;Raw_Price!B6143,"▲",IF(Raw_Price!B6142&lt;Raw_Price!B6143,"▼","→")),"")</f>
        <v/>
      </c>
    </row>
    <row r="33">
      <c r="A33" s="5" t="inlineStr">
        <is>
          <t>Miami-Fort Lauderdale-Pompano Beach, FL</t>
        </is>
      </c>
      <c r="B33" s="5" t="inlineStr">
        <is>
          <t>ATNHPIUS33100Q</t>
        </is>
      </c>
      <c r="C33" s="5" t="inlineStr">
        <is>
          <t>FHFA metro (CBSA)</t>
        </is>
      </c>
      <c r="D33" s="7">
        <f>IFERROR(Raw_Price!B6660,"")</f>
        <v/>
      </c>
      <c r="E33" s="7">
        <f>IFERROR((Raw_Price!B6660-Raw_Price!B6664)/Raw_Price!B6664*100,"")</f>
        <v/>
      </c>
      <c r="F33" s="5">
        <f>IFERROR(RANK(E33,$E$5:$E$93,1),"")</f>
        <v/>
      </c>
      <c r="G33" s="5">
        <f>IFERROR(IF(Raw_Price!B6660&gt;Raw_Price!B6661,"▲",IF(Raw_Price!B6660&lt;Raw_Price!B6661,"▼","→"))&amp;IF(Raw_Price!B6661&gt;Raw_Price!B6662,"▲",IF(Raw_Price!B6661&lt;Raw_Price!B6662,"▼","→"))&amp;IF(Raw_Price!B6662&gt;Raw_Price!B6663,"▲",IF(Raw_Price!B6662&lt;Raw_Price!B6663,"▼","→")),"")</f>
        <v/>
      </c>
    </row>
    <row r="34">
      <c r="A34" s="5" t="inlineStr">
        <is>
          <t>Minneapolis-St. Paul-Bloomington, MN-WI</t>
        </is>
      </c>
      <c r="B34" s="5" t="inlineStr">
        <is>
          <t>ATNHPIUS33460Q</t>
        </is>
      </c>
      <c r="C34" s="5" t="inlineStr">
        <is>
          <t>FHFA metro (CBSA)</t>
        </is>
      </c>
      <c r="D34" s="7">
        <f>IFERROR(Raw_Price!B7388,"")</f>
        <v/>
      </c>
      <c r="E34" s="7">
        <f>IFERROR((Raw_Price!B7388-Raw_Price!B7392)/Raw_Price!B7392*100,"")</f>
        <v/>
      </c>
      <c r="F34" s="5">
        <f>IFERROR(RANK(E34,$E$5:$E$93,1),"")</f>
        <v/>
      </c>
      <c r="G34" s="5">
        <f>IFERROR(IF(Raw_Price!B7388&gt;Raw_Price!B7389,"▲",IF(Raw_Price!B7388&lt;Raw_Price!B7389,"▼","→"))&amp;IF(Raw_Price!B7389&gt;Raw_Price!B7390,"▲",IF(Raw_Price!B7389&lt;Raw_Price!B7390,"▼","→"))&amp;IF(Raw_Price!B7390&gt;Raw_Price!B7391,"▲",IF(Raw_Price!B7390&lt;Raw_Price!B7391,"▼","→")),"")</f>
        <v/>
      </c>
    </row>
    <row r="35">
      <c r="A35" s="5" t="inlineStr">
        <is>
          <t>New York-Newark-Jersey City, NY-NJ-PA</t>
        </is>
      </c>
      <c r="B35" s="5" t="inlineStr">
        <is>
          <t>ATNHPIUS35620Q</t>
        </is>
      </c>
      <c r="C35" s="5" t="inlineStr">
        <is>
          <t>FHFA metro (CBSA)</t>
        </is>
      </c>
      <c r="D35" s="7">
        <f>IFERROR(Raw_Price!B6036,"")</f>
        <v/>
      </c>
      <c r="E35" s="7">
        <f>IFERROR((Raw_Price!B6036-Raw_Price!B6040)/Raw_Price!B6040*100,"")</f>
        <v/>
      </c>
      <c r="F35" s="5">
        <f>IFERROR(RANK(E35,$E$5:$E$93,1),"")</f>
        <v/>
      </c>
      <c r="G35" s="5">
        <f>IFERROR(IF(Raw_Price!B6036&gt;Raw_Price!B6037,"▲",IF(Raw_Price!B6036&lt;Raw_Price!B6037,"▼","→"))&amp;IF(Raw_Price!B6037&gt;Raw_Price!B6038,"▲",IF(Raw_Price!B6037&lt;Raw_Price!B6038,"▼","→"))&amp;IF(Raw_Price!B6038&gt;Raw_Price!B6039,"▲",IF(Raw_Price!B6038&lt;Raw_Price!B6039,"▼","→")),"")</f>
        <v/>
      </c>
    </row>
    <row r="36">
      <c r="A36" s="5" t="inlineStr">
        <is>
          <t>Philadelphia-Camden-Wilmington, PA-NJ-DE-MD</t>
        </is>
      </c>
      <c r="B36" s="5" t="inlineStr">
        <is>
          <t>ATNHPIUS37980Q</t>
        </is>
      </c>
      <c r="C36" s="5" t="inlineStr">
        <is>
          <t>FHFA metro (CBSA)</t>
        </is>
      </c>
      <c r="D36" s="7">
        <f>IFERROR(Raw_Price!B6764,"")</f>
        <v/>
      </c>
      <c r="E36" s="7">
        <f>IFERROR((Raw_Price!B6764-Raw_Price!B6768)/Raw_Price!B6768*100,"")</f>
        <v/>
      </c>
      <c r="F36" s="5">
        <f>IFERROR(RANK(E36,$E$5:$E$93,1),"")</f>
        <v/>
      </c>
      <c r="G36" s="5">
        <f>IFERROR(IF(Raw_Price!B6764&gt;Raw_Price!B6765,"▲",IF(Raw_Price!B6764&lt;Raw_Price!B6765,"▼","→"))&amp;IF(Raw_Price!B6765&gt;Raw_Price!B6766,"▲",IF(Raw_Price!B6765&lt;Raw_Price!B6766,"▼","→"))&amp;IF(Raw_Price!B6766&gt;Raw_Price!B6767,"▲",IF(Raw_Price!B6766&lt;Raw_Price!B6767,"▼","→")),"")</f>
        <v/>
      </c>
    </row>
    <row r="37">
      <c r="A37" s="5" t="inlineStr">
        <is>
          <t>Phoenix-Mesa-Chandler, AZ</t>
        </is>
      </c>
      <c r="B37" s="5" t="inlineStr">
        <is>
          <t>ATNHPIUS38060Q</t>
        </is>
      </c>
      <c r="C37" s="5" t="inlineStr">
        <is>
          <t>FHFA metro (CBSA)</t>
        </is>
      </c>
      <c r="D37" s="7">
        <f>IFERROR(Raw_Price!B6972,"")</f>
        <v/>
      </c>
      <c r="E37" s="7">
        <f>IFERROR((Raw_Price!B6972-Raw_Price!B6976)/Raw_Price!B6976*100,"")</f>
        <v/>
      </c>
      <c r="F37" s="5">
        <f>IFERROR(RANK(E37,$E$5:$E$93,1),"")</f>
        <v/>
      </c>
      <c r="G37" s="5">
        <f>IFERROR(IF(Raw_Price!B6972&gt;Raw_Price!B6973,"▲",IF(Raw_Price!B6972&lt;Raw_Price!B6973,"▼","→"))&amp;IF(Raw_Price!B6973&gt;Raw_Price!B6974,"▲",IF(Raw_Price!B6973&lt;Raw_Price!B6974,"▼","→"))&amp;IF(Raw_Price!B6974&gt;Raw_Price!B6975,"▲",IF(Raw_Price!B6974&lt;Raw_Price!B6975,"▼","→")),"")</f>
        <v/>
      </c>
    </row>
    <row r="38">
      <c r="A38" s="5" t="inlineStr">
        <is>
          <t>Riverside-San Bernardino-Ontario, CA</t>
        </is>
      </c>
      <c r="B38" s="5" t="inlineStr">
        <is>
          <t>ATNHPIUS40140Q</t>
        </is>
      </c>
      <c r="C38" s="5" t="inlineStr">
        <is>
          <t>FHFA metro (CBSA)</t>
        </is>
      </c>
      <c r="D38" s="7">
        <f>IFERROR(Raw_Price!B7700,"")</f>
        <v/>
      </c>
      <c r="E38" s="7">
        <f>IFERROR((Raw_Price!B7700-Raw_Price!B7704)/Raw_Price!B7704*100,"")</f>
        <v/>
      </c>
      <c r="F38" s="5">
        <f>IFERROR(RANK(E38,$E$5:$E$93,1),"")</f>
        <v/>
      </c>
      <c r="G38" s="5">
        <f>IFERROR(IF(Raw_Price!B7700&gt;Raw_Price!B7701,"▲",IF(Raw_Price!B7700&lt;Raw_Price!B7701,"▼","→"))&amp;IF(Raw_Price!B7701&gt;Raw_Price!B7702,"▲",IF(Raw_Price!B7701&lt;Raw_Price!B7702,"▼","→"))&amp;IF(Raw_Price!B7702&gt;Raw_Price!B7703,"▲",IF(Raw_Price!B7702&lt;Raw_Price!B7703,"▼","→")),"")</f>
        <v/>
      </c>
    </row>
    <row r="39">
      <c r="A39" s="5" t="inlineStr">
        <is>
          <t>San Francisco-Oakland-Berkeley, CA</t>
        </is>
      </c>
      <c r="B39" s="5" t="inlineStr">
        <is>
          <t>ATNHPIUS41860Q</t>
        </is>
      </c>
      <c r="C39" s="5" t="inlineStr">
        <is>
          <t>FHFA metro (CBSA)</t>
        </is>
      </c>
      <c r="D39" s="7">
        <f>IFERROR(Raw_Price!B7180,"")</f>
        <v/>
      </c>
      <c r="E39" s="7">
        <f>IFERROR((Raw_Price!B7180-Raw_Price!B7184)/Raw_Price!B7184*100,"")</f>
        <v/>
      </c>
      <c r="F39" s="5">
        <f>IFERROR(RANK(E39,$E$5:$E$93,1),"")</f>
        <v/>
      </c>
      <c r="G39" s="5">
        <f>IFERROR(IF(Raw_Price!B7180&gt;Raw_Price!B7181,"▲",IF(Raw_Price!B7180&lt;Raw_Price!B7181,"▼","→"))&amp;IF(Raw_Price!B7181&gt;Raw_Price!B7182,"▲",IF(Raw_Price!B7181&lt;Raw_Price!B7182,"▼","→"))&amp;IF(Raw_Price!B7182&gt;Raw_Price!B7183,"▲",IF(Raw_Price!B7182&lt;Raw_Price!B7183,"▼","→")),"")</f>
        <v/>
      </c>
    </row>
    <row r="40">
      <c r="A40" s="5" t="inlineStr">
        <is>
          <t>Seattle-Tacoma-Bellevue, WA</t>
        </is>
      </c>
      <c r="B40" s="5" t="inlineStr">
        <is>
          <t>ATNHPIUS42660Q</t>
        </is>
      </c>
      <c r="C40" s="5" t="inlineStr">
        <is>
          <t>FHFA metro (CBSA)</t>
        </is>
      </c>
      <c r="D40" s="7">
        <f>IFERROR(Raw_Price!B7284,"")</f>
        <v/>
      </c>
      <c r="E40" s="7">
        <f>IFERROR((Raw_Price!B7284-Raw_Price!B7288)/Raw_Price!B7288*100,"")</f>
        <v/>
      </c>
      <c r="F40" s="5">
        <f>IFERROR(RANK(E40,$E$5:$E$93,1),"")</f>
        <v/>
      </c>
      <c r="G40" s="5">
        <f>IFERROR(IF(Raw_Price!B7284&gt;Raw_Price!B7285,"▲",IF(Raw_Price!B7284&lt;Raw_Price!B7285,"▼","→"))&amp;IF(Raw_Price!B7285&gt;Raw_Price!B7286,"▲",IF(Raw_Price!B7285&lt;Raw_Price!B7286,"▼","→"))&amp;IF(Raw_Price!B7286&gt;Raw_Price!B7287,"▲",IF(Raw_Price!B7286&lt;Raw_Price!B7287,"▼","→")),"")</f>
        <v/>
      </c>
    </row>
    <row r="41">
      <c r="A41" s="5" t="inlineStr">
        <is>
          <t>Tampa-St. Petersburg-Clearwater, FL</t>
        </is>
      </c>
      <c r="B41" s="5" t="inlineStr">
        <is>
          <t>ATNHPIUS45300Q</t>
        </is>
      </c>
      <c r="C41" s="5" t="inlineStr">
        <is>
          <t>FHFA metro (CBSA)</t>
        </is>
      </c>
      <c r="D41" s="7">
        <f>IFERROR(Raw_Price!B7804,"")</f>
        <v/>
      </c>
      <c r="E41" s="7">
        <f>IFERROR((Raw_Price!B7804-Raw_Price!B7808)/Raw_Price!B7808*100,"")</f>
        <v/>
      </c>
      <c r="F41" s="5">
        <f>IFERROR(RANK(E41,$E$5:$E$93,1),"")</f>
        <v/>
      </c>
      <c r="G41" s="5">
        <f>IFERROR(IF(Raw_Price!B7804&gt;Raw_Price!B7805,"▲",IF(Raw_Price!B7804&lt;Raw_Price!B7805,"▼","→"))&amp;IF(Raw_Price!B7805&gt;Raw_Price!B7806,"▲",IF(Raw_Price!B7805&lt;Raw_Price!B7806,"▼","→"))&amp;IF(Raw_Price!B7806&gt;Raw_Price!B7807,"▲",IF(Raw_Price!B7806&lt;Raw_Price!B7807,"▼","→")),"")</f>
        <v/>
      </c>
    </row>
    <row r="42">
      <c r="A42" s="5" t="inlineStr">
        <is>
          <t>Washington-Arlington-Alexandria, DC-VA-MD-WV</t>
        </is>
      </c>
      <c r="B42" s="5" t="inlineStr">
        <is>
          <t>ATNHPIUS47900Q</t>
        </is>
      </c>
      <c r="C42" s="5" t="inlineStr">
        <is>
          <t>FHFA metro (CBSA)</t>
        </is>
      </c>
      <c r="D42" s="7">
        <f>IFERROR(Raw_Price!B6556,"")</f>
        <v/>
      </c>
      <c r="E42" s="7">
        <f>IFERROR((Raw_Price!B6556-Raw_Price!B6560)/Raw_Price!B6560*100,"")</f>
        <v/>
      </c>
      <c r="F42" s="5">
        <f>IFERROR(RANK(E42,$E$5:$E$93,1),"")</f>
        <v/>
      </c>
      <c r="G42" s="5">
        <f>IFERROR(IF(Raw_Price!B6556&gt;Raw_Price!B6557,"▲",IF(Raw_Price!B6556&lt;Raw_Price!B6557,"▼","→"))&amp;IF(Raw_Price!B6557&gt;Raw_Price!B6558,"▲",IF(Raw_Price!B6557&lt;Raw_Price!B6558,"▼","→"))&amp;IF(Raw_Price!B6558&gt;Raw_Price!B6559,"▲",IF(Raw_Price!B6558&lt;Raw_Price!B6559,"▼","→")),"")</f>
        <v/>
      </c>
    </row>
    <row r="43">
      <c r="A43" s="5" t="inlineStr">
        <is>
          <t>Alabama</t>
        </is>
      </c>
      <c r="B43" s="5" t="inlineStr">
        <is>
          <t>ALSTHPI</t>
        </is>
      </c>
      <c r="C43" s="5" t="inlineStr">
        <is>
          <t>FHFA state</t>
        </is>
      </c>
      <c r="D43" s="7">
        <f>IFERROR(Raw_Price!B732,"")</f>
        <v/>
      </c>
      <c r="E43" s="7">
        <f>IFERROR((Raw_Price!B732-Raw_Price!B736)/Raw_Price!B736*100,"")</f>
        <v/>
      </c>
      <c r="F43" s="5">
        <f>IFERROR(RANK(E43,$E$5:$E$93,1),"")</f>
        <v/>
      </c>
      <c r="G43" s="5">
        <f>IFERROR(IF(Raw_Price!B732&gt;Raw_Price!B733,"▲",IF(Raw_Price!B732&lt;Raw_Price!B733,"▼","→"))&amp;IF(Raw_Price!B733&gt;Raw_Price!B734,"▲",IF(Raw_Price!B733&lt;Raw_Price!B734,"▼","→"))&amp;IF(Raw_Price!B734&gt;Raw_Price!B735,"▲",IF(Raw_Price!B734&lt;Raw_Price!B735,"▼","→")),"")</f>
        <v/>
      </c>
    </row>
    <row r="44">
      <c r="A44" s="5" t="inlineStr">
        <is>
          <t>Alaska</t>
        </is>
      </c>
      <c r="B44" s="5" t="inlineStr">
        <is>
          <t>AKSTHPI</t>
        </is>
      </c>
      <c r="C44" s="5" t="inlineStr">
        <is>
          <t>FHFA state</t>
        </is>
      </c>
      <c r="D44" s="7">
        <f>IFERROR(Raw_Price!B836,"")</f>
        <v/>
      </c>
      <c r="E44" s="7">
        <f>IFERROR((Raw_Price!B836-Raw_Price!B840)/Raw_Price!B840*100,"")</f>
        <v/>
      </c>
      <c r="F44" s="5">
        <f>IFERROR(RANK(E44,$E$5:$E$93,1),"")</f>
        <v/>
      </c>
      <c r="G44" s="5">
        <f>IFERROR(IF(Raw_Price!B836&gt;Raw_Price!B837,"▲",IF(Raw_Price!B836&lt;Raw_Price!B837,"▼","→"))&amp;IF(Raw_Price!B837&gt;Raw_Price!B838,"▲",IF(Raw_Price!B837&lt;Raw_Price!B838,"▼","→"))&amp;IF(Raw_Price!B838&gt;Raw_Price!B839,"▲",IF(Raw_Price!B838&lt;Raw_Price!B839,"▼","→")),"")</f>
        <v/>
      </c>
    </row>
    <row r="45">
      <c r="A45" s="5" t="inlineStr">
        <is>
          <t>Arizona</t>
        </is>
      </c>
      <c r="B45" s="5" t="inlineStr">
        <is>
          <t>AZSTHPI</t>
        </is>
      </c>
      <c r="C45" s="5" t="inlineStr">
        <is>
          <t>FHFA state</t>
        </is>
      </c>
      <c r="D45" s="7">
        <f>IFERROR(Raw_Price!B940,"")</f>
        <v/>
      </c>
      <c r="E45" s="7">
        <f>IFERROR((Raw_Price!B940-Raw_Price!B944)/Raw_Price!B944*100,"")</f>
        <v/>
      </c>
      <c r="F45" s="5">
        <f>IFERROR(RANK(E45,$E$5:$E$93,1),"")</f>
        <v/>
      </c>
      <c r="G45" s="5">
        <f>IFERROR(IF(Raw_Price!B940&gt;Raw_Price!B941,"▲",IF(Raw_Price!B940&lt;Raw_Price!B941,"▼","→"))&amp;IF(Raw_Price!B941&gt;Raw_Price!B942,"▲",IF(Raw_Price!B941&lt;Raw_Price!B942,"▼","→"))&amp;IF(Raw_Price!B942&gt;Raw_Price!B943,"▲",IF(Raw_Price!B942&lt;Raw_Price!B943,"▼","→")),"")</f>
        <v/>
      </c>
    </row>
    <row r="46">
      <c r="A46" s="5" t="inlineStr">
        <is>
          <t>Arkansas</t>
        </is>
      </c>
      <c r="B46" s="5" t="inlineStr">
        <is>
          <t>ARSTHPI</t>
        </is>
      </c>
      <c r="C46" s="5" t="inlineStr">
        <is>
          <t>FHFA state</t>
        </is>
      </c>
      <c r="D46" s="7">
        <f>IFERROR(Raw_Price!B1044,"")</f>
        <v/>
      </c>
      <c r="E46" s="7">
        <f>IFERROR((Raw_Price!B1044-Raw_Price!B1048)/Raw_Price!B1048*100,"")</f>
        <v/>
      </c>
      <c r="F46" s="5">
        <f>IFERROR(RANK(E46,$E$5:$E$93,1),"")</f>
        <v/>
      </c>
      <c r="G46" s="5">
        <f>IFERROR(IF(Raw_Price!B1044&gt;Raw_Price!B1045,"▲",IF(Raw_Price!B1044&lt;Raw_Price!B1045,"▼","→"))&amp;IF(Raw_Price!B1045&gt;Raw_Price!B1046,"▲",IF(Raw_Price!B1045&lt;Raw_Price!B1046,"▼","→"))&amp;IF(Raw_Price!B1046&gt;Raw_Price!B1047,"▲",IF(Raw_Price!B1046&lt;Raw_Price!B1047,"▼","→")),"")</f>
        <v/>
      </c>
    </row>
    <row r="47">
      <c r="A47" s="5" t="inlineStr">
        <is>
          <t>California</t>
        </is>
      </c>
      <c r="B47" s="5" t="inlineStr">
        <is>
          <t>CASTHPI</t>
        </is>
      </c>
      <c r="C47" s="5" t="inlineStr">
        <is>
          <t>FHFA state</t>
        </is>
      </c>
      <c r="D47" s="7">
        <f>IFERROR(Raw_Price!B1148,"")</f>
        <v/>
      </c>
      <c r="E47" s="7">
        <f>IFERROR((Raw_Price!B1148-Raw_Price!B1152)/Raw_Price!B1152*100,"")</f>
        <v/>
      </c>
      <c r="F47" s="5">
        <f>IFERROR(RANK(E47,$E$5:$E$93,1),"")</f>
        <v/>
      </c>
      <c r="G47" s="5">
        <f>IFERROR(IF(Raw_Price!B1148&gt;Raw_Price!B1149,"▲",IF(Raw_Price!B1148&lt;Raw_Price!B1149,"▼","→"))&amp;IF(Raw_Price!B1149&gt;Raw_Price!B1150,"▲",IF(Raw_Price!B1149&lt;Raw_Price!B1150,"▼","→"))&amp;IF(Raw_Price!B1150&gt;Raw_Price!B1151,"▲",IF(Raw_Price!B1150&lt;Raw_Price!B1151,"▼","→")),"")</f>
        <v/>
      </c>
    </row>
    <row r="48">
      <c r="A48" s="5" t="inlineStr">
        <is>
          <t>Colorado</t>
        </is>
      </c>
      <c r="B48" s="5" t="inlineStr">
        <is>
          <t>COSTHPI</t>
        </is>
      </c>
      <c r="C48" s="5" t="inlineStr">
        <is>
          <t>FHFA state</t>
        </is>
      </c>
      <c r="D48" s="7">
        <f>IFERROR(Raw_Price!B1252,"")</f>
        <v/>
      </c>
      <c r="E48" s="7">
        <f>IFERROR((Raw_Price!B1252-Raw_Price!B1256)/Raw_Price!B1256*100,"")</f>
        <v/>
      </c>
      <c r="F48" s="5">
        <f>IFERROR(RANK(E48,$E$5:$E$93,1),"")</f>
        <v/>
      </c>
      <c r="G48" s="5">
        <f>IFERROR(IF(Raw_Price!B1252&gt;Raw_Price!B1253,"▲",IF(Raw_Price!B1252&lt;Raw_Price!B1253,"▼","→"))&amp;IF(Raw_Price!B1253&gt;Raw_Price!B1254,"▲",IF(Raw_Price!B1253&lt;Raw_Price!B1254,"▼","→"))&amp;IF(Raw_Price!B1254&gt;Raw_Price!B1255,"▲",IF(Raw_Price!B1254&lt;Raw_Price!B1255,"▼","→")),"")</f>
        <v/>
      </c>
    </row>
    <row r="49">
      <c r="A49" s="5" t="inlineStr">
        <is>
          <t>Connecticut</t>
        </is>
      </c>
      <c r="B49" s="5" t="inlineStr">
        <is>
          <t>CTSTHPI</t>
        </is>
      </c>
      <c r="C49" s="5" t="inlineStr">
        <is>
          <t>FHFA state</t>
        </is>
      </c>
      <c r="D49" s="7">
        <f>IFERROR(Raw_Price!B1356,"")</f>
        <v/>
      </c>
      <c r="E49" s="7">
        <f>IFERROR((Raw_Price!B1356-Raw_Price!B1360)/Raw_Price!B1360*100,"")</f>
        <v/>
      </c>
      <c r="F49" s="5">
        <f>IFERROR(RANK(E49,$E$5:$E$93,1),"")</f>
        <v/>
      </c>
      <c r="G49" s="5">
        <f>IFERROR(IF(Raw_Price!B1356&gt;Raw_Price!B1357,"▲",IF(Raw_Price!B1356&lt;Raw_Price!B1357,"▼","→"))&amp;IF(Raw_Price!B1357&gt;Raw_Price!B1358,"▲",IF(Raw_Price!B1357&lt;Raw_Price!B1358,"▼","→"))&amp;IF(Raw_Price!B1358&gt;Raw_Price!B1359,"▲",IF(Raw_Price!B1358&lt;Raw_Price!B1359,"▼","→")),"")</f>
        <v/>
      </c>
    </row>
    <row r="50">
      <c r="A50" s="5" t="inlineStr">
        <is>
          <t>Delaware</t>
        </is>
      </c>
      <c r="B50" s="5" t="inlineStr">
        <is>
          <t>DESTHPI</t>
        </is>
      </c>
      <c r="C50" s="5" t="inlineStr">
        <is>
          <t>FHFA state</t>
        </is>
      </c>
      <c r="D50" s="7">
        <f>IFERROR(Raw_Price!B1460,"")</f>
        <v/>
      </c>
      <c r="E50" s="7">
        <f>IFERROR((Raw_Price!B1460-Raw_Price!B1464)/Raw_Price!B1464*100,"")</f>
        <v/>
      </c>
      <c r="F50" s="5">
        <f>IFERROR(RANK(E50,$E$5:$E$93,1),"")</f>
        <v/>
      </c>
      <c r="G50" s="5">
        <f>IFERROR(IF(Raw_Price!B1460&gt;Raw_Price!B1461,"▲",IF(Raw_Price!B1460&lt;Raw_Price!B1461,"▼","→"))&amp;IF(Raw_Price!B1461&gt;Raw_Price!B1462,"▲",IF(Raw_Price!B1461&lt;Raw_Price!B1462,"▼","→"))&amp;IF(Raw_Price!B1462&gt;Raw_Price!B1463,"▲",IF(Raw_Price!B1462&lt;Raw_Price!B1463,"▼","→")),"")</f>
        <v/>
      </c>
    </row>
    <row r="51">
      <c r="A51" s="5" t="inlineStr">
        <is>
          <t>District of Columbia</t>
        </is>
      </c>
      <c r="B51" s="5" t="inlineStr">
        <is>
          <t>DCSTHPI</t>
        </is>
      </c>
      <c r="C51" s="5" t="inlineStr">
        <is>
          <t>FHFA state</t>
        </is>
      </c>
      <c r="D51" s="7">
        <f>IFERROR(Raw_Price!B1564,"")</f>
        <v/>
      </c>
      <c r="E51" s="7">
        <f>IFERROR((Raw_Price!B1564-Raw_Price!B1568)/Raw_Price!B1568*100,"")</f>
        <v/>
      </c>
      <c r="F51" s="5">
        <f>IFERROR(RANK(E51,$E$5:$E$93,1),"")</f>
        <v/>
      </c>
      <c r="G51" s="5">
        <f>IFERROR(IF(Raw_Price!B1564&gt;Raw_Price!B1565,"▲",IF(Raw_Price!B1564&lt;Raw_Price!B1565,"▼","→"))&amp;IF(Raw_Price!B1565&gt;Raw_Price!B1566,"▲",IF(Raw_Price!B1565&lt;Raw_Price!B1566,"▼","→"))&amp;IF(Raw_Price!B1566&gt;Raw_Price!B1567,"▲",IF(Raw_Price!B1566&lt;Raw_Price!B1567,"▼","→")),"")</f>
        <v/>
      </c>
    </row>
    <row r="52">
      <c r="A52" s="5" t="inlineStr">
        <is>
          <t>Florida</t>
        </is>
      </c>
      <c r="B52" s="5" t="inlineStr">
        <is>
          <t>FLSTHPI</t>
        </is>
      </c>
      <c r="C52" s="5" t="inlineStr">
        <is>
          <t>FHFA state</t>
        </is>
      </c>
      <c r="D52" s="7">
        <f>IFERROR(Raw_Price!B1668,"")</f>
        <v/>
      </c>
      <c r="E52" s="7">
        <f>IFERROR((Raw_Price!B1668-Raw_Price!B1672)/Raw_Price!B1672*100,"")</f>
        <v/>
      </c>
      <c r="F52" s="5">
        <f>IFERROR(RANK(E52,$E$5:$E$93,1),"")</f>
        <v/>
      </c>
      <c r="G52" s="5">
        <f>IFERROR(IF(Raw_Price!B1668&gt;Raw_Price!B1669,"▲",IF(Raw_Price!B1668&lt;Raw_Price!B1669,"▼","→"))&amp;IF(Raw_Price!B1669&gt;Raw_Price!B1670,"▲",IF(Raw_Price!B1669&lt;Raw_Price!B1670,"▼","→"))&amp;IF(Raw_Price!B1670&gt;Raw_Price!B1671,"▲",IF(Raw_Price!B1670&lt;Raw_Price!B1671,"▼","→")),"")</f>
        <v/>
      </c>
    </row>
    <row r="53">
      <c r="A53" s="5" t="inlineStr">
        <is>
          <t>Georgia</t>
        </is>
      </c>
      <c r="B53" s="5" t="inlineStr">
        <is>
          <t>GASTHPI</t>
        </is>
      </c>
      <c r="C53" s="5" t="inlineStr">
        <is>
          <t>FHFA state</t>
        </is>
      </c>
      <c r="D53" s="7">
        <f>IFERROR(Raw_Price!B1772,"")</f>
        <v/>
      </c>
      <c r="E53" s="7">
        <f>IFERROR((Raw_Price!B1772-Raw_Price!B1776)/Raw_Price!B1776*100,"")</f>
        <v/>
      </c>
      <c r="F53" s="5">
        <f>IFERROR(RANK(E53,$E$5:$E$93,1),"")</f>
        <v/>
      </c>
      <c r="G53" s="5">
        <f>IFERROR(IF(Raw_Price!B1772&gt;Raw_Price!B1773,"▲",IF(Raw_Price!B1772&lt;Raw_Price!B1773,"▼","→"))&amp;IF(Raw_Price!B1773&gt;Raw_Price!B1774,"▲",IF(Raw_Price!B1773&lt;Raw_Price!B1774,"▼","→"))&amp;IF(Raw_Price!B1774&gt;Raw_Price!B1775,"▲",IF(Raw_Price!B1774&lt;Raw_Price!B1775,"▼","→")),"")</f>
        <v/>
      </c>
    </row>
    <row r="54">
      <c r="A54" s="5" t="inlineStr">
        <is>
          <t>Hawaii</t>
        </is>
      </c>
      <c r="B54" s="5" t="inlineStr">
        <is>
          <t>HISTHPI</t>
        </is>
      </c>
      <c r="C54" s="5" t="inlineStr">
        <is>
          <t>FHFA state</t>
        </is>
      </c>
      <c r="D54" s="7">
        <f>IFERROR(Raw_Price!B1876,"")</f>
        <v/>
      </c>
      <c r="E54" s="7">
        <f>IFERROR((Raw_Price!B1876-Raw_Price!B1880)/Raw_Price!B1880*100,"")</f>
        <v/>
      </c>
      <c r="F54" s="5">
        <f>IFERROR(RANK(E54,$E$5:$E$93,1),"")</f>
        <v/>
      </c>
      <c r="G54" s="5">
        <f>IFERROR(IF(Raw_Price!B1876&gt;Raw_Price!B1877,"▲",IF(Raw_Price!B1876&lt;Raw_Price!B1877,"▼","→"))&amp;IF(Raw_Price!B1877&gt;Raw_Price!B1878,"▲",IF(Raw_Price!B1877&lt;Raw_Price!B1878,"▼","→"))&amp;IF(Raw_Price!B1878&gt;Raw_Price!B1879,"▲",IF(Raw_Price!B1878&lt;Raw_Price!B1879,"▼","→")),"")</f>
        <v/>
      </c>
    </row>
    <row r="55">
      <c r="A55" s="5" t="inlineStr">
        <is>
          <t>Idaho</t>
        </is>
      </c>
      <c r="B55" s="5" t="inlineStr">
        <is>
          <t>IDSTHPI</t>
        </is>
      </c>
      <c r="C55" s="5" t="inlineStr">
        <is>
          <t>FHFA state</t>
        </is>
      </c>
      <c r="D55" s="7">
        <f>IFERROR(Raw_Price!B1980,"")</f>
        <v/>
      </c>
      <c r="E55" s="7">
        <f>IFERROR((Raw_Price!B1980-Raw_Price!B1984)/Raw_Price!B1984*100,"")</f>
        <v/>
      </c>
      <c r="F55" s="5">
        <f>IFERROR(RANK(E55,$E$5:$E$93,1),"")</f>
        <v/>
      </c>
      <c r="G55" s="5">
        <f>IFERROR(IF(Raw_Price!B1980&gt;Raw_Price!B1981,"▲",IF(Raw_Price!B1980&lt;Raw_Price!B1981,"▼","→"))&amp;IF(Raw_Price!B1981&gt;Raw_Price!B1982,"▲",IF(Raw_Price!B1981&lt;Raw_Price!B1982,"▼","→"))&amp;IF(Raw_Price!B1982&gt;Raw_Price!B1983,"▲",IF(Raw_Price!B1982&lt;Raw_Price!B1983,"▼","→")),"")</f>
        <v/>
      </c>
    </row>
    <row r="56">
      <c r="A56" s="5" t="inlineStr">
        <is>
          <t>Illinois</t>
        </is>
      </c>
      <c r="B56" s="5" t="inlineStr">
        <is>
          <t>ILSTHPI</t>
        </is>
      </c>
      <c r="C56" s="5" t="inlineStr">
        <is>
          <t>FHFA state</t>
        </is>
      </c>
      <c r="D56" s="7">
        <f>IFERROR(Raw_Price!B2084,"")</f>
        <v/>
      </c>
      <c r="E56" s="7">
        <f>IFERROR((Raw_Price!B2084-Raw_Price!B2088)/Raw_Price!B2088*100,"")</f>
        <v/>
      </c>
      <c r="F56" s="5">
        <f>IFERROR(RANK(E56,$E$5:$E$93,1),"")</f>
        <v/>
      </c>
      <c r="G56" s="5">
        <f>IFERROR(IF(Raw_Price!B2084&gt;Raw_Price!B2085,"▲",IF(Raw_Price!B2084&lt;Raw_Price!B2085,"▼","→"))&amp;IF(Raw_Price!B2085&gt;Raw_Price!B2086,"▲",IF(Raw_Price!B2085&lt;Raw_Price!B2086,"▼","→"))&amp;IF(Raw_Price!B2086&gt;Raw_Price!B2087,"▲",IF(Raw_Price!B2086&lt;Raw_Price!B2087,"▼","→")),"")</f>
        <v/>
      </c>
    </row>
    <row r="57">
      <c r="A57" s="5" t="inlineStr">
        <is>
          <t>Indiana</t>
        </is>
      </c>
      <c r="B57" s="5" t="inlineStr">
        <is>
          <t>INSTHPI</t>
        </is>
      </c>
      <c r="C57" s="5" t="inlineStr">
        <is>
          <t>FHFA state</t>
        </is>
      </c>
      <c r="D57" s="7">
        <f>IFERROR(Raw_Price!B2188,"")</f>
        <v/>
      </c>
      <c r="E57" s="7">
        <f>IFERROR((Raw_Price!B2188-Raw_Price!B2192)/Raw_Price!B2192*100,"")</f>
        <v/>
      </c>
      <c r="F57" s="5">
        <f>IFERROR(RANK(E57,$E$5:$E$93,1),"")</f>
        <v/>
      </c>
      <c r="G57" s="5">
        <f>IFERROR(IF(Raw_Price!B2188&gt;Raw_Price!B2189,"▲",IF(Raw_Price!B2188&lt;Raw_Price!B2189,"▼","→"))&amp;IF(Raw_Price!B2189&gt;Raw_Price!B2190,"▲",IF(Raw_Price!B2189&lt;Raw_Price!B2190,"▼","→"))&amp;IF(Raw_Price!B2190&gt;Raw_Price!B2191,"▲",IF(Raw_Price!B2190&lt;Raw_Price!B2191,"▼","→")),"")</f>
        <v/>
      </c>
    </row>
    <row r="58">
      <c r="A58" s="5" t="inlineStr">
        <is>
          <t>Iowa</t>
        </is>
      </c>
      <c r="B58" s="5" t="inlineStr">
        <is>
          <t>IASTHPI</t>
        </is>
      </c>
      <c r="C58" s="5" t="inlineStr">
        <is>
          <t>FHFA state</t>
        </is>
      </c>
      <c r="D58" s="7">
        <f>IFERROR(Raw_Price!B2292,"")</f>
        <v/>
      </c>
      <c r="E58" s="7">
        <f>IFERROR((Raw_Price!B2292-Raw_Price!B2296)/Raw_Price!B2296*100,"")</f>
        <v/>
      </c>
      <c r="F58" s="5">
        <f>IFERROR(RANK(E58,$E$5:$E$93,1),"")</f>
        <v/>
      </c>
      <c r="G58" s="5">
        <f>IFERROR(IF(Raw_Price!B2292&gt;Raw_Price!B2293,"▲",IF(Raw_Price!B2292&lt;Raw_Price!B2293,"▼","→"))&amp;IF(Raw_Price!B2293&gt;Raw_Price!B2294,"▲",IF(Raw_Price!B2293&lt;Raw_Price!B2294,"▼","→"))&amp;IF(Raw_Price!B2294&gt;Raw_Price!B2295,"▲",IF(Raw_Price!B2294&lt;Raw_Price!B2295,"▼","→")),"")</f>
        <v/>
      </c>
    </row>
    <row r="59">
      <c r="A59" s="5" t="inlineStr">
        <is>
          <t>Kansas</t>
        </is>
      </c>
      <c r="B59" s="5" t="inlineStr">
        <is>
          <t>KSSTHPI</t>
        </is>
      </c>
      <c r="C59" s="5" t="inlineStr">
        <is>
          <t>FHFA state</t>
        </is>
      </c>
      <c r="D59" s="7">
        <f>IFERROR(Raw_Price!B2396,"")</f>
        <v/>
      </c>
      <c r="E59" s="7">
        <f>IFERROR((Raw_Price!B2396-Raw_Price!B2400)/Raw_Price!B2400*100,"")</f>
        <v/>
      </c>
      <c r="F59" s="5">
        <f>IFERROR(RANK(E59,$E$5:$E$93,1),"")</f>
        <v/>
      </c>
      <c r="G59" s="5">
        <f>IFERROR(IF(Raw_Price!B2396&gt;Raw_Price!B2397,"▲",IF(Raw_Price!B2396&lt;Raw_Price!B2397,"▼","→"))&amp;IF(Raw_Price!B2397&gt;Raw_Price!B2398,"▲",IF(Raw_Price!B2397&lt;Raw_Price!B2398,"▼","→"))&amp;IF(Raw_Price!B2398&gt;Raw_Price!B2399,"▲",IF(Raw_Price!B2398&lt;Raw_Price!B2399,"▼","→")),"")</f>
        <v/>
      </c>
    </row>
    <row r="60">
      <c r="A60" s="5" t="inlineStr">
        <is>
          <t>Kentucky</t>
        </is>
      </c>
      <c r="B60" s="5" t="inlineStr">
        <is>
          <t>KYSTHPI</t>
        </is>
      </c>
      <c r="C60" s="5" t="inlineStr">
        <is>
          <t>FHFA state</t>
        </is>
      </c>
      <c r="D60" s="7">
        <f>IFERROR(Raw_Price!B2500,"")</f>
        <v/>
      </c>
      <c r="E60" s="7">
        <f>IFERROR((Raw_Price!B2500-Raw_Price!B2504)/Raw_Price!B2504*100,"")</f>
        <v/>
      </c>
      <c r="F60" s="5">
        <f>IFERROR(RANK(E60,$E$5:$E$93,1),"")</f>
        <v/>
      </c>
      <c r="G60" s="5">
        <f>IFERROR(IF(Raw_Price!B2500&gt;Raw_Price!B2501,"▲",IF(Raw_Price!B2500&lt;Raw_Price!B2501,"▼","→"))&amp;IF(Raw_Price!B2501&gt;Raw_Price!B2502,"▲",IF(Raw_Price!B2501&lt;Raw_Price!B2502,"▼","→"))&amp;IF(Raw_Price!B2502&gt;Raw_Price!B2503,"▲",IF(Raw_Price!B2502&lt;Raw_Price!B2503,"▼","→")),"")</f>
        <v/>
      </c>
    </row>
    <row r="61">
      <c r="A61" s="5" t="inlineStr">
        <is>
          <t>Louisiana</t>
        </is>
      </c>
      <c r="B61" s="5" t="inlineStr">
        <is>
          <t>LASTHPI</t>
        </is>
      </c>
      <c r="C61" s="5" t="inlineStr">
        <is>
          <t>FHFA state</t>
        </is>
      </c>
      <c r="D61" s="7">
        <f>IFERROR(Raw_Price!B2604,"")</f>
        <v/>
      </c>
      <c r="E61" s="7">
        <f>IFERROR((Raw_Price!B2604-Raw_Price!B2608)/Raw_Price!B2608*100,"")</f>
        <v/>
      </c>
      <c r="F61" s="5">
        <f>IFERROR(RANK(E61,$E$5:$E$93,1),"")</f>
        <v/>
      </c>
      <c r="G61" s="5">
        <f>IFERROR(IF(Raw_Price!B2604&gt;Raw_Price!B2605,"▲",IF(Raw_Price!B2604&lt;Raw_Price!B2605,"▼","→"))&amp;IF(Raw_Price!B2605&gt;Raw_Price!B2606,"▲",IF(Raw_Price!B2605&lt;Raw_Price!B2606,"▼","→"))&amp;IF(Raw_Price!B2606&gt;Raw_Price!B2607,"▲",IF(Raw_Price!B2606&lt;Raw_Price!B2607,"▼","→")),"")</f>
        <v/>
      </c>
    </row>
    <row r="62">
      <c r="A62" s="5" t="inlineStr">
        <is>
          <t>Maine</t>
        </is>
      </c>
      <c r="B62" s="5" t="inlineStr">
        <is>
          <t>MESTHPI</t>
        </is>
      </c>
      <c r="C62" s="5" t="inlineStr">
        <is>
          <t>FHFA state</t>
        </is>
      </c>
      <c r="D62" s="7">
        <f>IFERROR(Raw_Price!B2708,"")</f>
        <v/>
      </c>
      <c r="E62" s="7">
        <f>IFERROR((Raw_Price!B2708-Raw_Price!B2712)/Raw_Price!B2712*100,"")</f>
        <v/>
      </c>
      <c r="F62" s="5">
        <f>IFERROR(RANK(E62,$E$5:$E$93,1),"")</f>
        <v/>
      </c>
      <c r="G62" s="5">
        <f>IFERROR(IF(Raw_Price!B2708&gt;Raw_Price!B2709,"▲",IF(Raw_Price!B2708&lt;Raw_Price!B2709,"▼","→"))&amp;IF(Raw_Price!B2709&gt;Raw_Price!B2710,"▲",IF(Raw_Price!B2709&lt;Raw_Price!B2710,"▼","→"))&amp;IF(Raw_Price!B2710&gt;Raw_Price!B2711,"▲",IF(Raw_Price!B2710&lt;Raw_Price!B2711,"▼","→")),"")</f>
        <v/>
      </c>
    </row>
    <row r="63">
      <c r="A63" s="5" t="inlineStr">
        <is>
          <t>Maryland</t>
        </is>
      </c>
      <c r="B63" s="5" t="inlineStr">
        <is>
          <t>MDSTHPI</t>
        </is>
      </c>
      <c r="C63" s="5" t="inlineStr">
        <is>
          <t>FHFA state</t>
        </is>
      </c>
      <c r="D63" s="7">
        <f>IFERROR(Raw_Price!B2812,"")</f>
        <v/>
      </c>
      <c r="E63" s="7">
        <f>IFERROR((Raw_Price!B2812-Raw_Price!B2816)/Raw_Price!B2816*100,"")</f>
        <v/>
      </c>
      <c r="F63" s="5">
        <f>IFERROR(RANK(E63,$E$5:$E$93,1),"")</f>
        <v/>
      </c>
      <c r="G63" s="5">
        <f>IFERROR(IF(Raw_Price!B2812&gt;Raw_Price!B2813,"▲",IF(Raw_Price!B2812&lt;Raw_Price!B2813,"▼","→"))&amp;IF(Raw_Price!B2813&gt;Raw_Price!B2814,"▲",IF(Raw_Price!B2813&lt;Raw_Price!B2814,"▼","→"))&amp;IF(Raw_Price!B2814&gt;Raw_Price!B2815,"▲",IF(Raw_Price!B2814&lt;Raw_Price!B2815,"▼","→")),"")</f>
        <v/>
      </c>
    </row>
    <row r="64">
      <c r="A64" s="5" t="inlineStr">
        <is>
          <t>Massachusetts</t>
        </is>
      </c>
      <c r="B64" s="5" t="inlineStr">
        <is>
          <t>MASTHPI</t>
        </is>
      </c>
      <c r="C64" s="5" t="inlineStr">
        <is>
          <t>FHFA state</t>
        </is>
      </c>
      <c r="D64" s="7">
        <f>IFERROR(Raw_Price!B2916,"")</f>
        <v/>
      </c>
      <c r="E64" s="7">
        <f>IFERROR((Raw_Price!B2916-Raw_Price!B2920)/Raw_Price!B2920*100,"")</f>
        <v/>
      </c>
      <c r="F64" s="5">
        <f>IFERROR(RANK(E64,$E$5:$E$93,1),"")</f>
        <v/>
      </c>
      <c r="G64" s="5">
        <f>IFERROR(IF(Raw_Price!B2916&gt;Raw_Price!B2917,"▲",IF(Raw_Price!B2916&lt;Raw_Price!B2917,"▼","→"))&amp;IF(Raw_Price!B2917&gt;Raw_Price!B2918,"▲",IF(Raw_Price!B2917&lt;Raw_Price!B2918,"▼","→"))&amp;IF(Raw_Price!B2918&gt;Raw_Price!B2919,"▲",IF(Raw_Price!B2918&lt;Raw_Price!B2919,"▼","→")),"")</f>
        <v/>
      </c>
    </row>
    <row r="65">
      <c r="A65" s="5" t="inlineStr">
        <is>
          <t>Michigan</t>
        </is>
      </c>
      <c r="B65" s="5" t="inlineStr">
        <is>
          <t>MISTHPI</t>
        </is>
      </c>
      <c r="C65" s="5" t="inlineStr">
        <is>
          <t>FHFA state</t>
        </is>
      </c>
      <c r="D65" s="7">
        <f>IFERROR(Raw_Price!B3020,"")</f>
        <v/>
      </c>
      <c r="E65" s="7">
        <f>IFERROR((Raw_Price!B3020-Raw_Price!B3024)/Raw_Price!B3024*100,"")</f>
        <v/>
      </c>
      <c r="F65" s="5">
        <f>IFERROR(RANK(E65,$E$5:$E$93,1),"")</f>
        <v/>
      </c>
      <c r="G65" s="5">
        <f>IFERROR(IF(Raw_Price!B3020&gt;Raw_Price!B3021,"▲",IF(Raw_Price!B3020&lt;Raw_Price!B3021,"▼","→"))&amp;IF(Raw_Price!B3021&gt;Raw_Price!B3022,"▲",IF(Raw_Price!B3021&lt;Raw_Price!B3022,"▼","→"))&amp;IF(Raw_Price!B3022&gt;Raw_Price!B3023,"▲",IF(Raw_Price!B3022&lt;Raw_Price!B3023,"▼","→")),"")</f>
        <v/>
      </c>
    </row>
    <row r="66">
      <c r="A66" s="5" t="inlineStr">
        <is>
          <t>Minnesota</t>
        </is>
      </c>
      <c r="B66" s="5" t="inlineStr">
        <is>
          <t>MNSTHPI</t>
        </is>
      </c>
      <c r="C66" s="5" t="inlineStr">
        <is>
          <t>FHFA state</t>
        </is>
      </c>
      <c r="D66" s="7">
        <f>IFERROR(Raw_Price!B3124,"")</f>
        <v/>
      </c>
      <c r="E66" s="7">
        <f>IFERROR((Raw_Price!B3124-Raw_Price!B3128)/Raw_Price!B3128*100,"")</f>
        <v/>
      </c>
      <c r="F66" s="5">
        <f>IFERROR(RANK(E66,$E$5:$E$93,1),"")</f>
        <v/>
      </c>
      <c r="G66" s="5">
        <f>IFERROR(IF(Raw_Price!B3124&gt;Raw_Price!B3125,"▲",IF(Raw_Price!B3124&lt;Raw_Price!B3125,"▼","→"))&amp;IF(Raw_Price!B3125&gt;Raw_Price!B3126,"▲",IF(Raw_Price!B3125&lt;Raw_Price!B3126,"▼","→"))&amp;IF(Raw_Price!B3126&gt;Raw_Price!B3127,"▲",IF(Raw_Price!B3126&lt;Raw_Price!B3127,"▼","→")),"")</f>
        <v/>
      </c>
    </row>
    <row r="67">
      <c r="A67" s="5" t="inlineStr">
        <is>
          <t>Mississippi</t>
        </is>
      </c>
      <c r="B67" s="5" t="inlineStr">
        <is>
          <t>MSSTHPI</t>
        </is>
      </c>
      <c r="C67" s="5" t="inlineStr">
        <is>
          <t>FHFA state</t>
        </is>
      </c>
      <c r="D67" s="7">
        <f>IFERROR(Raw_Price!B3228,"")</f>
        <v/>
      </c>
      <c r="E67" s="7">
        <f>IFERROR((Raw_Price!B3228-Raw_Price!B3232)/Raw_Price!B3232*100,"")</f>
        <v/>
      </c>
      <c r="F67" s="5">
        <f>IFERROR(RANK(E67,$E$5:$E$93,1),"")</f>
        <v/>
      </c>
      <c r="G67" s="5">
        <f>IFERROR(IF(Raw_Price!B3228&gt;Raw_Price!B3229,"▲",IF(Raw_Price!B3228&lt;Raw_Price!B3229,"▼","→"))&amp;IF(Raw_Price!B3229&gt;Raw_Price!B3230,"▲",IF(Raw_Price!B3229&lt;Raw_Price!B3230,"▼","→"))&amp;IF(Raw_Price!B3230&gt;Raw_Price!B3231,"▲",IF(Raw_Price!B3230&lt;Raw_Price!B3231,"▼","→")),"")</f>
        <v/>
      </c>
    </row>
    <row r="68">
      <c r="A68" s="5" t="inlineStr">
        <is>
          <t>Missouri</t>
        </is>
      </c>
      <c r="B68" s="5" t="inlineStr">
        <is>
          <t>MOSTHPI</t>
        </is>
      </c>
      <c r="C68" s="5" t="inlineStr">
        <is>
          <t>FHFA state</t>
        </is>
      </c>
      <c r="D68" s="7">
        <f>IFERROR(Raw_Price!B3332,"")</f>
        <v/>
      </c>
      <c r="E68" s="7">
        <f>IFERROR((Raw_Price!B3332-Raw_Price!B3336)/Raw_Price!B3336*100,"")</f>
        <v/>
      </c>
      <c r="F68" s="5">
        <f>IFERROR(RANK(E68,$E$5:$E$93,1),"")</f>
        <v/>
      </c>
      <c r="G68" s="5">
        <f>IFERROR(IF(Raw_Price!B3332&gt;Raw_Price!B3333,"▲",IF(Raw_Price!B3332&lt;Raw_Price!B3333,"▼","→"))&amp;IF(Raw_Price!B3333&gt;Raw_Price!B3334,"▲",IF(Raw_Price!B3333&lt;Raw_Price!B3334,"▼","→"))&amp;IF(Raw_Price!B3334&gt;Raw_Price!B3335,"▲",IF(Raw_Price!B3334&lt;Raw_Price!B3335,"▼","→")),"")</f>
        <v/>
      </c>
    </row>
    <row r="69">
      <c r="A69" s="5" t="inlineStr">
        <is>
          <t>Montana</t>
        </is>
      </c>
      <c r="B69" s="5" t="inlineStr">
        <is>
          <t>MTSTHPI</t>
        </is>
      </c>
      <c r="C69" s="5" t="inlineStr">
        <is>
          <t>FHFA state</t>
        </is>
      </c>
      <c r="D69" s="7">
        <f>IFERROR(Raw_Price!B3436,"")</f>
        <v/>
      </c>
      <c r="E69" s="7">
        <f>IFERROR((Raw_Price!B3436-Raw_Price!B3440)/Raw_Price!B3440*100,"")</f>
        <v/>
      </c>
      <c r="F69" s="5">
        <f>IFERROR(RANK(E69,$E$5:$E$93,1),"")</f>
        <v/>
      </c>
      <c r="G69" s="5">
        <f>IFERROR(IF(Raw_Price!B3436&gt;Raw_Price!B3437,"▲",IF(Raw_Price!B3436&lt;Raw_Price!B3437,"▼","→"))&amp;IF(Raw_Price!B3437&gt;Raw_Price!B3438,"▲",IF(Raw_Price!B3437&lt;Raw_Price!B3438,"▼","→"))&amp;IF(Raw_Price!B3438&gt;Raw_Price!B3439,"▲",IF(Raw_Price!B3438&lt;Raw_Price!B3439,"▼","→")),"")</f>
        <v/>
      </c>
    </row>
    <row r="70">
      <c r="A70" s="5" t="inlineStr">
        <is>
          <t>Nebraska</t>
        </is>
      </c>
      <c r="B70" s="5" t="inlineStr">
        <is>
          <t>NESTHPI</t>
        </is>
      </c>
      <c r="C70" s="5" t="inlineStr">
        <is>
          <t>FHFA state</t>
        </is>
      </c>
      <c r="D70" s="7">
        <f>IFERROR(Raw_Price!B3540,"")</f>
        <v/>
      </c>
      <c r="E70" s="7">
        <f>IFERROR((Raw_Price!B3540-Raw_Price!B3544)/Raw_Price!B3544*100,"")</f>
        <v/>
      </c>
      <c r="F70" s="5">
        <f>IFERROR(RANK(E70,$E$5:$E$93,1),"")</f>
        <v/>
      </c>
      <c r="G70" s="5">
        <f>IFERROR(IF(Raw_Price!B3540&gt;Raw_Price!B3541,"▲",IF(Raw_Price!B3540&lt;Raw_Price!B3541,"▼","→"))&amp;IF(Raw_Price!B3541&gt;Raw_Price!B3542,"▲",IF(Raw_Price!B3541&lt;Raw_Price!B3542,"▼","→"))&amp;IF(Raw_Price!B3542&gt;Raw_Price!B3543,"▲",IF(Raw_Price!B3542&lt;Raw_Price!B3543,"▼","→")),"")</f>
        <v/>
      </c>
    </row>
    <row r="71">
      <c r="A71" s="5" t="inlineStr">
        <is>
          <t>Nevada</t>
        </is>
      </c>
      <c r="B71" s="5" t="inlineStr">
        <is>
          <t>NVSTHPI</t>
        </is>
      </c>
      <c r="C71" s="5" t="inlineStr">
        <is>
          <t>FHFA state</t>
        </is>
      </c>
      <c r="D71" s="7">
        <f>IFERROR(Raw_Price!B3644,"")</f>
        <v/>
      </c>
      <c r="E71" s="7">
        <f>IFERROR((Raw_Price!B3644-Raw_Price!B3648)/Raw_Price!B3648*100,"")</f>
        <v/>
      </c>
      <c r="F71" s="5">
        <f>IFERROR(RANK(E71,$E$5:$E$93,1),"")</f>
        <v/>
      </c>
      <c r="G71" s="5">
        <f>IFERROR(IF(Raw_Price!B3644&gt;Raw_Price!B3645,"▲",IF(Raw_Price!B3644&lt;Raw_Price!B3645,"▼","→"))&amp;IF(Raw_Price!B3645&gt;Raw_Price!B3646,"▲",IF(Raw_Price!B3645&lt;Raw_Price!B3646,"▼","→"))&amp;IF(Raw_Price!B3646&gt;Raw_Price!B3647,"▲",IF(Raw_Price!B3646&lt;Raw_Price!B3647,"▼","→")),"")</f>
        <v/>
      </c>
    </row>
    <row r="72">
      <c r="A72" s="5" t="inlineStr">
        <is>
          <t>New Hampshire</t>
        </is>
      </c>
      <c r="B72" s="5" t="inlineStr">
        <is>
          <t>NHSTHPI</t>
        </is>
      </c>
      <c r="C72" s="5" t="inlineStr">
        <is>
          <t>FHFA state</t>
        </is>
      </c>
      <c r="D72" s="7">
        <f>IFERROR(Raw_Price!B3748,"")</f>
        <v/>
      </c>
      <c r="E72" s="7">
        <f>IFERROR((Raw_Price!B3748-Raw_Price!B3752)/Raw_Price!B3752*100,"")</f>
        <v/>
      </c>
      <c r="F72" s="5">
        <f>IFERROR(RANK(E72,$E$5:$E$93,1),"")</f>
        <v/>
      </c>
      <c r="G72" s="5">
        <f>IFERROR(IF(Raw_Price!B3748&gt;Raw_Price!B3749,"▲",IF(Raw_Price!B3748&lt;Raw_Price!B3749,"▼","→"))&amp;IF(Raw_Price!B3749&gt;Raw_Price!B3750,"▲",IF(Raw_Price!B3749&lt;Raw_Price!B3750,"▼","→"))&amp;IF(Raw_Price!B3750&gt;Raw_Price!B3751,"▲",IF(Raw_Price!B3750&lt;Raw_Price!B3751,"▼","→")),"")</f>
        <v/>
      </c>
    </row>
    <row r="73">
      <c r="A73" s="5" t="inlineStr">
        <is>
          <t>New Jersey</t>
        </is>
      </c>
      <c r="B73" s="5" t="inlineStr">
        <is>
          <t>NJSTHPI</t>
        </is>
      </c>
      <c r="C73" s="5" t="inlineStr">
        <is>
          <t>FHFA state</t>
        </is>
      </c>
      <c r="D73" s="7">
        <f>IFERROR(Raw_Price!B3852,"")</f>
        <v/>
      </c>
      <c r="E73" s="7">
        <f>IFERROR((Raw_Price!B3852-Raw_Price!B3856)/Raw_Price!B3856*100,"")</f>
        <v/>
      </c>
      <c r="F73" s="5">
        <f>IFERROR(RANK(E73,$E$5:$E$93,1),"")</f>
        <v/>
      </c>
      <c r="G73" s="5">
        <f>IFERROR(IF(Raw_Price!B3852&gt;Raw_Price!B3853,"▲",IF(Raw_Price!B3852&lt;Raw_Price!B3853,"▼","→"))&amp;IF(Raw_Price!B3853&gt;Raw_Price!B3854,"▲",IF(Raw_Price!B3853&lt;Raw_Price!B3854,"▼","→"))&amp;IF(Raw_Price!B3854&gt;Raw_Price!B3855,"▲",IF(Raw_Price!B3854&lt;Raw_Price!B3855,"▼","→")),"")</f>
        <v/>
      </c>
    </row>
    <row r="74">
      <c r="A74" s="5" t="inlineStr">
        <is>
          <t>New Mexico</t>
        </is>
      </c>
      <c r="B74" s="5" t="inlineStr">
        <is>
          <t>NMSTHPI</t>
        </is>
      </c>
      <c r="C74" s="5" t="inlineStr">
        <is>
          <t>FHFA state</t>
        </is>
      </c>
      <c r="D74" s="7">
        <f>IFERROR(Raw_Price!B3956,"")</f>
        <v/>
      </c>
      <c r="E74" s="7">
        <f>IFERROR((Raw_Price!B3956-Raw_Price!B3960)/Raw_Price!B3960*100,"")</f>
        <v/>
      </c>
      <c r="F74" s="5">
        <f>IFERROR(RANK(E74,$E$5:$E$93,1),"")</f>
        <v/>
      </c>
      <c r="G74" s="5">
        <f>IFERROR(IF(Raw_Price!B3956&gt;Raw_Price!B3957,"▲",IF(Raw_Price!B3956&lt;Raw_Price!B3957,"▼","→"))&amp;IF(Raw_Price!B3957&gt;Raw_Price!B3958,"▲",IF(Raw_Price!B3957&lt;Raw_Price!B3958,"▼","→"))&amp;IF(Raw_Price!B3958&gt;Raw_Price!B3959,"▲",IF(Raw_Price!B3958&lt;Raw_Price!B3959,"▼","→")),"")</f>
        <v/>
      </c>
    </row>
    <row r="75">
      <c r="A75" s="5" t="inlineStr">
        <is>
          <t>New York</t>
        </is>
      </c>
      <c r="B75" s="5" t="inlineStr">
        <is>
          <t>NYSTHPI</t>
        </is>
      </c>
      <c r="C75" s="5" t="inlineStr">
        <is>
          <t>FHFA state</t>
        </is>
      </c>
      <c r="D75" s="7">
        <f>IFERROR(Raw_Price!B4060,"")</f>
        <v/>
      </c>
      <c r="E75" s="7">
        <f>IFERROR((Raw_Price!B4060-Raw_Price!B4064)/Raw_Price!B4064*100,"")</f>
        <v/>
      </c>
      <c r="F75" s="5">
        <f>IFERROR(RANK(E75,$E$5:$E$93,1),"")</f>
        <v/>
      </c>
      <c r="G75" s="5">
        <f>IFERROR(IF(Raw_Price!B4060&gt;Raw_Price!B4061,"▲",IF(Raw_Price!B4060&lt;Raw_Price!B4061,"▼","→"))&amp;IF(Raw_Price!B4061&gt;Raw_Price!B4062,"▲",IF(Raw_Price!B4061&lt;Raw_Price!B4062,"▼","→"))&amp;IF(Raw_Price!B4062&gt;Raw_Price!B4063,"▲",IF(Raw_Price!B4062&lt;Raw_Price!B4063,"▼","→")),"")</f>
        <v/>
      </c>
    </row>
    <row r="76">
      <c r="A76" s="5" t="inlineStr">
        <is>
          <t>North Carolina</t>
        </is>
      </c>
      <c r="B76" s="5" t="inlineStr">
        <is>
          <t>NCSTHPI</t>
        </is>
      </c>
      <c r="C76" s="5" t="inlineStr">
        <is>
          <t>FHFA state</t>
        </is>
      </c>
      <c r="D76" s="7">
        <f>IFERROR(Raw_Price!B4164,"")</f>
        <v/>
      </c>
      <c r="E76" s="7">
        <f>IFERROR((Raw_Price!B4164-Raw_Price!B4168)/Raw_Price!B4168*100,"")</f>
        <v/>
      </c>
      <c r="F76" s="5">
        <f>IFERROR(RANK(E76,$E$5:$E$93,1),"")</f>
        <v/>
      </c>
      <c r="G76" s="5">
        <f>IFERROR(IF(Raw_Price!B4164&gt;Raw_Price!B4165,"▲",IF(Raw_Price!B4164&lt;Raw_Price!B4165,"▼","→"))&amp;IF(Raw_Price!B4165&gt;Raw_Price!B4166,"▲",IF(Raw_Price!B4165&lt;Raw_Price!B4166,"▼","→"))&amp;IF(Raw_Price!B4166&gt;Raw_Price!B4167,"▲",IF(Raw_Price!B4166&lt;Raw_Price!B4167,"▼","→")),"")</f>
        <v/>
      </c>
    </row>
    <row r="77">
      <c r="A77" s="5" t="inlineStr">
        <is>
          <t>North Dakota</t>
        </is>
      </c>
      <c r="B77" s="5" t="inlineStr">
        <is>
          <t>NDSTHPI</t>
        </is>
      </c>
      <c r="C77" s="5" t="inlineStr">
        <is>
          <t>FHFA state</t>
        </is>
      </c>
      <c r="D77" s="7">
        <f>IFERROR(Raw_Price!B4268,"")</f>
        <v/>
      </c>
      <c r="E77" s="7">
        <f>IFERROR((Raw_Price!B4268-Raw_Price!B4272)/Raw_Price!B4272*100,"")</f>
        <v/>
      </c>
      <c r="F77" s="5">
        <f>IFERROR(RANK(E77,$E$5:$E$93,1),"")</f>
        <v/>
      </c>
      <c r="G77" s="5">
        <f>IFERROR(IF(Raw_Price!B4268&gt;Raw_Price!B4269,"▲",IF(Raw_Price!B4268&lt;Raw_Price!B4269,"▼","→"))&amp;IF(Raw_Price!B4269&gt;Raw_Price!B4270,"▲",IF(Raw_Price!B4269&lt;Raw_Price!B4270,"▼","→"))&amp;IF(Raw_Price!B4270&gt;Raw_Price!B4271,"▲",IF(Raw_Price!B4270&lt;Raw_Price!B4271,"▼","→")),"")</f>
        <v/>
      </c>
    </row>
    <row r="78">
      <c r="A78" s="5" t="inlineStr">
        <is>
          <t>Ohio</t>
        </is>
      </c>
      <c r="B78" s="5" t="inlineStr">
        <is>
          <t>OHSTHPI</t>
        </is>
      </c>
      <c r="C78" s="5" t="inlineStr">
        <is>
          <t>FHFA state</t>
        </is>
      </c>
      <c r="D78" s="7">
        <f>IFERROR(Raw_Price!B4372,"")</f>
        <v/>
      </c>
      <c r="E78" s="7">
        <f>IFERROR((Raw_Price!B4372-Raw_Price!B4376)/Raw_Price!B4376*100,"")</f>
        <v/>
      </c>
      <c r="F78" s="5">
        <f>IFERROR(RANK(E78,$E$5:$E$93,1),"")</f>
        <v/>
      </c>
      <c r="G78" s="5">
        <f>IFERROR(IF(Raw_Price!B4372&gt;Raw_Price!B4373,"▲",IF(Raw_Price!B4372&lt;Raw_Price!B4373,"▼","→"))&amp;IF(Raw_Price!B4373&gt;Raw_Price!B4374,"▲",IF(Raw_Price!B4373&lt;Raw_Price!B4374,"▼","→"))&amp;IF(Raw_Price!B4374&gt;Raw_Price!B4375,"▲",IF(Raw_Price!B4374&lt;Raw_Price!B4375,"▼","→")),"")</f>
        <v/>
      </c>
    </row>
    <row r="79">
      <c r="A79" s="5" t="inlineStr">
        <is>
          <t>Oklahoma</t>
        </is>
      </c>
      <c r="B79" s="5" t="inlineStr">
        <is>
          <t>OKSTHPI</t>
        </is>
      </c>
      <c r="C79" s="5" t="inlineStr">
        <is>
          <t>FHFA state</t>
        </is>
      </c>
      <c r="D79" s="7">
        <f>IFERROR(Raw_Price!B4476,"")</f>
        <v/>
      </c>
      <c r="E79" s="7">
        <f>IFERROR((Raw_Price!B4476-Raw_Price!B4480)/Raw_Price!B4480*100,"")</f>
        <v/>
      </c>
      <c r="F79" s="5">
        <f>IFERROR(RANK(E79,$E$5:$E$93,1),"")</f>
        <v/>
      </c>
      <c r="G79" s="5">
        <f>IFERROR(IF(Raw_Price!B4476&gt;Raw_Price!B4477,"▲",IF(Raw_Price!B4476&lt;Raw_Price!B4477,"▼","→"))&amp;IF(Raw_Price!B4477&gt;Raw_Price!B4478,"▲",IF(Raw_Price!B4477&lt;Raw_Price!B4478,"▼","→"))&amp;IF(Raw_Price!B4478&gt;Raw_Price!B4479,"▲",IF(Raw_Price!B4478&lt;Raw_Price!B4479,"▼","→")),"")</f>
        <v/>
      </c>
    </row>
    <row r="80">
      <c r="A80" s="5" t="inlineStr">
        <is>
          <t>Oregon</t>
        </is>
      </c>
      <c r="B80" s="5" t="inlineStr">
        <is>
          <t>ORSTHPI</t>
        </is>
      </c>
      <c r="C80" s="5" t="inlineStr">
        <is>
          <t>FHFA state</t>
        </is>
      </c>
      <c r="D80" s="7">
        <f>IFERROR(Raw_Price!B4580,"")</f>
        <v/>
      </c>
      <c r="E80" s="7">
        <f>IFERROR((Raw_Price!B4580-Raw_Price!B4584)/Raw_Price!B4584*100,"")</f>
        <v/>
      </c>
      <c r="F80" s="5">
        <f>IFERROR(RANK(E80,$E$5:$E$93,1),"")</f>
        <v/>
      </c>
      <c r="G80" s="5">
        <f>IFERROR(IF(Raw_Price!B4580&gt;Raw_Price!B4581,"▲",IF(Raw_Price!B4580&lt;Raw_Price!B4581,"▼","→"))&amp;IF(Raw_Price!B4581&gt;Raw_Price!B4582,"▲",IF(Raw_Price!B4581&lt;Raw_Price!B4582,"▼","→"))&amp;IF(Raw_Price!B4582&gt;Raw_Price!B4583,"▲",IF(Raw_Price!B4582&lt;Raw_Price!B4583,"▼","→")),"")</f>
        <v/>
      </c>
    </row>
    <row r="81">
      <c r="A81" s="5" t="inlineStr">
        <is>
          <t>Pennsylvania</t>
        </is>
      </c>
      <c r="B81" s="5" t="inlineStr">
        <is>
          <t>PASTHPI</t>
        </is>
      </c>
      <c r="C81" s="5" t="inlineStr">
        <is>
          <t>FHFA state</t>
        </is>
      </c>
      <c r="D81" s="7">
        <f>IFERROR(Raw_Price!B4684,"")</f>
        <v/>
      </c>
      <c r="E81" s="7">
        <f>IFERROR((Raw_Price!B4684-Raw_Price!B4688)/Raw_Price!B4688*100,"")</f>
        <v/>
      </c>
      <c r="F81" s="5">
        <f>IFERROR(RANK(E81,$E$5:$E$93,1),"")</f>
        <v/>
      </c>
      <c r="G81" s="5">
        <f>IFERROR(IF(Raw_Price!B4684&gt;Raw_Price!B4685,"▲",IF(Raw_Price!B4684&lt;Raw_Price!B4685,"▼","→"))&amp;IF(Raw_Price!B4685&gt;Raw_Price!B4686,"▲",IF(Raw_Price!B4685&lt;Raw_Price!B4686,"▼","→"))&amp;IF(Raw_Price!B4686&gt;Raw_Price!B4687,"▲",IF(Raw_Price!B4686&lt;Raw_Price!B4687,"▼","→")),"")</f>
        <v/>
      </c>
    </row>
    <row r="82">
      <c r="A82" s="5" t="inlineStr">
        <is>
          <t>Rhode Island</t>
        </is>
      </c>
      <c r="B82" s="5" t="inlineStr">
        <is>
          <t>RISTHPI</t>
        </is>
      </c>
      <c r="C82" s="5" t="inlineStr">
        <is>
          <t>FHFA state</t>
        </is>
      </c>
      <c r="D82" s="7">
        <f>IFERROR(Raw_Price!B4788,"")</f>
        <v/>
      </c>
      <c r="E82" s="7">
        <f>IFERROR((Raw_Price!B4788-Raw_Price!B4792)/Raw_Price!B4792*100,"")</f>
        <v/>
      </c>
      <c r="F82" s="5">
        <f>IFERROR(RANK(E82,$E$5:$E$93,1),"")</f>
        <v/>
      </c>
      <c r="G82" s="5">
        <f>IFERROR(IF(Raw_Price!B4788&gt;Raw_Price!B4789,"▲",IF(Raw_Price!B4788&lt;Raw_Price!B4789,"▼","→"))&amp;IF(Raw_Price!B4789&gt;Raw_Price!B4790,"▲",IF(Raw_Price!B4789&lt;Raw_Price!B4790,"▼","→"))&amp;IF(Raw_Price!B4790&gt;Raw_Price!B4791,"▲",IF(Raw_Price!B4790&lt;Raw_Price!B4791,"▼","→")),"")</f>
        <v/>
      </c>
    </row>
    <row r="83">
      <c r="A83" s="5" t="inlineStr">
        <is>
          <t>South Carolina</t>
        </is>
      </c>
      <c r="B83" s="5" t="inlineStr">
        <is>
          <t>SCSTHPI</t>
        </is>
      </c>
      <c r="C83" s="5" t="inlineStr">
        <is>
          <t>FHFA state</t>
        </is>
      </c>
      <c r="D83" s="7">
        <f>IFERROR(Raw_Price!B4892,"")</f>
        <v/>
      </c>
      <c r="E83" s="7">
        <f>IFERROR((Raw_Price!B4892-Raw_Price!B4896)/Raw_Price!B4896*100,"")</f>
        <v/>
      </c>
      <c r="F83" s="5">
        <f>IFERROR(RANK(E83,$E$5:$E$93,1),"")</f>
        <v/>
      </c>
      <c r="G83" s="5">
        <f>IFERROR(IF(Raw_Price!B4892&gt;Raw_Price!B4893,"▲",IF(Raw_Price!B4892&lt;Raw_Price!B4893,"▼","→"))&amp;IF(Raw_Price!B4893&gt;Raw_Price!B4894,"▲",IF(Raw_Price!B4893&lt;Raw_Price!B4894,"▼","→"))&amp;IF(Raw_Price!B4894&gt;Raw_Price!B4895,"▲",IF(Raw_Price!B4894&lt;Raw_Price!B4895,"▼","→")),"")</f>
        <v/>
      </c>
    </row>
    <row r="84">
      <c r="A84" s="5" t="inlineStr">
        <is>
          <t>South Dakota</t>
        </is>
      </c>
      <c r="B84" s="5" t="inlineStr">
        <is>
          <t>SDSTHPI</t>
        </is>
      </c>
      <c r="C84" s="5" t="inlineStr">
        <is>
          <t>FHFA state</t>
        </is>
      </c>
      <c r="D84" s="7">
        <f>IFERROR(Raw_Price!B4996,"")</f>
        <v/>
      </c>
      <c r="E84" s="7">
        <f>IFERROR((Raw_Price!B4996-Raw_Price!B5000)/Raw_Price!B5000*100,"")</f>
        <v/>
      </c>
      <c r="F84" s="5">
        <f>IFERROR(RANK(E84,$E$5:$E$93,1),"")</f>
        <v/>
      </c>
      <c r="G84" s="5">
        <f>IFERROR(IF(Raw_Price!B4996&gt;Raw_Price!B4997,"▲",IF(Raw_Price!B4996&lt;Raw_Price!B4997,"▼","→"))&amp;IF(Raw_Price!B4997&gt;Raw_Price!B4998,"▲",IF(Raw_Price!B4997&lt;Raw_Price!B4998,"▼","→"))&amp;IF(Raw_Price!B4998&gt;Raw_Price!B4999,"▲",IF(Raw_Price!B4998&lt;Raw_Price!B4999,"▼","→")),"")</f>
        <v/>
      </c>
    </row>
    <row r="85">
      <c r="A85" s="5" t="inlineStr">
        <is>
          <t>Tennessee</t>
        </is>
      </c>
      <c r="B85" s="5" t="inlineStr">
        <is>
          <t>TNSTHPI</t>
        </is>
      </c>
      <c r="C85" s="5" t="inlineStr">
        <is>
          <t>FHFA state</t>
        </is>
      </c>
      <c r="D85" s="7">
        <f>IFERROR(Raw_Price!B5100,"")</f>
        <v/>
      </c>
      <c r="E85" s="7">
        <f>IFERROR((Raw_Price!B5100-Raw_Price!B5104)/Raw_Price!B5104*100,"")</f>
        <v/>
      </c>
      <c r="F85" s="5">
        <f>IFERROR(RANK(E85,$E$5:$E$93,1),"")</f>
        <v/>
      </c>
      <c r="G85" s="5">
        <f>IFERROR(IF(Raw_Price!B5100&gt;Raw_Price!B5101,"▲",IF(Raw_Price!B5100&lt;Raw_Price!B5101,"▼","→"))&amp;IF(Raw_Price!B5101&gt;Raw_Price!B5102,"▲",IF(Raw_Price!B5101&lt;Raw_Price!B5102,"▼","→"))&amp;IF(Raw_Price!B5102&gt;Raw_Price!B5103,"▲",IF(Raw_Price!B5102&lt;Raw_Price!B5103,"▼","→")),"")</f>
        <v/>
      </c>
    </row>
    <row r="86">
      <c r="A86" s="5" t="inlineStr">
        <is>
          <t>Texas</t>
        </is>
      </c>
      <c r="B86" s="5" t="inlineStr">
        <is>
          <t>TXSTHPI</t>
        </is>
      </c>
      <c r="C86" s="5" t="inlineStr">
        <is>
          <t>FHFA state</t>
        </is>
      </c>
      <c r="D86" s="7">
        <f>IFERROR(Raw_Price!B5204,"")</f>
        <v/>
      </c>
      <c r="E86" s="7">
        <f>IFERROR((Raw_Price!B5204-Raw_Price!B5208)/Raw_Price!B5208*100,"")</f>
        <v/>
      </c>
      <c r="F86" s="5">
        <f>IFERROR(RANK(E86,$E$5:$E$93,1),"")</f>
        <v/>
      </c>
      <c r="G86" s="5">
        <f>IFERROR(IF(Raw_Price!B5204&gt;Raw_Price!B5205,"▲",IF(Raw_Price!B5204&lt;Raw_Price!B5205,"▼","→"))&amp;IF(Raw_Price!B5205&gt;Raw_Price!B5206,"▲",IF(Raw_Price!B5205&lt;Raw_Price!B5206,"▼","→"))&amp;IF(Raw_Price!B5206&gt;Raw_Price!B5207,"▲",IF(Raw_Price!B5206&lt;Raw_Price!B5207,"▼","→")),"")</f>
        <v/>
      </c>
    </row>
    <row r="87">
      <c r="A87" s="5" t="inlineStr">
        <is>
          <t>Utah</t>
        </is>
      </c>
      <c r="B87" s="5" t="inlineStr">
        <is>
          <t>UTSTHPI</t>
        </is>
      </c>
      <c r="C87" s="5" t="inlineStr">
        <is>
          <t>FHFA state</t>
        </is>
      </c>
      <c r="D87" s="7">
        <f>IFERROR(Raw_Price!B5308,"")</f>
        <v/>
      </c>
      <c r="E87" s="7">
        <f>IFERROR((Raw_Price!B5308-Raw_Price!B5312)/Raw_Price!B5312*100,"")</f>
        <v/>
      </c>
      <c r="F87" s="5">
        <f>IFERROR(RANK(E87,$E$5:$E$93,1),"")</f>
        <v/>
      </c>
      <c r="G87" s="5">
        <f>IFERROR(IF(Raw_Price!B5308&gt;Raw_Price!B5309,"▲",IF(Raw_Price!B5308&lt;Raw_Price!B5309,"▼","→"))&amp;IF(Raw_Price!B5309&gt;Raw_Price!B5310,"▲",IF(Raw_Price!B5309&lt;Raw_Price!B5310,"▼","→"))&amp;IF(Raw_Price!B5310&gt;Raw_Price!B5311,"▲",IF(Raw_Price!B5310&lt;Raw_Price!B5311,"▼","→")),"")</f>
        <v/>
      </c>
    </row>
    <row r="88">
      <c r="A88" s="5" t="inlineStr">
        <is>
          <t>Vermont</t>
        </is>
      </c>
      <c r="B88" s="5" t="inlineStr">
        <is>
          <t>VTSTHPI</t>
        </is>
      </c>
      <c r="C88" s="5" t="inlineStr">
        <is>
          <t>FHFA state</t>
        </is>
      </c>
      <c r="D88" s="7">
        <f>IFERROR(Raw_Price!B5412,"")</f>
        <v/>
      </c>
      <c r="E88" s="7">
        <f>IFERROR((Raw_Price!B5412-Raw_Price!B5416)/Raw_Price!B5416*100,"")</f>
        <v/>
      </c>
      <c r="F88" s="5">
        <f>IFERROR(RANK(E88,$E$5:$E$93,1),"")</f>
        <v/>
      </c>
      <c r="G88" s="5">
        <f>IFERROR(IF(Raw_Price!B5412&gt;Raw_Price!B5413,"▲",IF(Raw_Price!B5412&lt;Raw_Price!B5413,"▼","→"))&amp;IF(Raw_Price!B5413&gt;Raw_Price!B5414,"▲",IF(Raw_Price!B5413&lt;Raw_Price!B5414,"▼","→"))&amp;IF(Raw_Price!B5414&gt;Raw_Price!B5415,"▲",IF(Raw_Price!B5414&lt;Raw_Price!B5415,"▼","→")),"")</f>
        <v/>
      </c>
    </row>
    <row r="89">
      <c r="A89" s="5" t="inlineStr">
        <is>
          <t>Virginia</t>
        </is>
      </c>
      <c r="B89" s="5" t="inlineStr">
        <is>
          <t>VASTHPI</t>
        </is>
      </c>
      <c r="C89" s="5" t="inlineStr">
        <is>
          <t>FHFA state</t>
        </is>
      </c>
      <c r="D89" s="7">
        <f>IFERROR(Raw_Price!B5516,"")</f>
        <v/>
      </c>
      <c r="E89" s="7">
        <f>IFERROR((Raw_Price!B5516-Raw_Price!B5520)/Raw_Price!B5520*100,"")</f>
        <v/>
      </c>
      <c r="F89" s="5">
        <f>IFERROR(RANK(E89,$E$5:$E$93,1),"")</f>
        <v/>
      </c>
      <c r="G89" s="5">
        <f>IFERROR(IF(Raw_Price!B5516&gt;Raw_Price!B5517,"▲",IF(Raw_Price!B5516&lt;Raw_Price!B5517,"▼","→"))&amp;IF(Raw_Price!B5517&gt;Raw_Price!B5518,"▲",IF(Raw_Price!B5517&lt;Raw_Price!B5518,"▼","→"))&amp;IF(Raw_Price!B5518&gt;Raw_Price!B5519,"▲",IF(Raw_Price!B5518&lt;Raw_Price!B5519,"▼","→")),"")</f>
        <v/>
      </c>
    </row>
    <row r="90">
      <c r="A90" s="5" t="inlineStr">
        <is>
          <t>Washington</t>
        </is>
      </c>
      <c r="B90" s="5" t="inlineStr">
        <is>
          <t>WASTHPI</t>
        </is>
      </c>
      <c r="C90" s="5" t="inlineStr">
        <is>
          <t>FHFA state</t>
        </is>
      </c>
      <c r="D90" s="7">
        <f>IFERROR(Raw_Price!B5620,"")</f>
        <v/>
      </c>
      <c r="E90" s="7">
        <f>IFERROR((Raw_Price!B5620-Raw_Price!B5624)/Raw_Price!B5624*100,"")</f>
        <v/>
      </c>
      <c r="F90" s="5">
        <f>IFERROR(RANK(E90,$E$5:$E$93,1),"")</f>
        <v/>
      </c>
      <c r="G90" s="5">
        <f>IFERROR(IF(Raw_Price!B5620&gt;Raw_Price!B5621,"▲",IF(Raw_Price!B5620&lt;Raw_Price!B5621,"▼","→"))&amp;IF(Raw_Price!B5621&gt;Raw_Price!B5622,"▲",IF(Raw_Price!B5621&lt;Raw_Price!B5622,"▼","→"))&amp;IF(Raw_Price!B5622&gt;Raw_Price!B5623,"▲",IF(Raw_Price!B5622&lt;Raw_Price!B5623,"▼","→")),"")</f>
        <v/>
      </c>
    </row>
    <row r="91">
      <c r="A91" s="5" t="inlineStr">
        <is>
          <t>West Virginia</t>
        </is>
      </c>
      <c r="B91" s="5" t="inlineStr">
        <is>
          <t>WVSTHPI</t>
        </is>
      </c>
      <c r="C91" s="5" t="inlineStr">
        <is>
          <t>FHFA state</t>
        </is>
      </c>
      <c r="D91" s="7">
        <f>IFERROR(Raw_Price!B5724,"")</f>
        <v/>
      </c>
      <c r="E91" s="7">
        <f>IFERROR((Raw_Price!B5724-Raw_Price!B5728)/Raw_Price!B5728*100,"")</f>
        <v/>
      </c>
      <c r="F91" s="5">
        <f>IFERROR(RANK(E91,$E$5:$E$93,1),"")</f>
        <v/>
      </c>
      <c r="G91" s="5">
        <f>IFERROR(IF(Raw_Price!B5724&gt;Raw_Price!B5725,"▲",IF(Raw_Price!B5724&lt;Raw_Price!B5725,"▼","→"))&amp;IF(Raw_Price!B5725&gt;Raw_Price!B5726,"▲",IF(Raw_Price!B5725&lt;Raw_Price!B5726,"▼","→"))&amp;IF(Raw_Price!B5726&gt;Raw_Price!B5727,"▲",IF(Raw_Price!B5726&lt;Raw_Price!B5727,"▼","→")),"")</f>
        <v/>
      </c>
    </row>
    <row r="92">
      <c r="A92" s="5" t="inlineStr">
        <is>
          <t>Wisconsin</t>
        </is>
      </c>
      <c r="B92" s="5" t="inlineStr">
        <is>
          <t>WISTHPI</t>
        </is>
      </c>
      <c r="C92" s="5" t="inlineStr">
        <is>
          <t>FHFA state</t>
        </is>
      </c>
      <c r="D92" s="7">
        <f>IFERROR(Raw_Price!B5828,"")</f>
        <v/>
      </c>
      <c r="E92" s="7">
        <f>IFERROR((Raw_Price!B5828-Raw_Price!B5832)/Raw_Price!B5832*100,"")</f>
        <v/>
      </c>
      <c r="F92" s="5">
        <f>IFERROR(RANK(E92,$E$5:$E$93,1),"")</f>
        <v/>
      </c>
      <c r="G92" s="5">
        <f>IFERROR(IF(Raw_Price!B5828&gt;Raw_Price!B5829,"▲",IF(Raw_Price!B5828&lt;Raw_Price!B5829,"▼","→"))&amp;IF(Raw_Price!B5829&gt;Raw_Price!B5830,"▲",IF(Raw_Price!B5829&lt;Raw_Price!B5830,"▼","→"))&amp;IF(Raw_Price!B5830&gt;Raw_Price!B5831,"▲",IF(Raw_Price!B5830&lt;Raw_Price!B5831,"▼","→")),"")</f>
        <v/>
      </c>
    </row>
    <row r="93">
      <c r="A93" s="5" t="inlineStr">
        <is>
          <t>Wyoming</t>
        </is>
      </c>
      <c r="B93" s="5" t="inlineStr">
        <is>
          <t>WYSTHPI</t>
        </is>
      </c>
      <c r="C93" s="5" t="inlineStr">
        <is>
          <t>FHFA state</t>
        </is>
      </c>
      <c r="D93" s="7">
        <f>IFERROR(Raw_Price!B5932,"")</f>
        <v/>
      </c>
      <c r="E93" s="7">
        <f>IFERROR((Raw_Price!B5932-Raw_Price!B5936)/Raw_Price!B5936*100,"")</f>
        <v/>
      </c>
      <c r="F93" s="5">
        <f>IFERROR(RANK(E93,$E$5:$E$93,1),"")</f>
        <v/>
      </c>
      <c r="G93" s="5">
        <f>IFERROR(IF(Raw_Price!B5932&gt;Raw_Price!B5933,"▲",IF(Raw_Price!B5932&lt;Raw_Price!B5933,"▼","→"))&amp;IF(Raw_Price!B5933&gt;Raw_Price!B5934,"▲",IF(Raw_Price!B5933&lt;Raw_Price!B5934,"▼","→"))&amp;IF(Raw_Price!B5934&gt;Raw_Price!B5935,"▲",IF(Raw_Price!B5934&lt;Raw_Price!B5935,"▼","→")),"")</f>
        <v/>
      </c>
    </row>
  </sheetData>
  <mergeCells count="1">
    <mergeCell ref="A2:G2"/>
  </mergeCells>
  <conditionalFormatting sqref="E5:E93">
    <cfRule type="colorScale" priority="1">
      <colorScale>
        <cfvo type="num" val="-10"/>
        <cfvo type="num" val="0"/>
        <cfvo type="num" val="10"/>
        <color rgb="00F8696B"/>
        <color rgb="00FFFFFF"/>
        <color rgb="0063BE7B"/>
      </colorScale>
    </cfRule>
  </conditionalFormatting>
  <conditionalFormatting sqref="F5:F93">
    <cfRule type="colorScale" priority="2">
      <colorScale>
        <cfvo type="min"/>
        <cfvo type="max"/>
        <color rgb="00F8696B"/>
        <color rgb="0063BE7B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333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3" t="inlineStr">
        <is>
          <t>Raw_Consumer -- raw FRED observations, newest-first. Written by runner.py; dashboards read these by formula. Do not edit by hand.</t>
        </is>
      </c>
    </row>
    <row r="2">
      <c r="A2" s="2" t="inlineStr">
        <is>
          <t>CORCCACBS</t>
        </is>
      </c>
      <c r="B2" t="inlineStr">
        <is>
          <t>Charge-Off Rate on Credit Card Loans, All Commercial Banks</t>
        </is>
      </c>
      <c r="C2" s="3" t="inlineStr">
        <is>
          <t>freq=quarterly; transform=zscore_8q; dashboard</t>
        </is>
      </c>
    </row>
    <row r="3">
      <c r="A3" s="9" t="inlineStr">
        <is>
          <t>date</t>
        </is>
      </c>
      <c r="B3" s="9" t="inlineStr">
        <is>
          <t>value</t>
        </is>
      </c>
    </row>
    <row r="106">
      <c r="A106" s="2" t="inlineStr">
        <is>
          <t>DRCCLACBS</t>
        </is>
      </c>
      <c r="B106" t="inlineStr">
        <is>
          <t>Delinquency Rate on Credit Card Loans, All Commercial Banks</t>
        </is>
      </c>
      <c r="C106" s="3" t="inlineStr">
        <is>
          <t>freq=quarterly; transform=zscore_8q; dashboard</t>
        </is>
      </c>
    </row>
    <row r="107">
      <c r="A107" s="9" t="inlineStr">
        <is>
          <t>date</t>
        </is>
      </c>
      <c r="B107" s="9" t="inlineStr">
        <is>
          <t>value</t>
        </is>
      </c>
    </row>
    <row r="210">
      <c r="A210" s="2" t="inlineStr">
        <is>
          <t>CORCCT100S</t>
        </is>
      </c>
      <c r="B210" t="inlineStr">
        <is>
          <t>Charge-Off Rate on Credit Card Loans, Top 100 Banks</t>
        </is>
      </c>
      <c r="C210" s="3" t="inlineStr">
        <is>
          <t>freq=quarterly; transform=zscore_8q; dashboard</t>
        </is>
      </c>
    </row>
    <row r="211">
      <c r="A211" s="9" t="inlineStr">
        <is>
          <t>date</t>
        </is>
      </c>
      <c r="B211" s="9" t="inlineStr">
        <is>
          <t>value</t>
        </is>
      </c>
    </row>
    <row r="314">
      <c r="A314" s="2" t="inlineStr">
        <is>
          <t>CORCCOBS</t>
        </is>
      </c>
      <c r="B314" t="inlineStr">
        <is>
          <t>Charge-Off Rate on Credit Card Loans, Banks Not Among 100 Largest</t>
        </is>
      </c>
      <c r="C314" s="3" t="inlineStr">
        <is>
          <t>freq=quarterly; transform=zscore_8q; dashboard</t>
        </is>
      </c>
    </row>
    <row r="315">
      <c r="A315" s="9" t="inlineStr">
        <is>
          <t>date</t>
        </is>
      </c>
      <c r="B315" s="9" t="inlineStr">
        <is>
          <t>value</t>
        </is>
      </c>
    </row>
    <row r="418">
      <c r="A418" s="2" t="inlineStr">
        <is>
          <t>DRCCLT100S</t>
        </is>
      </c>
      <c r="B418" t="inlineStr">
        <is>
          <t>Delinquency Rate on Credit Card Loans, Top 100 Banks</t>
        </is>
      </c>
      <c r="C418" s="3" t="inlineStr">
        <is>
          <t>freq=quarterly; transform=zscore_8q; dashboard</t>
        </is>
      </c>
    </row>
    <row r="419">
      <c r="A419" s="9" t="inlineStr">
        <is>
          <t>date</t>
        </is>
      </c>
      <c r="B419" s="9" t="inlineStr">
        <is>
          <t>value</t>
        </is>
      </c>
    </row>
    <row r="522">
      <c r="A522" s="2" t="inlineStr">
        <is>
          <t>DRCCLOBS</t>
        </is>
      </c>
      <c r="B522" t="inlineStr">
        <is>
          <t>Delinquency Rate on Credit Card Loans, Other Banks</t>
        </is>
      </c>
      <c r="C522" s="3" t="inlineStr">
        <is>
          <t>freq=quarterly; transform=zscore_8q; dashboard</t>
        </is>
      </c>
    </row>
    <row r="523">
      <c r="A523" s="9" t="inlineStr">
        <is>
          <t>date</t>
        </is>
      </c>
      <c r="B523" s="9" t="inlineStr">
        <is>
          <t>value</t>
        </is>
      </c>
    </row>
    <row r="626">
      <c r="A626" s="2" t="inlineStr">
        <is>
          <t>CORCACBS</t>
        </is>
      </c>
      <c r="B626" t="inlineStr">
        <is>
          <t>Charge-Off Rate on Consumer Loans, All Commercial Banks</t>
        </is>
      </c>
      <c r="C626" s="3" t="inlineStr">
        <is>
          <t>freq=quarterly; transform=zscore_8q; dashboard</t>
        </is>
      </c>
    </row>
    <row r="627">
      <c r="A627" s="9" t="inlineStr">
        <is>
          <t>date</t>
        </is>
      </c>
      <c r="B627" s="9" t="inlineStr">
        <is>
          <t>value</t>
        </is>
      </c>
    </row>
    <row r="730">
      <c r="A730" s="2" t="inlineStr">
        <is>
          <t>DRCLACBS</t>
        </is>
      </c>
      <c r="B730" t="inlineStr">
        <is>
          <t>Delinquency Rate on Consumer Loans, All Commercial Banks</t>
        </is>
      </c>
      <c r="C730" s="3" t="inlineStr">
        <is>
          <t>freq=quarterly; transform=zscore_8q; dashboard</t>
        </is>
      </c>
    </row>
    <row r="731">
      <c r="A731" s="9" t="inlineStr">
        <is>
          <t>date</t>
        </is>
      </c>
      <c r="B731" s="9" t="inlineStr">
        <is>
          <t>value</t>
        </is>
      </c>
    </row>
    <row r="834">
      <c r="A834" s="2" t="inlineStr">
        <is>
          <t>DRCLT100S</t>
        </is>
      </c>
      <c r="B834" t="inlineStr">
        <is>
          <t>Delinquency Rate on Consumer Loans, Top 100 Banks</t>
        </is>
      </c>
      <c r="C834" s="3" t="inlineStr">
        <is>
          <t>freq=quarterly; transform=zscore_8q; dashboard</t>
        </is>
      </c>
    </row>
    <row r="835">
      <c r="A835" s="9" t="inlineStr">
        <is>
          <t>date</t>
        </is>
      </c>
      <c r="B835" s="9" t="inlineStr">
        <is>
          <t>value</t>
        </is>
      </c>
    </row>
    <row r="938">
      <c r="A938" s="2" t="inlineStr">
        <is>
          <t>DRCLOBS</t>
        </is>
      </c>
      <c r="B938" t="inlineStr">
        <is>
          <t>Delinquency Rate on Consumer Loans, Other Banks</t>
        </is>
      </c>
      <c r="C938" s="3" t="inlineStr">
        <is>
          <t>freq=quarterly; transform=zscore_8q; dashboard</t>
        </is>
      </c>
    </row>
    <row r="939">
      <c r="A939" s="9" t="inlineStr">
        <is>
          <t>date</t>
        </is>
      </c>
      <c r="B939" s="9" t="inlineStr">
        <is>
          <t>value</t>
        </is>
      </c>
    </row>
    <row r="1042">
      <c r="A1042" s="2" t="inlineStr">
        <is>
          <t>CORCOBS</t>
        </is>
      </c>
      <c r="B1042" t="inlineStr">
        <is>
          <t>Charge-Off Rate on Consumer Loans, Other Banks</t>
        </is>
      </c>
      <c r="C1042" s="3" t="inlineStr">
        <is>
          <t>freq=quarterly; transform=zscore_8q; dashboard</t>
        </is>
      </c>
    </row>
    <row r="1043">
      <c r="A1043" s="9" t="inlineStr">
        <is>
          <t>date</t>
        </is>
      </c>
      <c r="B1043" s="9" t="inlineStr">
        <is>
          <t>value</t>
        </is>
      </c>
    </row>
    <row r="1146">
      <c r="A1146" s="2" t="inlineStr">
        <is>
          <t>DROCLT100S</t>
        </is>
      </c>
      <c r="B1146" t="inlineStr">
        <is>
          <t>Delinquency Rate on Other Consumer Loans, Top 100 Banks</t>
        </is>
      </c>
      <c r="C1146" s="3" t="inlineStr">
        <is>
          <t>freq=quarterly; transform=zscore_8q; dashboard</t>
        </is>
      </c>
    </row>
    <row r="1147">
      <c r="A1147" s="9" t="inlineStr">
        <is>
          <t>date</t>
        </is>
      </c>
      <c r="B1147" s="9" t="inlineStr">
        <is>
          <t>value</t>
        </is>
      </c>
    </row>
    <row r="1250">
      <c r="A1250" s="2" t="inlineStr">
        <is>
          <t>DROCLOBS</t>
        </is>
      </c>
      <c r="B1250" t="inlineStr">
        <is>
          <t>Delinquency Rate on Other Consumer Loans, Other Banks</t>
        </is>
      </c>
      <c r="C1250" s="3" t="inlineStr">
        <is>
          <t>freq=quarterly; transform=zscore_8q; dashboard</t>
        </is>
      </c>
    </row>
    <row r="1251">
      <c r="A1251" s="9" t="inlineStr">
        <is>
          <t>date</t>
        </is>
      </c>
      <c r="B1251" s="9" t="inlineStr">
        <is>
          <t>value</t>
        </is>
      </c>
    </row>
    <row r="1354">
      <c r="A1354" s="2" t="inlineStr">
        <is>
          <t>DROCLACBS</t>
        </is>
      </c>
      <c r="B1354" t="inlineStr">
        <is>
          <t>Delinquency Rate on Other Consumer Loans, All Commercial Banks</t>
        </is>
      </c>
      <c r="C1354" s="3" t="inlineStr">
        <is>
          <t>freq=quarterly; transform=zscore_8q; dashboard</t>
        </is>
      </c>
    </row>
    <row r="1355">
      <c r="A1355" s="9" t="inlineStr">
        <is>
          <t>date</t>
        </is>
      </c>
      <c r="B1355" s="9" t="inlineStr">
        <is>
          <t>value</t>
        </is>
      </c>
    </row>
    <row r="1458">
      <c r="A1458" s="2" t="inlineStr">
        <is>
          <t>CORSFRMACBS</t>
        </is>
      </c>
      <c r="B1458" t="inlineStr">
        <is>
          <t>Charge-Off Rate on Single-Family Residential Mortgages, All Banks</t>
        </is>
      </c>
      <c r="C1458" s="3" t="inlineStr">
        <is>
          <t>freq=quarterly; transform=zscore_8q; dashboard</t>
        </is>
      </c>
    </row>
    <row r="1459">
      <c r="A1459" s="9" t="inlineStr">
        <is>
          <t>date</t>
        </is>
      </c>
      <c r="B1459" s="9" t="inlineStr">
        <is>
          <t>value</t>
        </is>
      </c>
    </row>
    <row r="1562">
      <c r="A1562" s="2" t="inlineStr">
        <is>
          <t>DRSFRMACBS</t>
        </is>
      </c>
      <c r="B1562" t="inlineStr">
        <is>
          <t>Delinquency Rate on Single-Family Residential Mortgages, All Banks</t>
        </is>
      </c>
      <c r="C1562" s="3" t="inlineStr">
        <is>
          <t>freq=quarterly; transform=zscore_8q; dashboard</t>
        </is>
      </c>
    </row>
    <row r="1563">
      <c r="A1563" s="9" t="inlineStr">
        <is>
          <t>date</t>
        </is>
      </c>
      <c r="B1563" s="9" t="inlineStr">
        <is>
          <t>value</t>
        </is>
      </c>
    </row>
    <row r="1666">
      <c r="A1666" s="2" t="inlineStr">
        <is>
          <t>DRSFRMT100S</t>
        </is>
      </c>
      <c r="B1666" t="inlineStr">
        <is>
          <t>Delinquency Rate on Single-Family Residential Mortgages, Top 100 Banks</t>
        </is>
      </c>
      <c r="C1666" s="3" t="inlineStr">
        <is>
          <t>freq=quarterly; transform=zscore_8q; dashboard</t>
        </is>
      </c>
    </row>
    <row r="1667">
      <c r="A1667" s="9" t="inlineStr">
        <is>
          <t>date</t>
        </is>
      </c>
      <c r="B1667" s="9" t="inlineStr">
        <is>
          <t>value</t>
        </is>
      </c>
    </row>
    <row r="1770">
      <c r="A1770" s="2" t="inlineStr">
        <is>
          <t>DRSFRMOBS</t>
        </is>
      </c>
      <c r="B1770" t="inlineStr">
        <is>
          <t>Delinquency Rate on Single-Family Residential Mortgages, Other Banks</t>
        </is>
      </c>
      <c r="C1770" s="3" t="inlineStr">
        <is>
          <t>freq=quarterly; transform=zscore_8q; dashboard</t>
        </is>
      </c>
    </row>
    <row r="1771">
      <c r="A1771" s="9" t="inlineStr">
        <is>
          <t>date</t>
        </is>
      </c>
      <c r="B1771" s="9" t="inlineStr">
        <is>
          <t>value</t>
        </is>
      </c>
    </row>
    <row r="1874">
      <c r="A1874" s="2" t="inlineStr">
        <is>
          <t>DRLFRACBS</t>
        </is>
      </c>
      <c r="B1874" t="inlineStr">
        <is>
          <t>Delinquency Rate on Leases, All Commercial Banks</t>
        </is>
      </c>
      <c r="C1874" s="3" t="inlineStr">
        <is>
          <t>freq=quarterly; transform=zscore_8q; dashboard</t>
        </is>
      </c>
    </row>
    <row r="1875">
      <c r="A1875" s="9" t="inlineStr">
        <is>
          <t>date</t>
        </is>
      </c>
      <c r="B1875" s="9" t="inlineStr">
        <is>
          <t>value</t>
        </is>
      </c>
    </row>
    <row r="1978">
      <c r="A1978" s="2" t="inlineStr">
        <is>
          <t>TOTALSL</t>
        </is>
      </c>
      <c r="B1978" t="inlineStr">
        <is>
          <t>Total Consumer Credit Owned and Securitized (SA)</t>
        </is>
      </c>
      <c r="C1978" s="3" t="inlineStr">
        <is>
          <t>freq=monthly; transform=yoy_pct; dashboard</t>
        </is>
      </c>
    </row>
    <row r="1979">
      <c r="A1979" s="9" t="inlineStr">
        <is>
          <t>date</t>
        </is>
      </c>
      <c r="B1979" s="9" t="inlineStr">
        <is>
          <t>value</t>
        </is>
      </c>
    </row>
    <row r="2082">
      <c r="A2082" s="2" t="inlineStr">
        <is>
          <t>TOTALNS</t>
        </is>
      </c>
      <c r="B2082" t="inlineStr">
        <is>
          <t>Total Consumer Credit Owned and Securitized (NSA)</t>
        </is>
      </c>
      <c r="C2082" s="3" t="inlineStr">
        <is>
          <t>freq=monthly; transform=yoy_pct; dashboard</t>
        </is>
      </c>
    </row>
    <row r="2083">
      <c r="A2083" s="9" t="inlineStr">
        <is>
          <t>date</t>
        </is>
      </c>
      <c r="B2083" s="9" t="inlineStr">
        <is>
          <t>value</t>
        </is>
      </c>
    </row>
    <row r="2186">
      <c r="A2186" s="2" t="inlineStr">
        <is>
          <t>REVOLSL</t>
        </is>
      </c>
      <c r="B2186" t="inlineStr">
        <is>
          <t>Revolving Consumer Credit Owned and Securitized (SA)</t>
        </is>
      </c>
      <c r="C2186" s="3" t="inlineStr">
        <is>
          <t>freq=monthly; transform=yoy_pct; dashboard</t>
        </is>
      </c>
    </row>
    <row r="2187">
      <c r="A2187" s="9" t="inlineStr">
        <is>
          <t>date</t>
        </is>
      </c>
      <c r="B2187" s="9" t="inlineStr">
        <is>
          <t>value</t>
        </is>
      </c>
    </row>
    <row r="2290">
      <c r="A2290" s="2" t="inlineStr">
        <is>
          <t>NONREVSL</t>
        </is>
      </c>
      <c r="B2290" t="inlineStr">
        <is>
          <t>Nonrevolving Consumer Credit Owned and Securitized (SA)</t>
        </is>
      </c>
      <c r="C2290" s="3" t="inlineStr">
        <is>
          <t>freq=monthly; transform=yoy_pct; dashboard</t>
        </is>
      </c>
    </row>
    <row r="2291">
      <c r="A2291" s="9" t="inlineStr">
        <is>
          <t>date</t>
        </is>
      </c>
      <c r="B2291" s="9" t="inlineStr">
        <is>
          <t>value</t>
        </is>
      </c>
    </row>
    <row r="2394">
      <c r="A2394" s="2" t="inlineStr">
        <is>
          <t>TOTALSLAR</t>
        </is>
      </c>
      <c r="B2394" t="inlineStr">
        <is>
          <t>Total Consumer Credit, Percent Change at Annual Rate</t>
        </is>
      </c>
      <c r="C2394" s="3" t="inlineStr">
        <is>
          <t>freq=monthly; transform=level; dashboard</t>
        </is>
      </c>
    </row>
    <row r="2395">
      <c r="A2395" s="9" t="inlineStr">
        <is>
          <t>date</t>
        </is>
      </c>
      <c r="B2395" s="9" t="inlineStr">
        <is>
          <t>value</t>
        </is>
      </c>
    </row>
    <row r="2498">
      <c r="A2498" s="2" t="inlineStr">
        <is>
          <t>TDSP</t>
        </is>
      </c>
      <c r="B2498" t="inlineStr">
        <is>
          <t>Household Debt Service Payments as % of Disposable Income</t>
        </is>
      </c>
      <c r="C2498" s="3" t="inlineStr">
        <is>
          <t>freq=quarterly; transform=level; dashboard</t>
        </is>
      </c>
    </row>
    <row r="2499">
      <c r="A2499" s="9" t="inlineStr">
        <is>
          <t>date</t>
        </is>
      </c>
      <c r="B2499" s="9" t="inlineStr">
        <is>
          <t>value</t>
        </is>
      </c>
    </row>
    <row r="2602">
      <c r="A2602" s="2" t="inlineStr">
        <is>
          <t>MDSP</t>
        </is>
      </c>
      <c r="B2602" t="inlineStr">
        <is>
          <t>Mortgage Debt Service Payments as % of Disposable Income</t>
        </is>
      </c>
      <c r="C2602" s="3" t="inlineStr">
        <is>
          <t>freq=quarterly; transform=level; dashboard</t>
        </is>
      </c>
    </row>
    <row r="2603">
      <c r="A2603" s="9" t="inlineStr">
        <is>
          <t>date</t>
        </is>
      </c>
      <c r="B2603" s="9" t="inlineStr">
        <is>
          <t>value</t>
        </is>
      </c>
    </row>
    <row r="2706">
      <c r="A2706" s="2" t="inlineStr">
        <is>
          <t>CDSP</t>
        </is>
      </c>
      <c r="B2706" t="inlineStr">
        <is>
          <t>Consumer Debt Service Payments as % of Disposable Income</t>
        </is>
      </c>
      <c r="C2706" s="3" t="inlineStr">
        <is>
          <t>freq=quarterly; transform=level; dashboard</t>
        </is>
      </c>
    </row>
    <row r="2707">
      <c r="A2707" s="9" t="inlineStr">
        <is>
          <t>date</t>
        </is>
      </c>
      <c r="B2707" s="9" t="inlineStr">
        <is>
          <t>value</t>
        </is>
      </c>
    </row>
    <row r="2810">
      <c r="A2810" s="2" t="inlineStr">
        <is>
          <t>FODSP</t>
        </is>
      </c>
      <c r="B2810" t="inlineStr">
        <is>
          <t>Financial Obligations Ratio (discontinued)</t>
        </is>
      </c>
      <c r="C2810" s="3" t="inlineStr">
        <is>
          <t>freq=quarterly; transform=level; dashboard</t>
        </is>
      </c>
    </row>
    <row r="2811">
      <c r="A2811" s="9" t="inlineStr">
        <is>
          <t>date</t>
        </is>
      </c>
      <c r="B2811" s="9" t="inlineStr">
        <is>
          <t>value</t>
        </is>
      </c>
    </row>
    <row r="2914">
      <c r="A2914" s="2" t="inlineStr">
        <is>
          <t>DRTSCLCC</t>
        </is>
      </c>
      <c r="B2914" t="inlineStr">
        <is>
          <t>Net % Banks Tightening Standards for Credit Card Loans</t>
        </is>
      </c>
      <c r="C2914" s="3" t="inlineStr">
        <is>
          <t>freq=quarterly; transform=level; dashboard</t>
        </is>
      </c>
    </row>
    <row r="2915">
      <c r="A2915" s="9" t="inlineStr">
        <is>
          <t>date</t>
        </is>
      </c>
      <c r="B2915" s="9" t="inlineStr">
        <is>
          <t>value</t>
        </is>
      </c>
    </row>
    <row r="3018">
      <c r="A3018" s="2" t="inlineStr">
        <is>
          <t>STDSAUTO</t>
        </is>
      </c>
      <c r="B3018" t="inlineStr">
        <is>
          <t>Net % Banks Tightening Standards for Auto Loans</t>
        </is>
      </c>
      <c r="C3018" s="3" t="inlineStr">
        <is>
          <t>freq=quarterly; transform=level; dashboard</t>
        </is>
      </c>
    </row>
    <row r="3019">
      <c r="A3019" s="9" t="inlineStr">
        <is>
          <t>date</t>
        </is>
      </c>
      <c r="B3019" s="9" t="inlineStr">
        <is>
          <t>value</t>
        </is>
      </c>
    </row>
    <row r="3122">
      <c r="A3122" s="2" t="inlineStr">
        <is>
          <t>STDSOTHCONS</t>
        </is>
      </c>
      <c r="B3122" t="inlineStr">
        <is>
          <t>Net % Banks Tightening Standards for Other Consumer Loans</t>
        </is>
      </c>
      <c r="C3122" s="3" t="inlineStr">
        <is>
          <t>freq=quarterly; transform=level; dashboard</t>
        </is>
      </c>
    </row>
    <row r="3123">
      <c r="A3123" s="9" t="inlineStr">
        <is>
          <t>date</t>
        </is>
      </c>
      <c r="B3123" s="9" t="inlineStr">
        <is>
          <t>value</t>
        </is>
      </c>
    </row>
    <row r="3226">
      <c r="A3226" s="2" t="inlineStr">
        <is>
          <t>DRTSSP</t>
        </is>
      </c>
      <c r="B3226" t="inlineStr">
        <is>
          <t>Net % Banks Tightening Standards for Consumer Loans (subprime)</t>
        </is>
      </c>
      <c r="C3226" s="3" t="inlineStr">
        <is>
          <t>freq=quarterly; transform=level; dashboard</t>
        </is>
      </c>
    </row>
    <row r="3227">
      <c r="A3227" s="9" t="inlineStr">
        <is>
          <t>date</t>
        </is>
      </c>
      <c r="B3227" s="9" t="inlineStr">
        <is>
          <t>value</t>
        </is>
      </c>
    </row>
    <row r="3330">
      <c r="A3330" s="2" t="inlineStr">
        <is>
          <t>SUBLPDHMSENQ</t>
        </is>
      </c>
      <c r="B3330" t="inlineStr">
        <is>
          <t>Net % Banks Reporting Stronger Demand for Consumer Loans</t>
        </is>
      </c>
      <c r="C3330" s="3" t="inlineStr">
        <is>
          <t>freq=quarterly; transform=level; dashboard</t>
        </is>
      </c>
    </row>
    <row r="3331">
      <c r="A3331" s="9" t="inlineStr">
        <is>
          <t>date</t>
        </is>
      </c>
      <c r="B3331" s="9" t="inlineStr">
        <is>
          <t>value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C1771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3" t="inlineStr">
        <is>
          <t>Raw_Commercial -- raw FRED observations, newest-first. Written by runner.py; dashboards read these by formula. Do not edit by hand.</t>
        </is>
      </c>
    </row>
    <row r="2">
      <c r="A2" s="2" t="inlineStr">
        <is>
          <t>CORBLACBS</t>
        </is>
      </c>
      <c r="B2" t="inlineStr">
        <is>
          <t>Charge-Off Rate on Commercial &amp; Industrial Loans, All Banks</t>
        </is>
      </c>
      <c r="C2" s="3" t="inlineStr">
        <is>
          <t>freq=quarterly; transform=zscore_8q; dashboard</t>
        </is>
      </c>
    </row>
    <row r="3">
      <c r="A3" s="9" t="inlineStr">
        <is>
          <t>date</t>
        </is>
      </c>
      <c r="B3" s="9" t="inlineStr">
        <is>
          <t>value</t>
        </is>
      </c>
    </row>
    <row r="106">
      <c r="A106" s="2" t="inlineStr">
        <is>
          <t>DRBLACBS</t>
        </is>
      </c>
      <c r="B106" t="inlineStr">
        <is>
          <t>Delinquency Rate on Commercial &amp; Industrial Loans, All Banks</t>
        </is>
      </c>
      <c r="C106" s="3" t="inlineStr">
        <is>
          <t>freq=quarterly; transform=zscore_8q; dashboard</t>
        </is>
      </c>
    </row>
    <row r="107">
      <c r="A107" s="9" t="inlineStr">
        <is>
          <t>date</t>
        </is>
      </c>
      <c r="B107" s="9" t="inlineStr">
        <is>
          <t>value</t>
        </is>
      </c>
    </row>
    <row r="210">
      <c r="A210" s="2" t="inlineStr">
        <is>
          <t>DRBLT100S</t>
        </is>
      </c>
      <c r="B210" t="inlineStr">
        <is>
          <t>Delinquency Rate on C&amp;I Loans, Top 100 Banks</t>
        </is>
      </c>
      <c r="C210" s="3" t="inlineStr">
        <is>
          <t>freq=quarterly; transform=zscore_8q; dashboard</t>
        </is>
      </c>
    </row>
    <row r="211">
      <c r="A211" s="9" t="inlineStr">
        <is>
          <t>date</t>
        </is>
      </c>
      <c r="B211" s="9" t="inlineStr">
        <is>
          <t>value</t>
        </is>
      </c>
    </row>
    <row r="314">
      <c r="A314" s="2" t="inlineStr">
        <is>
          <t>DRBLOBS</t>
        </is>
      </c>
      <c r="B314" t="inlineStr">
        <is>
          <t>Delinquency Rate on C&amp;I Loans, Other Banks</t>
        </is>
      </c>
      <c r="C314" s="3" t="inlineStr">
        <is>
          <t>freq=quarterly; transform=zscore_8q; dashboard</t>
        </is>
      </c>
    </row>
    <row r="315">
      <c r="A315" s="9" t="inlineStr">
        <is>
          <t>date</t>
        </is>
      </c>
      <c r="B315" s="9" t="inlineStr">
        <is>
          <t>value</t>
        </is>
      </c>
    </row>
    <row r="418">
      <c r="A418" s="2" t="inlineStr">
        <is>
          <t>CORCREXFACBS</t>
        </is>
      </c>
      <c r="B418" t="inlineStr">
        <is>
          <t>Charge-Off Rate on CRE Loans (excl. Farmland), All Banks</t>
        </is>
      </c>
      <c r="C418" s="3" t="inlineStr">
        <is>
          <t>freq=quarterly; transform=zscore_8q; dashboard</t>
        </is>
      </c>
    </row>
    <row r="419">
      <c r="A419" s="9" t="inlineStr">
        <is>
          <t>date</t>
        </is>
      </c>
      <c r="B419" s="9" t="inlineStr">
        <is>
          <t>value</t>
        </is>
      </c>
    </row>
    <row r="522">
      <c r="A522" s="2" t="inlineStr">
        <is>
          <t>DRCRELEXFACBS</t>
        </is>
      </c>
      <c r="B522" t="inlineStr">
        <is>
          <t>Delinquency Rate on CRE Loans (excl. Farmland), All Banks</t>
        </is>
      </c>
      <c r="C522" s="3" t="inlineStr">
        <is>
          <t>freq=quarterly; transform=zscore_8q; dashboard</t>
        </is>
      </c>
    </row>
    <row r="523">
      <c r="A523" s="9" t="inlineStr">
        <is>
          <t>date</t>
        </is>
      </c>
      <c r="B523" s="9" t="inlineStr">
        <is>
          <t>value</t>
        </is>
      </c>
    </row>
    <row r="626">
      <c r="A626" s="2" t="inlineStr">
        <is>
          <t>DRCRELEXFT100S</t>
        </is>
      </c>
      <c r="B626" t="inlineStr">
        <is>
          <t>Delinquency Rate on CRE Loans (excl. Farmland), Top 100 Banks</t>
        </is>
      </c>
      <c r="C626" s="3" t="inlineStr">
        <is>
          <t>freq=quarterly; transform=zscore_8q; dashboard</t>
        </is>
      </c>
    </row>
    <row r="627">
      <c r="A627" s="9" t="inlineStr">
        <is>
          <t>date</t>
        </is>
      </c>
      <c r="B627" s="9" t="inlineStr">
        <is>
          <t>value</t>
        </is>
      </c>
    </row>
    <row r="730">
      <c r="A730" s="2" t="inlineStr">
        <is>
          <t>DRCRELEXFOBS</t>
        </is>
      </c>
      <c r="B730" t="inlineStr">
        <is>
          <t>Delinquency Rate on CRE Loans (excl. Farmland), Other Banks</t>
        </is>
      </c>
      <c r="C730" s="3" t="inlineStr">
        <is>
          <t>freq=quarterly; transform=zscore_8q; dashboard</t>
        </is>
      </c>
    </row>
    <row r="731">
      <c r="A731" s="9" t="inlineStr">
        <is>
          <t>date</t>
        </is>
      </c>
      <c r="B731" s="9" t="inlineStr">
        <is>
          <t>value</t>
        </is>
      </c>
    </row>
    <row r="834">
      <c r="A834" s="2" t="inlineStr">
        <is>
          <t>CORALACBS</t>
        </is>
      </c>
      <c r="B834" t="inlineStr">
        <is>
          <t>Charge-Off Rate on All Loans &amp; Leases, All Banks</t>
        </is>
      </c>
      <c r="C834" s="3" t="inlineStr">
        <is>
          <t>freq=quarterly; transform=zscore_8q; dashboard</t>
        </is>
      </c>
    </row>
    <row r="835">
      <c r="A835" s="9" t="inlineStr">
        <is>
          <t>date</t>
        </is>
      </c>
      <c r="B835" s="9" t="inlineStr">
        <is>
          <t>value</t>
        </is>
      </c>
    </row>
    <row r="938">
      <c r="A938" s="2" t="inlineStr">
        <is>
          <t>DRALACBS</t>
        </is>
      </c>
      <c r="B938" t="inlineStr">
        <is>
          <t>Delinquency Rate on All Loans &amp; Leases, All Banks</t>
        </is>
      </c>
      <c r="C938" s="3" t="inlineStr">
        <is>
          <t>freq=quarterly; transform=zscore_8q; dashboard</t>
        </is>
      </c>
    </row>
    <row r="939">
      <c r="A939" s="9" t="inlineStr">
        <is>
          <t>date</t>
        </is>
      </c>
      <c r="B939" s="9" t="inlineStr">
        <is>
          <t>value</t>
        </is>
      </c>
    </row>
    <row r="1042">
      <c r="A1042" s="2" t="inlineStr">
        <is>
          <t>DRTSCILM</t>
        </is>
      </c>
      <c r="B1042" t="inlineStr">
        <is>
          <t>Net % Tightening Standards for C&amp;I Loans to Large/Medium Firms</t>
        </is>
      </c>
      <c r="C1042" s="3" t="inlineStr">
        <is>
          <t>freq=quarterly; transform=level; dashboard</t>
        </is>
      </c>
    </row>
    <row r="1043">
      <c r="A1043" s="9" t="inlineStr">
        <is>
          <t>date</t>
        </is>
      </c>
      <c r="B1043" s="9" t="inlineStr">
        <is>
          <t>value</t>
        </is>
      </c>
    </row>
    <row r="1146">
      <c r="A1146" s="2" t="inlineStr">
        <is>
          <t>DRTSCIS</t>
        </is>
      </c>
      <c r="B1146" t="inlineStr">
        <is>
          <t>Net % Tightening Standards for C&amp;I Loans to Small Firms</t>
        </is>
      </c>
      <c r="C1146" s="3" t="inlineStr">
        <is>
          <t>freq=quarterly; transform=level; dashboard</t>
        </is>
      </c>
    </row>
    <row r="1147">
      <c r="A1147" s="9" t="inlineStr">
        <is>
          <t>date</t>
        </is>
      </c>
      <c r="B1147" s="9" t="inlineStr">
        <is>
          <t>value</t>
        </is>
      </c>
    </row>
    <row r="1250">
      <c r="A1250" s="2" t="inlineStr">
        <is>
          <t>DRSDCILM</t>
        </is>
      </c>
      <c r="B1250" t="inlineStr">
        <is>
          <t>Net % Reporting Stronger Demand for C&amp;I Loans, Large/Medium Firms</t>
        </is>
      </c>
      <c r="C1250" s="3" t="inlineStr">
        <is>
          <t>freq=quarterly; transform=level; dashboard</t>
        </is>
      </c>
    </row>
    <row r="1251">
      <c r="A1251" s="9" t="inlineStr">
        <is>
          <t>date</t>
        </is>
      </c>
      <c r="B1251" s="9" t="inlineStr">
        <is>
          <t>value</t>
        </is>
      </c>
    </row>
    <row r="1354">
      <c r="A1354" s="2" t="inlineStr">
        <is>
          <t>DRSDCIS</t>
        </is>
      </c>
      <c r="B1354" t="inlineStr">
        <is>
          <t>Net % Reporting Stronger Demand for C&amp;I Loans, Small Firms</t>
        </is>
      </c>
      <c r="C1354" s="3" t="inlineStr">
        <is>
          <t>freq=quarterly; transform=level; dashboard</t>
        </is>
      </c>
    </row>
    <row r="1355">
      <c r="A1355" s="9" t="inlineStr">
        <is>
          <t>date</t>
        </is>
      </c>
      <c r="B1355" s="9" t="inlineStr">
        <is>
          <t>value</t>
        </is>
      </c>
    </row>
    <row r="1458">
      <c r="A1458" s="2" t="inlineStr">
        <is>
          <t>SUBLPDRCSN</t>
        </is>
      </c>
      <c r="B1458" t="inlineStr">
        <is>
          <t>Net % Tightening Standards for CRE Construction &amp; Land Loans</t>
        </is>
      </c>
      <c r="C1458" s="3" t="inlineStr">
        <is>
          <t>freq=quarterly; transform=level; dashboard</t>
        </is>
      </c>
    </row>
    <row r="1459">
      <c r="A1459" s="9" t="inlineStr">
        <is>
          <t>date</t>
        </is>
      </c>
      <c r="B1459" s="9" t="inlineStr">
        <is>
          <t>value</t>
        </is>
      </c>
    </row>
    <row r="1562">
      <c r="A1562" s="2" t="inlineStr">
        <is>
          <t>SUBLPDRCSM</t>
        </is>
      </c>
      <c r="B1562" t="inlineStr">
        <is>
          <t>Net % Tightening Standards for CRE Multifamily Loans</t>
        </is>
      </c>
      <c r="C1562" s="3" t="inlineStr">
        <is>
          <t>freq=quarterly; transform=level; dashboard</t>
        </is>
      </c>
    </row>
    <row r="1563">
      <c r="A1563" s="9" t="inlineStr">
        <is>
          <t>date</t>
        </is>
      </c>
      <c r="B1563" s="9" t="inlineStr">
        <is>
          <t>value</t>
        </is>
      </c>
    </row>
    <row r="1666">
      <c r="A1666" s="2" t="inlineStr">
        <is>
          <t>SUBLPDRCSC</t>
        </is>
      </c>
      <c r="B1666" t="inlineStr">
        <is>
          <t>Net % Tightening Standards for CRE Nonfarm Nonresidential Loans</t>
        </is>
      </c>
      <c r="C1666" s="3" t="inlineStr">
        <is>
          <t>freq=quarterly; transform=level; dashboard</t>
        </is>
      </c>
    </row>
    <row r="1667">
      <c r="A1667" s="9" t="inlineStr">
        <is>
          <t>date</t>
        </is>
      </c>
      <c r="B1667" s="9" t="inlineStr">
        <is>
          <t>value</t>
        </is>
      </c>
    </row>
    <row r="1770">
      <c r="A1770" s="2" t="inlineStr">
        <is>
          <t>SUBLPDCILSLGNQ</t>
        </is>
      </c>
      <c r="B1770" t="inlineStr">
        <is>
          <t>Net % Increasing Spreads on C&amp;I Loans to Large/Medium Firms</t>
        </is>
      </c>
      <c r="C1770" s="3" t="inlineStr">
        <is>
          <t>freq=quarterly; transform=level; dashboard</t>
        </is>
      </c>
    </row>
    <row r="1771">
      <c r="A1771" s="9" t="inlineStr">
        <is>
          <t>date</t>
        </is>
      </c>
      <c r="B1771" s="9" t="inlineStr">
        <is>
          <t>value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9883"/>
  <sheetViews>
    <sheetView showGridLines="0"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38" customWidth="1" min="3" max="3"/>
  </cols>
  <sheetData>
    <row r="1">
      <c r="A1" s="3" t="inlineStr">
        <is>
          <t>Raw_Price -- raw FRED observations, newest-first. Written by runner.py; dashboards read these by formula. Do not edit by hand.</t>
        </is>
      </c>
    </row>
    <row r="2">
      <c r="A2" s="2" t="inlineStr">
        <is>
          <t>USSTHPI</t>
        </is>
      </c>
      <c r="B2" t="inlineStr">
        <is>
          <t>FHFA All-Transactions House Price Index, United States</t>
        </is>
      </c>
      <c r="C2" s="3" t="inlineStr">
        <is>
          <t>freq=quarterly; transform=index_to_pct; dashboard</t>
        </is>
      </c>
    </row>
    <row r="3">
      <c r="A3" s="9" t="inlineStr">
        <is>
          <t>date</t>
        </is>
      </c>
      <c r="B3" s="9" t="inlineStr">
        <is>
          <t>value</t>
        </is>
      </c>
    </row>
    <row r="106">
      <c r="A106" s="2" t="inlineStr">
        <is>
          <t>HPIPONM226S</t>
        </is>
      </c>
      <c r="B106" t="inlineStr">
        <is>
          <t>FHFA Purchase-Only House Price Index, United States (Monthly, SA)</t>
        </is>
      </c>
      <c r="C106" s="3" t="inlineStr">
        <is>
          <t>freq=monthly; transform=index_to_pct; dashboard</t>
        </is>
      </c>
    </row>
    <row r="107">
      <c r="A107" s="9" t="inlineStr">
        <is>
          <t>date</t>
        </is>
      </c>
      <c r="B107" s="9" t="inlineStr">
        <is>
          <t>value</t>
        </is>
      </c>
    </row>
    <row r="210">
      <c r="A210" s="2" t="inlineStr">
        <is>
          <t>CSUSHPINSA</t>
        </is>
      </c>
      <c r="B210" t="inlineStr">
        <is>
          <t>S&amp;P CoreLogic Case-Shiller U.S. National HPI (NSA)</t>
        </is>
      </c>
      <c r="C210" s="3" t="inlineStr">
        <is>
          <t>freq=monthly; transform=index_to_pct; dashboard</t>
        </is>
      </c>
    </row>
    <row r="211">
      <c r="A211" s="9" t="inlineStr">
        <is>
          <t>date</t>
        </is>
      </c>
      <c r="B211" s="9" t="inlineStr">
        <is>
          <t>value</t>
        </is>
      </c>
    </row>
    <row r="314">
      <c r="A314" s="2" t="inlineStr">
        <is>
          <t>CSUSHPISA</t>
        </is>
      </c>
      <c r="B314" t="inlineStr">
        <is>
          <t>S&amp;P CoreLogic Case-Shiller U.S. National HPI (SA)</t>
        </is>
      </c>
      <c r="C314" s="3" t="inlineStr">
        <is>
          <t>freq=monthly; transform=index_to_pct; dashboard</t>
        </is>
      </c>
    </row>
    <row r="315">
      <c r="A315" s="9" t="inlineStr">
        <is>
          <t>date</t>
        </is>
      </c>
      <c r="B315" s="9" t="inlineStr">
        <is>
          <t>value</t>
        </is>
      </c>
    </row>
    <row r="418">
      <c r="A418" s="2" t="inlineStr">
        <is>
          <t>BOGZ1FL075035503Q</t>
        </is>
      </c>
      <c r="B418" t="inlineStr">
        <is>
          <t>Z.1 Commercial Real Estate Value (Nonfinancial Corporate), Level</t>
        </is>
      </c>
      <c r="C418" s="3" t="inlineStr">
        <is>
          <t>freq=quarterly; transform=level; dashboard</t>
        </is>
      </c>
    </row>
    <row r="419">
      <c r="A419" s="9" t="inlineStr">
        <is>
          <t>date</t>
        </is>
      </c>
      <c r="B419" s="9" t="inlineStr">
        <is>
          <t>value</t>
        </is>
      </c>
    </row>
    <row r="522">
      <c r="A522" s="2" t="inlineStr">
        <is>
          <t>COMREPUSQ159N</t>
        </is>
      </c>
      <c r="B522" t="inlineStr">
        <is>
          <t>Commercial Real Estate Prices for United States (YoY %)</t>
        </is>
      </c>
      <c r="C522" s="3" t="inlineStr">
        <is>
          <t>freq=quarterly; transform=level; dashboard</t>
        </is>
      </c>
    </row>
    <row r="523">
      <c r="A523" s="9" t="inlineStr">
        <is>
          <t>date</t>
        </is>
      </c>
      <c r="B523" s="9" t="inlineStr">
        <is>
          <t>value</t>
        </is>
      </c>
    </row>
    <row r="626">
      <c r="A626" s="2" t="inlineStr">
        <is>
          <t>BOGZ1FL075035403Q</t>
        </is>
      </c>
      <c r="B626" t="inlineStr">
        <is>
          <t>Z.1 Multifamily Residential Real Estate Value, Level</t>
        </is>
      </c>
      <c r="C626" s="3" t="inlineStr">
        <is>
          <t>freq=quarterly; transform=level; dashboard</t>
        </is>
      </c>
    </row>
    <row r="627">
      <c r="A627" s="9" t="inlineStr">
        <is>
          <t>date</t>
        </is>
      </c>
      <c r="B627" s="9" t="inlineStr">
        <is>
          <t>value</t>
        </is>
      </c>
    </row>
    <row r="730">
      <c r="A730" s="2" t="inlineStr">
        <is>
          <t>ALSTHPI</t>
        </is>
      </c>
      <c r="B730" t="inlineStr">
        <is>
          <t>FHFA All-Transactions HPI -- Alabama</t>
        </is>
      </c>
      <c r="C730" s="3" t="inlineStr">
        <is>
          <t>freq=quarterly; transform=yoy_pct; WATCHLIST</t>
        </is>
      </c>
    </row>
    <row r="731">
      <c r="A731" s="9" t="inlineStr">
        <is>
          <t>date</t>
        </is>
      </c>
      <c r="B731" s="9" t="inlineStr">
        <is>
          <t>value</t>
        </is>
      </c>
    </row>
    <row r="834">
      <c r="A834" s="2" t="inlineStr">
        <is>
          <t>AKSTHPI</t>
        </is>
      </c>
      <c r="B834" t="inlineStr">
        <is>
          <t>FHFA All-Transactions HPI -- Alaska</t>
        </is>
      </c>
      <c r="C834" s="3" t="inlineStr">
        <is>
          <t>freq=quarterly; transform=yoy_pct; WATCHLIST</t>
        </is>
      </c>
    </row>
    <row r="835">
      <c r="A835" s="9" t="inlineStr">
        <is>
          <t>date</t>
        </is>
      </c>
      <c r="B835" s="9" t="inlineStr">
        <is>
          <t>value</t>
        </is>
      </c>
    </row>
    <row r="938">
      <c r="A938" s="2" t="inlineStr">
        <is>
          <t>AZSTHPI</t>
        </is>
      </c>
      <c r="B938" t="inlineStr">
        <is>
          <t>FHFA All-Transactions HPI -- Arizona</t>
        </is>
      </c>
      <c r="C938" s="3" t="inlineStr">
        <is>
          <t>freq=quarterly; transform=yoy_pct; WATCHLIST</t>
        </is>
      </c>
    </row>
    <row r="939">
      <c r="A939" s="9" t="inlineStr">
        <is>
          <t>date</t>
        </is>
      </c>
      <c r="B939" s="9" t="inlineStr">
        <is>
          <t>value</t>
        </is>
      </c>
    </row>
    <row r="1042">
      <c r="A1042" s="2" t="inlineStr">
        <is>
          <t>ARSTHPI</t>
        </is>
      </c>
      <c r="B1042" t="inlineStr">
        <is>
          <t>FHFA All-Transactions HPI -- Arkansas</t>
        </is>
      </c>
      <c r="C1042" s="3" t="inlineStr">
        <is>
          <t>freq=quarterly; transform=yoy_pct; WATCHLIST</t>
        </is>
      </c>
    </row>
    <row r="1043">
      <c r="A1043" s="9" t="inlineStr">
        <is>
          <t>date</t>
        </is>
      </c>
      <c r="B1043" s="9" t="inlineStr">
        <is>
          <t>value</t>
        </is>
      </c>
    </row>
    <row r="1146">
      <c r="A1146" s="2" t="inlineStr">
        <is>
          <t>CASTHPI</t>
        </is>
      </c>
      <c r="B1146" t="inlineStr">
        <is>
          <t>FHFA All-Transactions HPI -- California</t>
        </is>
      </c>
      <c r="C1146" s="3" t="inlineStr">
        <is>
          <t>freq=quarterly; transform=yoy_pct; WATCHLIST</t>
        </is>
      </c>
    </row>
    <row r="1147">
      <c r="A1147" s="9" t="inlineStr">
        <is>
          <t>date</t>
        </is>
      </c>
      <c r="B1147" s="9" t="inlineStr">
        <is>
          <t>value</t>
        </is>
      </c>
    </row>
    <row r="1250">
      <c r="A1250" s="2" t="inlineStr">
        <is>
          <t>COSTHPI</t>
        </is>
      </c>
      <c r="B1250" t="inlineStr">
        <is>
          <t>FHFA All-Transactions HPI -- Colorado</t>
        </is>
      </c>
      <c r="C1250" s="3" t="inlineStr">
        <is>
          <t>freq=quarterly; transform=yoy_pct; WATCHLIST</t>
        </is>
      </c>
    </row>
    <row r="1251">
      <c r="A1251" s="9" t="inlineStr">
        <is>
          <t>date</t>
        </is>
      </c>
      <c r="B1251" s="9" t="inlineStr">
        <is>
          <t>value</t>
        </is>
      </c>
    </row>
    <row r="1354">
      <c r="A1354" s="2" t="inlineStr">
        <is>
          <t>CTSTHPI</t>
        </is>
      </c>
      <c r="B1354" t="inlineStr">
        <is>
          <t>FHFA All-Transactions HPI -- Connecticut</t>
        </is>
      </c>
      <c r="C1354" s="3" t="inlineStr">
        <is>
          <t>freq=quarterly; transform=yoy_pct; WATCHLIST</t>
        </is>
      </c>
    </row>
    <row r="1355">
      <c r="A1355" s="9" t="inlineStr">
        <is>
          <t>date</t>
        </is>
      </c>
      <c r="B1355" s="9" t="inlineStr">
        <is>
          <t>value</t>
        </is>
      </c>
    </row>
    <row r="1458">
      <c r="A1458" s="2" t="inlineStr">
        <is>
          <t>DESTHPI</t>
        </is>
      </c>
      <c r="B1458" t="inlineStr">
        <is>
          <t>FHFA All-Transactions HPI -- Delaware</t>
        </is>
      </c>
      <c r="C1458" s="3" t="inlineStr">
        <is>
          <t>freq=quarterly; transform=yoy_pct; WATCHLIST</t>
        </is>
      </c>
    </row>
    <row r="1459">
      <c r="A1459" s="9" t="inlineStr">
        <is>
          <t>date</t>
        </is>
      </c>
      <c r="B1459" s="9" t="inlineStr">
        <is>
          <t>value</t>
        </is>
      </c>
    </row>
    <row r="1562">
      <c r="A1562" s="2" t="inlineStr">
        <is>
          <t>DCSTHPI</t>
        </is>
      </c>
      <c r="B1562" t="inlineStr">
        <is>
          <t>FHFA All-Transactions HPI -- District of Columbia</t>
        </is>
      </c>
      <c r="C1562" s="3" t="inlineStr">
        <is>
          <t>freq=quarterly; transform=yoy_pct; WATCHLIST</t>
        </is>
      </c>
    </row>
    <row r="1563">
      <c r="A1563" s="9" t="inlineStr">
        <is>
          <t>date</t>
        </is>
      </c>
      <c r="B1563" s="9" t="inlineStr">
        <is>
          <t>value</t>
        </is>
      </c>
    </row>
    <row r="1666">
      <c r="A1666" s="2" t="inlineStr">
        <is>
          <t>FLSTHPI</t>
        </is>
      </c>
      <c r="B1666" t="inlineStr">
        <is>
          <t>FHFA All-Transactions HPI -- Florida</t>
        </is>
      </c>
      <c r="C1666" s="3" t="inlineStr">
        <is>
          <t>freq=quarterly; transform=yoy_pct; WATCHLIST</t>
        </is>
      </c>
    </row>
    <row r="1667">
      <c r="A1667" s="9" t="inlineStr">
        <is>
          <t>date</t>
        </is>
      </c>
      <c r="B1667" s="9" t="inlineStr">
        <is>
          <t>value</t>
        </is>
      </c>
    </row>
    <row r="1770">
      <c r="A1770" s="2" t="inlineStr">
        <is>
          <t>GASTHPI</t>
        </is>
      </c>
      <c r="B1770" t="inlineStr">
        <is>
          <t>FHFA All-Transactions HPI -- Georgia</t>
        </is>
      </c>
      <c r="C1770" s="3" t="inlineStr">
        <is>
          <t>freq=quarterly; transform=yoy_pct; WATCHLIST</t>
        </is>
      </c>
    </row>
    <row r="1771">
      <c r="A1771" s="9" t="inlineStr">
        <is>
          <t>date</t>
        </is>
      </c>
      <c r="B1771" s="9" t="inlineStr">
        <is>
          <t>value</t>
        </is>
      </c>
    </row>
    <row r="1874">
      <c r="A1874" s="2" t="inlineStr">
        <is>
          <t>HISTHPI</t>
        </is>
      </c>
      <c r="B1874" t="inlineStr">
        <is>
          <t>FHFA All-Transactions HPI -- Hawaii</t>
        </is>
      </c>
      <c r="C1874" s="3" t="inlineStr">
        <is>
          <t>freq=quarterly; transform=yoy_pct; WATCHLIST</t>
        </is>
      </c>
    </row>
    <row r="1875">
      <c r="A1875" s="9" t="inlineStr">
        <is>
          <t>date</t>
        </is>
      </c>
      <c r="B1875" s="9" t="inlineStr">
        <is>
          <t>value</t>
        </is>
      </c>
    </row>
    <row r="1978">
      <c r="A1978" s="2" t="inlineStr">
        <is>
          <t>IDSTHPI</t>
        </is>
      </c>
      <c r="B1978" t="inlineStr">
        <is>
          <t>FHFA All-Transactions HPI -- Idaho</t>
        </is>
      </c>
      <c r="C1978" s="3" t="inlineStr">
        <is>
          <t>freq=quarterly; transform=yoy_pct; WATCHLIST</t>
        </is>
      </c>
    </row>
    <row r="1979">
      <c r="A1979" s="9" t="inlineStr">
        <is>
          <t>date</t>
        </is>
      </c>
      <c r="B1979" s="9" t="inlineStr">
        <is>
          <t>value</t>
        </is>
      </c>
    </row>
    <row r="2082">
      <c r="A2082" s="2" t="inlineStr">
        <is>
          <t>ILSTHPI</t>
        </is>
      </c>
      <c r="B2082" t="inlineStr">
        <is>
          <t>FHFA All-Transactions HPI -- Illinois</t>
        </is>
      </c>
      <c r="C2082" s="3" t="inlineStr">
        <is>
          <t>freq=quarterly; transform=yoy_pct; WATCHLIST</t>
        </is>
      </c>
    </row>
    <row r="2083">
      <c r="A2083" s="9" t="inlineStr">
        <is>
          <t>date</t>
        </is>
      </c>
      <c r="B2083" s="9" t="inlineStr">
        <is>
          <t>value</t>
        </is>
      </c>
    </row>
    <row r="2186">
      <c r="A2186" s="2" t="inlineStr">
        <is>
          <t>INSTHPI</t>
        </is>
      </c>
      <c r="B2186" t="inlineStr">
        <is>
          <t>FHFA All-Transactions HPI -- Indiana</t>
        </is>
      </c>
      <c r="C2186" s="3" t="inlineStr">
        <is>
          <t>freq=quarterly; transform=yoy_pct; WATCHLIST</t>
        </is>
      </c>
    </row>
    <row r="2187">
      <c r="A2187" s="9" t="inlineStr">
        <is>
          <t>date</t>
        </is>
      </c>
      <c r="B2187" s="9" t="inlineStr">
        <is>
          <t>value</t>
        </is>
      </c>
    </row>
    <row r="2290">
      <c r="A2290" s="2" t="inlineStr">
        <is>
          <t>IASTHPI</t>
        </is>
      </c>
      <c r="B2290" t="inlineStr">
        <is>
          <t>FHFA All-Transactions HPI -- Iowa</t>
        </is>
      </c>
      <c r="C2290" s="3" t="inlineStr">
        <is>
          <t>freq=quarterly; transform=yoy_pct; WATCHLIST</t>
        </is>
      </c>
    </row>
    <row r="2291">
      <c r="A2291" s="9" t="inlineStr">
        <is>
          <t>date</t>
        </is>
      </c>
      <c r="B2291" s="9" t="inlineStr">
        <is>
          <t>value</t>
        </is>
      </c>
    </row>
    <row r="2394">
      <c r="A2394" s="2" t="inlineStr">
        <is>
          <t>KSSTHPI</t>
        </is>
      </c>
      <c r="B2394" t="inlineStr">
        <is>
          <t>FHFA All-Transactions HPI -- Kansas</t>
        </is>
      </c>
      <c r="C2394" s="3" t="inlineStr">
        <is>
          <t>freq=quarterly; transform=yoy_pct; WATCHLIST</t>
        </is>
      </c>
    </row>
    <row r="2395">
      <c r="A2395" s="9" t="inlineStr">
        <is>
          <t>date</t>
        </is>
      </c>
      <c r="B2395" s="9" t="inlineStr">
        <is>
          <t>value</t>
        </is>
      </c>
    </row>
    <row r="2498">
      <c r="A2498" s="2" t="inlineStr">
        <is>
          <t>KYSTHPI</t>
        </is>
      </c>
      <c r="B2498" t="inlineStr">
        <is>
          <t>FHFA All-Transactions HPI -- Kentucky</t>
        </is>
      </c>
      <c r="C2498" s="3" t="inlineStr">
        <is>
          <t>freq=quarterly; transform=yoy_pct; WATCHLIST</t>
        </is>
      </c>
    </row>
    <row r="2499">
      <c r="A2499" s="9" t="inlineStr">
        <is>
          <t>date</t>
        </is>
      </c>
      <c r="B2499" s="9" t="inlineStr">
        <is>
          <t>value</t>
        </is>
      </c>
    </row>
    <row r="2602">
      <c r="A2602" s="2" t="inlineStr">
        <is>
          <t>LASTHPI</t>
        </is>
      </c>
      <c r="B2602" t="inlineStr">
        <is>
          <t>FHFA All-Transactions HPI -- Louisiana</t>
        </is>
      </c>
      <c r="C2602" s="3" t="inlineStr">
        <is>
          <t>freq=quarterly; transform=yoy_pct; WATCHLIST</t>
        </is>
      </c>
    </row>
    <row r="2603">
      <c r="A2603" s="9" t="inlineStr">
        <is>
          <t>date</t>
        </is>
      </c>
      <c r="B2603" s="9" t="inlineStr">
        <is>
          <t>value</t>
        </is>
      </c>
    </row>
    <row r="2706">
      <c r="A2706" s="2" t="inlineStr">
        <is>
          <t>MESTHPI</t>
        </is>
      </c>
      <c r="B2706" t="inlineStr">
        <is>
          <t>FHFA All-Transactions HPI -- Maine</t>
        </is>
      </c>
      <c r="C2706" s="3" t="inlineStr">
        <is>
          <t>freq=quarterly; transform=yoy_pct; WATCHLIST</t>
        </is>
      </c>
    </row>
    <row r="2707">
      <c r="A2707" s="9" t="inlineStr">
        <is>
          <t>date</t>
        </is>
      </c>
      <c r="B2707" s="9" t="inlineStr">
        <is>
          <t>value</t>
        </is>
      </c>
    </row>
    <row r="2810">
      <c r="A2810" s="2" t="inlineStr">
        <is>
          <t>MDSTHPI</t>
        </is>
      </c>
      <c r="B2810" t="inlineStr">
        <is>
          <t>FHFA All-Transactions HPI -- Maryland</t>
        </is>
      </c>
      <c r="C2810" s="3" t="inlineStr">
        <is>
          <t>freq=quarterly; transform=yoy_pct; WATCHLIST</t>
        </is>
      </c>
    </row>
    <row r="2811">
      <c r="A2811" s="9" t="inlineStr">
        <is>
          <t>date</t>
        </is>
      </c>
      <c r="B2811" s="9" t="inlineStr">
        <is>
          <t>value</t>
        </is>
      </c>
    </row>
    <row r="2914">
      <c r="A2914" s="2" t="inlineStr">
        <is>
          <t>MASTHPI</t>
        </is>
      </c>
      <c r="B2914" t="inlineStr">
        <is>
          <t>FHFA All-Transactions HPI -- Massachusetts</t>
        </is>
      </c>
      <c r="C2914" s="3" t="inlineStr">
        <is>
          <t>freq=quarterly; transform=yoy_pct; WATCHLIST</t>
        </is>
      </c>
    </row>
    <row r="2915">
      <c r="A2915" s="9" t="inlineStr">
        <is>
          <t>date</t>
        </is>
      </c>
      <c r="B2915" s="9" t="inlineStr">
        <is>
          <t>value</t>
        </is>
      </c>
    </row>
    <row r="3018">
      <c r="A3018" s="2" t="inlineStr">
        <is>
          <t>MISTHPI</t>
        </is>
      </c>
      <c r="B3018" t="inlineStr">
        <is>
          <t>FHFA All-Transactions HPI -- Michigan</t>
        </is>
      </c>
      <c r="C3018" s="3" t="inlineStr">
        <is>
          <t>freq=quarterly; transform=yoy_pct; WATCHLIST</t>
        </is>
      </c>
    </row>
    <row r="3019">
      <c r="A3019" s="9" t="inlineStr">
        <is>
          <t>date</t>
        </is>
      </c>
      <c r="B3019" s="9" t="inlineStr">
        <is>
          <t>value</t>
        </is>
      </c>
    </row>
    <row r="3122">
      <c r="A3122" s="2" t="inlineStr">
        <is>
          <t>MNSTHPI</t>
        </is>
      </c>
      <c r="B3122" t="inlineStr">
        <is>
          <t>FHFA All-Transactions HPI -- Minnesota</t>
        </is>
      </c>
      <c r="C3122" s="3" t="inlineStr">
        <is>
          <t>freq=quarterly; transform=yoy_pct; WATCHLIST</t>
        </is>
      </c>
    </row>
    <row r="3123">
      <c r="A3123" s="9" t="inlineStr">
        <is>
          <t>date</t>
        </is>
      </c>
      <c r="B3123" s="9" t="inlineStr">
        <is>
          <t>value</t>
        </is>
      </c>
    </row>
    <row r="3226">
      <c r="A3226" s="2" t="inlineStr">
        <is>
          <t>MSSTHPI</t>
        </is>
      </c>
      <c r="B3226" t="inlineStr">
        <is>
          <t>FHFA All-Transactions HPI -- Mississippi</t>
        </is>
      </c>
      <c r="C3226" s="3" t="inlineStr">
        <is>
          <t>freq=quarterly; transform=yoy_pct; WATCHLIST</t>
        </is>
      </c>
    </row>
    <row r="3227">
      <c r="A3227" s="9" t="inlineStr">
        <is>
          <t>date</t>
        </is>
      </c>
      <c r="B3227" s="9" t="inlineStr">
        <is>
          <t>value</t>
        </is>
      </c>
    </row>
    <row r="3330">
      <c r="A3330" s="2" t="inlineStr">
        <is>
          <t>MOSTHPI</t>
        </is>
      </c>
      <c r="B3330" t="inlineStr">
        <is>
          <t>FHFA All-Transactions HPI -- Missouri</t>
        </is>
      </c>
      <c r="C3330" s="3" t="inlineStr">
        <is>
          <t>freq=quarterly; transform=yoy_pct; WATCHLIST</t>
        </is>
      </c>
    </row>
    <row r="3331">
      <c r="A3331" s="9" t="inlineStr">
        <is>
          <t>date</t>
        </is>
      </c>
      <c r="B3331" s="9" t="inlineStr">
        <is>
          <t>value</t>
        </is>
      </c>
    </row>
    <row r="3434">
      <c r="A3434" s="2" t="inlineStr">
        <is>
          <t>MTSTHPI</t>
        </is>
      </c>
      <c r="B3434" t="inlineStr">
        <is>
          <t>FHFA All-Transactions HPI -- Montana</t>
        </is>
      </c>
      <c r="C3434" s="3" t="inlineStr">
        <is>
          <t>freq=quarterly; transform=yoy_pct; WATCHLIST</t>
        </is>
      </c>
    </row>
    <row r="3435">
      <c r="A3435" s="9" t="inlineStr">
        <is>
          <t>date</t>
        </is>
      </c>
      <c r="B3435" s="9" t="inlineStr">
        <is>
          <t>value</t>
        </is>
      </c>
    </row>
    <row r="3538">
      <c r="A3538" s="2" t="inlineStr">
        <is>
          <t>NESTHPI</t>
        </is>
      </c>
      <c r="B3538" t="inlineStr">
        <is>
          <t>FHFA All-Transactions HPI -- Nebraska</t>
        </is>
      </c>
      <c r="C3538" s="3" t="inlineStr">
        <is>
          <t>freq=quarterly; transform=yoy_pct; WATCHLIST</t>
        </is>
      </c>
    </row>
    <row r="3539">
      <c r="A3539" s="9" t="inlineStr">
        <is>
          <t>date</t>
        </is>
      </c>
      <c r="B3539" s="9" t="inlineStr">
        <is>
          <t>value</t>
        </is>
      </c>
    </row>
    <row r="3642">
      <c r="A3642" s="2" t="inlineStr">
        <is>
          <t>NVSTHPI</t>
        </is>
      </c>
      <c r="B3642" t="inlineStr">
        <is>
          <t>FHFA All-Transactions HPI -- Nevada</t>
        </is>
      </c>
      <c r="C3642" s="3" t="inlineStr">
        <is>
          <t>freq=quarterly; transform=yoy_pct; WATCHLIST</t>
        </is>
      </c>
    </row>
    <row r="3643">
      <c r="A3643" s="9" t="inlineStr">
        <is>
          <t>date</t>
        </is>
      </c>
      <c r="B3643" s="9" t="inlineStr">
        <is>
          <t>value</t>
        </is>
      </c>
    </row>
    <row r="3746">
      <c r="A3746" s="2" t="inlineStr">
        <is>
          <t>NHSTHPI</t>
        </is>
      </c>
      <c r="B3746" t="inlineStr">
        <is>
          <t>FHFA All-Transactions HPI -- New Hampshire</t>
        </is>
      </c>
      <c r="C3746" s="3" t="inlineStr">
        <is>
          <t>freq=quarterly; transform=yoy_pct; WATCHLIST</t>
        </is>
      </c>
    </row>
    <row r="3747">
      <c r="A3747" s="9" t="inlineStr">
        <is>
          <t>date</t>
        </is>
      </c>
      <c r="B3747" s="9" t="inlineStr">
        <is>
          <t>value</t>
        </is>
      </c>
    </row>
    <row r="3850">
      <c r="A3850" s="2" t="inlineStr">
        <is>
          <t>NJSTHPI</t>
        </is>
      </c>
      <c r="B3850" t="inlineStr">
        <is>
          <t>FHFA All-Transactions HPI -- New Jersey</t>
        </is>
      </c>
      <c r="C3850" s="3" t="inlineStr">
        <is>
          <t>freq=quarterly; transform=yoy_pct; WATCHLIST</t>
        </is>
      </c>
    </row>
    <row r="3851">
      <c r="A3851" s="9" t="inlineStr">
        <is>
          <t>date</t>
        </is>
      </c>
      <c r="B3851" s="9" t="inlineStr">
        <is>
          <t>value</t>
        </is>
      </c>
    </row>
    <row r="3954">
      <c r="A3954" s="2" t="inlineStr">
        <is>
          <t>NMSTHPI</t>
        </is>
      </c>
      <c r="B3954" t="inlineStr">
        <is>
          <t>FHFA All-Transactions HPI -- New Mexico</t>
        </is>
      </c>
      <c r="C3954" s="3" t="inlineStr">
        <is>
          <t>freq=quarterly; transform=yoy_pct; WATCHLIST</t>
        </is>
      </c>
    </row>
    <row r="3955">
      <c r="A3955" s="9" t="inlineStr">
        <is>
          <t>date</t>
        </is>
      </c>
      <c r="B3955" s="9" t="inlineStr">
        <is>
          <t>value</t>
        </is>
      </c>
    </row>
    <row r="4058">
      <c r="A4058" s="2" t="inlineStr">
        <is>
          <t>NYSTHPI</t>
        </is>
      </c>
      <c r="B4058" t="inlineStr">
        <is>
          <t>FHFA All-Transactions HPI -- New York</t>
        </is>
      </c>
      <c r="C4058" s="3" t="inlineStr">
        <is>
          <t>freq=quarterly; transform=yoy_pct; WATCHLIST</t>
        </is>
      </c>
    </row>
    <row r="4059">
      <c r="A4059" s="9" t="inlineStr">
        <is>
          <t>date</t>
        </is>
      </c>
      <c r="B4059" s="9" t="inlineStr">
        <is>
          <t>value</t>
        </is>
      </c>
    </row>
    <row r="4162">
      <c r="A4162" s="2" t="inlineStr">
        <is>
          <t>NCSTHPI</t>
        </is>
      </c>
      <c r="B4162" t="inlineStr">
        <is>
          <t>FHFA All-Transactions HPI -- North Carolina</t>
        </is>
      </c>
      <c r="C4162" s="3" t="inlineStr">
        <is>
          <t>freq=quarterly; transform=yoy_pct; WATCHLIST</t>
        </is>
      </c>
    </row>
    <row r="4163">
      <c r="A4163" s="9" t="inlineStr">
        <is>
          <t>date</t>
        </is>
      </c>
      <c r="B4163" s="9" t="inlineStr">
        <is>
          <t>value</t>
        </is>
      </c>
    </row>
    <row r="4266">
      <c r="A4266" s="2" t="inlineStr">
        <is>
          <t>NDSTHPI</t>
        </is>
      </c>
      <c r="B4266" t="inlineStr">
        <is>
          <t>FHFA All-Transactions HPI -- North Dakota</t>
        </is>
      </c>
      <c r="C4266" s="3" t="inlineStr">
        <is>
          <t>freq=quarterly; transform=yoy_pct; WATCHLIST</t>
        </is>
      </c>
    </row>
    <row r="4267">
      <c r="A4267" s="9" t="inlineStr">
        <is>
          <t>date</t>
        </is>
      </c>
      <c r="B4267" s="9" t="inlineStr">
        <is>
          <t>value</t>
        </is>
      </c>
    </row>
    <row r="4370">
      <c r="A4370" s="2" t="inlineStr">
        <is>
          <t>OHSTHPI</t>
        </is>
      </c>
      <c r="B4370" t="inlineStr">
        <is>
          <t>FHFA All-Transactions HPI -- Ohio</t>
        </is>
      </c>
      <c r="C4370" s="3" t="inlineStr">
        <is>
          <t>freq=quarterly; transform=yoy_pct; WATCHLIST</t>
        </is>
      </c>
    </row>
    <row r="4371">
      <c r="A4371" s="9" t="inlineStr">
        <is>
          <t>date</t>
        </is>
      </c>
      <c r="B4371" s="9" t="inlineStr">
        <is>
          <t>value</t>
        </is>
      </c>
    </row>
    <row r="4474">
      <c r="A4474" s="2" t="inlineStr">
        <is>
          <t>OKSTHPI</t>
        </is>
      </c>
      <c r="B4474" t="inlineStr">
        <is>
          <t>FHFA All-Transactions HPI -- Oklahoma</t>
        </is>
      </c>
      <c r="C4474" s="3" t="inlineStr">
        <is>
          <t>freq=quarterly; transform=yoy_pct; WATCHLIST</t>
        </is>
      </c>
    </row>
    <row r="4475">
      <c r="A4475" s="9" t="inlineStr">
        <is>
          <t>date</t>
        </is>
      </c>
      <c r="B4475" s="9" t="inlineStr">
        <is>
          <t>value</t>
        </is>
      </c>
    </row>
    <row r="4578">
      <c r="A4578" s="2" t="inlineStr">
        <is>
          <t>ORSTHPI</t>
        </is>
      </c>
      <c r="B4578" t="inlineStr">
        <is>
          <t>FHFA All-Transactions HPI -- Oregon</t>
        </is>
      </c>
      <c r="C4578" s="3" t="inlineStr">
        <is>
          <t>freq=quarterly; transform=yoy_pct; WATCHLIST</t>
        </is>
      </c>
    </row>
    <row r="4579">
      <c r="A4579" s="9" t="inlineStr">
        <is>
          <t>date</t>
        </is>
      </c>
      <c r="B4579" s="9" t="inlineStr">
        <is>
          <t>value</t>
        </is>
      </c>
    </row>
    <row r="4682">
      <c r="A4682" s="2" t="inlineStr">
        <is>
          <t>PASTHPI</t>
        </is>
      </c>
      <c r="B4682" t="inlineStr">
        <is>
          <t>FHFA All-Transactions HPI -- Pennsylvania</t>
        </is>
      </c>
      <c r="C4682" s="3" t="inlineStr">
        <is>
          <t>freq=quarterly; transform=yoy_pct; WATCHLIST</t>
        </is>
      </c>
    </row>
    <row r="4683">
      <c r="A4683" s="9" t="inlineStr">
        <is>
          <t>date</t>
        </is>
      </c>
      <c r="B4683" s="9" t="inlineStr">
        <is>
          <t>value</t>
        </is>
      </c>
    </row>
    <row r="4786">
      <c r="A4786" s="2" t="inlineStr">
        <is>
          <t>RISTHPI</t>
        </is>
      </c>
      <c r="B4786" t="inlineStr">
        <is>
          <t>FHFA All-Transactions HPI -- Rhode Island</t>
        </is>
      </c>
      <c r="C4786" s="3" t="inlineStr">
        <is>
          <t>freq=quarterly; transform=yoy_pct; WATCHLIST</t>
        </is>
      </c>
    </row>
    <row r="4787">
      <c r="A4787" s="9" t="inlineStr">
        <is>
          <t>date</t>
        </is>
      </c>
      <c r="B4787" s="9" t="inlineStr">
        <is>
          <t>value</t>
        </is>
      </c>
    </row>
    <row r="4890">
      <c r="A4890" s="2" t="inlineStr">
        <is>
          <t>SCSTHPI</t>
        </is>
      </c>
      <c r="B4890" t="inlineStr">
        <is>
          <t>FHFA All-Transactions HPI -- South Carolina</t>
        </is>
      </c>
      <c r="C4890" s="3" t="inlineStr">
        <is>
          <t>freq=quarterly; transform=yoy_pct; WATCHLIST</t>
        </is>
      </c>
    </row>
    <row r="4891">
      <c r="A4891" s="9" t="inlineStr">
        <is>
          <t>date</t>
        </is>
      </c>
      <c r="B4891" s="9" t="inlineStr">
        <is>
          <t>value</t>
        </is>
      </c>
    </row>
    <row r="4994">
      <c r="A4994" s="2" t="inlineStr">
        <is>
          <t>SDSTHPI</t>
        </is>
      </c>
      <c r="B4994" t="inlineStr">
        <is>
          <t>FHFA All-Transactions HPI -- South Dakota</t>
        </is>
      </c>
      <c r="C4994" s="3" t="inlineStr">
        <is>
          <t>freq=quarterly; transform=yoy_pct; WATCHLIST</t>
        </is>
      </c>
    </row>
    <row r="4995">
      <c r="A4995" s="9" t="inlineStr">
        <is>
          <t>date</t>
        </is>
      </c>
      <c r="B4995" s="9" t="inlineStr">
        <is>
          <t>value</t>
        </is>
      </c>
    </row>
    <row r="5098">
      <c r="A5098" s="2" t="inlineStr">
        <is>
          <t>TNSTHPI</t>
        </is>
      </c>
      <c r="B5098" t="inlineStr">
        <is>
          <t>FHFA All-Transactions HPI -- Tennessee</t>
        </is>
      </c>
      <c r="C5098" s="3" t="inlineStr">
        <is>
          <t>freq=quarterly; transform=yoy_pct; WATCHLIST</t>
        </is>
      </c>
    </row>
    <row r="5099">
      <c r="A5099" s="9" t="inlineStr">
        <is>
          <t>date</t>
        </is>
      </c>
      <c r="B5099" s="9" t="inlineStr">
        <is>
          <t>value</t>
        </is>
      </c>
    </row>
    <row r="5202">
      <c r="A5202" s="2" t="inlineStr">
        <is>
          <t>TXSTHPI</t>
        </is>
      </c>
      <c r="B5202" t="inlineStr">
        <is>
          <t>FHFA All-Transactions HPI -- Texas</t>
        </is>
      </c>
      <c r="C5202" s="3" t="inlineStr">
        <is>
          <t>freq=quarterly; transform=yoy_pct; WATCHLIST</t>
        </is>
      </c>
    </row>
    <row r="5203">
      <c r="A5203" s="9" t="inlineStr">
        <is>
          <t>date</t>
        </is>
      </c>
      <c r="B5203" s="9" t="inlineStr">
        <is>
          <t>value</t>
        </is>
      </c>
    </row>
    <row r="5306">
      <c r="A5306" s="2" t="inlineStr">
        <is>
          <t>UTSTHPI</t>
        </is>
      </c>
      <c r="B5306" t="inlineStr">
        <is>
          <t>FHFA All-Transactions HPI -- Utah</t>
        </is>
      </c>
      <c r="C5306" s="3" t="inlineStr">
        <is>
          <t>freq=quarterly; transform=yoy_pct; WATCHLIST</t>
        </is>
      </c>
    </row>
    <row r="5307">
      <c r="A5307" s="9" t="inlineStr">
        <is>
          <t>date</t>
        </is>
      </c>
      <c r="B5307" s="9" t="inlineStr">
        <is>
          <t>value</t>
        </is>
      </c>
    </row>
    <row r="5410">
      <c r="A5410" s="2" t="inlineStr">
        <is>
          <t>VTSTHPI</t>
        </is>
      </c>
      <c r="B5410" t="inlineStr">
        <is>
          <t>FHFA All-Transactions HPI -- Vermont</t>
        </is>
      </c>
      <c r="C5410" s="3" t="inlineStr">
        <is>
          <t>freq=quarterly; transform=yoy_pct; WATCHLIST</t>
        </is>
      </c>
    </row>
    <row r="5411">
      <c r="A5411" s="9" t="inlineStr">
        <is>
          <t>date</t>
        </is>
      </c>
      <c r="B5411" s="9" t="inlineStr">
        <is>
          <t>value</t>
        </is>
      </c>
    </row>
    <row r="5514">
      <c r="A5514" s="2" t="inlineStr">
        <is>
          <t>VASTHPI</t>
        </is>
      </c>
      <c r="B5514" t="inlineStr">
        <is>
          <t>FHFA All-Transactions HPI -- Virginia</t>
        </is>
      </c>
      <c r="C5514" s="3" t="inlineStr">
        <is>
          <t>freq=quarterly; transform=yoy_pct; WATCHLIST</t>
        </is>
      </c>
    </row>
    <row r="5515">
      <c r="A5515" s="9" t="inlineStr">
        <is>
          <t>date</t>
        </is>
      </c>
      <c r="B5515" s="9" t="inlineStr">
        <is>
          <t>value</t>
        </is>
      </c>
    </row>
    <row r="5618">
      <c r="A5618" s="2" t="inlineStr">
        <is>
          <t>WASTHPI</t>
        </is>
      </c>
      <c r="B5618" t="inlineStr">
        <is>
          <t>FHFA All-Transactions HPI -- Washington</t>
        </is>
      </c>
      <c r="C5618" s="3" t="inlineStr">
        <is>
          <t>freq=quarterly; transform=yoy_pct; WATCHLIST</t>
        </is>
      </c>
    </row>
    <row r="5619">
      <c r="A5619" s="9" t="inlineStr">
        <is>
          <t>date</t>
        </is>
      </c>
      <c r="B5619" s="9" t="inlineStr">
        <is>
          <t>value</t>
        </is>
      </c>
    </row>
    <row r="5722">
      <c r="A5722" s="2" t="inlineStr">
        <is>
          <t>WVSTHPI</t>
        </is>
      </c>
      <c r="B5722" t="inlineStr">
        <is>
          <t>FHFA All-Transactions HPI -- West Virginia</t>
        </is>
      </c>
      <c r="C5722" s="3" t="inlineStr">
        <is>
          <t>freq=quarterly; transform=yoy_pct; WATCHLIST</t>
        </is>
      </c>
    </row>
    <row r="5723">
      <c r="A5723" s="9" t="inlineStr">
        <is>
          <t>date</t>
        </is>
      </c>
      <c r="B5723" s="9" t="inlineStr">
        <is>
          <t>value</t>
        </is>
      </c>
    </row>
    <row r="5826">
      <c r="A5826" s="2" t="inlineStr">
        <is>
          <t>WISTHPI</t>
        </is>
      </c>
      <c r="B5826" t="inlineStr">
        <is>
          <t>FHFA All-Transactions HPI -- Wisconsin</t>
        </is>
      </c>
      <c r="C5826" s="3" t="inlineStr">
        <is>
          <t>freq=quarterly; transform=yoy_pct; WATCHLIST</t>
        </is>
      </c>
    </row>
    <row r="5827">
      <c r="A5827" s="9" t="inlineStr">
        <is>
          <t>date</t>
        </is>
      </c>
      <c r="B5827" s="9" t="inlineStr">
        <is>
          <t>value</t>
        </is>
      </c>
    </row>
    <row r="5930">
      <c r="A5930" s="2" t="inlineStr">
        <is>
          <t>WYSTHPI</t>
        </is>
      </c>
      <c r="B5930" t="inlineStr">
        <is>
          <t>FHFA All-Transactions HPI -- Wyoming</t>
        </is>
      </c>
      <c r="C5930" s="3" t="inlineStr">
        <is>
          <t>freq=quarterly; transform=yoy_pct; WATCHLIST</t>
        </is>
      </c>
    </row>
    <row r="5931">
      <c r="A5931" s="9" t="inlineStr">
        <is>
          <t>date</t>
        </is>
      </c>
      <c r="B5931" s="9" t="inlineStr">
        <is>
          <t>value</t>
        </is>
      </c>
    </row>
    <row r="6034">
      <c r="A6034" s="2" t="inlineStr">
        <is>
          <t>ATNHPIUS35620Q</t>
        </is>
      </c>
      <c r="B6034" t="inlineStr">
        <is>
          <t>FHFA HPI -- New York-Newark-Jersey City, NY-NJ-PA</t>
        </is>
      </c>
      <c r="C6034" s="3" t="inlineStr">
        <is>
          <t>freq=quarterly; transform=yoy_pct; WATCHLIST</t>
        </is>
      </c>
    </row>
    <row r="6035">
      <c r="A6035" s="9" t="inlineStr">
        <is>
          <t>date</t>
        </is>
      </c>
      <c r="B6035" s="9" t="inlineStr">
        <is>
          <t>value</t>
        </is>
      </c>
    </row>
    <row r="6138">
      <c r="A6138" s="2" t="inlineStr">
        <is>
          <t>ATNHPIUS31080Q</t>
        </is>
      </c>
      <c r="B6138" t="inlineStr">
        <is>
          <t>FHFA HPI -- Los Angeles-Long Beach-Anaheim, CA</t>
        </is>
      </c>
      <c r="C6138" s="3" t="inlineStr">
        <is>
          <t>freq=quarterly; transform=yoy_pct; WATCHLIST</t>
        </is>
      </c>
    </row>
    <row r="6139">
      <c r="A6139" s="9" t="inlineStr">
        <is>
          <t>date</t>
        </is>
      </c>
      <c r="B6139" s="9" t="inlineStr">
        <is>
          <t>value</t>
        </is>
      </c>
    </row>
    <row r="6242">
      <c r="A6242" s="2" t="inlineStr">
        <is>
          <t>ATNHPIUS16980Q</t>
        </is>
      </c>
      <c r="B6242" t="inlineStr">
        <is>
          <t>FHFA HPI -- Chicago-Naperville-Elgin, IL-IN-WI</t>
        </is>
      </c>
      <c r="C6242" s="3" t="inlineStr">
        <is>
          <t>freq=quarterly; transform=yoy_pct; WATCHLIST</t>
        </is>
      </c>
    </row>
    <row r="6243">
      <c r="A6243" s="9" t="inlineStr">
        <is>
          <t>date</t>
        </is>
      </c>
      <c r="B6243" s="9" t="inlineStr">
        <is>
          <t>value</t>
        </is>
      </c>
    </row>
    <row r="6346">
      <c r="A6346" s="2" t="inlineStr">
        <is>
          <t>ATNHPIUS19100Q</t>
        </is>
      </c>
      <c r="B6346" t="inlineStr">
        <is>
          <t>FHFA HPI -- Dallas-Fort Worth-Arlington, TX</t>
        </is>
      </c>
      <c r="C6346" s="3" t="inlineStr">
        <is>
          <t>freq=quarterly; transform=yoy_pct; WATCHLIST</t>
        </is>
      </c>
    </row>
    <row r="6347">
      <c r="A6347" s="9" t="inlineStr">
        <is>
          <t>date</t>
        </is>
      </c>
      <c r="B6347" s="9" t="inlineStr">
        <is>
          <t>value</t>
        </is>
      </c>
    </row>
    <row r="6450">
      <c r="A6450" s="2" t="inlineStr">
        <is>
          <t>ATNHPIUS26420Q</t>
        </is>
      </c>
      <c r="B6450" t="inlineStr">
        <is>
          <t>FHFA HPI -- Houston-The Woodlands-Sugar Land, TX</t>
        </is>
      </c>
      <c r="C6450" s="3" t="inlineStr">
        <is>
          <t>freq=quarterly; transform=yoy_pct; WATCHLIST</t>
        </is>
      </c>
    </row>
    <row r="6451">
      <c r="A6451" s="9" t="inlineStr">
        <is>
          <t>date</t>
        </is>
      </c>
      <c r="B6451" s="9" t="inlineStr">
        <is>
          <t>value</t>
        </is>
      </c>
    </row>
    <row r="6554">
      <c r="A6554" s="2" t="inlineStr">
        <is>
          <t>ATNHPIUS47900Q</t>
        </is>
      </c>
      <c r="B6554" t="inlineStr">
        <is>
          <t>FHFA HPI -- Washington-Arlington-Alexandria, DC-VA-MD-WV</t>
        </is>
      </c>
      <c r="C6554" s="3" t="inlineStr">
        <is>
          <t>freq=quarterly; transform=yoy_pct; WATCHLIST</t>
        </is>
      </c>
    </row>
    <row r="6555">
      <c r="A6555" s="9" t="inlineStr">
        <is>
          <t>date</t>
        </is>
      </c>
      <c r="B6555" s="9" t="inlineStr">
        <is>
          <t>value</t>
        </is>
      </c>
    </row>
    <row r="6658">
      <c r="A6658" s="2" t="inlineStr">
        <is>
          <t>ATNHPIUS33100Q</t>
        </is>
      </c>
      <c r="B6658" t="inlineStr">
        <is>
          <t>FHFA HPI -- Miami-Fort Lauderdale-Pompano Beach, FL</t>
        </is>
      </c>
      <c r="C6658" s="3" t="inlineStr">
        <is>
          <t>freq=quarterly; transform=yoy_pct; WATCHLIST</t>
        </is>
      </c>
    </row>
    <row r="6659">
      <c r="A6659" s="9" t="inlineStr">
        <is>
          <t>date</t>
        </is>
      </c>
      <c r="B6659" s="9" t="inlineStr">
        <is>
          <t>value</t>
        </is>
      </c>
    </row>
    <row r="6762">
      <c r="A6762" s="2" t="inlineStr">
        <is>
          <t>ATNHPIUS37980Q</t>
        </is>
      </c>
      <c r="B6762" t="inlineStr">
        <is>
          <t>FHFA HPI -- Philadelphia-Camden-Wilmington, PA-NJ-DE-MD</t>
        </is>
      </c>
      <c r="C6762" s="3" t="inlineStr">
        <is>
          <t>freq=quarterly; transform=yoy_pct; WATCHLIST</t>
        </is>
      </c>
    </row>
    <row r="6763">
      <c r="A6763" s="9" t="inlineStr">
        <is>
          <t>date</t>
        </is>
      </c>
      <c r="B6763" s="9" t="inlineStr">
        <is>
          <t>value</t>
        </is>
      </c>
    </row>
    <row r="6866">
      <c r="A6866" s="2" t="inlineStr">
        <is>
          <t>ATNHPIUS12060Q</t>
        </is>
      </c>
      <c r="B6866" t="inlineStr">
        <is>
          <t>FHFA HPI -- Atlanta-Sandy Springs-Alpharetta, GA</t>
        </is>
      </c>
      <c r="C6866" s="3" t="inlineStr">
        <is>
          <t>freq=quarterly; transform=yoy_pct; WATCHLIST</t>
        </is>
      </c>
    </row>
    <row r="6867">
      <c r="A6867" s="9" t="inlineStr">
        <is>
          <t>date</t>
        </is>
      </c>
      <c r="B6867" s="9" t="inlineStr">
        <is>
          <t>value</t>
        </is>
      </c>
    </row>
    <row r="6970">
      <c r="A6970" s="2" t="inlineStr">
        <is>
          <t>ATNHPIUS38060Q</t>
        </is>
      </c>
      <c r="B6970" t="inlineStr">
        <is>
          <t>FHFA HPI -- Phoenix-Mesa-Chandler, AZ</t>
        </is>
      </c>
      <c r="C6970" s="3" t="inlineStr">
        <is>
          <t>freq=quarterly; transform=yoy_pct; WATCHLIST</t>
        </is>
      </c>
    </row>
    <row r="6971">
      <c r="A6971" s="9" t="inlineStr">
        <is>
          <t>date</t>
        </is>
      </c>
      <c r="B6971" s="9" t="inlineStr">
        <is>
          <t>value</t>
        </is>
      </c>
    </row>
    <row r="7074">
      <c r="A7074" s="2" t="inlineStr">
        <is>
          <t>ATNHPIUS14460Q</t>
        </is>
      </c>
      <c r="B7074" t="inlineStr">
        <is>
          <t>FHFA HPI -- Boston-Cambridge-Newton, MA-NH</t>
        </is>
      </c>
      <c r="C7074" s="3" t="inlineStr">
        <is>
          <t>freq=quarterly; transform=yoy_pct; WATCHLIST</t>
        </is>
      </c>
    </row>
    <row r="7075">
      <c r="A7075" s="9" t="inlineStr">
        <is>
          <t>date</t>
        </is>
      </c>
      <c r="B7075" s="9" t="inlineStr">
        <is>
          <t>value</t>
        </is>
      </c>
    </row>
    <row r="7178">
      <c r="A7178" s="2" t="inlineStr">
        <is>
          <t>ATNHPIUS41860Q</t>
        </is>
      </c>
      <c r="B7178" t="inlineStr">
        <is>
          <t>FHFA HPI -- San Francisco-Oakland-Berkeley, CA</t>
        </is>
      </c>
      <c r="C7178" s="3" t="inlineStr">
        <is>
          <t>freq=quarterly; transform=yoy_pct; WATCHLIST</t>
        </is>
      </c>
    </row>
    <row r="7179">
      <c r="A7179" s="9" t="inlineStr">
        <is>
          <t>date</t>
        </is>
      </c>
      <c r="B7179" s="9" t="inlineStr">
        <is>
          <t>value</t>
        </is>
      </c>
    </row>
    <row r="7282">
      <c r="A7282" s="2" t="inlineStr">
        <is>
          <t>ATNHPIUS42660Q</t>
        </is>
      </c>
      <c r="B7282" t="inlineStr">
        <is>
          <t>FHFA HPI -- Seattle-Tacoma-Bellevue, WA</t>
        </is>
      </c>
      <c r="C7282" s="3" t="inlineStr">
        <is>
          <t>freq=quarterly; transform=yoy_pct; WATCHLIST</t>
        </is>
      </c>
    </row>
    <row r="7283">
      <c r="A7283" s="9" t="inlineStr">
        <is>
          <t>date</t>
        </is>
      </c>
      <c r="B7283" s="9" t="inlineStr">
        <is>
          <t>value</t>
        </is>
      </c>
    </row>
    <row r="7386">
      <c r="A7386" s="2" t="inlineStr">
        <is>
          <t>ATNHPIUS33460Q</t>
        </is>
      </c>
      <c r="B7386" t="inlineStr">
        <is>
          <t>FHFA HPI -- Minneapolis-St. Paul-Bloomington, MN-WI</t>
        </is>
      </c>
      <c r="C7386" s="3" t="inlineStr">
        <is>
          <t>freq=quarterly; transform=yoy_pct; WATCHLIST</t>
        </is>
      </c>
    </row>
    <row r="7387">
      <c r="A7387" s="9" t="inlineStr">
        <is>
          <t>date</t>
        </is>
      </c>
      <c r="B7387" s="9" t="inlineStr">
        <is>
          <t>value</t>
        </is>
      </c>
    </row>
    <row r="7490">
      <c r="A7490" s="2" t="inlineStr">
        <is>
          <t>ATNHPIUS19820Q</t>
        </is>
      </c>
      <c r="B7490" t="inlineStr">
        <is>
          <t>FHFA HPI -- Detroit-Warren-Dearborn, MI</t>
        </is>
      </c>
      <c r="C7490" s="3" t="inlineStr">
        <is>
          <t>freq=quarterly; transform=yoy_pct; WATCHLIST</t>
        </is>
      </c>
    </row>
    <row r="7491">
      <c r="A7491" s="9" t="inlineStr">
        <is>
          <t>date</t>
        </is>
      </c>
      <c r="B7491" s="9" t="inlineStr">
        <is>
          <t>value</t>
        </is>
      </c>
    </row>
    <row r="7594">
      <c r="A7594" s="2" t="inlineStr">
        <is>
          <t>ATNHPIUS12420Q</t>
        </is>
      </c>
      <c r="B7594" t="inlineStr">
        <is>
          <t>FHFA HPI -- Austin-Round Rock-Georgetown, TX</t>
        </is>
      </c>
      <c r="C7594" s="3" t="inlineStr">
        <is>
          <t>freq=quarterly; transform=yoy_pct; WATCHLIST</t>
        </is>
      </c>
    </row>
    <row r="7595">
      <c r="A7595" s="9" t="inlineStr">
        <is>
          <t>date</t>
        </is>
      </c>
      <c r="B7595" s="9" t="inlineStr">
        <is>
          <t>value</t>
        </is>
      </c>
    </row>
    <row r="7698">
      <c r="A7698" s="2" t="inlineStr">
        <is>
          <t>ATNHPIUS40140Q</t>
        </is>
      </c>
      <c r="B7698" t="inlineStr">
        <is>
          <t>FHFA HPI -- Riverside-San Bernardino-Ontario, CA</t>
        </is>
      </c>
      <c r="C7698" s="3" t="inlineStr">
        <is>
          <t>freq=quarterly; transform=yoy_pct; WATCHLIST</t>
        </is>
      </c>
    </row>
    <row r="7699">
      <c r="A7699" s="9" t="inlineStr">
        <is>
          <t>date</t>
        </is>
      </c>
      <c r="B7699" s="9" t="inlineStr">
        <is>
          <t>value</t>
        </is>
      </c>
    </row>
    <row r="7802">
      <c r="A7802" s="2" t="inlineStr">
        <is>
          <t>ATNHPIUS45300Q</t>
        </is>
      </c>
      <c r="B7802" t="inlineStr">
        <is>
          <t>FHFA HPI -- Tampa-St. Petersburg-Clearwater, FL</t>
        </is>
      </c>
      <c r="C7802" s="3" t="inlineStr">
        <is>
          <t>freq=quarterly; transform=yoy_pct; WATCHLIST</t>
        </is>
      </c>
    </row>
    <row r="7803">
      <c r="A7803" s="9" t="inlineStr">
        <is>
          <t>date</t>
        </is>
      </c>
      <c r="B7803" s="9" t="inlineStr">
        <is>
          <t>value</t>
        </is>
      </c>
    </row>
    <row r="7906">
      <c r="A7906" s="2" t="inlineStr">
        <is>
          <t>ATXRSA</t>
        </is>
      </c>
      <c r="B7906" t="inlineStr">
        <is>
          <t>Case-Shiller HPI -- Atlanta, GA</t>
        </is>
      </c>
      <c r="C7906" s="3" t="inlineStr">
        <is>
          <t>freq=monthly; transform=yoy_pct; WATCHLIST</t>
        </is>
      </c>
    </row>
    <row r="7907">
      <c r="A7907" s="9" t="inlineStr">
        <is>
          <t>date</t>
        </is>
      </c>
      <c r="B7907" s="9" t="inlineStr">
        <is>
          <t>value</t>
        </is>
      </c>
    </row>
    <row r="8010">
      <c r="A8010" s="2" t="inlineStr">
        <is>
          <t>BOXRSA</t>
        </is>
      </c>
      <c r="B8010" t="inlineStr">
        <is>
          <t>Case-Shiller HPI -- Boston, MA</t>
        </is>
      </c>
      <c r="C8010" s="3" t="inlineStr">
        <is>
          <t>freq=monthly; transform=yoy_pct; WATCHLIST</t>
        </is>
      </c>
    </row>
    <row r="8011">
      <c r="A8011" s="9" t="inlineStr">
        <is>
          <t>date</t>
        </is>
      </c>
      <c r="B8011" s="9" t="inlineStr">
        <is>
          <t>value</t>
        </is>
      </c>
    </row>
    <row r="8114">
      <c r="A8114" s="2" t="inlineStr">
        <is>
          <t>CRXRSA</t>
        </is>
      </c>
      <c r="B8114" t="inlineStr">
        <is>
          <t>Case-Shiller HPI -- Charlotte, NC</t>
        </is>
      </c>
      <c r="C8114" s="3" t="inlineStr">
        <is>
          <t>freq=monthly; transform=yoy_pct; WATCHLIST</t>
        </is>
      </c>
    </row>
    <row r="8115">
      <c r="A8115" s="9" t="inlineStr">
        <is>
          <t>date</t>
        </is>
      </c>
      <c r="B8115" s="9" t="inlineStr">
        <is>
          <t>value</t>
        </is>
      </c>
    </row>
    <row r="8218">
      <c r="A8218" s="2" t="inlineStr">
        <is>
          <t>CHXRSA</t>
        </is>
      </c>
      <c r="B8218" t="inlineStr">
        <is>
          <t>Case-Shiller HPI -- Chicago, IL</t>
        </is>
      </c>
      <c r="C8218" s="3" t="inlineStr">
        <is>
          <t>freq=monthly; transform=yoy_pct; WATCHLIST</t>
        </is>
      </c>
    </row>
    <row r="8219">
      <c r="A8219" s="9" t="inlineStr">
        <is>
          <t>date</t>
        </is>
      </c>
      <c r="B8219" s="9" t="inlineStr">
        <is>
          <t>value</t>
        </is>
      </c>
    </row>
    <row r="8322">
      <c r="A8322" s="2" t="inlineStr">
        <is>
          <t>CEXRSA</t>
        </is>
      </c>
      <c r="B8322" t="inlineStr">
        <is>
          <t>Case-Shiller HPI -- Cleveland, OH</t>
        </is>
      </c>
      <c r="C8322" s="3" t="inlineStr">
        <is>
          <t>freq=monthly; transform=yoy_pct; WATCHLIST</t>
        </is>
      </c>
    </row>
    <row r="8323">
      <c r="A8323" s="9" t="inlineStr">
        <is>
          <t>date</t>
        </is>
      </c>
      <c r="B8323" s="9" t="inlineStr">
        <is>
          <t>value</t>
        </is>
      </c>
    </row>
    <row r="8426">
      <c r="A8426" s="2" t="inlineStr">
        <is>
          <t>DAXRSA</t>
        </is>
      </c>
      <c r="B8426" t="inlineStr">
        <is>
          <t>Case-Shiller HPI -- Dallas, TX</t>
        </is>
      </c>
      <c r="C8426" s="3" t="inlineStr">
        <is>
          <t>freq=monthly; transform=yoy_pct; WATCHLIST</t>
        </is>
      </c>
    </row>
    <row r="8427">
      <c r="A8427" s="9" t="inlineStr">
        <is>
          <t>date</t>
        </is>
      </c>
      <c r="B8427" s="9" t="inlineStr">
        <is>
          <t>value</t>
        </is>
      </c>
    </row>
    <row r="8530">
      <c r="A8530" s="2" t="inlineStr">
        <is>
          <t>DNXRSA</t>
        </is>
      </c>
      <c r="B8530" t="inlineStr">
        <is>
          <t>Case-Shiller HPI -- Denver, CO</t>
        </is>
      </c>
      <c r="C8530" s="3" t="inlineStr">
        <is>
          <t>freq=monthly; transform=yoy_pct; WATCHLIST</t>
        </is>
      </c>
    </row>
    <row r="8531">
      <c r="A8531" s="9" t="inlineStr">
        <is>
          <t>date</t>
        </is>
      </c>
      <c r="B8531" s="9" t="inlineStr">
        <is>
          <t>value</t>
        </is>
      </c>
    </row>
    <row r="8634">
      <c r="A8634" s="2" t="inlineStr">
        <is>
          <t>DEXRSA</t>
        </is>
      </c>
      <c r="B8634" t="inlineStr">
        <is>
          <t>Case-Shiller HPI -- Detroit, MI</t>
        </is>
      </c>
      <c r="C8634" s="3" t="inlineStr">
        <is>
          <t>freq=monthly; transform=yoy_pct; WATCHLIST</t>
        </is>
      </c>
    </row>
    <row r="8635">
      <c r="A8635" s="9" t="inlineStr">
        <is>
          <t>date</t>
        </is>
      </c>
      <c r="B8635" s="9" t="inlineStr">
        <is>
          <t>value</t>
        </is>
      </c>
    </row>
    <row r="8738">
      <c r="A8738" s="2" t="inlineStr">
        <is>
          <t>LVXRSA</t>
        </is>
      </c>
      <c r="B8738" t="inlineStr">
        <is>
          <t>Case-Shiller HPI -- Las Vegas, NV</t>
        </is>
      </c>
      <c r="C8738" s="3" t="inlineStr">
        <is>
          <t>freq=monthly; transform=yoy_pct; WATCHLIST</t>
        </is>
      </c>
    </row>
    <row r="8739">
      <c r="A8739" s="9" t="inlineStr">
        <is>
          <t>date</t>
        </is>
      </c>
      <c r="B8739" s="9" t="inlineStr">
        <is>
          <t>value</t>
        </is>
      </c>
    </row>
    <row r="8842">
      <c r="A8842" s="2" t="inlineStr">
        <is>
          <t>LXXRSA</t>
        </is>
      </c>
      <c r="B8842" t="inlineStr">
        <is>
          <t>Case-Shiller HPI -- Los Angeles, CA</t>
        </is>
      </c>
      <c r="C8842" s="3" t="inlineStr">
        <is>
          <t>freq=monthly; transform=yoy_pct; WATCHLIST</t>
        </is>
      </c>
    </row>
    <row r="8843">
      <c r="A8843" s="9" t="inlineStr">
        <is>
          <t>date</t>
        </is>
      </c>
      <c r="B8843" s="9" t="inlineStr">
        <is>
          <t>value</t>
        </is>
      </c>
    </row>
    <row r="8946">
      <c r="A8946" s="2" t="inlineStr">
        <is>
          <t>MIXRSA</t>
        </is>
      </c>
      <c r="B8946" t="inlineStr">
        <is>
          <t>Case-Shiller HPI -- Miami, FL</t>
        </is>
      </c>
      <c r="C8946" s="3" t="inlineStr">
        <is>
          <t>freq=monthly; transform=yoy_pct; WATCHLIST</t>
        </is>
      </c>
    </row>
    <row r="8947">
      <c r="A8947" s="9" t="inlineStr">
        <is>
          <t>date</t>
        </is>
      </c>
      <c r="B8947" s="9" t="inlineStr">
        <is>
          <t>value</t>
        </is>
      </c>
    </row>
    <row r="9050">
      <c r="A9050" s="2" t="inlineStr">
        <is>
          <t>MNXRSA</t>
        </is>
      </c>
      <c r="B9050" t="inlineStr">
        <is>
          <t>Case-Shiller HPI -- Minneapolis, MN</t>
        </is>
      </c>
      <c r="C9050" s="3" t="inlineStr">
        <is>
          <t>freq=monthly; transform=yoy_pct; WATCHLIST</t>
        </is>
      </c>
    </row>
    <row r="9051">
      <c r="A9051" s="9" t="inlineStr">
        <is>
          <t>date</t>
        </is>
      </c>
      <c r="B9051" s="9" t="inlineStr">
        <is>
          <t>value</t>
        </is>
      </c>
    </row>
    <row r="9154">
      <c r="A9154" s="2" t="inlineStr">
        <is>
          <t>NYXRSA</t>
        </is>
      </c>
      <c r="B9154" t="inlineStr">
        <is>
          <t>Case-Shiller HPI -- New York, NY</t>
        </is>
      </c>
      <c r="C9154" s="3" t="inlineStr">
        <is>
          <t>freq=monthly; transform=yoy_pct; WATCHLIST</t>
        </is>
      </c>
    </row>
    <row r="9155">
      <c r="A9155" s="9" t="inlineStr">
        <is>
          <t>date</t>
        </is>
      </c>
      <c r="B9155" s="9" t="inlineStr">
        <is>
          <t>value</t>
        </is>
      </c>
    </row>
    <row r="9258">
      <c r="A9258" s="2" t="inlineStr">
        <is>
          <t>PHXRSA</t>
        </is>
      </c>
      <c r="B9258" t="inlineStr">
        <is>
          <t>Case-Shiller HPI -- Phoenix, AZ</t>
        </is>
      </c>
      <c r="C9258" s="3" t="inlineStr">
        <is>
          <t>freq=monthly; transform=yoy_pct; WATCHLIST</t>
        </is>
      </c>
    </row>
    <row r="9259">
      <c r="A9259" s="9" t="inlineStr">
        <is>
          <t>date</t>
        </is>
      </c>
      <c r="B9259" s="9" t="inlineStr">
        <is>
          <t>value</t>
        </is>
      </c>
    </row>
    <row r="9362">
      <c r="A9362" s="2" t="inlineStr">
        <is>
          <t>POXRSA</t>
        </is>
      </c>
      <c r="B9362" t="inlineStr">
        <is>
          <t>Case-Shiller HPI -- Portland, OR</t>
        </is>
      </c>
      <c r="C9362" s="3" t="inlineStr">
        <is>
          <t>freq=monthly; transform=yoy_pct; WATCHLIST</t>
        </is>
      </c>
    </row>
    <row r="9363">
      <c r="A9363" s="9" t="inlineStr">
        <is>
          <t>date</t>
        </is>
      </c>
      <c r="B9363" s="9" t="inlineStr">
        <is>
          <t>value</t>
        </is>
      </c>
    </row>
    <row r="9466">
      <c r="A9466" s="2" t="inlineStr">
        <is>
          <t>SDXRSA</t>
        </is>
      </c>
      <c r="B9466" t="inlineStr">
        <is>
          <t>Case-Shiller HPI -- San Diego, CA</t>
        </is>
      </c>
      <c r="C9466" s="3" t="inlineStr">
        <is>
          <t>freq=monthly; transform=yoy_pct; WATCHLIST</t>
        </is>
      </c>
    </row>
    <row r="9467">
      <c r="A9467" s="9" t="inlineStr">
        <is>
          <t>date</t>
        </is>
      </c>
      <c r="B9467" s="9" t="inlineStr">
        <is>
          <t>value</t>
        </is>
      </c>
    </row>
    <row r="9570">
      <c r="A9570" s="2" t="inlineStr">
        <is>
          <t>SFXRSA</t>
        </is>
      </c>
      <c r="B9570" t="inlineStr">
        <is>
          <t>Case-Shiller HPI -- San Francisco, CA</t>
        </is>
      </c>
      <c r="C9570" s="3" t="inlineStr">
        <is>
          <t>freq=monthly; transform=yoy_pct; WATCHLIST</t>
        </is>
      </c>
    </row>
    <row r="9571">
      <c r="A9571" s="9" t="inlineStr">
        <is>
          <t>date</t>
        </is>
      </c>
      <c r="B9571" s="9" t="inlineStr">
        <is>
          <t>value</t>
        </is>
      </c>
    </row>
    <row r="9674">
      <c r="A9674" s="2" t="inlineStr">
        <is>
          <t>SEXRSA</t>
        </is>
      </c>
      <c r="B9674" t="inlineStr">
        <is>
          <t>Case-Shiller HPI -- Seattle, WA</t>
        </is>
      </c>
      <c r="C9674" s="3" t="inlineStr">
        <is>
          <t>freq=monthly; transform=yoy_pct; WATCHLIST</t>
        </is>
      </c>
    </row>
    <row r="9675">
      <c r="A9675" s="9" t="inlineStr">
        <is>
          <t>date</t>
        </is>
      </c>
      <c r="B9675" s="9" t="inlineStr">
        <is>
          <t>value</t>
        </is>
      </c>
    </row>
    <row r="9778">
      <c r="A9778" s="2" t="inlineStr">
        <is>
          <t>TPXRSA</t>
        </is>
      </c>
      <c r="B9778" t="inlineStr">
        <is>
          <t>Case-Shiller HPI -- Tampa, FL</t>
        </is>
      </c>
      <c r="C9778" s="3" t="inlineStr">
        <is>
          <t>freq=monthly; transform=yoy_pct; WATCHLIST</t>
        </is>
      </c>
    </row>
    <row r="9779">
      <c r="A9779" s="9" t="inlineStr">
        <is>
          <t>date</t>
        </is>
      </c>
      <c r="B9779" s="9" t="inlineStr">
        <is>
          <t>value</t>
        </is>
      </c>
    </row>
    <row r="9882">
      <c r="A9882" s="2" t="inlineStr">
        <is>
          <t>WDXRSA</t>
        </is>
      </c>
      <c r="B9882" t="inlineStr">
        <is>
          <t>Case-Shiller HPI -- Washington, DC</t>
        </is>
      </c>
      <c r="C9882" s="3" t="inlineStr">
        <is>
          <t>freq=monthly; transform=yoy_pct; WATCHLIST</t>
        </is>
      </c>
    </row>
    <row r="9883">
      <c r="A9883" s="9" t="inlineStr">
        <is>
          <t>date</t>
        </is>
      </c>
      <c r="B9883" s="9" t="inlineStr">
        <is>
          <t>value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O187"/>
  <sheetViews>
    <sheetView workbookViewId="0">
      <selection activeCell="A1" sqref="A1"/>
    </sheetView>
  </sheetViews>
  <sheetFormatPr baseColWidth="8" defaultRowHeight="15"/>
  <cols>
    <col width="22" customWidth="1" min="1" max="1"/>
    <col width="60" customWidth="1" min="2" max="2"/>
    <col width="50" customWidth="1" min="15" max="15"/>
  </cols>
  <sheetData>
    <row r="1">
      <c r="A1" s="2" t="inlineStr">
        <is>
          <t>FRED Credit-Risk Dashboard -- CONFIG (the knob panel). Edit values here; no code change needed.</t>
        </is>
      </c>
    </row>
    <row r="3">
      <c r="A3" s="10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fred_api_key</t>
        </is>
      </c>
      <c r="B5" t="inlineStr"/>
      <c r="C5" t="inlineStr">
        <is>
          <t>Optional: paste your FRED key here if you don't set the FRED_API_KEY environment variable. Get one free at https://fredaccount.stlouisfed.org/apikeys</t>
        </is>
      </c>
    </row>
    <row r="6">
      <c r="A6" t="inlineStr">
        <is>
          <t>write_backend</t>
        </is>
      </c>
      <c r="B6" t="inlineStr">
        <is>
          <t>auto</t>
        </is>
      </c>
      <c r="C6" t="inlineStr">
        <is>
          <t>auto|xlwings|openpyxl. xlwings writes into the open book.</t>
        </is>
      </c>
    </row>
    <row r="7">
      <c r="A7" t="inlineStr">
        <is>
          <t>demo_mode</t>
        </is>
      </c>
      <c r="B7" t="inlineStr">
        <is>
          <t>FALSE</t>
        </is>
      </c>
      <c r="C7" t="inlineStr">
        <is>
          <t>TRUE = offline synthetic data (no key/network), for trying the button.</t>
        </is>
      </c>
    </row>
    <row r="8">
      <c r="A8" t="inlineStr">
        <is>
          <t>raw_slots</t>
        </is>
      </c>
      <c r="B8" t="inlineStr">
        <is>
          <t>100</t>
        </is>
      </c>
      <c r="C8" t="inlineStr">
        <is>
          <t>observations kept per series (newest-first).</t>
        </is>
      </c>
    </row>
    <row r="9">
      <c r="A9" t="inlineStr">
        <is>
          <t>stale_multiplier</t>
        </is>
      </c>
      <c r="B9" t="inlineStr">
        <is>
          <t>2.0</t>
        </is>
      </c>
      <c r="C9" t="inlineStr">
        <is>
          <t>flag a series stale if older than this x its cadence.</t>
        </is>
      </c>
    </row>
    <row r="11">
      <c r="A11" s="10" t="inlineStr">
        <is>
          <t>[THRESHOLDS]</t>
        </is>
      </c>
    </row>
    <row r="12">
      <c r="A12" t="inlineStr">
        <is>
          <t>key</t>
        </is>
      </c>
      <c r="B12" t="inlineStr">
        <is>
          <t>value</t>
        </is>
      </c>
      <c r="C12" t="inlineStr">
        <is>
          <t>help</t>
        </is>
      </c>
    </row>
    <row r="13">
      <c r="A13" t="inlineStr">
        <is>
          <t>zscore_band</t>
        </is>
      </c>
      <c r="B13" t="n">
        <v>1</v>
      </c>
      <c r="C13" t="inlineStr">
        <is>
          <t>flag a loss/delinquency series when its 8-period z-score &gt;= this.</t>
        </is>
      </c>
    </row>
    <row r="14">
      <c r="A14" t="inlineStr">
        <is>
          <t>sloos_band</t>
        </is>
      </c>
      <c r="B14" t="n">
        <v>20</v>
      </c>
      <c r="C14" t="inlineStr">
        <is>
          <t>flag a SLOOS series when net-tightening &gt;= this (percent).</t>
        </is>
      </c>
    </row>
    <row r="16">
      <c r="A16" s="10" t="inlineStr">
        <is>
          <t>[SERIES]</t>
        </is>
      </c>
    </row>
    <row r="17">
      <c r="A17" t="inlineStr">
        <is>
          <t>series_id</t>
        </is>
      </c>
      <c r="B17" t="inlineStr">
        <is>
          <t>title</t>
        </is>
      </c>
      <c r="C17" t="inlineStr">
        <is>
          <t>category</t>
        </is>
      </c>
      <c r="D17" t="inlineStr">
        <is>
          <t>lane</t>
        </is>
      </c>
      <c r="E17" t="inlineStr">
        <is>
          <t>metric_type</t>
        </is>
      </c>
      <c r="F17" t="inlineStr">
        <is>
          <t>frequency</t>
        </is>
      </c>
      <c r="G17" t="inlineStr">
        <is>
          <t>sa_nsa</t>
        </is>
      </c>
      <c r="H17" t="inlineStr">
        <is>
          <t>units</t>
        </is>
      </c>
      <c r="I17" t="inlineStr">
        <is>
          <t>level_rate_index</t>
        </is>
      </c>
      <c r="J17" t="inlineStr">
        <is>
          <t>geo_segment</t>
        </is>
      </c>
      <c r="K17" t="inlineStr">
        <is>
          <t>dashboard_capable</t>
        </is>
      </c>
      <c r="L17" t="inlineStr">
        <is>
          <t>watchlist_capable</t>
        </is>
      </c>
      <c r="M17" t="inlineStr">
        <is>
          <t>transform</t>
        </is>
      </c>
      <c r="N17" t="inlineStr">
        <is>
          <t>alert_rule</t>
        </is>
      </c>
      <c r="O17" t="inlineStr">
        <is>
          <t>notes</t>
        </is>
      </c>
    </row>
    <row r="18">
      <c r="A18" t="inlineStr">
        <is>
          <t>CORCCACBS</t>
        </is>
      </c>
      <c r="B18" t="inlineStr">
        <is>
          <t>Charge-Off Rate on Credit Card Loans, All Commercial Banks</t>
        </is>
      </c>
      <c r="C18" t="inlineStr">
        <is>
          <t>credit_card</t>
        </is>
      </c>
      <c r="D18" t="inlineStr">
        <is>
          <t>consumer</t>
        </is>
      </c>
      <c r="E18" t="inlineStr">
        <is>
          <t>charge_off</t>
        </is>
      </c>
      <c r="F18" t="inlineStr">
        <is>
          <t>quarterly</t>
        </is>
      </c>
      <c r="G18" t="inlineStr">
        <is>
          <t>SA</t>
        </is>
      </c>
      <c r="H18" t="inlineStr">
        <is>
          <t>percent</t>
        </is>
      </c>
      <c r="I18" t="inlineStr">
        <is>
          <t>rate</t>
        </is>
      </c>
      <c r="J18" t="inlineStr">
        <is>
          <t>national</t>
        </is>
      </c>
      <c r="K18" t="inlineStr">
        <is>
          <t>TRUE</t>
        </is>
      </c>
      <c r="L18" t="inlineStr">
        <is>
          <t>FALSE</t>
        </is>
      </c>
      <c r="M18" t="inlineStr">
        <is>
          <t>zscore_8q</t>
        </is>
      </c>
      <c r="N18" t="inlineStr">
        <is>
          <t>zscore</t>
        </is>
      </c>
      <c r="O18" t="inlineStr">
        <is>
          <t>Bank-tier delinquency/charge-off can lag a quarter; stale-check flags it.</t>
        </is>
      </c>
    </row>
    <row r="19">
      <c r="A19" t="inlineStr">
        <is>
          <t>DRCCLACBS</t>
        </is>
      </c>
      <c r="B19" t="inlineStr">
        <is>
          <t>Delinquency Rate on Credit Card Loans, All Commercial Banks</t>
        </is>
      </c>
      <c r="C19" t="inlineStr">
        <is>
          <t>credit_card</t>
        </is>
      </c>
      <c r="D19" t="inlineStr">
        <is>
          <t>consumer</t>
        </is>
      </c>
      <c r="E19" t="inlineStr">
        <is>
          <t>delinquency</t>
        </is>
      </c>
      <c r="F19" t="inlineStr">
        <is>
          <t>quarterly</t>
        </is>
      </c>
      <c r="G19" t="inlineStr">
        <is>
          <t>SA</t>
        </is>
      </c>
      <c r="H19" t="inlineStr">
        <is>
          <t>percent</t>
        </is>
      </c>
      <c r="I19" t="inlineStr">
        <is>
          <t>rate</t>
        </is>
      </c>
      <c r="J19" t="inlineStr">
        <is>
          <t>national</t>
        </is>
      </c>
      <c r="K19" t="inlineStr">
        <is>
          <t>TRUE</t>
        </is>
      </c>
      <c r="L19" t="inlineStr">
        <is>
          <t>FALSE</t>
        </is>
      </c>
      <c r="M19" t="inlineStr">
        <is>
          <t>zscore_8q</t>
        </is>
      </c>
      <c r="N19" t="inlineStr">
        <is>
          <t>zscore</t>
        </is>
      </c>
      <c r="O19" t="inlineStr">
        <is>
          <t>Bank-tier delinquency/charge-off can lag a quarter; stale-check flags it.</t>
        </is>
      </c>
    </row>
    <row r="20">
      <c r="A20" t="inlineStr">
        <is>
          <t>CORCCT100S</t>
        </is>
      </c>
      <c r="B20" t="inlineStr">
        <is>
          <t>Charge-Off Rate on Credit Card Loans, Top 100 Banks</t>
        </is>
      </c>
      <c r="C20" t="inlineStr">
        <is>
          <t>credit_card</t>
        </is>
      </c>
      <c r="D20" t="inlineStr">
        <is>
          <t>consumer</t>
        </is>
      </c>
      <c r="E20" t="inlineStr">
        <is>
          <t>charge_off</t>
        </is>
      </c>
      <c r="F20" t="inlineStr">
        <is>
          <t>quarterly</t>
        </is>
      </c>
      <c r="G20" t="inlineStr">
        <is>
          <t>SA</t>
        </is>
      </c>
      <c r="H20" t="inlineStr">
        <is>
          <t>percent</t>
        </is>
      </c>
      <c r="I20" t="inlineStr">
        <is>
          <t>rate</t>
        </is>
      </c>
      <c r="J20" t="inlineStr">
        <is>
          <t>national</t>
        </is>
      </c>
      <c r="K20" t="inlineStr">
        <is>
          <t>TRUE</t>
        </is>
      </c>
      <c r="L20" t="inlineStr">
        <is>
          <t>FALSE</t>
        </is>
      </c>
      <c r="M20" t="inlineStr">
        <is>
          <t>zscore_8q</t>
        </is>
      </c>
      <c r="N20" t="inlineStr">
        <is>
          <t>zscore</t>
        </is>
      </c>
      <c r="O20" t="inlineStr">
        <is>
          <t>Bank-tier delinquency/charge-off can lag a quarter; stale-check flags it.</t>
        </is>
      </c>
    </row>
    <row r="21">
      <c r="A21" t="inlineStr">
        <is>
          <t>CORCCOBS</t>
        </is>
      </c>
      <c r="B21" t="inlineStr">
        <is>
          <t>Charge-Off Rate on Credit Card Loans, Banks Not Among 100 Largest</t>
        </is>
      </c>
      <c r="C21" t="inlineStr">
        <is>
          <t>credit_card</t>
        </is>
      </c>
      <c r="D21" t="inlineStr">
        <is>
          <t>consumer</t>
        </is>
      </c>
      <c r="E21" t="inlineStr">
        <is>
          <t>charge_off</t>
        </is>
      </c>
      <c r="F21" t="inlineStr">
        <is>
          <t>quarterly</t>
        </is>
      </c>
      <c r="G21" t="inlineStr">
        <is>
          <t>SA</t>
        </is>
      </c>
      <c r="H21" t="inlineStr">
        <is>
          <t>percent</t>
        </is>
      </c>
      <c r="I21" t="inlineStr">
        <is>
          <t>rate</t>
        </is>
      </c>
      <c r="J21" t="inlineStr">
        <is>
          <t>national</t>
        </is>
      </c>
      <c r="K21" t="inlineStr">
        <is>
          <t>TRUE</t>
        </is>
      </c>
      <c r="L21" t="inlineStr">
        <is>
          <t>FALSE</t>
        </is>
      </c>
      <c r="M21" t="inlineStr">
        <is>
          <t>zscore_8q</t>
        </is>
      </c>
      <c r="N21" t="inlineStr">
        <is>
          <t>zscore</t>
        </is>
      </c>
      <c r="O21" t="inlineStr">
        <is>
          <t>Bank-tier delinquency/charge-off can lag a quarter; stale-check flags it.</t>
        </is>
      </c>
    </row>
    <row r="22">
      <c r="A22" t="inlineStr">
        <is>
          <t>DRCCLT100S</t>
        </is>
      </c>
      <c r="B22" t="inlineStr">
        <is>
          <t>Delinquency Rate on Credit Card Loans, Top 100 Banks</t>
        </is>
      </c>
      <c r="C22" t="inlineStr">
        <is>
          <t>credit_card</t>
        </is>
      </c>
      <c r="D22" t="inlineStr">
        <is>
          <t>consumer</t>
        </is>
      </c>
      <c r="E22" t="inlineStr">
        <is>
          <t>delinquency</t>
        </is>
      </c>
      <c r="F22" t="inlineStr">
        <is>
          <t>quarterly</t>
        </is>
      </c>
      <c r="G22" t="inlineStr">
        <is>
          <t>SA</t>
        </is>
      </c>
      <c r="H22" t="inlineStr">
        <is>
          <t>percent</t>
        </is>
      </c>
      <c r="I22" t="inlineStr">
        <is>
          <t>rate</t>
        </is>
      </c>
      <c r="J22" t="inlineStr">
        <is>
          <t>national</t>
        </is>
      </c>
      <c r="K22" t="inlineStr">
        <is>
          <t>TRUE</t>
        </is>
      </c>
      <c r="L22" t="inlineStr">
        <is>
          <t>FALSE</t>
        </is>
      </c>
      <c r="M22" t="inlineStr">
        <is>
          <t>zscore_8q</t>
        </is>
      </c>
      <c r="N22" t="inlineStr">
        <is>
          <t>zscore</t>
        </is>
      </c>
      <c r="O22" t="inlineStr">
        <is>
          <t>Bank-tier delinquency/charge-off can lag a quarter; stale-check flags it.</t>
        </is>
      </c>
    </row>
    <row r="23">
      <c r="A23" t="inlineStr">
        <is>
          <t>DRCCLOBS</t>
        </is>
      </c>
      <c r="B23" t="inlineStr">
        <is>
          <t>Delinquency Rate on Credit Card Loans, Other Banks</t>
        </is>
      </c>
      <c r="C23" t="inlineStr">
        <is>
          <t>credit_card</t>
        </is>
      </c>
      <c r="D23" t="inlineStr">
        <is>
          <t>consumer</t>
        </is>
      </c>
      <c r="E23" t="inlineStr">
        <is>
          <t>delinquency</t>
        </is>
      </c>
      <c r="F23" t="inlineStr">
        <is>
          <t>quarterly</t>
        </is>
      </c>
      <c r="G23" t="inlineStr">
        <is>
          <t>SA</t>
        </is>
      </c>
      <c r="H23" t="inlineStr">
        <is>
          <t>percent</t>
        </is>
      </c>
      <c r="I23" t="inlineStr">
        <is>
          <t>rate</t>
        </is>
      </c>
      <c r="J23" t="inlineStr">
        <is>
          <t>national</t>
        </is>
      </c>
      <c r="K23" t="inlineStr">
        <is>
          <t>TRUE</t>
        </is>
      </c>
      <c r="L23" t="inlineStr">
        <is>
          <t>FALSE</t>
        </is>
      </c>
      <c r="M23" t="inlineStr">
        <is>
          <t>zscore_8q</t>
        </is>
      </c>
      <c r="N23" t="inlineStr">
        <is>
          <t>zscore</t>
        </is>
      </c>
      <c r="O23" t="inlineStr">
        <is>
          <t>Bank-tier delinquency/charge-off can lag a quarter; stale-check flags it.</t>
        </is>
      </c>
    </row>
    <row r="24">
      <c r="A24" t="inlineStr">
        <is>
          <t>CORCACBS</t>
        </is>
      </c>
      <c r="B24" t="inlineStr">
        <is>
          <t>Charge-Off Rate on Consumer Loans, All Commercial Banks</t>
        </is>
      </c>
      <c r="C24" t="inlineStr">
        <is>
          <t>consumer_loans</t>
        </is>
      </c>
      <c r="D24" t="inlineStr">
        <is>
          <t>consumer</t>
        </is>
      </c>
      <c r="E24" t="inlineStr">
        <is>
          <t>charge_off</t>
        </is>
      </c>
      <c r="F24" t="inlineStr">
        <is>
          <t>quarterly</t>
        </is>
      </c>
      <c r="G24" t="inlineStr">
        <is>
          <t>SA</t>
        </is>
      </c>
      <c r="H24" t="inlineStr">
        <is>
          <t>percent</t>
        </is>
      </c>
      <c r="I24" t="inlineStr">
        <is>
          <t>rate</t>
        </is>
      </c>
      <c r="J24" t="inlineStr">
        <is>
          <t>national</t>
        </is>
      </c>
      <c r="K24" t="inlineStr">
        <is>
          <t>TRUE</t>
        </is>
      </c>
      <c r="L24" t="inlineStr">
        <is>
          <t>FALSE</t>
        </is>
      </c>
      <c r="M24" t="inlineStr">
        <is>
          <t>zscore_8q</t>
        </is>
      </c>
      <c r="N24" t="inlineStr">
        <is>
          <t>zscore</t>
        </is>
      </c>
      <c r="O24" t="inlineStr">
        <is>
          <t>Bank-tier delinquency/charge-off can lag a quarter; stale-check flags it.</t>
        </is>
      </c>
    </row>
    <row r="25">
      <c r="A25" t="inlineStr">
        <is>
          <t>DRCLACBS</t>
        </is>
      </c>
      <c r="B25" t="inlineStr">
        <is>
          <t>Delinquency Rate on Consumer Loans, All Commercial Banks</t>
        </is>
      </c>
      <c r="C25" t="inlineStr">
        <is>
          <t>consumer_loans</t>
        </is>
      </c>
      <c r="D25" t="inlineStr">
        <is>
          <t>consumer</t>
        </is>
      </c>
      <c r="E25" t="inlineStr">
        <is>
          <t>delinquency</t>
        </is>
      </c>
      <c r="F25" t="inlineStr">
        <is>
          <t>quarterly</t>
        </is>
      </c>
      <c r="G25" t="inlineStr">
        <is>
          <t>SA</t>
        </is>
      </c>
      <c r="H25" t="inlineStr">
        <is>
          <t>percent</t>
        </is>
      </c>
      <c r="I25" t="inlineStr">
        <is>
          <t>rate</t>
        </is>
      </c>
      <c r="J25" t="inlineStr">
        <is>
          <t>national</t>
        </is>
      </c>
      <c r="K25" t="inlineStr">
        <is>
          <t>TRUE</t>
        </is>
      </c>
      <c r="L25" t="inlineStr">
        <is>
          <t>FALSE</t>
        </is>
      </c>
      <c r="M25" t="inlineStr">
        <is>
          <t>zscore_8q</t>
        </is>
      </c>
      <c r="N25" t="inlineStr">
        <is>
          <t>zscore</t>
        </is>
      </c>
      <c r="O25" t="inlineStr">
        <is>
          <t>Bank-tier delinquency/charge-off can lag a quarter; stale-check flags it.</t>
        </is>
      </c>
    </row>
    <row r="26">
      <c r="A26" t="inlineStr">
        <is>
          <t>DRCLT100S</t>
        </is>
      </c>
      <c r="B26" t="inlineStr">
        <is>
          <t>Delinquency Rate on Consumer Loans, Top 100 Banks</t>
        </is>
      </c>
      <c r="C26" t="inlineStr">
        <is>
          <t>consumer_loans</t>
        </is>
      </c>
      <c r="D26" t="inlineStr">
        <is>
          <t>consumer</t>
        </is>
      </c>
      <c r="E26" t="inlineStr">
        <is>
          <t>delinquency</t>
        </is>
      </c>
      <c r="F26" t="inlineStr">
        <is>
          <t>quarterly</t>
        </is>
      </c>
      <c r="G26" t="inlineStr">
        <is>
          <t>SA</t>
        </is>
      </c>
      <c r="H26" t="inlineStr">
        <is>
          <t>percent</t>
        </is>
      </c>
      <c r="I26" t="inlineStr">
        <is>
          <t>rate</t>
        </is>
      </c>
      <c r="J26" t="inlineStr">
        <is>
          <t>national</t>
        </is>
      </c>
      <c r="K26" t="inlineStr">
        <is>
          <t>TRUE</t>
        </is>
      </c>
      <c r="L26" t="inlineStr">
        <is>
          <t>FALSE</t>
        </is>
      </c>
      <c r="M26" t="inlineStr">
        <is>
          <t>zscore_8q</t>
        </is>
      </c>
      <c r="N26" t="inlineStr">
        <is>
          <t>zscore</t>
        </is>
      </c>
      <c r="O26" t="inlineStr">
        <is>
          <t>Bank-tier delinquency/charge-off can lag a quarter; stale-check flags it.</t>
        </is>
      </c>
    </row>
    <row r="27">
      <c r="A27" t="inlineStr">
        <is>
          <t>DRCLOBS</t>
        </is>
      </c>
      <c r="B27" t="inlineStr">
        <is>
          <t>Delinquency Rate on Consumer Loans, Other Banks</t>
        </is>
      </c>
      <c r="C27" t="inlineStr">
        <is>
          <t>consumer_loans</t>
        </is>
      </c>
      <c r="D27" t="inlineStr">
        <is>
          <t>consumer</t>
        </is>
      </c>
      <c r="E27" t="inlineStr">
        <is>
          <t>delinquency</t>
        </is>
      </c>
      <c r="F27" t="inlineStr">
        <is>
          <t>quarterly</t>
        </is>
      </c>
      <c r="G27" t="inlineStr">
        <is>
          <t>SA</t>
        </is>
      </c>
      <c r="H27" t="inlineStr">
        <is>
          <t>percent</t>
        </is>
      </c>
      <c r="I27" t="inlineStr">
        <is>
          <t>rate</t>
        </is>
      </c>
      <c r="J27" t="inlineStr">
        <is>
          <t>national</t>
        </is>
      </c>
      <c r="K27" t="inlineStr">
        <is>
          <t>TRUE</t>
        </is>
      </c>
      <c r="L27" t="inlineStr">
        <is>
          <t>FALSE</t>
        </is>
      </c>
      <c r="M27" t="inlineStr">
        <is>
          <t>zscore_8q</t>
        </is>
      </c>
      <c r="N27" t="inlineStr">
        <is>
          <t>zscore</t>
        </is>
      </c>
      <c r="O27" t="inlineStr">
        <is>
          <t>Bank-tier delinquency/charge-off can lag a quarter; stale-check flags it.</t>
        </is>
      </c>
    </row>
    <row r="28">
      <c r="A28" t="inlineStr">
        <is>
          <t>CORCOBS</t>
        </is>
      </c>
      <c r="B28" t="inlineStr">
        <is>
          <t>Charge-Off Rate on Consumer Loans, Other Banks</t>
        </is>
      </c>
      <c r="C28" t="inlineStr">
        <is>
          <t>consumer_loans</t>
        </is>
      </c>
      <c r="D28" t="inlineStr">
        <is>
          <t>consumer</t>
        </is>
      </c>
      <c r="E28" t="inlineStr">
        <is>
          <t>charge_off</t>
        </is>
      </c>
      <c r="F28" t="inlineStr">
        <is>
          <t>quarterly</t>
        </is>
      </c>
      <c r="G28" t="inlineStr">
        <is>
          <t>SA</t>
        </is>
      </c>
      <c r="H28" t="inlineStr">
        <is>
          <t>percent</t>
        </is>
      </c>
      <c r="I28" t="inlineStr">
        <is>
          <t>rate</t>
        </is>
      </c>
      <c r="J28" t="inlineStr">
        <is>
          <t>national</t>
        </is>
      </c>
      <c r="K28" t="inlineStr">
        <is>
          <t>TRUE</t>
        </is>
      </c>
      <c r="L28" t="inlineStr">
        <is>
          <t>FALSE</t>
        </is>
      </c>
      <c r="M28" t="inlineStr">
        <is>
          <t>zscore_8q</t>
        </is>
      </c>
      <c r="N28" t="inlineStr">
        <is>
          <t>zscore</t>
        </is>
      </c>
      <c r="O28" t="inlineStr">
        <is>
          <t>Bank-tier delinquency/charge-off can lag a quarter; stale-check flags it.</t>
        </is>
      </c>
    </row>
    <row r="29">
      <c r="A29" t="inlineStr">
        <is>
          <t>DROCLT100S</t>
        </is>
      </c>
      <c r="B29" t="inlineStr">
        <is>
          <t>Delinquency Rate on Other Consumer Loans, Top 100 Banks</t>
        </is>
      </c>
      <c r="C29" t="inlineStr">
        <is>
          <t>other_consumer</t>
        </is>
      </c>
      <c r="D29" t="inlineStr">
        <is>
          <t>consumer</t>
        </is>
      </c>
      <c r="E29" t="inlineStr">
        <is>
          <t>delinquency</t>
        </is>
      </c>
      <c r="F29" t="inlineStr">
        <is>
          <t>quarterly</t>
        </is>
      </c>
      <c r="G29" t="inlineStr">
        <is>
          <t>SA</t>
        </is>
      </c>
      <c r="H29" t="inlineStr">
        <is>
          <t>percent</t>
        </is>
      </c>
      <c r="I29" t="inlineStr">
        <is>
          <t>rate</t>
        </is>
      </c>
      <c r="J29" t="inlineStr">
        <is>
          <t>national</t>
        </is>
      </c>
      <c r="K29" t="inlineStr">
        <is>
          <t>TRUE</t>
        </is>
      </c>
      <c r="L29" t="inlineStr">
        <is>
          <t>FALSE</t>
        </is>
      </c>
      <c r="M29" t="inlineStr">
        <is>
          <t>zscore_8q</t>
        </is>
      </c>
      <c r="N29" t="inlineStr">
        <is>
          <t>zscore</t>
        </is>
      </c>
      <c r="O29" t="inlineStr">
        <is>
          <t>Bank-tier delinquency/charge-off can lag a quarter; stale-check flags it.</t>
        </is>
      </c>
    </row>
    <row r="30">
      <c r="A30" t="inlineStr">
        <is>
          <t>DROCLOBS</t>
        </is>
      </c>
      <c r="B30" t="inlineStr">
        <is>
          <t>Delinquency Rate on Other Consumer Loans, Other Banks</t>
        </is>
      </c>
      <c r="C30" t="inlineStr">
        <is>
          <t>other_consumer</t>
        </is>
      </c>
      <c r="D30" t="inlineStr">
        <is>
          <t>consumer</t>
        </is>
      </c>
      <c r="E30" t="inlineStr">
        <is>
          <t>delinquency</t>
        </is>
      </c>
      <c r="F30" t="inlineStr">
        <is>
          <t>quarterly</t>
        </is>
      </c>
      <c r="G30" t="inlineStr">
        <is>
          <t>SA</t>
        </is>
      </c>
      <c r="H30" t="inlineStr">
        <is>
          <t>percent</t>
        </is>
      </c>
      <c r="I30" t="inlineStr">
        <is>
          <t>rate</t>
        </is>
      </c>
      <c r="J30" t="inlineStr">
        <is>
          <t>national</t>
        </is>
      </c>
      <c r="K30" t="inlineStr">
        <is>
          <t>TRUE</t>
        </is>
      </c>
      <c r="L30" t="inlineStr">
        <is>
          <t>FALSE</t>
        </is>
      </c>
      <c r="M30" t="inlineStr">
        <is>
          <t>zscore_8q</t>
        </is>
      </c>
      <c r="N30" t="inlineStr">
        <is>
          <t>zscore</t>
        </is>
      </c>
      <c r="O30" t="inlineStr">
        <is>
          <t>Bank-tier delinquency/charge-off can lag a quarter; stale-check flags it.</t>
        </is>
      </c>
    </row>
    <row r="31">
      <c r="A31" t="inlineStr">
        <is>
          <t>DROCLACBS</t>
        </is>
      </c>
      <c r="B31" t="inlineStr">
        <is>
          <t>Delinquency Rate on Other Consumer Loans, All Commercial Banks</t>
        </is>
      </c>
      <c r="C31" t="inlineStr">
        <is>
          <t>other_consumer</t>
        </is>
      </c>
      <c r="D31" t="inlineStr">
        <is>
          <t>consumer</t>
        </is>
      </c>
      <c r="E31" t="inlineStr">
        <is>
          <t>delinquency</t>
        </is>
      </c>
      <c r="F31" t="inlineStr">
        <is>
          <t>quarterly</t>
        </is>
      </c>
      <c r="G31" t="inlineStr">
        <is>
          <t>SA</t>
        </is>
      </c>
      <c r="H31" t="inlineStr">
        <is>
          <t>percent</t>
        </is>
      </c>
      <c r="I31" t="inlineStr">
        <is>
          <t>rate</t>
        </is>
      </c>
      <c r="J31" t="inlineStr">
        <is>
          <t>national</t>
        </is>
      </c>
      <c r="K31" t="inlineStr">
        <is>
          <t>TRUE</t>
        </is>
      </c>
      <c r="L31" t="inlineStr">
        <is>
          <t>FALSE</t>
        </is>
      </c>
      <c r="M31" t="inlineStr">
        <is>
          <t>zscore_8q</t>
        </is>
      </c>
      <c r="N31" t="inlineStr">
        <is>
          <t>zscore</t>
        </is>
      </c>
      <c r="O31" t="inlineStr">
        <is>
          <t>Bank-tier delinquency/charge-off can lag a quarter; stale-check flags it.</t>
        </is>
      </c>
    </row>
    <row r="32">
      <c r="A32" t="inlineStr">
        <is>
          <t>CORSFRMACBS</t>
        </is>
      </c>
      <c r="B32" t="inlineStr">
        <is>
          <t>Charge-Off Rate on Single-Family Residential Mortgages, All Banks</t>
        </is>
      </c>
      <c r="C32" t="inlineStr">
        <is>
          <t>sf_mortgage</t>
        </is>
      </c>
      <c r="D32" t="inlineStr">
        <is>
          <t>consumer</t>
        </is>
      </c>
      <c r="E32" t="inlineStr">
        <is>
          <t>charge_off</t>
        </is>
      </c>
      <c r="F32" t="inlineStr">
        <is>
          <t>quarterly</t>
        </is>
      </c>
      <c r="G32" t="inlineStr">
        <is>
          <t>SA</t>
        </is>
      </c>
      <c r="H32" t="inlineStr">
        <is>
          <t>percent</t>
        </is>
      </c>
      <c r="I32" t="inlineStr">
        <is>
          <t>rate</t>
        </is>
      </c>
      <c r="J32" t="inlineStr">
        <is>
          <t>national</t>
        </is>
      </c>
      <c r="K32" t="inlineStr">
        <is>
          <t>TRUE</t>
        </is>
      </c>
      <c r="L32" t="inlineStr">
        <is>
          <t>FALSE</t>
        </is>
      </c>
      <c r="M32" t="inlineStr">
        <is>
          <t>zscore_8q</t>
        </is>
      </c>
      <c r="N32" t="inlineStr">
        <is>
          <t>zscore</t>
        </is>
      </c>
      <c r="O32" t="inlineStr">
        <is>
          <t>Bank-tier delinquency/charge-off can lag a quarter; stale-check flags it.</t>
        </is>
      </c>
    </row>
    <row r="33">
      <c r="A33" t="inlineStr">
        <is>
          <t>DRSFRMACBS</t>
        </is>
      </c>
      <c r="B33" t="inlineStr">
        <is>
          <t>Delinquency Rate on Single-Family Residential Mortgages, All Banks</t>
        </is>
      </c>
      <c r="C33" t="inlineStr">
        <is>
          <t>sf_mortgage</t>
        </is>
      </c>
      <c r="D33" t="inlineStr">
        <is>
          <t>consumer</t>
        </is>
      </c>
      <c r="E33" t="inlineStr">
        <is>
          <t>delinquency</t>
        </is>
      </c>
      <c r="F33" t="inlineStr">
        <is>
          <t>quarterly</t>
        </is>
      </c>
      <c r="G33" t="inlineStr">
        <is>
          <t>SA</t>
        </is>
      </c>
      <c r="H33" t="inlineStr">
        <is>
          <t>percent</t>
        </is>
      </c>
      <c r="I33" t="inlineStr">
        <is>
          <t>rate</t>
        </is>
      </c>
      <c r="J33" t="inlineStr">
        <is>
          <t>national</t>
        </is>
      </c>
      <c r="K33" t="inlineStr">
        <is>
          <t>TRUE</t>
        </is>
      </c>
      <c r="L33" t="inlineStr">
        <is>
          <t>FALSE</t>
        </is>
      </c>
      <c r="M33" t="inlineStr">
        <is>
          <t>zscore_8q</t>
        </is>
      </c>
      <c r="N33" t="inlineStr">
        <is>
          <t>zscore</t>
        </is>
      </c>
      <c r="O33" t="inlineStr">
        <is>
          <t>Bank-tier delinquency/charge-off can lag a quarter; stale-check flags it.</t>
        </is>
      </c>
    </row>
    <row r="34">
      <c r="A34" t="inlineStr">
        <is>
          <t>DRSFRMT100S</t>
        </is>
      </c>
      <c r="B34" t="inlineStr">
        <is>
          <t>Delinquency Rate on Single-Family Residential Mortgages, Top 100 Banks</t>
        </is>
      </c>
      <c r="C34" t="inlineStr">
        <is>
          <t>sf_mortgage</t>
        </is>
      </c>
      <c r="D34" t="inlineStr">
        <is>
          <t>consumer</t>
        </is>
      </c>
      <c r="E34" t="inlineStr">
        <is>
          <t>delinquency</t>
        </is>
      </c>
      <c r="F34" t="inlineStr">
        <is>
          <t>quarterly</t>
        </is>
      </c>
      <c r="G34" t="inlineStr">
        <is>
          <t>SA</t>
        </is>
      </c>
      <c r="H34" t="inlineStr">
        <is>
          <t>percent</t>
        </is>
      </c>
      <c r="I34" t="inlineStr">
        <is>
          <t>rate</t>
        </is>
      </c>
      <c r="J34" t="inlineStr">
        <is>
          <t>national</t>
        </is>
      </c>
      <c r="K34" t="inlineStr">
        <is>
          <t>TRUE</t>
        </is>
      </c>
      <c r="L34" t="inlineStr">
        <is>
          <t>FALSE</t>
        </is>
      </c>
      <c r="M34" t="inlineStr">
        <is>
          <t>zscore_8q</t>
        </is>
      </c>
      <c r="N34" t="inlineStr">
        <is>
          <t>zscore</t>
        </is>
      </c>
      <c r="O34" t="inlineStr">
        <is>
          <t>Bank-tier delinquency/charge-off can lag a quarter; stale-check flags it.</t>
        </is>
      </c>
    </row>
    <row r="35">
      <c r="A35" t="inlineStr">
        <is>
          <t>DRSFRMOBS</t>
        </is>
      </c>
      <c r="B35" t="inlineStr">
        <is>
          <t>Delinquency Rate on Single-Family Residential Mortgages, Other Banks</t>
        </is>
      </c>
      <c r="C35" t="inlineStr">
        <is>
          <t>sf_mortgage</t>
        </is>
      </c>
      <c r="D35" t="inlineStr">
        <is>
          <t>consumer</t>
        </is>
      </c>
      <c r="E35" t="inlineStr">
        <is>
          <t>delinquency</t>
        </is>
      </c>
      <c r="F35" t="inlineStr">
        <is>
          <t>quarterly</t>
        </is>
      </c>
      <c r="G35" t="inlineStr">
        <is>
          <t>SA</t>
        </is>
      </c>
      <c r="H35" t="inlineStr">
        <is>
          <t>percent</t>
        </is>
      </c>
      <c r="I35" t="inlineStr">
        <is>
          <t>rate</t>
        </is>
      </c>
      <c r="J35" t="inlineStr">
        <is>
          <t>national</t>
        </is>
      </c>
      <c r="K35" t="inlineStr">
        <is>
          <t>TRUE</t>
        </is>
      </c>
      <c r="L35" t="inlineStr">
        <is>
          <t>FALSE</t>
        </is>
      </c>
      <c r="M35" t="inlineStr">
        <is>
          <t>zscore_8q</t>
        </is>
      </c>
      <c r="N35" t="inlineStr">
        <is>
          <t>zscore</t>
        </is>
      </c>
      <c r="O35" t="inlineStr">
        <is>
          <t>Bank-tier delinquency/charge-off can lag a quarter; stale-check flags it.</t>
        </is>
      </c>
    </row>
    <row r="36">
      <c r="A36" t="inlineStr">
        <is>
          <t>DRLFRACBS</t>
        </is>
      </c>
      <c r="B36" t="inlineStr">
        <is>
          <t>Delinquency Rate on Leases, All Commercial Banks</t>
        </is>
      </c>
      <c r="C36" t="inlineStr">
        <is>
          <t>leases</t>
        </is>
      </c>
      <c r="D36" t="inlineStr">
        <is>
          <t>consumer</t>
        </is>
      </c>
      <c r="E36" t="inlineStr">
        <is>
          <t>delinquency</t>
        </is>
      </c>
      <c r="F36" t="inlineStr">
        <is>
          <t>quarterly</t>
        </is>
      </c>
      <c r="G36" t="inlineStr">
        <is>
          <t>SA</t>
        </is>
      </c>
      <c r="H36" t="inlineStr">
        <is>
          <t>percent</t>
        </is>
      </c>
      <c r="I36" t="inlineStr">
        <is>
          <t>rate</t>
        </is>
      </c>
      <c r="J36" t="inlineStr">
        <is>
          <t>national</t>
        </is>
      </c>
      <c r="K36" t="inlineStr">
        <is>
          <t>TRUE</t>
        </is>
      </c>
      <c r="L36" t="inlineStr">
        <is>
          <t>FALSE</t>
        </is>
      </c>
      <c r="M36" t="inlineStr">
        <is>
          <t>zscore_8q</t>
        </is>
      </c>
      <c r="N36" t="inlineStr">
        <is>
          <t>zscore</t>
        </is>
      </c>
      <c r="O36" t="inlineStr">
        <is>
          <t>Bank-tier delinquency/charge-off can lag a quarter; stale-check flags it.</t>
        </is>
      </c>
    </row>
    <row r="37">
      <c r="A37" t="inlineStr">
        <is>
          <t>TOTALSL</t>
        </is>
      </c>
      <c r="B37" t="inlineStr">
        <is>
          <t>Total Consumer Credit Owned and Securitized (SA)</t>
        </is>
      </c>
      <c r="C37" t="inlineStr">
        <is>
          <t>g19</t>
        </is>
      </c>
      <c r="D37" t="inlineStr">
        <is>
          <t>consumer</t>
        </is>
      </c>
      <c r="E37" t="inlineStr">
        <is>
          <t>level</t>
        </is>
      </c>
      <c r="F37" t="inlineStr">
        <is>
          <t>monthly</t>
        </is>
      </c>
      <c r="G37" t="inlineStr">
        <is>
          <t>SA</t>
        </is>
      </c>
      <c r="H37" t="inlineStr">
        <is>
          <t>billions $</t>
        </is>
      </c>
      <c r="I37" t="inlineStr">
        <is>
          <t>level</t>
        </is>
      </c>
      <c r="J37" t="inlineStr">
        <is>
          <t>national</t>
        </is>
      </c>
      <c r="K37" t="inlineStr">
        <is>
          <t>TRUE</t>
        </is>
      </c>
      <c r="L37" t="inlineStr">
        <is>
          <t>FALSE</t>
        </is>
      </c>
      <c r="M37" t="inlineStr">
        <is>
          <t>yoy_pct</t>
        </is>
      </c>
      <c r="N37" t="inlineStr">
        <is>
          <t>none</t>
        </is>
      </c>
      <c r="O37" t="inlineStr">
        <is>
          <t>G.19 dropped the nonfinancial-business sector from the May 2025 release; do not read as a break.</t>
        </is>
      </c>
    </row>
    <row r="38">
      <c r="A38" t="inlineStr">
        <is>
          <t>TOTALNS</t>
        </is>
      </c>
      <c r="B38" t="inlineStr">
        <is>
          <t>Total Consumer Credit Owned and Securitized (NSA)</t>
        </is>
      </c>
      <c r="C38" t="inlineStr">
        <is>
          <t>g19</t>
        </is>
      </c>
      <c r="D38" t="inlineStr">
        <is>
          <t>consumer</t>
        </is>
      </c>
      <c r="E38" t="inlineStr">
        <is>
          <t>level</t>
        </is>
      </c>
      <c r="F38" t="inlineStr">
        <is>
          <t>monthly</t>
        </is>
      </c>
      <c r="G38" t="inlineStr">
        <is>
          <t>NSA</t>
        </is>
      </c>
      <c r="H38" t="inlineStr">
        <is>
          <t>billions $</t>
        </is>
      </c>
      <c r="I38" t="inlineStr">
        <is>
          <t>level</t>
        </is>
      </c>
      <c r="J38" t="inlineStr">
        <is>
          <t>national</t>
        </is>
      </c>
      <c r="K38" t="inlineStr">
        <is>
          <t>TRUE</t>
        </is>
      </c>
      <c r="L38" t="inlineStr">
        <is>
          <t>FALSE</t>
        </is>
      </c>
      <c r="M38" t="inlineStr">
        <is>
          <t>yoy_pct</t>
        </is>
      </c>
      <c r="N38" t="inlineStr">
        <is>
          <t>none</t>
        </is>
      </c>
      <c r="O38" t="inlineStr"/>
    </row>
    <row r="39">
      <c r="A39" t="inlineStr">
        <is>
          <t>REVOLSL</t>
        </is>
      </c>
      <c r="B39" t="inlineStr">
        <is>
          <t>Revolving Consumer Credit Owned and Securitized (SA)</t>
        </is>
      </c>
      <c r="C39" t="inlineStr">
        <is>
          <t>g19</t>
        </is>
      </c>
      <c r="D39" t="inlineStr">
        <is>
          <t>consumer</t>
        </is>
      </c>
      <c r="E39" t="inlineStr">
        <is>
          <t>level</t>
        </is>
      </c>
      <c r="F39" t="inlineStr">
        <is>
          <t>monthly</t>
        </is>
      </c>
      <c r="G39" t="inlineStr">
        <is>
          <t>SA</t>
        </is>
      </c>
      <c r="H39" t="inlineStr">
        <is>
          <t>billions $</t>
        </is>
      </c>
      <c r="I39" t="inlineStr">
        <is>
          <t>level</t>
        </is>
      </c>
      <c r="J39" t="inlineStr">
        <is>
          <t>national</t>
        </is>
      </c>
      <c r="K39" t="inlineStr">
        <is>
          <t>TRUE</t>
        </is>
      </c>
      <c r="L39" t="inlineStr">
        <is>
          <t>FALSE</t>
        </is>
      </c>
      <c r="M39" t="inlineStr">
        <is>
          <t>yoy_pct</t>
        </is>
      </c>
      <c r="N39" t="inlineStr">
        <is>
          <t>none</t>
        </is>
      </c>
      <c r="O39" t="inlineStr"/>
    </row>
    <row r="40">
      <c r="A40" t="inlineStr">
        <is>
          <t>NONREVSL</t>
        </is>
      </c>
      <c r="B40" t="inlineStr">
        <is>
          <t>Nonrevolving Consumer Credit Owned and Securitized (SA)</t>
        </is>
      </c>
      <c r="C40" t="inlineStr">
        <is>
          <t>g19</t>
        </is>
      </c>
      <c r="D40" t="inlineStr">
        <is>
          <t>consumer</t>
        </is>
      </c>
      <c r="E40" t="inlineStr">
        <is>
          <t>level</t>
        </is>
      </c>
      <c r="F40" t="inlineStr">
        <is>
          <t>monthly</t>
        </is>
      </c>
      <c r="G40" t="inlineStr">
        <is>
          <t>SA</t>
        </is>
      </c>
      <c r="H40" t="inlineStr">
        <is>
          <t>billions $</t>
        </is>
      </c>
      <c r="I40" t="inlineStr">
        <is>
          <t>level</t>
        </is>
      </c>
      <c r="J40" t="inlineStr">
        <is>
          <t>national</t>
        </is>
      </c>
      <c r="K40" t="inlineStr">
        <is>
          <t>TRUE</t>
        </is>
      </c>
      <c r="L40" t="inlineStr">
        <is>
          <t>FALSE</t>
        </is>
      </c>
      <c r="M40" t="inlineStr">
        <is>
          <t>yoy_pct</t>
        </is>
      </c>
      <c r="N40" t="inlineStr">
        <is>
          <t>none</t>
        </is>
      </c>
      <c r="O40" t="inlineStr"/>
    </row>
    <row r="41">
      <c r="A41" t="inlineStr">
        <is>
          <t>TOTALSLAR</t>
        </is>
      </c>
      <c r="B41" t="inlineStr">
        <is>
          <t>Total Consumer Credit, Percent Change at Annual Rate</t>
        </is>
      </c>
      <c r="C41" t="inlineStr">
        <is>
          <t>g19</t>
        </is>
      </c>
      <c r="D41" t="inlineStr">
        <is>
          <t>consumer</t>
        </is>
      </c>
      <c r="E41" t="inlineStr">
        <is>
          <t>flow</t>
        </is>
      </c>
      <c r="F41" t="inlineStr">
        <is>
          <t>monthly</t>
        </is>
      </c>
      <c r="G41" t="inlineStr">
        <is>
          <t>SA</t>
        </is>
      </c>
      <c r="H41" t="inlineStr">
        <is>
          <t>percent (annual rate)</t>
        </is>
      </c>
      <c r="I41" t="inlineStr">
        <is>
          <t>rate</t>
        </is>
      </c>
      <c r="J41" t="inlineStr">
        <is>
          <t>national</t>
        </is>
      </c>
      <c r="K41" t="inlineStr">
        <is>
          <t>TRUE</t>
        </is>
      </c>
      <c r="L41" t="inlineStr">
        <is>
          <t>FALSE</t>
        </is>
      </c>
      <c r="M41" t="inlineStr">
        <is>
          <t>level</t>
        </is>
      </c>
      <c r="N41" t="inlineStr">
        <is>
          <t>none</t>
        </is>
      </c>
      <c r="O41" t="inlineStr">
        <is>
          <t>Already a rate of change -- passthrough, do not re-difference.</t>
        </is>
      </c>
    </row>
    <row r="42">
      <c r="A42" t="inlineStr">
        <is>
          <t>TDSP</t>
        </is>
      </c>
      <c r="B42" t="inlineStr">
        <is>
          <t>Household Debt Service Payments as % of Disposable Income</t>
        </is>
      </c>
      <c r="C42" t="inlineStr">
        <is>
          <t>dsr</t>
        </is>
      </c>
      <c r="D42" t="inlineStr">
        <is>
          <t>consumer</t>
        </is>
      </c>
      <c r="E42" t="inlineStr">
        <is>
          <t>ratio</t>
        </is>
      </c>
      <c r="F42" t="inlineStr">
        <is>
          <t>quarterly</t>
        </is>
      </c>
      <c r="G42" t="inlineStr">
        <is>
          <t>SA</t>
        </is>
      </c>
      <c r="H42" t="inlineStr">
        <is>
          <t>percent</t>
        </is>
      </c>
      <c r="I42" t="inlineStr">
        <is>
          <t>ratio</t>
        </is>
      </c>
      <c r="J42" t="inlineStr">
        <is>
          <t>national</t>
        </is>
      </c>
      <c r="K42" t="inlineStr">
        <is>
          <t>TRUE</t>
        </is>
      </c>
      <c r="L42" t="inlineStr">
        <is>
          <t>FALSE</t>
        </is>
      </c>
      <c r="M42" t="inlineStr">
        <is>
          <t>level</t>
        </is>
      </c>
      <c r="N42" t="inlineStr">
        <is>
          <t>none</t>
        </is>
      </c>
      <c r="O42" t="inlineStr">
        <is>
          <t>DSR switched to a credit-bureau methodology in 2024:Q2; watch for a level shift.</t>
        </is>
      </c>
    </row>
    <row r="43">
      <c r="A43" t="inlineStr">
        <is>
          <t>MDSP</t>
        </is>
      </c>
      <c r="B43" t="inlineStr">
        <is>
          <t>Mortgage Debt Service Payments as % of Disposable Income</t>
        </is>
      </c>
      <c r="C43" t="inlineStr">
        <is>
          <t>dsr</t>
        </is>
      </c>
      <c r="D43" t="inlineStr">
        <is>
          <t>consumer</t>
        </is>
      </c>
      <c r="E43" t="inlineStr">
        <is>
          <t>ratio</t>
        </is>
      </c>
      <c r="F43" t="inlineStr">
        <is>
          <t>quarterly</t>
        </is>
      </c>
      <c r="G43" t="inlineStr">
        <is>
          <t>SA</t>
        </is>
      </c>
      <c r="H43" t="inlineStr">
        <is>
          <t>percent</t>
        </is>
      </c>
      <c r="I43" t="inlineStr">
        <is>
          <t>ratio</t>
        </is>
      </c>
      <c r="J43" t="inlineStr">
        <is>
          <t>national</t>
        </is>
      </c>
      <c r="K43" t="inlineStr">
        <is>
          <t>TRUE</t>
        </is>
      </c>
      <c r="L43" t="inlineStr">
        <is>
          <t>FALSE</t>
        </is>
      </c>
      <c r="M43" t="inlineStr">
        <is>
          <t>level</t>
        </is>
      </c>
      <c r="N43" t="inlineStr">
        <is>
          <t>none</t>
        </is>
      </c>
      <c r="O43" t="inlineStr">
        <is>
          <t>Methodology break 2024:Q2 (credit-bureau).</t>
        </is>
      </c>
    </row>
    <row r="44">
      <c r="A44" t="inlineStr">
        <is>
          <t>CDSP</t>
        </is>
      </c>
      <c r="B44" t="inlineStr">
        <is>
          <t>Consumer Debt Service Payments as % of Disposable Income</t>
        </is>
      </c>
      <c r="C44" t="inlineStr">
        <is>
          <t>dsr</t>
        </is>
      </c>
      <c r="D44" t="inlineStr">
        <is>
          <t>consumer</t>
        </is>
      </c>
      <c r="E44" t="inlineStr">
        <is>
          <t>ratio</t>
        </is>
      </c>
      <c r="F44" t="inlineStr">
        <is>
          <t>quarterly</t>
        </is>
      </c>
      <c r="G44" t="inlineStr">
        <is>
          <t>SA</t>
        </is>
      </c>
      <c r="H44" t="inlineStr">
        <is>
          <t>percent</t>
        </is>
      </c>
      <c r="I44" t="inlineStr">
        <is>
          <t>ratio</t>
        </is>
      </c>
      <c r="J44" t="inlineStr">
        <is>
          <t>national</t>
        </is>
      </c>
      <c r="K44" t="inlineStr">
        <is>
          <t>TRUE</t>
        </is>
      </c>
      <c r="L44" t="inlineStr">
        <is>
          <t>FALSE</t>
        </is>
      </c>
      <c r="M44" t="inlineStr">
        <is>
          <t>level</t>
        </is>
      </c>
      <c r="N44" t="inlineStr">
        <is>
          <t>none</t>
        </is>
      </c>
      <c r="O44" t="inlineStr">
        <is>
          <t>Methodology break 2024:Q2 (credit-bureau).</t>
        </is>
      </c>
    </row>
    <row r="45">
      <c r="A45" t="inlineStr">
        <is>
          <t>FODSP</t>
        </is>
      </c>
      <c r="B45" t="inlineStr">
        <is>
          <t>Financial Obligations Ratio (discontinued)</t>
        </is>
      </c>
      <c r="C45" t="inlineStr">
        <is>
          <t>dsr</t>
        </is>
      </c>
      <c r="D45" t="inlineStr">
        <is>
          <t>consumer</t>
        </is>
      </c>
      <c r="E45" t="inlineStr">
        <is>
          <t>ratio</t>
        </is>
      </c>
      <c r="F45" t="inlineStr">
        <is>
          <t>quarterly</t>
        </is>
      </c>
      <c r="G45" t="inlineStr">
        <is>
          <t>SA</t>
        </is>
      </c>
      <c r="H45" t="inlineStr">
        <is>
          <t>percent</t>
        </is>
      </c>
      <c r="I45" t="inlineStr">
        <is>
          <t>ratio</t>
        </is>
      </c>
      <c r="J45" t="inlineStr">
        <is>
          <t>national</t>
        </is>
      </c>
      <c r="K45" t="inlineStr">
        <is>
          <t>FALSE</t>
        </is>
      </c>
      <c r="L45" t="inlineStr">
        <is>
          <t>FALSE</t>
        </is>
      </c>
      <c r="M45" t="inlineStr">
        <is>
          <t>level</t>
        </is>
      </c>
      <c r="N45" t="inlineStr">
        <is>
          <t>none</t>
        </is>
      </c>
      <c r="O45" t="inlineStr">
        <is>
          <t>DISCONTINUED after 2023:Q3 -- documented-dead, do not pull live.</t>
        </is>
      </c>
    </row>
    <row r="46">
      <c r="A46" t="inlineStr">
        <is>
          <t>DRTSCLCC</t>
        </is>
      </c>
      <c r="B46" t="inlineStr">
        <is>
          <t>Net % Banks Tightening Standards for Credit Card Loans</t>
        </is>
      </c>
      <c r="C46" t="inlineStr">
        <is>
          <t>sloos_diffusion</t>
        </is>
      </c>
      <c r="D46" t="inlineStr">
        <is>
          <t>consumer</t>
        </is>
      </c>
      <c r="E46" t="inlineStr">
        <is>
          <t>sloos_diffusion</t>
        </is>
      </c>
      <c r="F46" t="inlineStr">
        <is>
          <t>quarterly</t>
        </is>
      </c>
      <c r="G46" t="inlineStr">
        <is>
          <t>NSA</t>
        </is>
      </c>
      <c r="H46" t="inlineStr">
        <is>
          <t>net percent</t>
        </is>
      </c>
      <c r="I46" t="inlineStr">
        <is>
          <t>rate</t>
        </is>
      </c>
      <c r="J46" t="inlineStr">
        <is>
          <t>national</t>
        </is>
      </c>
      <c r="K46" t="inlineStr">
        <is>
          <t>TRUE</t>
        </is>
      </c>
      <c r="L46" t="inlineStr">
        <is>
          <t>FALSE</t>
        </is>
      </c>
      <c r="M46" t="inlineStr">
        <is>
          <t>level</t>
        </is>
      </c>
      <c r="N46" t="inlineStr">
        <is>
          <t>sloos_level</t>
        </is>
      </c>
      <c r="O46" t="inlineStr">
        <is>
          <t>Net % tightening; +band flags broad tightening.</t>
        </is>
      </c>
    </row>
    <row r="47">
      <c r="A47" t="inlineStr">
        <is>
          <t>STDSAUTO</t>
        </is>
      </c>
      <c r="B47" t="inlineStr">
        <is>
          <t>Net % Banks Tightening Standards for Auto Loans</t>
        </is>
      </c>
      <c r="C47" t="inlineStr">
        <is>
          <t>sloos_diffusion</t>
        </is>
      </c>
      <c r="D47" t="inlineStr">
        <is>
          <t>consumer</t>
        </is>
      </c>
      <c r="E47" t="inlineStr">
        <is>
          <t>sloos_diffusion</t>
        </is>
      </c>
      <c r="F47" t="inlineStr">
        <is>
          <t>quarterly</t>
        </is>
      </c>
      <c r="G47" t="inlineStr">
        <is>
          <t>NSA</t>
        </is>
      </c>
      <c r="H47" t="inlineStr">
        <is>
          <t>net percent</t>
        </is>
      </c>
      <c r="I47" t="inlineStr">
        <is>
          <t>rate</t>
        </is>
      </c>
      <c r="J47" t="inlineStr">
        <is>
          <t>national</t>
        </is>
      </c>
      <c r="K47" t="inlineStr">
        <is>
          <t>TRUE</t>
        </is>
      </c>
      <c r="L47" t="inlineStr">
        <is>
          <t>FALSE</t>
        </is>
      </c>
      <c r="M47" t="inlineStr">
        <is>
          <t>level</t>
        </is>
      </c>
      <c r="N47" t="inlineStr">
        <is>
          <t>sloos_level</t>
        </is>
      </c>
      <c r="O47" t="inlineStr">
        <is>
          <t>Net % tightening; +band flags broad tightening.</t>
        </is>
      </c>
    </row>
    <row r="48">
      <c r="A48" t="inlineStr">
        <is>
          <t>STDSOTHCONS</t>
        </is>
      </c>
      <c r="B48" t="inlineStr">
        <is>
          <t>Net % Banks Tightening Standards for Other Consumer Loans</t>
        </is>
      </c>
      <c r="C48" t="inlineStr">
        <is>
          <t>sloos_diffusion</t>
        </is>
      </c>
      <c r="D48" t="inlineStr">
        <is>
          <t>consumer</t>
        </is>
      </c>
      <c r="E48" t="inlineStr">
        <is>
          <t>sloos_diffusion</t>
        </is>
      </c>
      <c r="F48" t="inlineStr">
        <is>
          <t>quarterly</t>
        </is>
      </c>
      <c r="G48" t="inlineStr">
        <is>
          <t>NSA</t>
        </is>
      </c>
      <c r="H48" t="inlineStr">
        <is>
          <t>net percent</t>
        </is>
      </c>
      <c r="I48" t="inlineStr">
        <is>
          <t>rate</t>
        </is>
      </c>
      <c r="J48" t="inlineStr">
        <is>
          <t>national</t>
        </is>
      </c>
      <c r="K48" t="inlineStr">
        <is>
          <t>TRUE</t>
        </is>
      </c>
      <c r="L48" t="inlineStr">
        <is>
          <t>FALSE</t>
        </is>
      </c>
      <c r="M48" t="inlineStr">
        <is>
          <t>level</t>
        </is>
      </c>
      <c r="N48" t="inlineStr">
        <is>
          <t>sloos_level</t>
        </is>
      </c>
      <c r="O48" t="inlineStr">
        <is>
          <t>Net % tightening; +band flags broad tightening.</t>
        </is>
      </c>
    </row>
    <row r="49">
      <c r="A49" t="inlineStr">
        <is>
          <t>DRTSSP</t>
        </is>
      </c>
      <c r="B49" t="inlineStr">
        <is>
          <t>Net % Banks Tightening Standards for Consumer Loans (subprime)</t>
        </is>
      </c>
      <c r="C49" t="inlineStr">
        <is>
          <t>sloos_diffusion</t>
        </is>
      </c>
      <c r="D49" t="inlineStr">
        <is>
          <t>consumer</t>
        </is>
      </c>
      <c r="E49" t="inlineStr">
        <is>
          <t>sloos_diffusion</t>
        </is>
      </c>
      <c r="F49" t="inlineStr">
        <is>
          <t>quarterly</t>
        </is>
      </c>
      <c r="G49" t="inlineStr">
        <is>
          <t>NSA</t>
        </is>
      </c>
      <c r="H49" t="inlineStr">
        <is>
          <t>net percent</t>
        </is>
      </c>
      <c r="I49" t="inlineStr">
        <is>
          <t>rate</t>
        </is>
      </c>
      <c r="J49" t="inlineStr">
        <is>
          <t>national</t>
        </is>
      </c>
      <c r="K49" t="inlineStr">
        <is>
          <t>TRUE</t>
        </is>
      </c>
      <c r="L49" t="inlineStr">
        <is>
          <t>FALSE</t>
        </is>
      </c>
      <c r="M49" t="inlineStr">
        <is>
          <t>level</t>
        </is>
      </c>
      <c r="N49" t="inlineStr">
        <is>
          <t>sloos_level</t>
        </is>
      </c>
      <c r="O49" t="inlineStr">
        <is>
          <t>Net % tightening; +band flags broad tightening.</t>
        </is>
      </c>
    </row>
    <row r="50">
      <c r="A50" t="inlineStr">
        <is>
          <t>SUBLPDHMSENQ</t>
        </is>
      </c>
      <c r="B50" t="inlineStr">
        <is>
          <t>Net % Banks Reporting Stronger Demand for Consumer Loans</t>
        </is>
      </c>
      <c r="C50" t="inlineStr">
        <is>
          <t>sloos_diffusion</t>
        </is>
      </c>
      <c r="D50" t="inlineStr">
        <is>
          <t>consumer</t>
        </is>
      </c>
      <c r="E50" t="inlineStr">
        <is>
          <t>sloos_diffusion</t>
        </is>
      </c>
      <c r="F50" t="inlineStr">
        <is>
          <t>quarterly</t>
        </is>
      </c>
      <c r="G50" t="inlineStr">
        <is>
          <t>NSA</t>
        </is>
      </c>
      <c r="H50" t="inlineStr">
        <is>
          <t>net percent</t>
        </is>
      </c>
      <c r="I50" t="inlineStr">
        <is>
          <t>rate</t>
        </is>
      </c>
      <c r="J50" t="inlineStr">
        <is>
          <t>national</t>
        </is>
      </c>
      <c r="K50" t="inlineStr">
        <is>
          <t>TRUE</t>
        </is>
      </c>
      <c r="L50" t="inlineStr">
        <is>
          <t>FALSE</t>
        </is>
      </c>
      <c r="M50" t="inlineStr">
        <is>
          <t>level</t>
        </is>
      </c>
      <c r="N50" t="inlineStr">
        <is>
          <t>none</t>
        </is>
      </c>
      <c r="O50" t="inlineStr">
        <is>
          <t>SLOOS demand series -- not a tightening signal.</t>
        </is>
      </c>
    </row>
    <row r="51">
      <c r="A51" t="inlineStr">
        <is>
          <t>CORBLACBS</t>
        </is>
      </c>
      <c r="B51" t="inlineStr">
        <is>
          <t>Charge-Off Rate on Commercial &amp; Industrial Loans, All Banks</t>
        </is>
      </c>
      <c r="C51" t="inlineStr">
        <is>
          <t>ci</t>
        </is>
      </c>
      <c r="D51" t="inlineStr">
        <is>
          <t>commercial</t>
        </is>
      </c>
      <c r="E51" t="inlineStr">
        <is>
          <t>charge_off</t>
        </is>
      </c>
      <c r="F51" t="inlineStr">
        <is>
          <t>quarterly</t>
        </is>
      </c>
      <c r="G51" t="inlineStr">
        <is>
          <t>SA</t>
        </is>
      </c>
      <c r="H51" t="inlineStr">
        <is>
          <t>percent</t>
        </is>
      </c>
      <c r="I51" t="inlineStr">
        <is>
          <t>rate</t>
        </is>
      </c>
      <c r="J51" t="inlineStr">
        <is>
          <t>national</t>
        </is>
      </c>
      <c r="K51" t="inlineStr">
        <is>
          <t>TRUE</t>
        </is>
      </c>
      <c r="L51" t="inlineStr">
        <is>
          <t>FALSE</t>
        </is>
      </c>
      <c r="M51" t="inlineStr">
        <is>
          <t>zscore_8q</t>
        </is>
      </c>
      <c r="N51" t="inlineStr">
        <is>
          <t>zscore</t>
        </is>
      </c>
      <c r="O51" t="inlineStr">
        <is>
          <t>Bank-tier delinquency/charge-off can lag a quarter; stale-check flags it.</t>
        </is>
      </c>
    </row>
    <row r="52">
      <c r="A52" t="inlineStr">
        <is>
          <t>DRBLACBS</t>
        </is>
      </c>
      <c r="B52" t="inlineStr">
        <is>
          <t>Delinquency Rate on Commercial &amp; Industrial Loans, All Banks</t>
        </is>
      </c>
      <c r="C52" t="inlineStr">
        <is>
          <t>ci</t>
        </is>
      </c>
      <c r="D52" t="inlineStr">
        <is>
          <t>commercial</t>
        </is>
      </c>
      <c r="E52" t="inlineStr">
        <is>
          <t>delinquency</t>
        </is>
      </c>
      <c r="F52" t="inlineStr">
        <is>
          <t>quarterly</t>
        </is>
      </c>
      <c r="G52" t="inlineStr">
        <is>
          <t>SA</t>
        </is>
      </c>
      <c r="H52" t="inlineStr">
        <is>
          <t>percent</t>
        </is>
      </c>
      <c r="I52" t="inlineStr">
        <is>
          <t>rate</t>
        </is>
      </c>
      <c r="J52" t="inlineStr">
        <is>
          <t>national</t>
        </is>
      </c>
      <c r="K52" t="inlineStr">
        <is>
          <t>TRUE</t>
        </is>
      </c>
      <c r="L52" t="inlineStr">
        <is>
          <t>FALSE</t>
        </is>
      </c>
      <c r="M52" t="inlineStr">
        <is>
          <t>zscore_8q</t>
        </is>
      </c>
      <c r="N52" t="inlineStr">
        <is>
          <t>zscore</t>
        </is>
      </c>
      <c r="O52" t="inlineStr">
        <is>
          <t>Bank-tier delinquency/charge-off can lag a quarter; stale-check flags it.</t>
        </is>
      </c>
    </row>
    <row r="53">
      <c r="A53" t="inlineStr">
        <is>
          <t>DRBLT100S</t>
        </is>
      </c>
      <c r="B53" t="inlineStr">
        <is>
          <t>Delinquency Rate on C&amp;I Loans, Top 100 Banks</t>
        </is>
      </c>
      <c r="C53" t="inlineStr">
        <is>
          <t>ci</t>
        </is>
      </c>
      <c r="D53" t="inlineStr">
        <is>
          <t>commercial</t>
        </is>
      </c>
      <c r="E53" t="inlineStr">
        <is>
          <t>delinquency</t>
        </is>
      </c>
      <c r="F53" t="inlineStr">
        <is>
          <t>quarterly</t>
        </is>
      </c>
      <c r="G53" t="inlineStr">
        <is>
          <t>SA</t>
        </is>
      </c>
      <c r="H53" t="inlineStr">
        <is>
          <t>percent</t>
        </is>
      </c>
      <c r="I53" t="inlineStr">
        <is>
          <t>rate</t>
        </is>
      </c>
      <c r="J53" t="inlineStr">
        <is>
          <t>national</t>
        </is>
      </c>
      <c r="K53" t="inlineStr">
        <is>
          <t>TRUE</t>
        </is>
      </c>
      <c r="L53" t="inlineStr">
        <is>
          <t>FALSE</t>
        </is>
      </c>
      <c r="M53" t="inlineStr">
        <is>
          <t>zscore_8q</t>
        </is>
      </c>
      <c r="N53" t="inlineStr">
        <is>
          <t>zscore</t>
        </is>
      </c>
      <c r="O53" t="inlineStr">
        <is>
          <t>Bank-tier delinquency/charge-off can lag a quarter; stale-check flags it.</t>
        </is>
      </c>
    </row>
    <row r="54">
      <c r="A54" t="inlineStr">
        <is>
          <t>DRBLOBS</t>
        </is>
      </c>
      <c r="B54" t="inlineStr">
        <is>
          <t>Delinquency Rate on C&amp;I Loans, Other Banks</t>
        </is>
      </c>
      <c r="C54" t="inlineStr">
        <is>
          <t>ci</t>
        </is>
      </c>
      <c r="D54" t="inlineStr">
        <is>
          <t>commercial</t>
        </is>
      </c>
      <c r="E54" t="inlineStr">
        <is>
          <t>delinquency</t>
        </is>
      </c>
      <c r="F54" t="inlineStr">
        <is>
          <t>quarterly</t>
        </is>
      </c>
      <c r="G54" t="inlineStr">
        <is>
          <t>SA</t>
        </is>
      </c>
      <c r="H54" t="inlineStr">
        <is>
          <t>percent</t>
        </is>
      </c>
      <c r="I54" t="inlineStr">
        <is>
          <t>rate</t>
        </is>
      </c>
      <c r="J54" t="inlineStr">
        <is>
          <t>national</t>
        </is>
      </c>
      <c r="K54" t="inlineStr">
        <is>
          <t>TRUE</t>
        </is>
      </c>
      <c r="L54" t="inlineStr">
        <is>
          <t>FALSE</t>
        </is>
      </c>
      <c r="M54" t="inlineStr">
        <is>
          <t>zscore_8q</t>
        </is>
      </c>
      <c r="N54" t="inlineStr">
        <is>
          <t>zscore</t>
        </is>
      </c>
      <c r="O54" t="inlineStr">
        <is>
          <t>Bank-tier delinquency/charge-off can lag a quarter; stale-check flags it.</t>
        </is>
      </c>
    </row>
    <row r="55">
      <c r="A55" t="inlineStr">
        <is>
          <t>CORCREXFACBS</t>
        </is>
      </c>
      <c r="B55" t="inlineStr">
        <is>
          <t>Charge-Off Rate on CRE Loans (excl. Farmland), All Banks</t>
        </is>
      </c>
      <c r="C55" t="inlineStr">
        <is>
          <t>cre</t>
        </is>
      </c>
      <c r="D55" t="inlineStr">
        <is>
          <t>commercial</t>
        </is>
      </c>
      <c r="E55" t="inlineStr">
        <is>
          <t>charge_off</t>
        </is>
      </c>
      <c r="F55" t="inlineStr">
        <is>
          <t>quarterly</t>
        </is>
      </c>
      <c r="G55" t="inlineStr">
        <is>
          <t>SA</t>
        </is>
      </c>
      <c r="H55" t="inlineStr">
        <is>
          <t>percent</t>
        </is>
      </c>
      <c r="I55" t="inlineStr">
        <is>
          <t>rate</t>
        </is>
      </c>
      <c r="J55" t="inlineStr">
        <is>
          <t>national</t>
        </is>
      </c>
      <c r="K55" t="inlineStr">
        <is>
          <t>TRUE</t>
        </is>
      </c>
      <c r="L55" t="inlineStr">
        <is>
          <t>FALSE</t>
        </is>
      </c>
      <c r="M55" t="inlineStr">
        <is>
          <t>zscore_8q</t>
        </is>
      </c>
      <c r="N55" t="inlineStr">
        <is>
          <t>zscore</t>
        </is>
      </c>
      <c r="O55" t="inlineStr">
        <is>
          <t>Bank-tier delinquency/charge-off can lag a quarter; stale-check flags it.</t>
        </is>
      </c>
    </row>
    <row r="56">
      <c r="A56" t="inlineStr">
        <is>
          <t>DRCRELEXFACBS</t>
        </is>
      </c>
      <c r="B56" t="inlineStr">
        <is>
          <t>Delinquency Rate on CRE Loans (excl. Farmland), All Banks</t>
        </is>
      </c>
      <c r="C56" t="inlineStr">
        <is>
          <t>cre</t>
        </is>
      </c>
      <c r="D56" t="inlineStr">
        <is>
          <t>commercial</t>
        </is>
      </c>
      <c r="E56" t="inlineStr">
        <is>
          <t>delinquency</t>
        </is>
      </c>
      <c r="F56" t="inlineStr">
        <is>
          <t>quarterly</t>
        </is>
      </c>
      <c r="G56" t="inlineStr">
        <is>
          <t>SA</t>
        </is>
      </c>
      <c r="H56" t="inlineStr">
        <is>
          <t>percent</t>
        </is>
      </c>
      <c r="I56" t="inlineStr">
        <is>
          <t>rate</t>
        </is>
      </c>
      <c r="J56" t="inlineStr">
        <is>
          <t>national</t>
        </is>
      </c>
      <c r="K56" t="inlineStr">
        <is>
          <t>TRUE</t>
        </is>
      </c>
      <c r="L56" t="inlineStr">
        <is>
          <t>FALSE</t>
        </is>
      </c>
      <c r="M56" t="inlineStr">
        <is>
          <t>zscore_8q</t>
        </is>
      </c>
      <c r="N56" t="inlineStr">
        <is>
          <t>zscore</t>
        </is>
      </c>
      <c r="O56" t="inlineStr">
        <is>
          <t>Bank-tier delinquency/charge-off can lag a quarter; stale-check flags it.</t>
        </is>
      </c>
    </row>
    <row r="57">
      <c r="A57" t="inlineStr">
        <is>
          <t>DRCRELEXFT100S</t>
        </is>
      </c>
      <c r="B57" t="inlineStr">
        <is>
          <t>Delinquency Rate on CRE Loans (excl. Farmland), Top 100 Banks</t>
        </is>
      </c>
      <c r="C57" t="inlineStr">
        <is>
          <t>cre</t>
        </is>
      </c>
      <c r="D57" t="inlineStr">
        <is>
          <t>commercial</t>
        </is>
      </c>
      <c r="E57" t="inlineStr">
        <is>
          <t>delinquency</t>
        </is>
      </c>
      <c r="F57" t="inlineStr">
        <is>
          <t>quarterly</t>
        </is>
      </c>
      <c r="G57" t="inlineStr">
        <is>
          <t>SA</t>
        </is>
      </c>
      <c r="H57" t="inlineStr">
        <is>
          <t>percent</t>
        </is>
      </c>
      <c r="I57" t="inlineStr">
        <is>
          <t>rate</t>
        </is>
      </c>
      <c r="J57" t="inlineStr">
        <is>
          <t>national</t>
        </is>
      </c>
      <c r="K57" t="inlineStr">
        <is>
          <t>TRUE</t>
        </is>
      </c>
      <c r="L57" t="inlineStr">
        <is>
          <t>FALSE</t>
        </is>
      </c>
      <c r="M57" t="inlineStr">
        <is>
          <t>zscore_8q</t>
        </is>
      </c>
      <c r="N57" t="inlineStr">
        <is>
          <t>zscore</t>
        </is>
      </c>
      <c r="O57" t="inlineStr">
        <is>
          <t>Bank-tier delinquency/charge-off can lag a quarter; stale-check flags it.</t>
        </is>
      </c>
    </row>
    <row r="58">
      <c r="A58" t="inlineStr">
        <is>
          <t>DRCRELEXFOBS</t>
        </is>
      </c>
      <c r="B58" t="inlineStr">
        <is>
          <t>Delinquency Rate on CRE Loans (excl. Farmland), Other Banks</t>
        </is>
      </c>
      <c r="C58" t="inlineStr">
        <is>
          <t>cre</t>
        </is>
      </c>
      <c r="D58" t="inlineStr">
        <is>
          <t>commercial</t>
        </is>
      </c>
      <c r="E58" t="inlineStr">
        <is>
          <t>delinquency</t>
        </is>
      </c>
      <c r="F58" t="inlineStr">
        <is>
          <t>quarterly</t>
        </is>
      </c>
      <c r="G58" t="inlineStr">
        <is>
          <t>SA</t>
        </is>
      </c>
      <c r="H58" t="inlineStr">
        <is>
          <t>percent</t>
        </is>
      </c>
      <c r="I58" t="inlineStr">
        <is>
          <t>rate</t>
        </is>
      </c>
      <c r="J58" t="inlineStr">
        <is>
          <t>national</t>
        </is>
      </c>
      <c r="K58" t="inlineStr">
        <is>
          <t>TRUE</t>
        </is>
      </c>
      <c r="L58" t="inlineStr">
        <is>
          <t>FALSE</t>
        </is>
      </c>
      <c r="M58" t="inlineStr">
        <is>
          <t>zscore_8q</t>
        </is>
      </c>
      <c r="N58" t="inlineStr">
        <is>
          <t>zscore</t>
        </is>
      </c>
      <c r="O58" t="inlineStr">
        <is>
          <t>Bank-tier delinquency/charge-off can lag a quarter; stale-check flags it.</t>
        </is>
      </c>
    </row>
    <row r="59">
      <c r="A59" t="inlineStr">
        <is>
          <t>CORALACBS</t>
        </is>
      </c>
      <c r="B59" t="inlineStr">
        <is>
          <t>Charge-Off Rate on All Loans &amp; Leases, All Banks</t>
        </is>
      </c>
      <c r="C59" t="inlineStr">
        <is>
          <t>all_loans</t>
        </is>
      </c>
      <c r="D59" t="inlineStr">
        <is>
          <t>commercial</t>
        </is>
      </c>
      <c r="E59" t="inlineStr">
        <is>
          <t>charge_off</t>
        </is>
      </c>
      <c r="F59" t="inlineStr">
        <is>
          <t>quarterly</t>
        </is>
      </c>
      <c r="G59" t="inlineStr">
        <is>
          <t>SA</t>
        </is>
      </c>
      <c r="H59" t="inlineStr">
        <is>
          <t>percent</t>
        </is>
      </c>
      <c r="I59" t="inlineStr">
        <is>
          <t>rate</t>
        </is>
      </c>
      <c r="J59" t="inlineStr">
        <is>
          <t>national</t>
        </is>
      </c>
      <c r="K59" t="inlineStr">
        <is>
          <t>TRUE</t>
        </is>
      </c>
      <c r="L59" t="inlineStr">
        <is>
          <t>FALSE</t>
        </is>
      </c>
      <c r="M59" t="inlineStr">
        <is>
          <t>zscore_8q</t>
        </is>
      </c>
      <c r="N59" t="inlineStr">
        <is>
          <t>zscore</t>
        </is>
      </c>
      <c r="O59" t="inlineStr">
        <is>
          <t>Bank-tier delinquency/charge-off can lag a quarter; stale-check flags it.</t>
        </is>
      </c>
    </row>
    <row r="60">
      <c r="A60" t="inlineStr">
        <is>
          <t>DRALACBS</t>
        </is>
      </c>
      <c r="B60" t="inlineStr">
        <is>
          <t>Delinquency Rate on All Loans &amp; Leases, All Banks</t>
        </is>
      </c>
      <c r="C60" t="inlineStr">
        <is>
          <t>all_loans</t>
        </is>
      </c>
      <c r="D60" t="inlineStr">
        <is>
          <t>commercial</t>
        </is>
      </c>
      <c r="E60" t="inlineStr">
        <is>
          <t>delinquency</t>
        </is>
      </c>
      <c r="F60" t="inlineStr">
        <is>
          <t>quarterly</t>
        </is>
      </c>
      <c r="G60" t="inlineStr">
        <is>
          <t>SA</t>
        </is>
      </c>
      <c r="H60" t="inlineStr">
        <is>
          <t>percent</t>
        </is>
      </c>
      <c r="I60" t="inlineStr">
        <is>
          <t>rate</t>
        </is>
      </c>
      <c r="J60" t="inlineStr">
        <is>
          <t>national</t>
        </is>
      </c>
      <c r="K60" t="inlineStr">
        <is>
          <t>TRUE</t>
        </is>
      </c>
      <c r="L60" t="inlineStr">
        <is>
          <t>FALSE</t>
        </is>
      </c>
      <c r="M60" t="inlineStr">
        <is>
          <t>zscore_8q</t>
        </is>
      </c>
      <c r="N60" t="inlineStr">
        <is>
          <t>zscore</t>
        </is>
      </c>
      <c r="O60" t="inlineStr">
        <is>
          <t>Bank-tier delinquency/charge-off can lag a quarter; stale-check flags it.</t>
        </is>
      </c>
    </row>
    <row r="61">
      <c r="A61" t="inlineStr">
        <is>
          <t>DRTSCILM</t>
        </is>
      </c>
      <c r="B61" t="inlineStr">
        <is>
          <t>Net % Tightening Standards for C&amp;I Loans to Large/Medium Firms</t>
        </is>
      </c>
      <c r="C61" t="inlineStr">
        <is>
          <t>sloos_diffusion</t>
        </is>
      </c>
      <c r="D61" t="inlineStr">
        <is>
          <t>commercial</t>
        </is>
      </c>
      <c r="E61" t="inlineStr">
        <is>
          <t>sloos_diffusion</t>
        </is>
      </c>
      <c r="F61" t="inlineStr">
        <is>
          <t>quarterly</t>
        </is>
      </c>
      <c r="G61" t="inlineStr">
        <is>
          <t>NSA</t>
        </is>
      </c>
      <c r="H61" t="inlineStr">
        <is>
          <t>net percent</t>
        </is>
      </c>
      <c r="I61" t="inlineStr">
        <is>
          <t>rate</t>
        </is>
      </c>
      <c r="J61" t="inlineStr">
        <is>
          <t>national</t>
        </is>
      </c>
      <c r="K61" t="inlineStr">
        <is>
          <t>TRUE</t>
        </is>
      </c>
      <c r="L61" t="inlineStr">
        <is>
          <t>FALSE</t>
        </is>
      </c>
      <c r="M61" t="inlineStr">
        <is>
          <t>level</t>
        </is>
      </c>
      <c r="N61" t="inlineStr">
        <is>
          <t>sloos_level</t>
        </is>
      </c>
      <c r="O61" t="inlineStr">
        <is>
          <t>Net % tightening; +band flags broad tightening.</t>
        </is>
      </c>
    </row>
    <row r="62">
      <c r="A62" t="inlineStr">
        <is>
          <t>DRTSCIS</t>
        </is>
      </c>
      <c r="B62" t="inlineStr">
        <is>
          <t>Net % Tightening Standards for C&amp;I Loans to Small Firms</t>
        </is>
      </c>
      <c r="C62" t="inlineStr">
        <is>
          <t>sloos_diffusion</t>
        </is>
      </c>
      <c r="D62" t="inlineStr">
        <is>
          <t>commercial</t>
        </is>
      </c>
      <c r="E62" t="inlineStr">
        <is>
          <t>sloos_diffusion</t>
        </is>
      </c>
      <c r="F62" t="inlineStr">
        <is>
          <t>quarterly</t>
        </is>
      </c>
      <c r="G62" t="inlineStr">
        <is>
          <t>NSA</t>
        </is>
      </c>
      <c r="H62" t="inlineStr">
        <is>
          <t>net percent</t>
        </is>
      </c>
      <c r="I62" t="inlineStr">
        <is>
          <t>rate</t>
        </is>
      </c>
      <c r="J62" t="inlineStr">
        <is>
          <t>national</t>
        </is>
      </c>
      <c r="K62" t="inlineStr">
        <is>
          <t>TRUE</t>
        </is>
      </c>
      <c r="L62" t="inlineStr">
        <is>
          <t>FALSE</t>
        </is>
      </c>
      <c r="M62" t="inlineStr">
        <is>
          <t>level</t>
        </is>
      </c>
      <c r="N62" t="inlineStr">
        <is>
          <t>sloos_level</t>
        </is>
      </c>
      <c r="O62" t="inlineStr">
        <is>
          <t>Net % tightening; +band flags broad tightening.</t>
        </is>
      </c>
    </row>
    <row r="63">
      <c r="A63" t="inlineStr">
        <is>
          <t>DRSDCILM</t>
        </is>
      </c>
      <c r="B63" t="inlineStr">
        <is>
          <t>Net % Reporting Stronger Demand for C&amp;I Loans, Large/Medium Firms</t>
        </is>
      </c>
      <c r="C63" t="inlineStr">
        <is>
          <t>sloos_diffusion</t>
        </is>
      </c>
      <c r="D63" t="inlineStr">
        <is>
          <t>commercial</t>
        </is>
      </c>
      <c r="E63" t="inlineStr">
        <is>
          <t>sloos_diffusion</t>
        </is>
      </c>
      <c r="F63" t="inlineStr">
        <is>
          <t>quarterly</t>
        </is>
      </c>
      <c r="G63" t="inlineStr">
        <is>
          <t>NSA</t>
        </is>
      </c>
      <c r="H63" t="inlineStr">
        <is>
          <t>net percent</t>
        </is>
      </c>
      <c r="I63" t="inlineStr">
        <is>
          <t>rate</t>
        </is>
      </c>
      <c r="J63" t="inlineStr">
        <is>
          <t>national</t>
        </is>
      </c>
      <c r="K63" t="inlineStr">
        <is>
          <t>TRUE</t>
        </is>
      </c>
      <c r="L63" t="inlineStr">
        <is>
          <t>FALSE</t>
        </is>
      </c>
      <c r="M63" t="inlineStr">
        <is>
          <t>level</t>
        </is>
      </c>
      <c r="N63" t="inlineStr">
        <is>
          <t>none</t>
        </is>
      </c>
      <c r="O63" t="inlineStr">
        <is>
          <t>SLOOS demand series -- not a tightening signal.</t>
        </is>
      </c>
    </row>
    <row r="64">
      <c r="A64" t="inlineStr">
        <is>
          <t>DRSDCIS</t>
        </is>
      </c>
      <c r="B64" t="inlineStr">
        <is>
          <t>Net % Reporting Stronger Demand for C&amp;I Loans, Small Firms</t>
        </is>
      </c>
      <c r="C64" t="inlineStr">
        <is>
          <t>sloos_diffusion</t>
        </is>
      </c>
      <c r="D64" t="inlineStr">
        <is>
          <t>commercial</t>
        </is>
      </c>
      <c r="E64" t="inlineStr">
        <is>
          <t>sloos_diffusion</t>
        </is>
      </c>
      <c r="F64" t="inlineStr">
        <is>
          <t>quarterly</t>
        </is>
      </c>
      <c r="G64" t="inlineStr">
        <is>
          <t>NSA</t>
        </is>
      </c>
      <c r="H64" t="inlineStr">
        <is>
          <t>net percent</t>
        </is>
      </c>
      <c r="I64" t="inlineStr">
        <is>
          <t>rate</t>
        </is>
      </c>
      <c r="J64" t="inlineStr">
        <is>
          <t>national</t>
        </is>
      </c>
      <c r="K64" t="inlineStr">
        <is>
          <t>TRUE</t>
        </is>
      </c>
      <c r="L64" t="inlineStr">
        <is>
          <t>FALSE</t>
        </is>
      </c>
      <c r="M64" t="inlineStr">
        <is>
          <t>level</t>
        </is>
      </c>
      <c r="N64" t="inlineStr">
        <is>
          <t>none</t>
        </is>
      </c>
      <c r="O64" t="inlineStr">
        <is>
          <t>SLOOS demand series -- not a tightening signal.</t>
        </is>
      </c>
    </row>
    <row r="65">
      <c r="A65" t="inlineStr">
        <is>
          <t>SUBLPDRCSN</t>
        </is>
      </c>
      <c r="B65" t="inlineStr">
        <is>
          <t>Net % Tightening Standards for CRE Construction &amp; Land Loans</t>
        </is>
      </c>
      <c r="C65" t="inlineStr">
        <is>
          <t>sloos_diffusion</t>
        </is>
      </c>
      <c r="D65" t="inlineStr">
        <is>
          <t>commercial</t>
        </is>
      </c>
      <c r="E65" t="inlineStr">
        <is>
          <t>sloos_diffusion</t>
        </is>
      </c>
      <c r="F65" t="inlineStr">
        <is>
          <t>quarterly</t>
        </is>
      </c>
      <c r="G65" t="inlineStr">
        <is>
          <t>NSA</t>
        </is>
      </c>
      <c r="H65" t="inlineStr">
        <is>
          <t>net percent</t>
        </is>
      </c>
      <c r="I65" t="inlineStr">
        <is>
          <t>rate</t>
        </is>
      </c>
      <c r="J65" t="inlineStr">
        <is>
          <t>national</t>
        </is>
      </c>
      <c r="K65" t="inlineStr">
        <is>
          <t>TRUE</t>
        </is>
      </c>
      <c r="L65" t="inlineStr">
        <is>
          <t>FALSE</t>
        </is>
      </c>
      <c r="M65" t="inlineStr">
        <is>
          <t>level</t>
        </is>
      </c>
      <c r="N65" t="inlineStr">
        <is>
          <t>sloos_level</t>
        </is>
      </c>
      <c r="O65" t="inlineStr">
        <is>
          <t>Net % tightening; +band flags broad tightening.</t>
        </is>
      </c>
    </row>
    <row r="66">
      <c r="A66" t="inlineStr">
        <is>
          <t>SUBLPDRCSM</t>
        </is>
      </c>
      <c r="B66" t="inlineStr">
        <is>
          <t>Net % Tightening Standards for CRE Multifamily Loans</t>
        </is>
      </c>
      <c r="C66" t="inlineStr">
        <is>
          <t>sloos_diffusion</t>
        </is>
      </c>
      <c r="D66" t="inlineStr">
        <is>
          <t>commercial</t>
        </is>
      </c>
      <c r="E66" t="inlineStr">
        <is>
          <t>sloos_diffusion</t>
        </is>
      </c>
      <c r="F66" t="inlineStr">
        <is>
          <t>quarterly</t>
        </is>
      </c>
      <c r="G66" t="inlineStr">
        <is>
          <t>NSA</t>
        </is>
      </c>
      <c r="H66" t="inlineStr">
        <is>
          <t>net percent</t>
        </is>
      </c>
      <c r="I66" t="inlineStr">
        <is>
          <t>rate</t>
        </is>
      </c>
      <c r="J66" t="inlineStr">
        <is>
          <t>national</t>
        </is>
      </c>
      <c r="K66" t="inlineStr">
        <is>
          <t>TRUE</t>
        </is>
      </c>
      <c r="L66" t="inlineStr">
        <is>
          <t>FALSE</t>
        </is>
      </c>
      <c r="M66" t="inlineStr">
        <is>
          <t>level</t>
        </is>
      </c>
      <c r="N66" t="inlineStr">
        <is>
          <t>sloos_level</t>
        </is>
      </c>
      <c r="O66" t="inlineStr">
        <is>
          <t>Net % tightening; +band flags broad tightening.</t>
        </is>
      </c>
    </row>
    <row r="67">
      <c r="A67" t="inlineStr">
        <is>
          <t>SUBLPDRCSC</t>
        </is>
      </c>
      <c r="B67" t="inlineStr">
        <is>
          <t>Net % Tightening Standards for CRE Nonfarm Nonresidential Loans</t>
        </is>
      </c>
      <c r="C67" t="inlineStr">
        <is>
          <t>sloos_diffusion</t>
        </is>
      </c>
      <c r="D67" t="inlineStr">
        <is>
          <t>commercial</t>
        </is>
      </c>
      <c r="E67" t="inlineStr">
        <is>
          <t>sloos_diffusion</t>
        </is>
      </c>
      <c r="F67" t="inlineStr">
        <is>
          <t>quarterly</t>
        </is>
      </c>
      <c r="G67" t="inlineStr">
        <is>
          <t>NSA</t>
        </is>
      </c>
      <c r="H67" t="inlineStr">
        <is>
          <t>net percent</t>
        </is>
      </c>
      <c r="I67" t="inlineStr">
        <is>
          <t>rate</t>
        </is>
      </c>
      <c r="J67" t="inlineStr">
        <is>
          <t>national</t>
        </is>
      </c>
      <c r="K67" t="inlineStr">
        <is>
          <t>TRUE</t>
        </is>
      </c>
      <c r="L67" t="inlineStr">
        <is>
          <t>FALSE</t>
        </is>
      </c>
      <c r="M67" t="inlineStr">
        <is>
          <t>level</t>
        </is>
      </c>
      <c r="N67" t="inlineStr">
        <is>
          <t>sloos_level</t>
        </is>
      </c>
      <c r="O67" t="inlineStr">
        <is>
          <t>Net % tightening; +band flags broad tightening.</t>
        </is>
      </c>
    </row>
    <row r="68">
      <c r="A68" t="inlineStr">
        <is>
          <t>SUBLPDCILSLGNQ</t>
        </is>
      </c>
      <c r="B68" t="inlineStr">
        <is>
          <t>Net % Increasing Spreads on C&amp;I Loans to Large/Medium Firms</t>
        </is>
      </c>
      <c r="C68" t="inlineStr">
        <is>
          <t>sloos_diffusion</t>
        </is>
      </c>
      <c r="D68" t="inlineStr">
        <is>
          <t>commercial</t>
        </is>
      </c>
      <c r="E68" t="inlineStr">
        <is>
          <t>sloos_diffusion</t>
        </is>
      </c>
      <c r="F68" t="inlineStr">
        <is>
          <t>quarterly</t>
        </is>
      </c>
      <c r="G68" t="inlineStr">
        <is>
          <t>NSA</t>
        </is>
      </c>
      <c r="H68" t="inlineStr">
        <is>
          <t>net percent</t>
        </is>
      </c>
      <c r="I68" t="inlineStr">
        <is>
          <t>rate</t>
        </is>
      </c>
      <c r="J68" t="inlineStr">
        <is>
          <t>national</t>
        </is>
      </c>
      <c r="K68" t="inlineStr">
        <is>
          <t>TRUE</t>
        </is>
      </c>
      <c r="L68" t="inlineStr">
        <is>
          <t>FALSE</t>
        </is>
      </c>
      <c r="M68" t="inlineStr">
        <is>
          <t>level</t>
        </is>
      </c>
      <c r="N68" t="inlineStr">
        <is>
          <t>sloos_level</t>
        </is>
      </c>
      <c r="O68" t="inlineStr">
        <is>
          <t>Net % tightening; +band flags broad tightening.</t>
        </is>
      </c>
    </row>
    <row r="69">
      <c r="A69" t="inlineStr">
        <is>
          <t>USSTHPI</t>
        </is>
      </c>
      <c r="B69" t="inlineStr">
        <is>
          <t>FHFA All-Transactions House Price Index, United States</t>
        </is>
      </c>
      <c r="C69" t="inlineStr">
        <is>
          <t>hpi_national</t>
        </is>
      </c>
      <c r="D69" t="inlineStr">
        <is>
          <t>price</t>
        </is>
      </c>
      <c r="E69" t="inlineStr">
        <is>
          <t>index</t>
        </is>
      </c>
      <c r="F69" t="inlineStr">
        <is>
          <t>quarterly</t>
        </is>
      </c>
      <c r="G69" t="inlineStr">
        <is>
          <t>SA</t>
        </is>
      </c>
      <c r="H69" t="inlineStr">
        <is>
          <t>index 1980Q1=100</t>
        </is>
      </c>
      <c r="I69" t="inlineStr">
        <is>
          <t>index</t>
        </is>
      </c>
      <c r="J69" t="inlineStr">
        <is>
          <t>national</t>
        </is>
      </c>
      <c r="K69" t="inlineStr">
        <is>
          <t>TRUE</t>
        </is>
      </c>
      <c r="L69" t="inlineStr">
        <is>
          <t>FALSE</t>
        </is>
      </c>
      <c r="M69" t="inlineStr">
        <is>
          <t>index_to_pct</t>
        </is>
      </c>
      <c r="N69" t="inlineStr">
        <is>
          <t>none</t>
        </is>
      </c>
      <c r="O69" t="inlineStr">
        <is>
          <t>National HPI -- dashboard only, cannot localize a portfolio.</t>
        </is>
      </c>
    </row>
    <row r="70">
      <c r="A70" t="inlineStr">
        <is>
          <t>HPIPONM226S</t>
        </is>
      </c>
      <c r="B70" t="inlineStr">
        <is>
          <t>FHFA Purchase-Only House Price Index, United States (Monthly, SA)</t>
        </is>
      </c>
      <c r="C70" t="inlineStr">
        <is>
          <t>hpi_national</t>
        </is>
      </c>
      <c r="D70" t="inlineStr">
        <is>
          <t>price</t>
        </is>
      </c>
      <c r="E70" t="inlineStr">
        <is>
          <t>index</t>
        </is>
      </c>
      <c r="F70" t="inlineStr">
        <is>
          <t>monthly</t>
        </is>
      </c>
      <c r="G70" t="inlineStr">
        <is>
          <t>SA</t>
        </is>
      </c>
      <c r="H70" t="inlineStr">
        <is>
          <t>index 1991-01=100</t>
        </is>
      </c>
      <c r="I70" t="inlineStr">
        <is>
          <t>index</t>
        </is>
      </c>
      <c r="J70" t="inlineStr">
        <is>
          <t>national</t>
        </is>
      </c>
      <c r="K70" t="inlineStr">
        <is>
          <t>TRUE</t>
        </is>
      </c>
      <c r="L70" t="inlineStr">
        <is>
          <t>FALSE</t>
        </is>
      </c>
      <c r="M70" t="inlineStr">
        <is>
          <t>index_to_pct</t>
        </is>
      </c>
      <c r="N70" t="inlineStr">
        <is>
          <t>none</t>
        </is>
      </c>
      <c r="O70" t="inlineStr"/>
    </row>
    <row r="71">
      <c r="A71" t="inlineStr">
        <is>
          <t>CSUSHPINSA</t>
        </is>
      </c>
      <c r="B71" t="inlineStr">
        <is>
          <t>S&amp;P CoreLogic Case-Shiller U.S. National HPI (NSA)</t>
        </is>
      </c>
      <c r="C71" t="inlineStr">
        <is>
          <t>hpi_national</t>
        </is>
      </c>
      <c r="D71" t="inlineStr">
        <is>
          <t>price</t>
        </is>
      </c>
      <c r="E71" t="inlineStr">
        <is>
          <t>index</t>
        </is>
      </c>
      <c r="F71" t="inlineStr">
        <is>
          <t>monthly</t>
        </is>
      </c>
      <c r="G71" t="inlineStr">
        <is>
          <t>NSA</t>
        </is>
      </c>
      <c r="H71" t="inlineStr">
        <is>
          <t>index 2000-01=100</t>
        </is>
      </c>
      <c r="I71" t="inlineStr">
        <is>
          <t>index</t>
        </is>
      </c>
      <c r="J71" t="inlineStr">
        <is>
          <t>national</t>
        </is>
      </c>
      <c r="K71" t="inlineStr">
        <is>
          <t>TRUE</t>
        </is>
      </c>
      <c r="L71" t="inlineStr">
        <is>
          <t>FALSE</t>
        </is>
      </c>
      <c r="M71" t="inlineStr">
        <is>
          <t>index_to_pct</t>
        </is>
      </c>
      <c r="N71" t="inlineStr">
        <is>
          <t>none</t>
        </is>
      </c>
      <c r="O71" t="inlineStr">
        <is>
          <t>Case-Shiller is copyrighted -- internal monitoring only, not for redistribution.</t>
        </is>
      </c>
    </row>
    <row r="72">
      <c r="A72" t="inlineStr">
        <is>
          <t>CSUSHPISA</t>
        </is>
      </c>
      <c r="B72" t="inlineStr">
        <is>
          <t>S&amp;P CoreLogic Case-Shiller U.S. National HPI (SA)</t>
        </is>
      </c>
      <c r="C72" t="inlineStr">
        <is>
          <t>hpi_national</t>
        </is>
      </c>
      <c r="D72" t="inlineStr">
        <is>
          <t>price</t>
        </is>
      </c>
      <c r="E72" t="inlineStr">
        <is>
          <t>index</t>
        </is>
      </c>
      <c r="F72" t="inlineStr">
        <is>
          <t>monthly</t>
        </is>
      </c>
      <c r="G72" t="inlineStr">
        <is>
          <t>SA</t>
        </is>
      </c>
      <c r="H72" t="inlineStr">
        <is>
          <t>index 2000-01=100</t>
        </is>
      </c>
      <c r="I72" t="inlineStr">
        <is>
          <t>index</t>
        </is>
      </c>
      <c r="J72" t="inlineStr">
        <is>
          <t>national</t>
        </is>
      </c>
      <c r="K72" t="inlineStr">
        <is>
          <t>TRUE</t>
        </is>
      </c>
      <c r="L72" t="inlineStr">
        <is>
          <t>FALSE</t>
        </is>
      </c>
      <c r="M72" t="inlineStr">
        <is>
          <t>index_to_pct</t>
        </is>
      </c>
      <c r="N72" t="inlineStr">
        <is>
          <t>none</t>
        </is>
      </c>
      <c r="O72" t="inlineStr">
        <is>
          <t>Case-Shiller is copyrighted -- internal monitoring only, not for redistribution.</t>
        </is>
      </c>
    </row>
    <row r="73">
      <c r="A73" t="inlineStr">
        <is>
          <t>BOGZ1FL075035503Q</t>
        </is>
      </c>
      <c r="B73" t="inlineStr">
        <is>
          <t>Z.1 Commercial Real Estate Value (Nonfinancial Corporate), Level</t>
        </is>
      </c>
      <c r="C73" t="inlineStr">
        <is>
          <t>cre_price</t>
        </is>
      </c>
      <c r="D73" t="inlineStr">
        <is>
          <t>price</t>
        </is>
      </c>
      <c r="E73" t="inlineStr">
        <is>
          <t>level</t>
        </is>
      </c>
      <c r="F73" t="inlineStr">
        <is>
          <t>quarterly</t>
        </is>
      </c>
      <c r="G73" t="inlineStr">
        <is>
          <t>NSA</t>
        </is>
      </c>
      <c r="H73" t="inlineStr">
        <is>
          <t>millions $</t>
        </is>
      </c>
      <c r="I73" t="inlineStr">
        <is>
          <t>level</t>
        </is>
      </c>
      <c r="J73" t="inlineStr">
        <is>
          <t>national</t>
        </is>
      </c>
      <c r="K73" t="inlineStr">
        <is>
          <t>TRUE</t>
        </is>
      </c>
      <c r="L73" t="inlineStr">
        <is>
          <t>FALSE</t>
        </is>
      </c>
      <c r="M73" t="inlineStr">
        <is>
          <t>level</t>
        </is>
      </c>
      <c r="N73" t="inlineStr">
        <is>
          <t>none</t>
        </is>
      </c>
      <c r="O73" t="inlineStr">
        <is>
          <t>DOLLAR LEVEL, not a 2000=100 index -- never apply index_to_pct.</t>
        </is>
      </c>
    </row>
    <row r="74">
      <c r="A74" t="inlineStr">
        <is>
          <t>COMREPUSQ159N</t>
        </is>
      </c>
      <c r="B74" t="inlineStr">
        <is>
          <t>Commercial Real Estate Prices for United States (YoY %)</t>
        </is>
      </c>
      <c r="C74" t="inlineStr">
        <is>
          <t>cre_price</t>
        </is>
      </c>
      <c r="D74" t="inlineStr">
        <is>
          <t>price</t>
        </is>
      </c>
      <c r="E74" t="inlineStr">
        <is>
          <t>rate</t>
        </is>
      </c>
      <c r="F74" t="inlineStr">
        <is>
          <t>quarterly</t>
        </is>
      </c>
      <c r="G74" t="inlineStr">
        <is>
          <t>NSA</t>
        </is>
      </c>
      <c r="H74" t="inlineStr">
        <is>
          <t>percent (YoY)</t>
        </is>
      </c>
      <c r="I74" t="inlineStr">
        <is>
          <t>rate</t>
        </is>
      </c>
      <c r="J74" t="inlineStr">
        <is>
          <t>national</t>
        </is>
      </c>
      <c r="K74" t="inlineStr">
        <is>
          <t>TRUE</t>
        </is>
      </c>
      <c r="L74" t="inlineStr">
        <is>
          <t>FALSE</t>
        </is>
      </c>
      <c r="M74" t="inlineStr">
        <is>
          <t>level</t>
        </is>
      </c>
      <c r="N74" t="inlineStr">
        <is>
          <t>none</t>
        </is>
      </c>
      <c r="O74" t="inlineStr">
        <is>
          <t>Already expressed as YoY % -- passthrough, do not re-difference.</t>
        </is>
      </c>
    </row>
    <row r="75">
      <c r="A75" t="inlineStr">
        <is>
          <t>BOGZ1FL075035403Q</t>
        </is>
      </c>
      <c r="B75" t="inlineStr">
        <is>
          <t>Z.1 Multifamily Residential Real Estate Value, Level</t>
        </is>
      </c>
      <c r="C75" t="inlineStr">
        <is>
          <t>cre_price</t>
        </is>
      </c>
      <c r="D75" t="inlineStr">
        <is>
          <t>price</t>
        </is>
      </c>
      <c r="E75" t="inlineStr">
        <is>
          <t>level</t>
        </is>
      </c>
      <c r="F75" t="inlineStr">
        <is>
          <t>quarterly</t>
        </is>
      </c>
      <c r="G75" t="inlineStr">
        <is>
          <t>NSA</t>
        </is>
      </c>
      <c r="H75" t="inlineStr">
        <is>
          <t>millions $</t>
        </is>
      </c>
      <c r="I75" t="inlineStr">
        <is>
          <t>level</t>
        </is>
      </c>
      <c r="J75" t="inlineStr">
        <is>
          <t>national</t>
        </is>
      </c>
      <c r="K75" t="inlineStr">
        <is>
          <t>TRUE</t>
        </is>
      </c>
      <c r="L75" t="inlineStr">
        <is>
          <t>FALSE</t>
        </is>
      </c>
      <c r="M75" t="inlineStr">
        <is>
          <t>level</t>
        </is>
      </c>
      <c r="N75" t="inlineStr">
        <is>
          <t>none</t>
        </is>
      </c>
      <c r="O75" t="inlineStr">
        <is>
          <t>DOLLAR LEVEL, not an index -- never apply index_to_pct.</t>
        </is>
      </c>
    </row>
    <row r="76">
      <c r="A76" t="inlineStr">
        <is>
          <t>ALSTHPI</t>
        </is>
      </c>
      <c r="B76" t="inlineStr">
        <is>
          <t>FHFA All-Transactions HPI -- Alabama</t>
        </is>
      </c>
      <c r="C76" t="inlineStr">
        <is>
          <t>hpi_state</t>
        </is>
      </c>
      <c r="D76" t="inlineStr">
        <is>
          <t>price</t>
        </is>
      </c>
      <c r="E76" t="inlineStr">
        <is>
          <t>price</t>
        </is>
      </c>
      <c r="F76" t="inlineStr">
        <is>
          <t>quarterly</t>
        </is>
      </c>
      <c r="G76" t="inlineStr">
        <is>
          <t>NSA</t>
        </is>
      </c>
      <c r="H76" t="inlineStr">
        <is>
          <t>index 1980Q1=100</t>
        </is>
      </c>
      <c r="I76" t="inlineStr">
        <is>
          <t>index</t>
        </is>
      </c>
      <c r="J76" t="inlineStr">
        <is>
          <t>state:AL</t>
        </is>
      </c>
      <c r="K76" t="inlineStr">
        <is>
          <t>FALSE</t>
        </is>
      </c>
      <c r="L76" t="inlineStr">
        <is>
          <t>TRUE</t>
        </is>
      </c>
      <c r="M76" t="inlineStr">
        <is>
          <t>yoy_pct</t>
        </is>
      </c>
      <c r="N76" t="inlineStr">
        <is>
          <t>none</t>
        </is>
      </c>
      <c r="O76" t="inlineStr">
        <is>
          <t>FHFA state HPI -- geographically keyed; watchlist-capable.</t>
        </is>
      </c>
    </row>
    <row r="77">
      <c r="A77" t="inlineStr">
        <is>
          <t>AKSTHPI</t>
        </is>
      </c>
      <c r="B77" t="inlineStr">
        <is>
          <t>FHFA All-Transactions HPI -- Alaska</t>
        </is>
      </c>
      <c r="C77" t="inlineStr">
        <is>
          <t>hpi_state</t>
        </is>
      </c>
      <c r="D77" t="inlineStr">
        <is>
          <t>price</t>
        </is>
      </c>
      <c r="E77" t="inlineStr">
        <is>
          <t>price</t>
        </is>
      </c>
      <c r="F77" t="inlineStr">
        <is>
          <t>quarterly</t>
        </is>
      </c>
      <c r="G77" t="inlineStr">
        <is>
          <t>NSA</t>
        </is>
      </c>
      <c r="H77" t="inlineStr">
        <is>
          <t>index 1980Q1=100</t>
        </is>
      </c>
      <c r="I77" t="inlineStr">
        <is>
          <t>index</t>
        </is>
      </c>
      <c r="J77" t="inlineStr">
        <is>
          <t>state:AK</t>
        </is>
      </c>
      <c r="K77" t="inlineStr">
        <is>
          <t>FALSE</t>
        </is>
      </c>
      <c r="L77" t="inlineStr">
        <is>
          <t>TRUE</t>
        </is>
      </c>
      <c r="M77" t="inlineStr">
        <is>
          <t>yoy_pct</t>
        </is>
      </c>
      <c r="N77" t="inlineStr">
        <is>
          <t>none</t>
        </is>
      </c>
      <c r="O77" t="inlineStr">
        <is>
          <t>FHFA state HPI -- geographically keyed; watchlist-capable.</t>
        </is>
      </c>
    </row>
    <row r="78">
      <c r="A78" t="inlineStr">
        <is>
          <t>AZSTHPI</t>
        </is>
      </c>
      <c r="B78" t="inlineStr">
        <is>
          <t>FHFA All-Transactions HPI -- Arizona</t>
        </is>
      </c>
      <c r="C78" t="inlineStr">
        <is>
          <t>hpi_state</t>
        </is>
      </c>
      <c r="D78" t="inlineStr">
        <is>
          <t>price</t>
        </is>
      </c>
      <c r="E78" t="inlineStr">
        <is>
          <t>price</t>
        </is>
      </c>
      <c r="F78" t="inlineStr">
        <is>
          <t>quarterly</t>
        </is>
      </c>
      <c r="G78" t="inlineStr">
        <is>
          <t>NSA</t>
        </is>
      </c>
      <c r="H78" t="inlineStr">
        <is>
          <t>index 1980Q1=100</t>
        </is>
      </c>
      <c r="I78" t="inlineStr">
        <is>
          <t>index</t>
        </is>
      </c>
      <c r="J78" t="inlineStr">
        <is>
          <t>state:AZ</t>
        </is>
      </c>
      <c r="K78" t="inlineStr">
        <is>
          <t>FALSE</t>
        </is>
      </c>
      <c r="L78" t="inlineStr">
        <is>
          <t>TRUE</t>
        </is>
      </c>
      <c r="M78" t="inlineStr">
        <is>
          <t>yoy_pct</t>
        </is>
      </c>
      <c r="N78" t="inlineStr">
        <is>
          <t>none</t>
        </is>
      </c>
      <c r="O78" t="inlineStr">
        <is>
          <t>FHFA state HPI -- geographically keyed; watchlist-capable.</t>
        </is>
      </c>
    </row>
    <row r="79">
      <c r="A79" t="inlineStr">
        <is>
          <t>ARSTHPI</t>
        </is>
      </c>
      <c r="B79" t="inlineStr">
        <is>
          <t>FHFA All-Transactions HPI -- Arkansas</t>
        </is>
      </c>
      <c r="C79" t="inlineStr">
        <is>
          <t>hpi_state</t>
        </is>
      </c>
      <c r="D79" t="inlineStr">
        <is>
          <t>price</t>
        </is>
      </c>
      <c r="E79" t="inlineStr">
        <is>
          <t>price</t>
        </is>
      </c>
      <c r="F79" t="inlineStr">
        <is>
          <t>quarterly</t>
        </is>
      </c>
      <c r="G79" t="inlineStr">
        <is>
          <t>NSA</t>
        </is>
      </c>
      <c r="H79" t="inlineStr">
        <is>
          <t>index 1980Q1=100</t>
        </is>
      </c>
      <c r="I79" t="inlineStr">
        <is>
          <t>index</t>
        </is>
      </c>
      <c r="J79" t="inlineStr">
        <is>
          <t>state:AR</t>
        </is>
      </c>
      <c r="K79" t="inlineStr">
        <is>
          <t>FALSE</t>
        </is>
      </c>
      <c r="L79" t="inlineStr">
        <is>
          <t>TRUE</t>
        </is>
      </c>
      <c r="M79" t="inlineStr">
        <is>
          <t>yoy_pct</t>
        </is>
      </c>
      <c r="N79" t="inlineStr">
        <is>
          <t>none</t>
        </is>
      </c>
      <c r="O79" t="inlineStr">
        <is>
          <t>FHFA state HPI -- geographically keyed; watchlist-capable.</t>
        </is>
      </c>
    </row>
    <row r="80">
      <c r="A80" t="inlineStr">
        <is>
          <t>CASTHPI</t>
        </is>
      </c>
      <c r="B80" t="inlineStr">
        <is>
          <t>FHFA All-Transactions HPI -- California</t>
        </is>
      </c>
      <c r="C80" t="inlineStr">
        <is>
          <t>hpi_state</t>
        </is>
      </c>
      <c r="D80" t="inlineStr">
        <is>
          <t>price</t>
        </is>
      </c>
      <c r="E80" t="inlineStr">
        <is>
          <t>price</t>
        </is>
      </c>
      <c r="F80" t="inlineStr">
        <is>
          <t>quarterly</t>
        </is>
      </c>
      <c r="G80" t="inlineStr">
        <is>
          <t>NSA</t>
        </is>
      </c>
      <c r="H80" t="inlineStr">
        <is>
          <t>index 1980Q1=100</t>
        </is>
      </c>
      <c r="I80" t="inlineStr">
        <is>
          <t>index</t>
        </is>
      </c>
      <c r="J80" t="inlineStr">
        <is>
          <t>state:CA</t>
        </is>
      </c>
      <c r="K80" t="inlineStr">
        <is>
          <t>FALSE</t>
        </is>
      </c>
      <c r="L80" t="inlineStr">
        <is>
          <t>TRUE</t>
        </is>
      </c>
      <c r="M80" t="inlineStr">
        <is>
          <t>yoy_pct</t>
        </is>
      </c>
      <c r="N80" t="inlineStr">
        <is>
          <t>none</t>
        </is>
      </c>
      <c r="O80" t="inlineStr">
        <is>
          <t>FHFA state HPI -- geographically keyed; watchlist-capable.</t>
        </is>
      </c>
    </row>
    <row r="81">
      <c r="A81" t="inlineStr">
        <is>
          <t>COSTHPI</t>
        </is>
      </c>
      <c r="B81" t="inlineStr">
        <is>
          <t>FHFA All-Transactions HPI -- Colorado</t>
        </is>
      </c>
      <c r="C81" t="inlineStr">
        <is>
          <t>hpi_state</t>
        </is>
      </c>
      <c r="D81" t="inlineStr">
        <is>
          <t>price</t>
        </is>
      </c>
      <c r="E81" t="inlineStr">
        <is>
          <t>price</t>
        </is>
      </c>
      <c r="F81" t="inlineStr">
        <is>
          <t>quarterly</t>
        </is>
      </c>
      <c r="G81" t="inlineStr">
        <is>
          <t>NSA</t>
        </is>
      </c>
      <c r="H81" t="inlineStr">
        <is>
          <t>index 1980Q1=100</t>
        </is>
      </c>
      <c r="I81" t="inlineStr">
        <is>
          <t>index</t>
        </is>
      </c>
      <c r="J81" t="inlineStr">
        <is>
          <t>state:CO</t>
        </is>
      </c>
      <c r="K81" t="inlineStr">
        <is>
          <t>FALSE</t>
        </is>
      </c>
      <c r="L81" t="inlineStr">
        <is>
          <t>TRUE</t>
        </is>
      </c>
      <c r="M81" t="inlineStr">
        <is>
          <t>yoy_pct</t>
        </is>
      </c>
      <c r="N81" t="inlineStr">
        <is>
          <t>none</t>
        </is>
      </c>
      <c r="O81" t="inlineStr">
        <is>
          <t>FHFA state HPI -- geographically keyed; watchlist-capable.</t>
        </is>
      </c>
    </row>
    <row r="82">
      <c r="A82" t="inlineStr">
        <is>
          <t>CTSTHPI</t>
        </is>
      </c>
      <c r="B82" t="inlineStr">
        <is>
          <t>FHFA All-Transactions HPI -- Connecticut</t>
        </is>
      </c>
      <c r="C82" t="inlineStr">
        <is>
          <t>hpi_state</t>
        </is>
      </c>
      <c r="D82" t="inlineStr">
        <is>
          <t>price</t>
        </is>
      </c>
      <c r="E82" t="inlineStr">
        <is>
          <t>price</t>
        </is>
      </c>
      <c r="F82" t="inlineStr">
        <is>
          <t>quarterly</t>
        </is>
      </c>
      <c r="G82" t="inlineStr">
        <is>
          <t>NSA</t>
        </is>
      </c>
      <c r="H82" t="inlineStr">
        <is>
          <t>index 1980Q1=100</t>
        </is>
      </c>
      <c r="I82" t="inlineStr">
        <is>
          <t>index</t>
        </is>
      </c>
      <c r="J82" t="inlineStr">
        <is>
          <t>state:CT</t>
        </is>
      </c>
      <c r="K82" t="inlineStr">
        <is>
          <t>FALSE</t>
        </is>
      </c>
      <c r="L82" t="inlineStr">
        <is>
          <t>TRUE</t>
        </is>
      </c>
      <c r="M82" t="inlineStr">
        <is>
          <t>yoy_pct</t>
        </is>
      </c>
      <c r="N82" t="inlineStr">
        <is>
          <t>none</t>
        </is>
      </c>
      <c r="O82" t="inlineStr">
        <is>
          <t>FHFA state HPI -- geographically keyed; watchlist-capable.</t>
        </is>
      </c>
    </row>
    <row r="83">
      <c r="A83" t="inlineStr">
        <is>
          <t>DESTHPI</t>
        </is>
      </c>
      <c r="B83" t="inlineStr">
        <is>
          <t>FHFA All-Transactions HPI -- Delaware</t>
        </is>
      </c>
      <c r="C83" t="inlineStr">
        <is>
          <t>hpi_state</t>
        </is>
      </c>
      <c r="D83" t="inlineStr">
        <is>
          <t>price</t>
        </is>
      </c>
      <c r="E83" t="inlineStr">
        <is>
          <t>price</t>
        </is>
      </c>
      <c r="F83" t="inlineStr">
        <is>
          <t>quarterly</t>
        </is>
      </c>
      <c r="G83" t="inlineStr">
        <is>
          <t>NSA</t>
        </is>
      </c>
      <c r="H83" t="inlineStr">
        <is>
          <t>index 1980Q1=100</t>
        </is>
      </c>
      <c r="I83" t="inlineStr">
        <is>
          <t>index</t>
        </is>
      </c>
      <c r="J83" t="inlineStr">
        <is>
          <t>state:DE</t>
        </is>
      </c>
      <c r="K83" t="inlineStr">
        <is>
          <t>FALSE</t>
        </is>
      </c>
      <c r="L83" t="inlineStr">
        <is>
          <t>TRUE</t>
        </is>
      </c>
      <c r="M83" t="inlineStr">
        <is>
          <t>yoy_pct</t>
        </is>
      </c>
      <c r="N83" t="inlineStr">
        <is>
          <t>none</t>
        </is>
      </c>
      <c r="O83" t="inlineStr">
        <is>
          <t>FHFA state HPI -- geographically keyed; watchlist-capable.</t>
        </is>
      </c>
    </row>
    <row r="84">
      <c r="A84" t="inlineStr">
        <is>
          <t>DCSTHPI</t>
        </is>
      </c>
      <c r="B84" t="inlineStr">
        <is>
          <t>FHFA All-Transactions HPI -- District of Columbia</t>
        </is>
      </c>
      <c r="C84" t="inlineStr">
        <is>
          <t>hpi_state</t>
        </is>
      </c>
      <c r="D84" t="inlineStr">
        <is>
          <t>price</t>
        </is>
      </c>
      <c r="E84" t="inlineStr">
        <is>
          <t>price</t>
        </is>
      </c>
      <c r="F84" t="inlineStr">
        <is>
          <t>quarterly</t>
        </is>
      </c>
      <c r="G84" t="inlineStr">
        <is>
          <t>NSA</t>
        </is>
      </c>
      <c r="H84" t="inlineStr">
        <is>
          <t>index 1980Q1=100</t>
        </is>
      </c>
      <c r="I84" t="inlineStr">
        <is>
          <t>index</t>
        </is>
      </c>
      <c r="J84" t="inlineStr">
        <is>
          <t>state:DC</t>
        </is>
      </c>
      <c r="K84" t="inlineStr">
        <is>
          <t>FALSE</t>
        </is>
      </c>
      <c r="L84" t="inlineStr">
        <is>
          <t>TRUE</t>
        </is>
      </c>
      <c r="M84" t="inlineStr">
        <is>
          <t>yoy_pct</t>
        </is>
      </c>
      <c r="N84" t="inlineStr">
        <is>
          <t>none</t>
        </is>
      </c>
      <c r="O84" t="inlineStr">
        <is>
          <t>FHFA state HPI -- geographically keyed; watchlist-capable.</t>
        </is>
      </c>
    </row>
    <row r="85">
      <c r="A85" t="inlineStr">
        <is>
          <t>FLSTHPI</t>
        </is>
      </c>
      <c r="B85" t="inlineStr">
        <is>
          <t>FHFA All-Transactions HPI -- Florida</t>
        </is>
      </c>
      <c r="C85" t="inlineStr">
        <is>
          <t>hpi_state</t>
        </is>
      </c>
      <c r="D85" t="inlineStr">
        <is>
          <t>price</t>
        </is>
      </c>
      <c r="E85" t="inlineStr">
        <is>
          <t>price</t>
        </is>
      </c>
      <c r="F85" t="inlineStr">
        <is>
          <t>quarterly</t>
        </is>
      </c>
      <c r="G85" t="inlineStr">
        <is>
          <t>NSA</t>
        </is>
      </c>
      <c r="H85" t="inlineStr">
        <is>
          <t>index 1980Q1=100</t>
        </is>
      </c>
      <c r="I85" t="inlineStr">
        <is>
          <t>index</t>
        </is>
      </c>
      <c r="J85" t="inlineStr">
        <is>
          <t>state:FL</t>
        </is>
      </c>
      <c r="K85" t="inlineStr">
        <is>
          <t>FALSE</t>
        </is>
      </c>
      <c r="L85" t="inlineStr">
        <is>
          <t>TRUE</t>
        </is>
      </c>
      <c r="M85" t="inlineStr">
        <is>
          <t>yoy_pct</t>
        </is>
      </c>
      <c r="N85" t="inlineStr">
        <is>
          <t>none</t>
        </is>
      </c>
      <c r="O85" t="inlineStr">
        <is>
          <t>FHFA state HPI -- geographically keyed; watchlist-capable.</t>
        </is>
      </c>
    </row>
    <row r="86">
      <c r="A86" t="inlineStr">
        <is>
          <t>GASTHPI</t>
        </is>
      </c>
      <c r="B86" t="inlineStr">
        <is>
          <t>FHFA All-Transactions HPI -- Georgia</t>
        </is>
      </c>
      <c r="C86" t="inlineStr">
        <is>
          <t>hpi_state</t>
        </is>
      </c>
      <c r="D86" t="inlineStr">
        <is>
          <t>price</t>
        </is>
      </c>
      <c r="E86" t="inlineStr">
        <is>
          <t>price</t>
        </is>
      </c>
      <c r="F86" t="inlineStr">
        <is>
          <t>quarterly</t>
        </is>
      </c>
      <c r="G86" t="inlineStr">
        <is>
          <t>NSA</t>
        </is>
      </c>
      <c r="H86" t="inlineStr">
        <is>
          <t>index 1980Q1=100</t>
        </is>
      </c>
      <c r="I86" t="inlineStr">
        <is>
          <t>index</t>
        </is>
      </c>
      <c r="J86" t="inlineStr">
        <is>
          <t>state:GA</t>
        </is>
      </c>
      <c r="K86" t="inlineStr">
        <is>
          <t>FALSE</t>
        </is>
      </c>
      <c r="L86" t="inlineStr">
        <is>
          <t>TRUE</t>
        </is>
      </c>
      <c r="M86" t="inlineStr">
        <is>
          <t>yoy_pct</t>
        </is>
      </c>
      <c r="N86" t="inlineStr">
        <is>
          <t>none</t>
        </is>
      </c>
      <c r="O86" t="inlineStr">
        <is>
          <t>FHFA state HPI -- geographically keyed; watchlist-capable.</t>
        </is>
      </c>
    </row>
    <row r="87">
      <c r="A87" t="inlineStr">
        <is>
          <t>HISTHPI</t>
        </is>
      </c>
      <c r="B87" t="inlineStr">
        <is>
          <t>FHFA All-Transactions HPI -- Hawaii</t>
        </is>
      </c>
      <c r="C87" t="inlineStr">
        <is>
          <t>hpi_state</t>
        </is>
      </c>
      <c r="D87" t="inlineStr">
        <is>
          <t>price</t>
        </is>
      </c>
      <c r="E87" t="inlineStr">
        <is>
          <t>price</t>
        </is>
      </c>
      <c r="F87" t="inlineStr">
        <is>
          <t>quarterly</t>
        </is>
      </c>
      <c r="G87" t="inlineStr">
        <is>
          <t>NSA</t>
        </is>
      </c>
      <c r="H87" t="inlineStr">
        <is>
          <t>index 1980Q1=100</t>
        </is>
      </c>
      <c r="I87" t="inlineStr">
        <is>
          <t>index</t>
        </is>
      </c>
      <c r="J87" t="inlineStr">
        <is>
          <t>state:HI</t>
        </is>
      </c>
      <c r="K87" t="inlineStr">
        <is>
          <t>FALSE</t>
        </is>
      </c>
      <c r="L87" t="inlineStr">
        <is>
          <t>TRUE</t>
        </is>
      </c>
      <c r="M87" t="inlineStr">
        <is>
          <t>yoy_pct</t>
        </is>
      </c>
      <c r="N87" t="inlineStr">
        <is>
          <t>none</t>
        </is>
      </c>
      <c r="O87" t="inlineStr">
        <is>
          <t>FHFA state HPI -- geographically keyed; watchlist-capable.</t>
        </is>
      </c>
    </row>
    <row r="88">
      <c r="A88" t="inlineStr">
        <is>
          <t>IDSTHPI</t>
        </is>
      </c>
      <c r="B88" t="inlineStr">
        <is>
          <t>FHFA All-Transactions HPI -- Idaho</t>
        </is>
      </c>
      <c r="C88" t="inlineStr">
        <is>
          <t>hpi_state</t>
        </is>
      </c>
      <c r="D88" t="inlineStr">
        <is>
          <t>price</t>
        </is>
      </c>
      <c r="E88" t="inlineStr">
        <is>
          <t>price</t>
        </is>
      </c>
      <c r="F88" t="inlineStr">
        <is>
          <t>quarterly</t>
        </is>
      </c>
      <c r="G88" t="inlineStr">
        <is>
          <t>NSA</t>
        </is>
      </c>
      <c r="H88" t="inlineStr">
        <is>
          <t>index 1980Q1=100</t>
        </is>
      </c>
      <c r="I88" t="inlineStr">
        <is>
          <t>index</t>
        </is>
      </c>
      <c r="J88" t="inlineStr">
        <is>
          <t>state:ID</t>
        </is>
      </c>
      <c r="K88" t="inlineStr">
        <is>
          <t>FALSE</t>
        </is>
      </c>
      <c r="L88" t="inlineStr">
        <is>
          <t>TRUE</t>
        </is>
      </c>
      <c r="M88" t="inlineStr">
        <is>
          <t>yoy_pct</t>
        </is>
      </c>
      <c r="N88" t="inlineStr">
        <is>
          <t>none</t>
        </is>
      </c>
      <c r="O88" t="inlineStr">
        <is>
          <t>FHFA state HPI -- geographically keyed; watchlist-capable.</t>
        </is>
      </c>
    </row>
    <row r="89">
      <c r="A89" t="inlineStr">
        <is>
          <t>ILSTHPI</t>
        </is>
      </c>
      <c r="B89" t="inlineStr">
        <is>
          <t>FHFA All-Transactions HPI -- Illinois</t>
        </is>
      </c>
      <c r="C89" t="inlineStr">
        <is>
          <t>hpi_state</t>
        </is>
      </c>
      <c r="D89" t="inlineStr">
        <is>
          <t>price</t>
        </is>
      </c>
      <c r="E89" t="inlineStr">
        <is>
          <t>price</t>
        </is>
      </c>
      <c r="F89" t="inlineStr">
        <is>
          <t>quarterly</t>
        </is>
      </c>
      <c r="G89" t="inlineStr">
        <is>
          <t>NSA</t>
        </is>
      </c>
      <c r="H89" t="inlineStr">
        <is>
          <t>index 1980Q1=100</t>
        </is>
      </c>
      <c r="I89" t="inlineStr">
        <is>
          <t>index</t>
        </is>
      </c>
      <c r="J89" t="inlineStr">
        <is>
          <t>state:IL</t>
        </is>
      </c>
      <c r="K89" t="inlineStr">
        <is>
          <t>FALSE</t>
        </is>
      </c>
      <c r="L89" t="inlineStr">
        <is>
          <t>TRUE</t>
        </is>
      </c>
      <c r="M89" t="inlineStr">
        <is>
          <t>yoy_pct</t>
        </is>
      </c>
      <c r="N89" t="inlineStr">
        <is>
          <t>none</t>
        </is>
      </c>
      <c r="O89" t="inlineStr">
        <is>
          <t>FHFA state HPI -- geographically keyed; watchlist-capable.</t>
        </is>
      </c>
    </row>
    <row r="90">
      <c r="A90" t="inlineStr">
        <is>
          <t>INSTHPI</t>
        </is>
      </c>
      <c r="B90" t="inlineStr">
        <is>
          <t>FHFA All-Transactions HPI -- Indiana</t>
        </is>
      </c>
      <c r="C90" t="inlineStr">
        <is>
          <t>hpi_state</t>
        </is>
      </c>
      <c r="D90" t="inlineStr">
        <is>
          <t>price</t>
        </is>
      </c>
      <c r="E90" t="inlineStr">
        <is>
          <t>price</t>
        </is>
      </c>
      <c r="F90" t="inlineStr">
        <is>
          <t>quarterly</t>
        </is>
      </c>
      <c r="G90" t="inlineStr">
        <is>
          <t>NSA</t>
        </is>
      </c>
      <c r="H90" t="inlineStr">
        <is>
          <t>index 1980Q1=100</t>
        </is>
      </c>
      <c r="I90" t="inlineStr">
        <is>
          <t>index</t>
        </is>
      </c>
      <c r="J90" t="inlineStr">
        <is>
          <t>state:IN</t>
        </is>
      </c>
      <c r="K90" t="inlineStr">
        <is>
          <t>FALSE</t>
        </is>
      </c>
      <c r="L90" t="inlineStr">
        <is>
          <t>TRUE</t>
        </is>
      </c>
      <c r="M90" t="inlineStr">
        <is>
          <t>yoy_pct</t>
        </is>
      </c>
      <c r="N90" t="inlineStr">
        <is>
          <t>none</t>
        </is>
      </c>
      <c r="O90" t="inlineStr">
        <is>
          <t>FHFA state HPI -- geographically keyed; watchlist-capable.</t>
        </is>
      </c>
    </row>
    <row r="91">
      <c r="A91" t="inlineStr">
        <is>
          <t>IASTHPI</t>
        </is>
      </c>
      <c r="B91" t="inlineStr">
        <is>
          <t>FHFA All-Transactions HPI -- Iowa</t>
        </is>
      </c>
      <c r="C91" t="inlineStr">
        <is>
          <t>hpi_state</t>
        </is>
      </c>
      <c r="D91" t="inlineStr">
        <is>
          <t>price</t>
        </is>
      </c>
      <c r="E91" t="inlineStr">
        <is>
          <t>price</t>
        </is>
      </c>
      <c r="F91" t="inlineStr">
        <is>
          <t>quarterly</t>
        </is>
      </c>
      <c r="G91" t="inlineStr">
        <is>
          <t>NSA</t>
        </is>
      </c>
      <c r="H91" t="inlineStr">
        <is>
          <t>index 1980Q1=100</t>
        </is>
      </c>
      <c r="I91" t="inlineStr">
        <is>
          <t>index</t>
        </is>
      </c>
      <c r="J91" t="inlineStr">
        <is>
          <t>state:IA</t>
        </is>
      </c>
      <c r="K91" t="inlineStr">
        <is>
          <t>FALSE</t>
        </is>
      </c>
      <c r="L91" t="inlineStr">
        <is>
          <t>TRUE</t>
        </is>
      </c>
      <c r="M91" t="inlineStr">
        <is>
          <t>yoy_pct</t>
        </is>
      </c>
      <c r="N91" t="inlineStr">
        <is>
          <t>none</t>
        </is>
      </c>
      <c r="O91" t="inlineStr">
        <is>
          <t>FHFA state HPI -- geographically keyed; watchlist-capable.</t>
        </is>
      </c>
    </row>
    <row r="92">
      <c r="A92" t="inlineStr">
        <is>
          <t>KSSTHPI</t>
        </is>
      </c>
      <c r="B92" t="inlineStr">
        <is>
          <t>FHFA All-Transactions HPI -- Kansas</t>
        </is>
      </c>
      <c r="C92" t="inlineStr">
        <is>
          <t>hpi_state</t>
        </is>
      </c>
      <c r="D92" t="inlineStr">
        <is>
          <t>price</t>
        </is>
      </c>
      <c r="E92" t="inlineStr">
        <is>
          <t>price</t>
        </is>
      </c>
      <c r="F92" t="inlineStr">
        <is>
          <t>quarterly</t>
        </is>
      </c>
      <c r="G92" t="inlineStr">
        <is>
          <t>NSA</t>
        </is>
      </c>
      <c r="H92" t="inlineStr">
        <is>
          <t>index 1980Q1=100</t>
        </is>
      </c>
      <c r="I92" t="inlineStr">
        <is>
          <t>index</t>
        </is>
      </c>
      <c r="J92" t="inlineStr">
        <is>
          <t>state:KS</t>
        </is>
      </c>
      <c r="K92" t="inlineStr">
        <is>
          <t>FALSE</t>
        </is>
      </c>
      <c r="L92" t="inlineStr">
        <is>
          <t>TRUE</t>
        </is>
      </c>
      <c r="M92" t="inlineStr">
        <is>
          <t>yoy_pct</t>
        </is>
      </c>
      <c r="N92" t="inlineStr">
        <is>
          <t>none</t>
        </is>
      </c>
      <c r="O92" t="inlineStr">
        <is>
          <t>FHFA state HPI -- geographically keyed; watchlist-capable.</t>
        </is>
      </c>
    </row>
    <row r="93">
      <c r="A93" t="inlineStr">
        <is>
          <t>KYSTHPI</t>
        </is>
      </c>
      <c r="B93" t="inlineStr">
        <is>
          <t>FHFA All-Transactions HPI -- Kentucky</t>
        </is>
      </c>
      <c r="C93" t="inlineStr">
        <is>
          <t>hpi_state</t>
        </is>
      </c>
      <c r="D93" t="inlineStr">
        <is>
          <t>price</t>
        </is>
      </c>
      <c r="E93" t="inlineStr">
        <is>
          <t>price</t>
        </is>
      </c>
      <c r="F93" t="inlineStr">
        <is>
          <t>quarterly</t>
        </is>
      </c>
      <c r="G93" t="inlineStr">
        <is>
          <t>NSA</t>
        </is>
      </c>
      <c r="H93" t="inlineStr">
        <is>
          <t>index 1980Q1=100</t>
        </is>
      </c>
      <c r="I93" t="inlineStr">
        <is>
          <t>index</t>
        </is>
      </c>
      <c r="J93" t="inlineStr">
        <is>
          <t>state:KY</t>
        </is>
      </c>
      <c r="K93" t="inlineStr">
        <is>
          <t>FALSE</t>
        </is>
      </c>
      <c r="L93" t="inlineStr">
        <is>
          <t>TRUE</t>
        </is>
      </c>
      <c r="M93" t="inlineStr">
        <is>
          <t>yoy_pct</t>
        </is>
      </c>
      <c r="N93" t="inlineStr">
        <is>
          <t>none</t>
        </is>
      </c>
      <c r="O93" t="inlineStr">
        <is>
          <t>FHFA state HPI -- geographically keyed; watchlist-capable.</t>
        </is>
      </c>
    </row>
    <row r="94">
      <c r="A94" t="inlineStr">
        <is>
          <t>LASTHPI</t>
        </is>
      </c>
      <c r="B94" t="inlineStr">
        <is>
          <t>FHFA All-Transactions HPI -- Louisiana</t>
        </is>
      </c>
      <c r="C94" t="inlineStr">
        <is>
          <t>hpi_state</t>
        </is>
      </c>
      <c r="D94" t="inlineStr">
        <is>
          <t>price</t>
        </is>
      </c>
      <c r="E94" t="inlineStr">
        <is>
          <t>price</t>
        </is>
      </c>
      <c r="F94" t="inlineStr">
        <is>
          <t>quarterly</t>
        </is>
      </c>
      <c r="G94" t="inlineStr">
        <is>
          <t>NSA</t>
        </is>
      </c>
      <c r="H94" t="inlineStr">
        <is>
          <t>index 1980Q1=100</t>
        </is>
      </c>
      <c r="I94" t="inlineStr">
        <is>
          <t>index</t>
        </is>
      </c>
      <c r="J94" t="inlineStr">
        <is>
          <t>state:LA</t>
        </is>
      </c>
      <c r="K94" t="inlineStr">
        <is>
          <t>FALSE</t>
        </is>
      </c>
      <c r="L94" t="inlineStr">
        <is>
          <t>TRUE</t>
        </is>
      </c>
      <c r="M94" t="inlineStr">
        <is>
          <t>yoy_pct</t>
        </is>
      </c>
      <c r="N94" t="inlineStr">
        <is>
          <t>none</t>
        </is>
      </c>
      <c r="O94" t="inlineStr">
        <is>
          <t>FHFA state HPI -- geographically keyed; watchlist-capable.</t>
        </is>
      </c>
    </row>
    <row r="95">
      <c r="A95" t="inlineStr">
        <is>
          <t>MESTHPI</t>
        </is>
      </c>
      <c r="B95" t="inlineStr">
        <is>
          <t>FHFA All-Transactions HPI -- Maine</t>
        </is>
      </c>
      <c r="C95" t="inlineStr">
        <is>
          <t>hpi_state</t>
        </is>
      </c>
      <c r="D95" t="inlineStr">
        <is>
          <t>price</t>
        </is>
      </c>
      <c r="E95" t="inlineStr">
        <is>
          <t>price</t>
        </is>
      </c>
      <c r="F95" t="inlineStr">
        <is>
          <t>quarterly</t>
        </is>
      </c>
      <c r="G95" t="inlineStr">
        <is>
          <t>NSA</t>
        </is>
      </c>
      <c r="H95" t="inlineStr">
        <is>
          <t>index 1980Q1=100</t>
        </is>
      </c>
      <c r="I95" t="inlineStr">
        <is>
          <t>index</t>
        </is>
      </c>
      <c r="J95" t="inlineStr">
        <is>
          <t>state:ME</t>
        </is>
      </c>
      <c r="K95" t="inlineStr">
        <is>
          <t>FALSE</t>
        </is>
      </c>
      <c r="L95" t="inlineStr">
        <is>
          <t>TRUE</t>
        </is>
      </c>
      <c r="M95" t="inlineStr">
        <is>
          <t>yoy_pct</t>
        </is>
      </c>
      <c r="N95" t="inlineStr">
        <is>
          <t>none</t>
        </is>
      </c>
      <c r="O95" t="inlineStr">
        <is>
          <t>FHFA state HPI -- geographically keyed; watchlist-capable.</t>
        </is>
      </c>
    </row>
    <row r="96">
      <c r="A96" t="inlineStr">
        <is>
          <t>MDSTHPI</t>
        </is>
      </c>
      <c r="B96" t="inlineStr">
        <is>
          <t>FHFA All-Transactions HPI -- Maryland</t>
        </is>
      </c>
      <c r="C96" t="inlineStr">
        <is>
          <t>hpi_state</t>
        </is>
      </c>
      <c r="D96" t="inlineStr">
        <is>
          <t>price</t>
        </is>
      </c>
      <c r="E96" t="inlineStr">
        <is>
          <t>price</t>
        </is>
      </c>
      <c r="F96" t="inlineStr">
        <is>
          <t>quarterly</t>
        </is>
      </c>
      <c r="G96" t="inlineStr">
        <is>
          <t>NSA</t>
        </is>
      </c>
      <c r="H96" t="inlineStr">
        <is>
          <t>index 1980Q1=100</t>
        </is>
      </c>
      <c r="I96" t="inlineStr">
        <is>
          <t>index</t>
        </is>
      </c>
      <c r="J96" t="inlineStr">
        <is>
          <t>state:MD</t>
        </is>
      </c>
      <c r="K96" t="inlineStr">
        <is>
          <t>FALSE</t>
        </is>
      </c>
      <c r="L96" t="inlineStr">
        <is>
          <t>TRUE</t>
        </is>
      </c>
      <c r="M96" t="inlineStr">
        <is>
          <t>yoy_pct</t>
        </is>
      </c>
      <c r="N96" t="inlineStr">
        <is>
          <t>none</t>
        </is>
      </c>
      <c r="O96" t="inlineStr">
        <is>
          <t>FHFA state HPI -- geographically keyed; watchlist-capable.</t>
        </is>
      </c>
    </row>
    <row r="97">
      <c r="A97" t="inlineStr">
        <is>
          <t>MASTHPI</t>
        </is>
      </c>
      <c r="B97" t="inlineStr">
        <is>
          <t>FHFA All-Transactions HPI -- Massachusetts</t>
        </is>
      </c>
      <c r="C97" t="inlineStr">
        <is>
          <t>hpi_state</t>
        </is>
      </c>
      <c r="D97" t="inlineStr">
        <is>
          <t>price</t>
        </is>
      </c>
      <c r="E97" t="inlineStr">
        <is>
          <t>price</t>
        </is>
      </c>
      <c r="F97" t="inlineStr">
        <is>
          <t>quarterly</t>
        </is>
      </c>
      <c r="G97" t="inlineStr">
        <is>
          <t>NSA</t>
        </is>
      </c>
      <c r="H97" t="inlineStr">
        <is>
          <t>index 1980Q1=100</t>
        </is>
      </c>
      <c r="I97" t="inlineStr">
        <is>
          <t>index</t>
        </is>
      </c>
      <c r="J97" t="inlineStr">
        <is>
          <t>state:MA</t>
        </is>
      </c>
      <c r="K97" t="inlineStr">
        <is>
          <t>FALSE</t>
        </is>
      </c>
      <c r="L97" t="inlineStr">
        <is>
          <t>TRUE</t>
        </is>
      </c>
      <c r="M97" t="inlineStr">
        <is>
          <t>yoy_pct</t>
        </is>
      </c>
      <c r="N97" t="inlineStr">
        <is>
          <t>none</t>
        </is>
      </c>
      <c r="O97" t="inlineStr">
        <is>
          <t>FHFA state HPI -- geographically keyed; watchlist-capable.</t>
        </is>
      </c>
    </row>
    <row r="98">
      <c r="A98" t="inlineStr">
        <is>
          <t>MISTHPI</t>
        </is>
      </c>
      <c r="B98" t="inlineStr">
        <is>
          <t>FHFA All-Transactions HPI -- Michigan</t>
        </is>
      </c>
      <c r="C98" t="inlineStr">
        <is>
          <t>hpi_state</t>
        </is>
      </c>
      <c r="D98" t="inlineStr">
        <is>
          <t>price</t>
        </is>
      </c>
      <c r="E98" t="inlineStr">
        <is>
          <t>price</t>
        </is>
      </c>
      <c r="F98" t="inlineStr">
        <is>
          <t>quarterly</t>
        </is>
      </c>
      <c r="G98" t="inlineStr">
        <is>
          <t>NSA</t>
        </is>
      </c>
      <c r="H98" t="inlineStr">
        <is>
          <t>index 1980Q1=100</t>
        </is>
      </c>
      <c r="I98" t="inlineStr">
        <is>
          <t>index</t>
        </is>
      </c>
      <c r="J98" t="inlineStr">
        <is>
          <t>state:MI</t>
        </is>
      </c>
      <c r="K98" t="inlineStr">
        <is>
          <t>FALSE</t>
        </is>
      </c>
      <c r="L98" t="inlineStr">
        <is>
          <t>TRUE</t>
        </is>
      </c>
      <c r="M98" t="inlineStr">
        <is>
          <t>yoy_pct</t>
        </is>
      </c>
      <c r="N98" t="inlineStr">
        <is>
          <t>none</t>
        </is>
      </c>
      <c r="O98" t="inlineStr">
        <is>
          <t>FHFA state HPI -- geographically keyed; watchlist-capable.</t>
        </is>
      </c>
    </row>
    <row r="99">
      <c r="A99" t="inlineStr">
        <is>
          <t>MNSTHPI</t>
        </is>
      </c>
      <c r="B99" t="inlineStr">
        <is>
          <t>FHFA All-Transactions HPI -- Minnesota</t>
        </is>
      </c>
      <c r="C99" t="inlineStr">
        <is>
          <t>hpi_state</t>
        </is>
      </c>
      <c r="D99" t="inlineStr">
        <is>
          <t>price</t>
        </is>
      </c>
      <c r="E99" t="inlineStr">
        <is>
          <t>price</t>
        </is>
      </c>
      <c r="F99" t="inlineStr">
        <is>
          <t>quarterly</t>
        </is>
      </c>
      <c r="G99" t="inlineStr">
        <is>
          <t>NSA</t>
        </is>
      </c>
      <c r="H99" t="inlineStr">
        <is>
          <t>index 1980Q1=100</t>
        </is>
      </c>
      <c r="I99" t="inlineStr">
        <is>
          <t>index</t>
        </is>
      </c>
      <c r="J99" t="inlineStr">
        <is>
          <t>state:MN</t>
        </is>
      </c>
      <c r="K99" t="inlineStr">
        <is>
          <t>FALSE</t>
        </is>
      </c>
      <c r="L99" t="inlineStr">
        <is>
          <t>TRUE</t>
        </is>
      </c>
      <c r="M99" t="inlineStr">
        <is>
          <t>yoy_pct</t>
        </is>
      </c>
      <c r="N99" t="inlineStr">
        <is>
          <t>none</t>
        </is>
      </c>
      <c r="O99" t="inlineStr">
        <is>
          <t>FHFA state HPI -- geographically keyed; watchlist-capable.</t>
        </is>
      </c>
    </row>
    <row r="100">
      <c r="A100" t="inlineStr">
        <is>
          <t>MSSTHPI</t>
        </is>
      </c>
      <c r="B100" t="inlineStr">
        <is>
          <t>FHFA All-Transactions HPI -- Mississippi</t>
        </is>
      </c>
      <c r="C100" t="inlineStr">
        <is>
          <t>hpi_state</t>
        </is>
      </c>
      <c r="D100" t="inlineStr">
        <is>
          <t>price</t>
        </is>
      </c>
      <c r="E100" t="inlineStr">
        <is>
          <t>price</t>
        </is>
      </c>
      <c r="F100" t="inlineStr">
        <is>
          <t>quarterly</t>
        </is>
      </c>
      <c r="G100" t="inlineStr">
        <is>
          <t>NSA</t>
        </is>
      </c>
      <c r="H100" t="inlineStr">
        <is>
          <t>index 1980Q1=100</t>
        </is>
      </c>
      <c r="I100" t="inlineStr">
        <is>
          <t>index</t>
        </is>
      </c>
      <c r="J100" t="inlineStr">
        <is>
          <t>state:MS</t>
        </is>
      </c>
      <c r="K100" t="inlineStr">
        <is>
          <t>FALSE</t>
        </is>
      </c>
      <c r="L100" t="inlineStr">
        <is>
          <t>TRUE</t>
        </is>
      </c>
      <c r="M100" t="inlineStr">
        <is>
          <t>yoy_pct</t>
        </is>
      </c>
      <c r="N100" t="inlineStr">
        <is>
          <t>none</t>
        </is>
      </c>
      <c r="O100" t="inlineStr">
        <is>
          <t>FHFA state HPI -- geographically keyed; watchlist-capable.</t>
        </is>
      </c>
    </row>
    <row r="101">
      <c r="A101" t="inlineStr">
        <is>
          <t>MOSTHPI</t>
        </is>
      </c>
      <c r="B101" t="inlineStr">
        <is>
          <t>FHFA All-Transactions HPI -- Missouri</t>
        </is>
      </c>
      <c r="C101" t="inlineStr">
        <is>
          <t>hpi_state</t>
        </is>
      </c>
      <c r="D101" t="inlineStr">
        <is>
          <t>price</t>
        </is>
      </c>
      <c r="E101" t="inlineStr">
        <is>
          <t>price</t>
        </is>
      </c>
      <c r="F101" t="inlineStr">
        <is>
          <t>quarterly</t>
        </is>
      </c>
      <c r="G101" t="inlineStr">
        <is>
          <t>NSA</t>
        </is>
      </c>
      <c r="H101" t="inlineStr">
        <is>
          <t>index 1980Q1=100</t>
        </is>
      </c>
      <c r="I101" t="inlineStr">
        <is>
          <t>index</t>
        </is>
      </c>
      <c r="J101" t="inlineStr">
        <is>
          <t>state:MO</t>
        </is>
      </c>
      <c r="K101" t="inlineStr">
        <is>
          <t>FALSE</t>
        </is>
      </c>
      <c r="L101" t="inlineStr">
        <is>
          <t>TRUE</t>
        </is>
      </c>
      <c r="M101" t="inlineStr">
        <is>
          <t>yoy_pct</t>
        </is>
      </c>
      <c r="N101" t="inlineStr">
        <is>
          <t>none</t>
        </is>
      </c>
      <c r="O101" t="inlineStr">
        <is>
          <t>FHFA state HPI -- geographically keyed; watchlist-capable.</t>
        </is>
      </c>
    </row>
    <row r="102">
      <c r="A102" t="inlineStr">
        <is>
          <t>MTSTHPI</t>
        </is>
      </c>
      <c r="B102" t="inlineStr">
        <is>
          <t>FHFA All-Transactions HPI -- Montana</t>
        </is>
      </c>
      <c r="C102" t="inlineStr">
        <is>
          <t>hpi_state</t>
        </is>
      </c>
      <c r="D102" t="inlineStr">
        <is>
          <t>price</t>
        </is>
      </c>
      <c r="E102" t="inlineStr">
        <is>
          <t>price</t>
        </is>
      </c>
      <c r="F102" t="inlineStr">
        <is>
          <t>quarterly</t>
        </is>
      </c>
      <c r="G102" t="inlineStr">
        <is>
          <t>NSA</t>
        </is>
      </c>
      <c r="H102" t="inlineStr">
        <is>
          <t>index 1980Q1=100</t>
        </is>
      </c>
      <c r="I102" t="inlineStr">
        <is>
          <t>index</t>
        </is>
      </c>
      <c r="J102" t="inlineStr">
        <is>
          <t>state:MT</t>
        </is>
      </c>
      <c r="K102" t="inlineStr">
        <is>
          <t>FALSE</t>
        </is>
      </c>
      <c r="L102" t="inlineStr">
        <is>
          <t>TRUE</t>
        </is>
      </c>
      <c r="M102" t="inlineStr">
        <is>
          <t>yoy_pct</t>
        </is>
      </c>
      <c r="N102" t="inlineStr">
        <is>
          <t>none</t>
        </is>
      </c>
      <c r="O102" t="inlineStr">
        <is>
          <t>FHFA state HPI -- geographically keyed; watchlist-capable.</t>
        </is>
      </c>
    </row>
    <row r="103">
      <c r="A103" t="inlineStr">
        <is>
          <t>NESTHPI</t>
        </is>
      </c>
      <c r="B103" t="inlineStr">
        <is>
          <t>FHFA All-Transactions HPI -- Nebraska</t>
        </is>
      </c>
      <c r="C103" t="inlineStr">
        <is>
          <t>hpi_state</t>
        </is>
      </c>
      <c r="D103" t="inlineStr">
        <is>
          <t>price</t>
        </is>
      </c>
      <c r="E103" t="inlineStr">
        <is>
          <t>price</t>
        </is>
      </c>
      <c r="F103" t="inlineStr">
        <is>
          <t>quarterly</t>
        </is>
      </c>
      <c r="G103" t="inlineStr">
        <is>
          <t>NSA</t>
        </is>
      </c>
      <c r="H103" t="inlineStr">
        <is>
          <t>index 1980Q1=100</t>
        </is>
      </c>
      <c r="I103" t="inlineStr">
        <is>
          <t>index</t>
        </is>
      </c>
      <c r="J103" t="inlineStr">
        <is>
          <t>state:NE</t>
        </is>
      </c>
      <c r="K103" t="inlineStr">
        <is>
          <t>FALSE</t>
        </is>
      </c>
      <c r="L103" t="inlineStr">
        <is>
          <t>TRUE</t>
        </is>
      </c>
      <c r="M103" t="inlineStr">
        <is>
          <t>yoy_pct</t>
        </is>
      </c>
      <c r="N103" t="inlineStr">
        <is>
          <t>none</t>
        </is>
      </c>
      <c r="O103" t="inlineStr">
        <is>
          <t>FHFA state HPI -- geographically keyed; watchlist-capable.</t>
        </is>
      </c>
    </row>
    <row r="104">
      <c r="A104" t="inlineStr">
        <is>
          <t>NVSTHPI</t>
        </is>
      </c>
      <c r="B104" t="inlineStr">
        <is>
          <t>FHFA All-Transactions HPI -- Nevada</t>
        </is>
      </c>
      <c r="C104" t="inlineStr">
        <is>
          <t>hpi_state</t>
        </is>
      </c>
      <c r="D104" t="inlineStr">
        <is>
          <t>price</t>
        </is>
      </c>
      <c r="E104" t="inlineStr">
        <is>
          <t>price</t>
        </is>
      </c>
      <c r="F104" t="inlineStr">
        <is>
          <t>quarterly</t>
        </is>
      </c>
      <c r="G104" t="inlineStr">
        <is>
          <t>NSA</t>
        </is>
      </c>
      <c r="H104" t="inlineStr">
        <is>
          <t>index 1980Q1=100</t>
        </is>
      </c>
      <c r="I104" t="inlineStr">
        <is>
          <t>index</t>
        </is>
      </c>
      <c r="J104" t="inlineStr">
        <is>
          <t>state:NV</t>
        </is>
      </c>
      <c r="K104" t="inlineStr">
        <is>
          <t>FALSE</t>
        </is>
      </c>
      <c r="L104" t="inlineStr">
        <is>
          <t>TRUE</t>
        </is>
      </c>
      <c r="M104" t="inlineStr">
        <is>
          <t>yoy_pct</t>
        </is>
      </c>
      <c r="N104" t="inlineStr">
        <is>
          <t>none</t>
        </is>
      </c>
      <c r="O104" t="inlineStr">
        <is>
          <t>FHFA state HPI -- geographically keyed; watchlist-capable.</t>
        </is>
      </c>
    </row>
    <row r="105">
      <c r="A105" t="inlineStr">
        <is>
          <t>NHSTHPI</t>
        </is>
      </c>
      <c r="B105" t="inlineStr">
        <is>
          <t>FHFA All-Transactions HPI -- New Hampshire</t>
        </is>
      </c>
      <c r="C105" t="inlineStr">
        <is>
          <t>hpi_state</t>
        </is>
      </c>
      <c r="D105" t="inlineStr">
        <is>
          <t>price</t>
        </is>
      </c>
      <c r="E105" t="inlineStr">
        <is>
          <t>price</t>
        </is>
      </c>
      <c r="F105" t="inlineStr">
        <is>
          <t>quarterly</t>
        </is>
      </c>
      <c r="G105" t="inlineStr">
        <is>
          <t>NSA</t>
        </is>
      </c>
      <c r="H105" t="inlineStr">
        <is>
          <t>index 1980Q1=100</t>
        </is>
      </c>
      <c r="I105" t="inlineStr">
        <is>
          <t>index</t>
        </is>
      </c>
      <c r="J105" t="inlineStr">
        <is>
          <t>state:NH</t>
        </is>
      </c>
      <c r="K105" t="inlineStr">
        <is>
          <t>FALSE</t>
        </is>
      </c>
      <c r="L105" t="inlineStr">
        <is>
          <t>TRUE</t>
        </is>
      </c>
      <c r="M105" t="inlineStr">
        <is>
          <t>yoy_pct</t>
        </is>
      </c>
      <c r="N105" t="inlineStr">
        <is>
          <t>none</t>
        </is>
      </c>
      <c r="O105" t="inlineStr">
        <is>
          <t>FHFA state HPI -- geographically keyed; watchlist-capable.</t>
        </is>
      </c>
    </row>
    <row r="106">
      <c r="A106" t="inlineStr">
        <is>
          <t>NJSTHPI</t>
        </is>
      </c>
      <c r="B106" t="inlineStr">
        <is>
          <t>FHFA All-Transactions HPI -- New Jersey</t>
        </is>
      </c>
      <c r="C106" t="inlineStr">
        <is>
          <t>hpi_state</t>
        </is>
      </c>
      <c r="D106" t="inlineStr">
        <is>
          <t>price</t>
        </is>
      </c>
      <c r="E106" t="inlineStr">
        <is>
          <t>price</t>
        </is>
      </c>
      <c r="F106" t="inlineStr">
        <is>
          <t>quarterly</t>
        </is>
      </c>
      <c r="G106" t="inlineStr">
        <is>
          <t>NSA</t>
        </is>
      </c>
      <c r="H106" t="inlineStr">
        <is>
          <t>index 1980Q1=100</t>
        </is>
      </c>
      <c r="I106" t="inlineStr">
        <is>
          <t>index</t>
        </is>
      </c>
      <c r="J106" t="inlineStr">
        <is>
          <t>state:NJ</t>
        </is>
      </c>
      <c r="K106" t="inlineStr">
        <is>
          <t>FALSE</t>
        </is>
      </c>
      <c r="L106" t="inlineStr">
        <is>
          <t>TRUE</t>
        </is>
      </c>
      <c r="M106" t="inlineStr">
        <is>
          <t>yoy_pct</t>
        </is>
      </c>
      <c r="N106" t="inlineStr">
        <is>
          <t>none</t>
        </is>
      </c>
      <c r="O106" t="inlineStr">
        <is>
          <t>FHFA state HPI -- geographically keyed; watchlist-capable.</t>
        </is>
      </c>
    </row>
    <row r="107">
      <c r="A107" t="inlineStr">
        <is>
          <t>NMSTHPI</t>
        </is>
      </c>
      <c r="B107" t="inlineStr">
        <is>
          <t>FHFA All-Transactions HPI -- New Mexico</t>
        </is>
      </c>
      <c r="C107" t="inlineStr">
        <is>
          <t>hpi_state</t>
        </is>
      </c>
      <c r="D107" t="inlineStr">
        <is>
          <t>price</t>
        </is>
      </c>
      <c r="E107" t="inlineStr">
        <is>
          <t>price</t>
        </is>
      </c>
      <c r="F107" t="inlineStr">
        <is>
          <t>quarterly</t>
        </is>
      </c>
      <c r="G107" t="inlineStr">
        <is>
          <t>NSA</t>
        </is>
      </c>
      <c r="H107" t="inlineStr">
        <is>
          <t>index 1980Q1=100</t>
        </is>
      </c>
      <c r="I107" t="inlineStr">
        <is>
          <t>index</t>
        </is>
      </c>
      <c r="J107" t="inlineStr">
        <is>
          <t>state:NM</t>
        </is>
      </c>
      <c r="K107" t="inlineStr">
        <is>
          <t>FALSE</t>
        </is>
      </c>
      <c r="L107" t="inlineStr">
        <is>
          <t>TRUE</t>
        </is>
      </c>
      <c r="M107" t="inlineStr">
        <is>
          <t>yoy_pct</t>
        </is>
      </c>
      <c r="N107" t="inlineStr">
        <is>
          <t>none</t>
        </is>
      </c>
      <c r="O107" t="inlineStr">
        <is>
          <t>FHFA state HPI -- geographically keyed; watchlist-capable.</t>
        </is>
      </c>
    </row>
    <row r="108">
      <c r="A108" t="inlineStr">
        <is>
          <t>NYSTHPI</t>
        </is>
      </c>
      <c r="B108" t="inlineStr">
        <is>
          <t>FHFA All-Transactions HPI -- New York</t>
        </is>
      </c>
      <c r="C108" t="inlineStr">
        <is>
          <t>hpi_state</t>
        </is>
      </c>
      <c r="D108" t="inlineStr">
        <is>
          <t>price</t>
        </is>
      </c>
      <c r="E108" t="inlineStr">
        <is>
          <t>price</t>
        </is>
      </c>
      <c r="F108" t="inlineStr">
        <is>
          <t>quarterly</t>
        </is>
      </c>
      <c r="G108" t="inlineStr">
        <is>
          <t>NSA</t>
        </is>
      </c>
      <c r="H108" t="inlineStr">
        <is>
          <t>index 1980Q1=100</t>
        </is>
      </c>
      <c r="I108" t="inlineStr">
        <is>
          <t>index</t>
        </is>
      </c>
      <c r="J108" t="inlineStr">
        <is>
          <t>state:NY</t>
        </is>
      </c>
      <c r="K108" t="inlineStr">
        <is>
          <t>FALSE</t>
        </is>
      </c>
      <c r="L108" t="inlineStr">
        <is>
          <t>TRUE</t>
        </is>
      </c>
      <c r="M108" t="inlineStr">
        <is>
          <t>yoy_pct</t>
        </is>
      </c>
      <c r="N108" t="inlineStr">
        <is>
          <t>none</t>
        </is>
      </c>
      <c r="O108" t="inlineStr">
        <is>
          <t>FHFA state HPI -- geographically keyed; watchlist-capable.</t>
        </is>
      </c>
    </row>
    <row r="109">
      <c r="A109" t="inlineStr">
        <is>
          <t>NCSTHPI</t>
        </is>
      </c>
      <c r="B109" t="inlineStr">
        <is>
          <t>FHFA All-Transactions HPI -- North Carolina</t>
        </is>
      </c>
      <c r="C109" t="inlineStr">
        <is>
          <t>hpi_state</t>
        </is>
      </c>
      <c r="D109" t="inlineStr">
        <is>
          <t>price</t>
        </is>
      </c>
      <c r="E109" t="inlineStr">
        <is>
          <t>price</t>
        </is>
      </c>
      <c r="F109" t="inlineStr">
        <is>
          <t>quarterly</t>
        </is>
      </c>
      <c r="G109" t="inlineStr">
        <is>
          <t>NSA</t>
        </is>
      </c>
      <c r="H109" t="inlineStr">
        <is>
          <t>index 1980Q1=100</t>
        </is>
      </c>
      <c r="I109" t="inlineStr">
        <is>
          <t>index</t>
        </is>
      </c>
      <c r="J109" t="inlineStr">
        <is>
          <t>state:NC</t>
        </is>
      </c>
      <c r="K109" t="inlineStr">
        <is>
          <t>FALSE</t>
        </is>
      </c>
      <c r="L109" t="inlineStr">
        <is>
          <t>TRUE</t>
        </is>
      </c>
      <c r="M109" t="inlineStr">
        <is>
          <t>yoy_pct</t>
        </is>
      </c>
      <c r="N109" t="inlineStr">
        <is>
          <t>none</t>
        </is>
      </c>
      <c r="O109" t="inlineStr">
        <is>
          <t>FHFA state HPI -- geographically keyed; watchlist-capable.</t>
        </is>
      </c>
    </row>
    <row r="110">
      <c r="A110" t="inlineStr">
        <is>
          <t>NDSTHPI</t>
        </is>
      </c>
      <c r="B110" t="inlineStr">
        <is>
          <t>FHFA All-Transactions HPI -- North Dakota</t>
        </is>
      </c>
      <c r="C110" t="inlineStr">
        <is>
          <t>hpi_state</t>
        </is>
      </c>
      <c r="D110" t="inlineStr">
        <is>
          <t>price</t>
        </is>
      </c>
      <c r="E110" t="inlineStr">
        <is>
          <t>price</t>
        </is>
      </c>
      <c r="F110" t="inlineStr">
        <is>
          <t>quarterly</t>
        </is>
      </c>
      <c r="G110" t="inlineStr">
        <is>
          <t>NSA</t>
        </is>
      </c>
      <c r="H110" t="inlineStr">
        <is>
          <t>index 1980Q1=100</t>
        </is>
      </c>
      <c r="I110" t="inlineStr">
        <is>
          <t>index</t>
        </is>
      </c>
      <c r="J110" t="inlineStr">
        <is>
          <t>state:ND</t>
        </is>
      </c>
      <c r="K110" t="inlineStr">
        <is>
          <t>FALSE</t>
        </is>
      </c>
      <c r="L110" t="inlineStr">
        <is>
          <t>TRUE</t>
        </is>
      </c>
      <c r="M110" t="inlineStr">
        <is>
          <t>yoy_pct</t>
        </is>
      </c>
      <c r="N110" t="inlineStr">
        <is>
          <t>none</t>
        </is>
      </c>
      <c r="O110" t="inlineStr">
        <is>
          <t>FHFA state HPI -- geographically keyed; watchlist-capable.</t>
        </is>
      </c>
    </row>
    <row r="111">
      <c r="A111" t="inlineStr">
        <is>
          <t>OHSTHPI</t>
        </is>
      </c>
      <c r="B111" t="inlineStr">
        <is>
          <t>FHFA All-Transactions HPI -- Ohio</t>
        </is>
      </c>
      <c r="C111" t="inlineStr">
        <is>
          <t>hpi_state</t>
        </is>
      </c>
      <c r="D111" t="inlineStr">
        <is>
          <t>price</t>
        </is>
      </c>
      <c r="E111" t="inlineStr">
        <is>
          <t>price</t>
        </is>
      </c>
      <c r="F111" t="inlineStr">
        <is>
          <t>quarterly</t>
        </is>
      </c>
      <c r="G111" t="inlineStr">
        <is>
          <t>NSA</t>
        </is>
      </c>
      <c r="H111" t="inlineStr">
        <is>
          <t>index 1980Q1=100</t>
        </is>
      </c>
      <c r="I111" t="inlineStr">
        <is>
          <t>index</t>
        </is>
      </c>
      <c r="J111" t="inlineStr">
        <is>
          <t>state:OH</t>
        </is>
      </c>
      <c r="K111" t="inlineStr">
        <is>
          <t>FALSE</t>
        </is>
      </c>
      <c r="L111" t="inlineStr">
        <is>
          <t>TRUE</t>
        </is>
      </c>
      <c r="M111" t="inlineStr">
        <is>
          <t>yoy_pct</t>
        </is>
      </c>
      <c r="N111" t="inlineStr">
        <is>
          <t>none</t>
        </is>
      </c>
      <c r="O111" t="inlineStr">
        <is>
          <t>FHFA state HPI -- geographically keyed; watchlist-capable.</t>
        </is>
      </c>
    </row>
    <row r="112">
      <c r="A112" t="inlineStr">
        <is>
          <t>OKSTHPI</t>
        </is>
      </c>
      <c r="B112" t="inlineStr">
        <is>
          <t>FHFA All-Transactions HPI -- Oklahoma</t>
        </is>
      </c>
      <c r="C112" t="inlineStr">
        <is>
          <t>hpi_state</t>
        </is>
      </c>
      <c r="D112" t="inlineStr">
        <is>
          <t>price</t>
        </is>
      </c>
      <c r="E112" t="inlineStr">
        <is>
          <t>price</t>
        </is>
      </c>
      <c r="F112" t="inlineStr">
        <is>
          <t>quarterly</t>
        </is>
      </c>
      <c r="G112" t="inlineStr">
        <is>
          <t>NSA</t>
        </is>
      </c>
      <c r="H112" t="inlineStr">
        <is>
          <t>index 1980Q1=100</t>
        </is>
      </c>
      <c r="I112" t="inlineStr">
        <is>
          <t>index</t>
        </is>
      </c>
      <c r="J112" t="inlineStr">
        <is>
          <t>state:OK</t>
        </is>
      </c>
      <c r="K112" t="inlineStr">
        <is>
          <t>FALSE</t>
        </is>
      </c>
      <c r="L112" t="inlineStr">
        <is>
          <t>TRUE</t>
        </is>
      </c>
      <c r="M112" t="inlineStr">
        <is>
          <t>yoy_pct</t>
        </is>
      </c>
      <c r="N112" t="inlineStr">
        <is>
          <t>none</t>
        </is>
      </c>
      <c r="O112" t="inlineStr">
        <is>
          <t>FHFA state HPI -- geographically keyed; watchlist-capable.</t>
        </is>
      </c>
    </row>
    <row r="113">
      <c r="A113" t="inlineStr">
        <is>
          <t>ORSTHPI</t>
        </is>
      </c>
      <c r="B113" t="inlineStr">
        <is>
          <t>FHFA All-Transactions HPI -- Oregon</t>
        </is>
      </c>
      <c r="C113" t="inlineStr">
        <is>
          <t>hpi_state</t>
        </is>
      </c>
      <c r="D113" t="inlineStr">
        <is>
          <t>price</t>
        </is>
      </c>
      <c r="E113" t="inlineStr">
        <is>
          <t>price</t>
        </is>
      </c>
      <c r="F113" t="inlineStr">
        <is>
          <t>quarterly</t>
        </is>
      </c>
      <c r="G113" t="inlineStr">
        <is>
          <t>NSA</t>
        </is>
      </c>
      <c r="H113" t="inlineStr">
        <is>
          <t>index 1980Q1=100</t>
        </is>
      </c>
      <c r="I113" t="inlineStr">
        <is>
          <t>index</t>
        </is>
      </c>
      <c r="J113" t="inlineStr">
        <is>
          <t>state:OR</t>
        </is>
      </c>
      <c r="K113" t="inlineStr">
        <is>
          <t>FALSE</t>
        </is>
      </c>
      <c r="L113" t="inlineStr">
        <is>
          <t>TRUE</t>
        </is>
      </c>
      <c r="M113" t="inlineStr">
        <is>
          <t>yoy_pct</t>
        </is>
      </c>
      <c r="N113" t="inlineStr">
        <is>
          <t>none</t>
        </is>
      </c>
      <c r="O113" t="inlineStr">
        <is>
          <t>FHFA state HPI -- geographically keyed; watchlist-capable.</t>
        </is>
      </c>
    </row>
    <row r="114">
      <c r="A114" t="inlineStr">
        <is>
          <t>PASTHPI</t>
        </is>
      </c>
      <c r="B114" t="inlineStr">
        <is>
          <t>FHFA All-Transactions HPI -- Pennsylvania</t>
        </is>
      </c>
      <c r="C114" t="inlineStr">
        <is>
          <t>hpi_state</t>
        </is>
      </c>
      <c r="D114" t="inlineStr">
        <is>
          <t>price</t>
        </is>
      </c>
      <c r="E114" t="inlineStr">
        <is>
          <t>price</t>
        </is>
      </c>
      <c r="F114" t="inlineStr">
        <is>
          <t>quarterly</t>
        </is>
      </c>
      <c r="G114" t="inlineStr">
        <is>
          <t>NSA</t>
        </is>
      </c>
      <c r="H114" t="inlineStr">
        <is>
          <t>index 1980Q1=100</t>
        </is>
      </c>
      <c r="I114" t="inlineStr">
        <is>
          <t>index</t>
        </is>
      </c>
      <c r="J114" t="inlineStr">
        <is>
          <t>state:PA</t>
        </is>
      </c>
      <c r="K114" t="inlineStr">
        <is>
          <t>FALSE</t>
        </is>
      </c>
      <c r="L114" t="inlineStr">
        <is>
          <t>TRUE</t>
        </is>
      </c>
      <c r="M114" t="inlineStr">
        <is>
          <t>yoy_pct</t>
        </is>
      </c>
      <c r="N114" t="inlineStr">
        <is>
          <t>none</t>
        </is>
      </c>
      <c r="O114" t="inlineStr">
        <is>
          <t>FHFA state HPI -- geographically keyed; watchlist-capable.</t>
        </is>
      </c>
    </row>
    <row r="115">
      <c r="A115" t="inlineStr">
        <is>
          <t>RISTHPI</t>
        </is>
      </c>
      <c r="B115" t="inlineStr">
        <is>
          <t>FHFA All-Transactions HPI -- Rhode Island</t>
        </is>
      </c>
      <c r="C115" t="inlineStr">
        <is>
          <t>hpi_state</t>
        </is>
      </c>
      <c r="D115" t="inlineStr">
        <is>
          <t>price</t>
        </is>
      </c>
      <c r="E115" t="inlineStr">
        <is>
          <t>price</t>
        </is>
      </c>
      <c r="F115" t="inlineStr">
        <is>
          <t>quarterly</t>
        </is>
      </c>
      <c r="G115" t="inlineStr">
        <is>
          <t>NSA</t>
        </is>
      </c>
      <c r="H115" t="inlineStr">
        <is>
          <t>index 1980Q1=100</t>
        </is>
      </c>
      <c r="I115" t="inlineStr">
        <is>
          <t>index</t>
        </is>
      </c>
      <c r="J115" t="inlineStr">
        <is>
          <t>state:RI</t>
        </is>
      </c>
      <c r="K115" t="inlineStr">
        <is>
          <t>FALSE</t>
        </is>
      </c>
      <c r="L115" t="inlineStr">
        <is>
          <t>TRUE</t>
        </is>
      </c>
      <c r="M115" t="inlineStr">
        <is>
          <t>yoy_pct</t>
        </is>
      </c>
      <c r="N115" t="inlineStr">
        <is>
          <t>none</t>
        </is>
      </c>
      <c r="O115" t="inlineStr">
        <is>
          <t>FHFA state HPI -- geographically keyed; watchlist-capable.</t>
        </is>
      </c>
    </row>
    <row r="116">
      <c r="A116" t="inlineStr">
        <is>
          <t>SCSTHPI</t>
        </is>
      </c>
      <c r="B116" t="inlineStr">
        <is>
          <t>FHFA All-Transactions HPI -- South Carolina</t>
        </is>
      </c>
      <c r="C116" t="inlineStr">
        <is>
          <t>hpi_state</t>
        </is>
      </c>
      <c r="D116" t="inlineStr">
        <is>
          <t>price</t>
        </is>
      </c>
      <c r="E116" t="inlineStr">
        <is>
          <t>price</t>
        </is>
      </c>
      <c r="F116" t="inlineStr">
        <is>
          <t>quarterly</t>
        </is>
      </c>
      <c r="G116" t="inlineStr">
        <is>
          <t>NSA</t>
        </is>
      </c>
      <c r="H116" t="inlineStr">
        <is>
          <t>index 1980Q1=100</t>
        </is>
      </c>
      <c r="I116" t="inlineStr">
        <is>
          <t>index</t>
        </is>
      </c>
      <c r="J116" t="inlineStr">
        <is>
          <t>state:SC</t>
        </is>
      </c>
      <c r="K116" t="inlineStr">
        <is>
          <t>FALSE</t>
        </is>
      </c>
      <c r="L116" t="inlineStr">
        <is>
          <t>TRUE</t>
        </is>
      </c>
      <c r="M116" t="inlineStr">
        <is>
          <t>yoy_pct</t>
        </is>
      </c>
      <c r="N116" t="inlineStr">
        <is>
          <t>none</t>
        </is>
      </c>
      <c r="O116" t="inlineStr">
        <is>
          <t>FHFA state HPI -- geographically keyed; watchlist-capable.</t>
        </is>
      </c>
    </row>
    <row r="117">
      <c r="A117" t="inlineStr">
        <is>
          <t>SDSTHPI</t>
        </is>
      </c>
      <c r="B117" t="inlineStr">
        <is>
          <t>FHFA All-Transactions HPI -- South Dakota</t>
        </is>
      </c>
      <c r="C117" t="inlineStr">
        <is>
          <t>hpi_state</t>
        </is>
      </c>
      <c r="D117" t="inlineStr">
        <is>
          <t>price</t>
        </is>
      </c>
      <c r="E117" t="inlineStr">
        <is>
          <t>price</t>
        </is>
      </c>
      <c r="F117" t="inlineStr">
        <is>
          <t>quarterly</t>
        </is>
      </c>
      <c r="G117" t="inlineStr">
        <is>
          <t>NSA</t>
        </is>
      </c>
      <c r="H117" t="inlineStr">
        <is>
          <t>index 1980Q1=100</t>
        </is>
      </c>
      <c r="I117" t="inlineStr">
        <is>
          <t>index</t>
        </is>
      </c>
      <c r="J117" t="inlineStr">
        <is>
          <t>state:SD</t>
        </is>
      </c>
      <c r="K117" t="inlineStr">
        <is>
          <t>FALSE</t>
        </is>
      </c>
      <c r="L117" t="inlineStr">
        <is>
          <t>TRUE</t>
        </is>
      </c>
      <c r="M117" t="inlineStr">
        <is>
          <t>yoy_pct</t>
        </is>
      </c>
      <c r="N117" t="inlineStr">
        <is>
          <t>none</t>
        </is>
      </c>
      <c r="O117" t="inlineStr">
        <is>
          <t>FHFA state HPI -- geographically keyed; watchlist-capable.</t>
        </is>
      </c>
    </row>
    <row r="118">
      <c r="A118" t="inlineStr">
        <is>
          <t>TNSTHPI</t>
        </is>
      </c>
      <c r="B118" t="inlineStr">
        <is>
          <t>FHFA All-Transactions HPI -- Tennessee</t>
        </is>
      </c>
      <c r="C118" t="inlineStr">
        <is>
          <t>hpi_state</t>
        </is>
      </c>
      <c r="D118" t="inlineStr">
        <is>
          <t>price</t>
        </is>
      </c>
      <c r="E118" t="inlineStr">
        <is>
          <t>price</t>
        </is>
      </c>
      <c r="F118" t="inlineStr">
        <is>
          <t>quarterly</t>
        </is>
      </c>
      <c r="G118" t="inlineStr">
        <is>
          <t>NSA</t>
        </is>
      </c>
      <c r="H118" t="inlineStr">
        <is>
          <t>index 1980Q1=100</t>
        </is>
      </c>
      <c r="I118" t="inlineStr">
        <is>
          <t>index</t>
        </is>
      </c>
      <c r="J118" t="inlineStr">
        <is>
          <t>state:TN</t>
        </is>
      </c>
      <c r="K118" t="inlineStr">
        <is>
          <t>FALSE</t>
        </is>
      </c>
      <c r="L118" t="inlineStr">
        <is>
          <t>TRUE</t>
        </is>
      </c>
      <c r="M118" t="inlineStr">
        <is>
          <t>yoy_pct</t>
        </is>
      </c>
      <c r="N118" t="inlineStr">
        <is>
          <t>none</t>
        </is>
      </c>
      <c r="O118" t="inlineStr">
        <is>
          <t>FHFA state HPI -- geographically keyed; watchlist-capable.</t>
        </is>
      </c>
    </row>
    <row r="119">
      <c r="A119" t="inlineStr">
        <is>
          <t>TXSTHPI</t>
        </is>
      </c>
      <c r="B119" t="inlineStr">
        <is>
          <t>FHFA All-Transactions HPI -- Texas</t>
        </is>
      </c>
      <c r="C119" t="inlineStr">
        <is>
          <t>hpi_state</t>
        </is>
      </c>
      <c r="D119" t="inlineStr">
        <is>
          <t>price</t>
        </is>
      </c>
      <c r="E119" t="inlineStr">
        <is>
          <t>price</t>
        </is>
      </c>
      <c r="F119" t="inlineStr">
        <is>
          <t>quarterly</t>
        </is>
      </c>
      <c r="G119" t="inlineStr">
        <is>
          <t>NSA</t>
        </is>
      </c>
      <c r="H119" t="inlineStr">
        <is>
          <t>index 1980Q1=100</t>
        </is>
      </c>
      <c r="I119" t="inlineStr">
        <is>
          <t>index</t>
        </is>
      </c>
      <c r="J119" t="inlineStr">
        <is>
          <t>state:TX</t>
        </is>
      </c>
      <c r="K119" t="inlineStr">
        <is>
          <t>FALSE</t>
        </is>
      </c>
      <c r="L119" t="inlineStr">
        <is>
          <t>TRUE</t>
        </is>
      </c>
      <c r="M119" t="inlineStr">
        <is>
          <t>yoy_pct</t>
        </is>
      </c>
      <c r="N119" t="inlineStr">
        <is>
          <t>none</t>
        </is>
      </c>
      <c r="O119" t="inlineStr">
        <is>
          <t>FHFA state HPI -- geographically keyed; watchlist-capable.</t>
        </is>
      </c>
    </row>
    <row r="120">
      <c r="A120" t="inlineStr">
        <is>
          <t>UTSTHPI</t>
        </is>
      </c>
      <c r="B120" t="inlineStr">
        <is>
          <t>FHFA All-Transactions HPI -- Utah</t>
        </is>
      </c>
      <c r="C120" t="inlineStr">
        <is>
          <t>hpi_state</t>
        </is>
      </c>
      <c r="D120" t="inlineStr">
        <is>
          <t>price</t>
        </is>
      </c>
      <c r="E120" t="inlineStr">
        <is>
          <t>price</t>
        </is>
      </c>
      <c r="F120" t="inlineStr">
        <is>
          <t>quarterly</t>
        </is>
      </c>
      <c r="G120" t="inlineStr">
        <is>
          <t>NSA</t>
        </is>
      </c>
      <c r="H120" t="inlineStr">
        <is>
          <t>index 1980Q1=100</t>
        </is>
      </c>
      <c r="I120" t="inlineStr">
        <is>
          <t>index</t>
        </is>
      </c>
      <c r="J120" t="inlineStr">
        <is>
          <t>state:UT</t>
        </is>
      </c>
      <c r="K120" t="inlineStr">
        <is>
          <t>FALSE</t>
        </is>
      </c>
      <c r="L120" t="inlineStr">
        <is>
          <t>TRUE</t>
        </is>
      </c>
      <c r="M120" t="inlineStr">
        <is>
          <t>yoy_pct</t>
        </is>
      </c>
      <c r="N120" t="inlineStr">
        <is>
          <t>none</t>
        </is>
      </c>
      <c r="O120" t="inlineStr">
        <is>
          <t>FHFA state HPI -- geographically keyed; watchlist-capable.</t>
        </is>
      </c>
    </row>
    <row r="121">
      <c r="A121" t="inlineStr">
        <is>
          <t>VTSTHPI</t>
        </is>
      </c>
      <c r="B121" t="inlineStr">
        <is>
          <t>FHFA All-Transactions HPI -- Vermont</t>
        </is>
      </c>
      <c r="C121" t="inlineStr">
        <is>
          <t>hpi_state</t>
        </is>
      </c>
      <c r="D121" t="inlineStr">
        <is>
          <t>price</t>
        </is>
      </c>
      <c r="E121" t="inlineStr">
        <is>
          <t>price</t>
        </is>
      </c>
      <c r="F121" t="inlineStr">
        <is>
          <t>quarterly</t>
        </is>
      </c>
      <c r="G121" t="inlineStr">
        <is>
          <t>NSA</t>
        </is>
      </c>
      <c r="H121" t="inlineStr">
        <is>
          <t>index 1980Q1=100</t>
        </is>
      </c>
      <c r="I121" t="inlineStr">
        <is>
          <t>index</t>
        </is>
      </c>
      <c r="J121" t="inlineStr">
        <is>
          <t>state:VT</t>
        </is>
      </c>
      <c r="K121" t="inlineStr">
        <is>
          <t>FALSE</t>
        </is>
      </c>
      <c r="L121" t="inlineStr">
        <is>
          <t>TRUE</t>
        </is>
      </c>
      <c r="M121" t="inlineStr">
        <is>
          <t>yoy_pct</t>
        </is>
      </c>
      <c r="N121" t="inlineStr">
        <is>
          <t>none</t>
        </is>
      </c>
      <c r="O121" t="inlineStr">
        <is>
          <t>FHFA state HPI -- geographically keyed; watchlist-capable.</t>
        </is>
      </c>
    </row>
    <row r="122">
      <c r="A122" t="inlineStr">
        <is>
          <t>VASTHPI</t>
        </is>
      </c>
      <c r="B122" t="inlineStr">
        <is>
          <t>FHFA All-Transactions HPI -- Virginia</t>
        </is>
      </c>
      <c r="C122" t="inlineStr">
        <is>
          <t>hpi_state</t>
        </is>
      </c>
      <c r="D122" t="inlineStr">
        <is>
          <t>price</t>
        </is>
      </c>
      <c r="E122" t="inlineStr">
        <is>
          <t>price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index 1980Q1=100</t>
        </is>
      </c>
      <c r="I122" t="inlineStr">
        <is>
          <t>index</t>
        </is>
      </c>
      <c r="J122" t="inlineStr">
        <is>
          <t>state:VA</t>
        </is>
      </c>
      <c r="K122" t="inlineStr">
        <is>
          <t>FALSE</t>
        </is>
      </c>
      <c r="L122" t="inlineStr">
        <is>
          <t>TRUE</t>
        </is>
      </c>
      <c r="M122" t="inlineStr">
        <is>
          <t>yoy_pct</t>
        </is>
      </c>
      <c r="N122" t="inlineStr">
        <is>
          <t>none</t>
        </is>
      </c>
      <c r="O122" t="inlineStr">
        <is>
          <t>FHFA state HPI -- geographically keyed; watchlist-capable.</t>
        </is>
      </c>
    </row>
    <row r="123">
      <c r="A123" t="inlineStr">
        <is>
          <t>WASTHPI</t>
        </is>
      </c>
      <c r="B123" t="inlineStr">
        <is>
          <t>FHFA All-Transactions HPI -- Washington</t>
        </is>
      </c>
      <c r="C123" t="inlineStr">
        <is>
          <t>hpi_state</t>
        </is>
      </c>
      <c r="D123" t="inlineStr">
        <is>
          <t>price</t>
        </is>
      </c>
      <c r="E123" t="inlineStr">
        <is>
          <t>price</t>
        </is>
      </c>
      <c r="F123" t="inlineStr">
        <is>
          <t>quarterly</t>
        </is>
      </c>
      <c r="G123" t="inlineStr">
        <is>
          <t>NSA</t>
        </is>
      </c>
      <c r="H123" t="inlineStr">
        <is>
          <t>index 1980Q1=100</t>
        </is>
      </c>
      <c r="I123" t="inlineStr">
        <is>
          <t>index</t>
        </is>
      </c>
      <c r="J123" t="inlineStr">
        <is>
          <t>state:WA</t>
        </is>
      </c>
      <c r="K123" t="inlineStr">
        <is>
          <t>FALSE</t>
        </is>
      </c>
      <c r="L123" t="inlineStr">
        <is>
          <t>TRUE</t>
        </is>
      </c>
      <c r="M123" t="inlineStr">
        <is>
          <t>yoy_pct</t>
        </is>
      </c>
      <c r="N123" t="inlineStr">
        <is>
          <t>none</t>
        </is>
      </c>
      <c r="O123" t="inlineStr">
        <is>
          <t>FHFA state HPI -- geographically keyed; watchlist-capable.</t>
        </is>
      </c>
    </row>
    <row r="124">
      <c r="A124" t="inlineStr">
        <is>
          <t>WVSTHPI</t>
        </is>
      </c>
      <c r="B124" t="inlineStr">
        <is>
          <t>FHFA All-Transactions HPI -- West Virginia</t>
        </is>
      </c>
      <c r="C124" t="inlineStr">
        <is>
          <t>hpi_state</t>
        </is>
      </c>
      <c r="D124" t="inlineStr">
        <is>
          <t>price</t>
        </is>
      </c>
      <c r="E124" t="inlineStr">
        <is>
          <t>price</t>
        </is>
      </c>
      <c r="F124" t="inlineStr">
        <is>
          <t>quarterly</t>
        </is>
      </c>
      <c r="G124" t="inlineStr">
        <is>
          <t>NSA</t>
        </is>
      </c>
      <c r="H124" t="inlineStr">
        <is>
          <t>index 1980Q1=100</t>
        </is>
      </c>
      <c r="I124" t="inlineStr">
        <is>
          <t>index</t>
        </is>
      </c>
      <c r="J124" t="inlineStr">
        <is>
          <t>state:WV</t>
        </is>
      </c>
      <c r="K124" t="inlineStr">
        <is>
          <t>FALSE</t>
        </is>
      </c>
      <c r="L124" t="inlineStr">
        <is>
          <t>TRUE</t>
        </is>
      </c>
      <c r="M124" t="inlineStr">
        <is>
          <t>yoy_pct</t>
        </is>
      </c>
      <c r="N124" t="inlineStr">
        <is>
          <t>none</t>
        </is>
      </c>
      <c r="O124" t="inlineStr">
        <is>
          <t>FHFA state HPI -- geographically keyed; watchlist-capable.</t>
        </is>
      </c>
    </row>
    <row r="125">
      <c r="A125" t="inlineStr">
        <is>
          <t>WISTHPI</t>
        </is>
      </c>
      <c r="B125" t="inlineStr">
        <is>
          <t>FHFA All-Transactions HPI -- Wisconsin</t>
        </is>
      </c>
      <c r="C125" t="inlineStr">
        <is>
          <t>hpi_state</t>
        </is>
      </c>
      <c r="D125" t="inlineStr">
        <is>
          <t>price</t>
        </is>
      </c>
      <c r="E125" t="inlineStr">
        <is>
          <t>price</t>
        </is>
      </c>
      <c r="F125" t="inlineStr">
        <is>
          <t>quarterly</t>
        </is>
      </c>
      <c r="G125" t="inlineStr">
        <is>
          <t>NSA</t>
        </is>
      </c>
      <c r="H125" t="inlineStr">
        <is>
          <t>index 1980Q1=100</t>
        </is>
      </c>
      <c r="I125" t="inlineStr">
        <is>
          <t>index</t>
        </is>
      </c>
      <c r="J125" t="inlineStr">
        <is>
          <t>state:WI</t>
        </is>
      </c>
      <c r="K125" t="inlineStr">
        <is>
          <t>FALSE</t>
        </is>
      </c>
      <c r="L125" t="inlineStr">
        <is>
          <t>TRUE</t>
        </is>
      </c>
      <c r="M125" t="inlineStr">
        <is>
          <t>yoy_pct</t>
        </is>
      </c>
      <c r="N125" t="inlineStr">
        <is>
          <t>none</t>
        </is>
      </c>
      <c r="O125" t="inlineStr">
        <is>
          <t>FHFA state HPI -- geographically keyed; watchlist-capable.</t>
        </is>
      </c>
    </row>
    <row r="126">
      <c r="A126" t="inlineStr">
        <is>
          <t>WYSTHPI</t>
        </is>
      </c>
      <c r="B126" t="inlineStr">
        <is>
          <t>FHFA All-Transactions HPI -- Wyoming</t>
        </is>
      </c>
      <c r="C126" t="inlineStr">
        <is>
          <t>hpi_state</t>
        </is>
      </c>
      <c r="D126" t="inlineStr">
        <is>
          <t>price</t>
        </is>
      </c>
      <c r="E126" t="inlineStr">
        <is>
          <t>price</t>
        </is>
      </c>
      <c r="F126" t="inlineStr">
        <is>
          <t>quarterly</t>
        </is>
      </c>
      <c r="G126" t="inlineStr">
        <is>
          <t>NSA</t>
        </is>
      </c>
      <c r="H126" t="inlineStr">
        <is>
          <t>index 1980Q1=100</t>
        </is>
      </c>
      <c r="I126" t="inlineStr">
        <is>
          <t>index</t>
        </is>
      </c>
      <c r="J126" t="inlineStr">
        <is>
          <t>state:WY</t>
        </is>
      </c>
      <c r="K126" t="inlineStr">
        <is>
          <t>FALSE</t>
        </is>
      </c>
      <c r="L126" t="inlineStr">
        <is>
          <t>TRUE</t>
        </is>
      </c>
      <c r="M126" t="inlineStr">
        <is>
          <t>yoy_pct</t>
        </is>
      </c>
      <c r="N126" t="inlineStr">
        <is>
          <t>none</t>
        </is>
      </c>
      <c r="O126" t="inlineStr">
        <is>
          <t>FHFA state HPI -- geographically keyed; watchlist-capable.</t>
        </is>
      </c>
    </row>
    <row r="127">
      <c r="A127" t="inlineStr">
        <is>
          <t>ATNHPIUS35620Q</t>
        </is>
      </c>
      <c r="B127" t="inlineStr">
        <is>
          <t>FHFA HPI -- New York-Newark-Jersey City, NY-NJ-PA</t>
        </is>
      </c>
      <c r="C127" t="inlineStr">
        <is>
          <t>hpi_metro</t>
        </is>
      </c>
      <c r="D127" t="inlineStr">
        <is>
          <t>price</t>
        </is>
      </c>
      <c r="E127" t="inlineStr">
        <is>
          <t>price</t>
        </is>
      </c>
      <c r="F127" t="inlineStr">
        <is>
          <t>quarterly</t>
        </is>
      </c>
      <c r="G127" t="inlineStr">
        <is>
          <t>NSA</t>
        </is>
      </c>
      <c r="H127" t="inlineStr">
        <is>
          <t>index 1995Q1=100</t>
        </is>
      </c>
      <c r="I127" t="inlineStr">
        <is>
          <t>index</t>
        </is>
      </c>
      <c r="J127" t="inlineStr">
        <is>
          <t>cbsa:35620</t>
        </is>
      </c>
      <c r="K127" t="inlineStr">
        <is>
          <t>FALSE</t>
        </is>
      </c>
      <c r="L127" t="inlineStr">
        <is>
          <t>TRUE</t>
        </is>
      </c>
      <c r="M127" t="inlineStr">
        <is>
          <t>yoy_pct</t>
        </is>
      </c>
      <c r="N127" t="inlineStr">
        <is>
          <t>none</t>
        </is>
      </c>
      <c r="O127" t="inlineStr">
        <is>
          <t>FHFA metro HPI (CBSA) -- watchlist-capable.</t>
        </is>
      </c>
    </row>
    <row r="128">
      <c r="A128" t="inlineStr">
        <is>
          <t>ATNHPIUS31080Q</t>
        </is>
      </c>
      <c r="B128" t="inlineStr">
        <is>
          <t>FHFA HPI -- Los Angeles-Long Beach-Anaheim, CA</t>
        </is>
      </c>
      <c r="C128" t="inlineStr">
        <is>
          <t>hpi_metro</t>
        </is>
      </c>
      <c r="D128" t="inlineStr">
        <is>
          <t>price</t>
        </is>
      </c>
      <c r="E128" t="inlineStr">
        <is>
          <t>price</t>
        </is>
      </c>
      <c r="F128" t="inlineStr">
        <is>
          <t>quarterly</t>
        </is>
      </c>
      <c r="G128" t="inlineStr">
        <is>
          <t>NSA</t>
        </is>
      </c>
      <c r="H128" t="inlineStr">
        <is>
          <t>index 1995Q1=100</t>
        </is>
      </c>
      <c r="I128" t="inlineStr">
        <is>
          <t>index</t>
        </is>
      </c>
      <c r="J128" t="inlineStr">
        <is>
          <t>cbsa:31080</t>
        </is>
      </c>
      <c r="K128" t="inlineStr">
        <is>
          <t>FALSE</t>
        </is>
      </c>
      <c r="L128" t="inlineStr">
        <is>
          <t>TRUE</t>
        </is>
      </c>
      <c r="M128" t="inlineStr">
        <is>
          <t>yoy_pct</t>
        </is>
      </c>
      <c r="N128" t="inlineStr">
        <is>
          <t>none</t>
        </is>
      </c>
      <c r="O128" t="inlineStr">
        <is>
          <t>FHFA metro HPI (CBSA) -- watchlist-capable.</t>
        </is>
      </c>
    </row>
    <row r="129">
      <c r="A129" t="inlineStr">
        <is>
          <t>ATNHPIUS16980Q</t>
        </is>
      </c>
      <c r="B129" t="inlineStr">
        <is>
          <t>FHFA HPI -- Chicago-Naperville-Elgin, IL-IN-WI</t>
        </is>
      </c>
      <c r="C129" t="inlineStr">
        <is>
          <t>hpi_metro</t>
        </is>
      </c>
      <c r="D129" t="inlineStr">
        <is>
          <t>price</t>
        </is>
      </c>
      <c r="E129" t="inlineStr">
        <is>
          <t>price</t>
        </is>
      </c>
      <c r="F129" t="inlineStr">
        <is>
          <t>quarterly</t>
        </is>
      </c>
      <c r="G129" t="inlineStr">
        <is>
          <t>NSA</t>
        </is>
      </c>
      <c r="H129" t="inlineStr">
        <is>
          <t>index 1995Q1=100</t>
        </is>
      </c>
      <c r="I129" t="inlineStr">
        <is>
          <t>index</t>
        </is>
      </c>
      <c r="J129" t="inlineStr">
        <is>
          <t>cbsa:16980</t>
        </is>
      </c>
      <c r="K129" t="inlineStr">
        <is>
          <t>FALSE</t>
        </is>
      </c>
      <c r="L129" t="inlineStr">
        <is>
          <t>TRUE</t>
        </is>
      </c>
      <c r="M129" t="inlineStr">
        <is>
          <t>yoy_pct</t>
        </is>
      </c>
      <c r="N129" t="inlineStr">
        <is>
          <t>none</t>
        </is>
      </c>
      <c r="O129" t="inlineStr">
        <is>
          <t>FHFA metro HPI (CBSA) -- watchlist-capable.</t>
        </is>
      </c>
    </row>
    <row r="130">
      <c r="A130" t="inlineStr">
        <is>
          <t>ATNHPIUS19100Q</t>
        </is>
      </c>
      <c r="B130" t="inlineStr">
        <is>
          <t>FHFA HPI -- Dallas-Fort Worth-Arlington, TX</t>
        </is>
      </c>
      <c r="C130" t="inlineStr">
        <is>
          <t>hpi_metro</t>
        </is>
      </c>
      <c r="D130" t="inlineStr">
        <is>
          <t>price</t>
        </is>
      </c>
      <c r="E130" t="inlineStr">
        <is>
          <t>price</t>
        </is>
      </c>
      <c r="F130" t="inlineStr">
        <is>
          <t>quarterly</t>
        </is>
      </c>
      <c r="G130" t="inlineStr">
        <is>
          <t>NSA</t>
        </is>
      </c>
      <c r="H130" t="inlineStr">
        <is>
          <t>index 1995Q1=100</t>
        </is>
      </c>
      <c r="I130" t="inlineStr">
        <is>
          <t>index</t>
        </is>
      </c>
      <c r="J130" t="inlineStr">
        <is>
          <t>cbsa:19100</t>
        </is>
      </c>
      <c r="K130" t="inlineStr">
        <is>
          <t>FALSE</t>
        </is>
      </c>
      <c r="L130" t="inlineStr">
        <is>
          <t>TRUE</t>
        </is>
      </c>
      <c r="M130" t="inlineStr">
        <is>
          <t>yoy_pct</t>
        </is>
      </c>
      <c r="N130" t="inlineStr">
        <is>
          <t>none</t>
        </is>
      </c>
      <c r="O130" t="inlineStr">
        <is>
          <t>FHFA metro HPI (CBSA) -- watchlist-capable.</t>
        </is>
      </c>
    </row>
    <row r="131">
      <c r="A131" t="inlineStr">
        <is>
          <t>ATNHPIUS26420Q</t>
        </is>
      </c>
      <c r="B131" t="inlineStr">
        <is>
          <t>FHFA HPI -- Houston-The Woodlands-Sugar Land, TX</t>
        </is>
      </c>
      <c r="C131" t="inlineStr">
        <is>
          <t>hpi_metro</t>
        </is>
      </c>
      <c r="D131" t="inlineStr">
        <is>
          <t>price</t>
        </is>
      </c>
      <c r="E131" t="inlineStr">
        <is>
          <t>price</t>
        </is>
      </c>
      <c r="F131" t="inlineStr">
        <is>
          <t>quarterly</t>
        </is>
      </c>
      <c r="G131" t="inlineStr">
        <is>
          <t>NSA</t>
        </is>
      </c>
      <c r="H131" t="inlineStr">
        <is>
          <t>index 1995Q1=100</t>
        </is>
      </c>
      <c r="I131" t="inlineStr">
        <is>
          <t>index</t>
        </is>
      </c>
      <c r="J131" t="inlineStr">
        <is>
          <t>cbsa:26420</t>
        </is>
      </c>
      <c r="K131" t="inlineStr">
        <is>
          <t>FALSE</t>
        </is>
      </c>
      <c r="L131" t="inlineStr">
        <is>
          <t>TRUE</t>
        </is>
      </c>
      <c r="M131" t="inlineStr">
        <is>
          <t>yoy_pct</t>
        </is>
      </c>
      <c r="N131" t="inlineStr">
        <is>
          <t>none</t>
        </is>
      </c>
      <c r="O131" t="inlineStr">
        <is>
          <t>FHFA metro HPI (CBSA) -- watchlist-capable.</t>
        </is>
      </c>
    </row>
    <row r="132">
      <c r="A132" t="inlineStr">
        <is>
          <t>ATNHPIUS47900Q</t>
        </is>
      </c>
      <c r="B132" t="inlineStr">
        <is>
          <t>FHFA HPI -- Washington-Arlington-Alexandria, DC-VA-MD-WV</t>
        </is>
      </c>
      <c r="C132" t="inlineStr">
        <is>
          <t>hpi_metro</t>
        </is>
      </c>
      <c r="D132" t="inlineStr">
        <is>
          <t>price</t>
        </is>
      </c>
      <c r="E132" t="inlineStr">
        <is>
          <t>price</t>
        </is>
      </c>
      <c r="F132" t="inlineStr">
        <is>
          <t>quarterly</t>
        </is>
      </c>
      <c r="G132" t="inlineStr">
        <is>
          <t>NSA</t>
        </is>
      </c>
      <c r="H132" t="inlineStr">
        <is>
          <t>index 1995Q1=100</t>
        </is>
      </c>
      <c r="I132" t="inlineStr">
        <is>
          <t>index</t>
        </is>
      </c>
      <c r="J132" t="inlineStr">
        <is>
          <t>cbsa:47900</t>
        </is>
      </c>
      <c r="K132" t="inlineStr">
        <is>
          <t>FALSE</t>
        </is>
      </c>
      <c r="L132" t="inlineStr">
        <is>
          <t>TRUE</t>
        </is>
      </c>
      <c r="M132" t="inlineStr">
        <is>
          <t>yoy_pct</t>
        </is>
      </c>
      <c r="N132" t="inlineStr">
        <is>
          <t>none</t>
        </is>
      </c>
      <c r="O132" t="inlineStr">
        <is>
          <t>FHFA metro HPI (CBSA) -- watchlist-capable.</t>
        </is>
      </c>
    </row>
    <row r="133">
      <c r="A133" t="inlineStr">
        <is>
          <t>ATNHPIUS33100Q</t>
        </is>
      </c>
      <c r="B133" t="inlineStr">
        <is>
          <t>FHFA HPI -- Miami-Fort Lauderdale-Pompano Beach, FL</t>
        </is>
      </c>
      <c r="C133" t="inlineStr">
        <is>
          <t>hpi_metro</t>
        </is>
      </c>
      <c r="D133" t="inlineStr">
        <is>
          <t>price</t>
        </is>
      </c>
      <c r="E133" t="inlineStr">
        <is>
          <t>price</t>
        </is>
      </c>
      <c r="F133" t="inlineStr">
        <is>
          <t>quarterly</t>
        </is>
      </c>
      <c r="G133" t="inlineStr">
        <is>
          <t>NSA</t>
        </is>
      </c>
      <c r="H133" t="inlineStr">
        <is>
          <t>index 1995Q1=100</t>
        </is>
      </c>
      <c r="I133" t="inlineStr">
        <is>
          <t>index</t>
        </is>
      </c>
      <c r="J133" t="inlineStr">
        <is>
          <t>cbsa:33100</t>
        </is>
      </c>
      <c r="K133" t="inlineStr">
        <is>
          <t>FALSE</t>
        </is>
      </c>
      <c r="L133" t="inlineStr">
        <is>
          <t>TRUE</t>
        </is>
      </c>
      <c r="M133" t="inlineStr">
        <is>
          <t>yoy_pct</t>
        </is>
      </c>
      <c r="N133" t="inlineStr">
        <is>
          <t>none</t>
        </is>
      </c>
      <c r="O133" t="inlineStr">
        <is>
          <t>FHFA metro HPI (CBSA) -- watchlist-capable.</t>
        </is>
      </c>
    </row>
    <row r="134">
      <c r="A134" t="inlineStr">
        <is>
          <t>ATNHPIUS37980Q</t>
        </is>
      </c>
      <c r="B134" t="inlineStr">
        <is>
          <t>FHFA HPI -- Philadelphia-Camden-Wilmington, PA-NJ-DE-MD</t>
        </is>
      </c>
      <c r="C134" t="inlineStr">
        <is>
          <t>hpi_metro</t>
        </is>
      </c>
      <c r="D134" t="inlineStr">
        <is>
          <t>price</t>
        </is>
      </c>
      <c r="E134" t="inlineStr">
        <is>
          <t>price</t>
        </is>
      </c>
      <c r="F134" t="inlineStr">
        <is>
          <t>quarterly</t>
        </is>
      </c>
      <c r="G134" t="inlineStr">
        <is>
          <t>NSA</t>
        </is>
      </c>
      <c r="H134" t="inlineStr">
        <is>
          <t>index 1995Q1=100</t>
        </is>
      </c>
      <c r="I134" t="inlineStr">
        <is>
          <t>index</t>
        </is>
      </c>
      <c r="J134" t="inlineStr">
        <is>
          <t>cbsa:37980</t>
        </is>
      </c>
      <c r="K134" t="inlineStr">
        <is>
          <t>FALSE</t>
        </is>
      </c>
      <c r="L134" t="inlineStr">
        <is>
          <t>TRUE</t>
        </is>
      </c>
      <c r="M134" t="inlineStr">
        <is>
          <t>yoy_pct</t>
        </is>
      </c>
      <c r="N134" t="inlineStr">
        <is>
          <t>none</t>
        </is>
      </c>
      <c r="O134" t="inlineStr">
        <is>
          <t>FHFA metro HPI (CBSA) -- watchlist-capable.</t>
        </is>
      </c>
    </row>
    <row r="135">
      <c r="A135" t="inlineStr">
        <is>
          <t>ATNHPIUS12060Q</t>
        </is>
      </c>
      <c r="B135" t="inlineStr">
        <is>
          <t>FHFA HPI -- Atlanta-Sandy Springs-Alpharetta, GA</t>
        </is>
      </c>
      <c r="C135" t="inlineStr">
        <is>
          <t>hpi_metro</t>
        </is>
      </c>
      <c r="D135" t="inlineStr">
        <is>
          <t>price</t>
        </is>
      </c>
      <c r="E135" t="inlineStr">
        <is>
          <t>price</t>
        </is>
      </c>
      <c r="F135" t="inlineStr">
        <is>
          <t>quarterly</t>
        </is>
      </c>
      <c r="G135" t="inlineStr">
        <is>
          <t>NSA</t>
        </is>
      </c>
      <c r="H135" t="inlineStr">
        <is>
          <t>index 1995Q1=100</t>
        </is>
      </c>
      <c r="I135" t="inlineStr">
        <is>
          <t>index</t>
        </is>
      </c>
      <c r="J135" t="inlineStr">
        <is>
          <t>cbsa:12060</t>
        </is>
      </c>
      <c r="K135" t="inlineStr">
        <is>
          <t>FALSE</t>
        </is>
      </c>
      <c r="L135" t="inlineStr">
        <is>
          <t>TRUE</t>
        </is>
      </c>
      <c r="M135" t="inlineStr">
        <is>
          <t>yoy_pct</t>
        </is>
      </c>
      <c r="N135" t="inlineStr">
        <is>
          <t>none</t>
        </is>
      </c>
      <c r="O135" t="inlineStr">
        <is>
          <t>FHFA metro HPI (CBSA) -- watchlist-capable.</t>
        </is>
      </c>
    </row>
    <row r="136">
      <c r="A136" t="inlineStr">
        <is>
          <t>ATNHPIUS38060Q</t>
        </is>
      </c>
      <c r="B136" t="inlineStr">
        <is>
          <t>FHFA HPI -- Phoenix-Mesa-Chandler, AZ</t>
        </is>
      </c>
      <c r="C136" t="inlineStr">
        <is>
          <t>hpi_metro</t>
        </is>
      </c>
      <c r="D136" t="inlineStr">
        <is>
          <t>price</t>
        </is>
      </c>
      <c r="E136" t="inlineStr">
        <is>
          <t>price</t>
        </is>
      </c>
      <c r="F136" t="inlineStr">
        <is>
          <t>quarterly</t>
        </is>
      </c>
      <c r="G136" t="inlineStr">
        <is>
          <t>NSA</t>
        </is>
      </c>
      <c r="H136" t="inlineStr">
        <is>
          <t>index 1995Q1=100</t>
        </is>
      </c>
      <c r="I136" t="inlineStr">
        <is>
          <t>index</t>
        </is>
      </c>
      <c r="J136" t="inlineStr">
        <is>
          <t>cbsa:38060</t>
        </is>
      </c>
      <c r="K136" t="inlineStr">
        <is>
          <t>FALSE</t>
        </is>
      </c>
      <c r="L136" t="inlineStr">
        <is>
          <t>TRUE</t>
        </is>
      </c>
      <c r="M136" t="inlineStr">
        <is>
          <t>yoy_pct</t>
        </is>
      </c>
      <c r="N136" t="inlineStr">
        <is>
          <t>none</t>
        </is>
      </c>
      <c r="O136" t="inlineStr">
        <is>
          <t>FHFA metro HPI (CBSA) -- watchlist-capable.</t>
        </is>
      </c>
    </row>
    <row r="137">
      <c r="A137" t="inlineStr">
        <is>
          <t>ATNHPIUS14460Q</t>
        </is>
      </c>
      <c r="B137" t="inlineStr">
        <is>
          <t>FHFA HPI -- Boston-Cambridge-Newton, MA-NH</t>
        </is>
      </c>
      <c r="C137" t="inlineStr">
        <is>
          <t>hpi_metro</t>
        </is>
      </c>
      <c r="D137" t="inlineStr">
        <is>
          <t>price</t>
        </is>
      </c>
      <c r="E137" t="inlineStr">
        <is>
          <t>price</t>
        </is>
      </c>
      <c r="F137" t="inlineStr">
        <is>
          <t>quarterly</t>
        </is>
      </c>
      <c r="G137" t="inlineStr">
        <is>
          <t>NSA</t>
        </is>
      </c>
      <c r="H137" t="inlineStr">
        <is>
          <t>index 1995Q1=100</t>
        </is>
      </c>
      <c r="I137" t="inlineStr">
        <is>
          <t>index</t>
        </is>
      </c>
      <c r="J137" t="inlineStr">
        <is>
          <t>cbsa:14460</t>
        </is>
      </c>
      <c r="K137" t="inlineStr">
        <is>
          <t>FALSE</t>
        </is>
      </c>
      <c r="L137" t="inlineStr">
        <is>
          <t>TRUE</t>
        </is>
      </c>
      <c r="M137" t="inlineStr">
        <is>
          <t>yoy_pct</t>
        </is>
      </c>
      <c r="N137" t="inlineStr">
        <is>
          <t>none</t>
        </is>
      </c>
      <c r="O137" t="inlineStr">
        <is>
          <t>FHFA metro HPI (CBSA) -- watchlist-capable.</t>
        </is>
      </c>
    </row>
    <row r="138">
      <c r="A138" t="inlineStr">
        <is>
          <t>ATNHPIUS41860Q</t>
        </is>
      </c>
      <c r="B138" t="inlineStr">
        <is>
          <t>FHFA HPI -- San Francisco-Oakland-Berkeley, CA</t>
        </is>
      </c>
      <c r="C138" t="inlineStr">
        <is>
          <t>hpi_metro</t>
        </is>
      </c>
      <c r="D138" t="inlineStr">
        <is>
          <t>price</t>
        </is>
      </c>
      <c r="E138" t="inlineStr">
        <is>
          <t>price</t>
        </is>
      </c>
      <c r="F138" t="inlineStr">
        <is>
          <t>quarterly</t>
        </is>
      </c>
      <c r="G138" t="inlineStr">
        <is>
          <t>NSA</t>
        </is>
      </c>
      <c r="H138" t="inlineStr">
        <is>
          <t>index 1995Q1=100</t>
        </is>
      </c>
      <c r="I138" t="inlineStr">
        <is>
          <t>index</t>
        </is>
      </c>
      <c r="J138" t="inlineStr">
        <is>
          <t>cbsa:41860</t>
        </is>
      </c>
      <c r="K138" t="inlineStr">
        <is>
          <t>FALSE</t>
        </is>
      </c>
      <c r="L138" t="inlineStr">
        <is>
          <t>TRUE</t>
        </is>
      </c>
      <c r="M138" t="inlineStr">
        <is>
          <t>yoy_pct</t>
        </is>
      </c>
      <c r="N138" t="inlineStr">
        <is>
          <t>none</t>
        </is>
      </c>
      <c r="O138" t="inlineStr">
        <is>
          <t>FHFA metro HPI (CBSA) -- watchlist-capable.</t>
        </is>
      </c>
    </row>
    <row r="139">
      <c r="A139" t="inlineStr">
        <is>
          <t>ATNHPIUS42660Q</t>
        </is>
      </c>
      <c r="B139" t="inlineStr">
        <is>
          <t>FHFA HPI -- Seattle-Tacoma-Bellevue, WA</t>
        </is>
      </c>
      <c r="C139" t="inlineStr">
        <is>
          <t>hpi_metro</t>
        </is>
      </c>
      <c r="D139" t="inlineStr">
        <is>
          <t>price</t>
        </is>
      </c>
      <c r="E139" t="inlineStr">
        <is>
          <t>price</t>
        </is>
      </c>
      <c r="F139" t="inlineStr">
        <is>
          <t>quarterly</t>
        </is>
      </c>
      <c r="G139" t="inlineStr">
        <is>
          <t>NSA</t>
        </is>
      </c>
      <c r="H139" t="inlineStr">
        <is>
          <t>index 1995Q1=100</t>
        </is>
      </c>
      <c r="I139" t="inlineStr">
        <is>
          <t>index</t>
        </is>
      </c>
      <c r="J139" t="inlineStr">
        <is>
          <t>cbsa:42660</t>
        </is>
      </c>
      <c r="K139" t="inlineStr">
        <is>
          <t>FALSE</t>
        </is>
      </c>
      <c r="L139" t="inlineStr">
        <is>
          <t>TRUE</t>
        </is>
      </c>
      <c r="M139" t="inlineStr">
        <is>
          <t>yoy_pct</t>
        </is>
      </c>
      <c r="N139" t="inlineStr">
        <is>
          <t>none</t>
        </is>
      </c>
      <c r="O139" t="inlineStr">
        <is>
          <t>FHFA metro HPI (CBSA) -- watchlist-capable.</t>
        </is>
      </c>
    </row>
    <row r="140">
      <c r="A140" t="inlineStr">
        <is>
          <t>ATNHPIUS33460Q</t>
        </is>
      </c>
      <c r="B140" t="inlineStr">
        <is>
          <t>FHFA HPI -- Minneapolis-St. Paul-Bloomington, MN-WI</t>
        </is>
      </c>
      <c r="C140" t="inlineStr">
        <is>
          <t>hpi_metro</t>
        </is>
      </c>
      <c r="D140" t="inlineStr">
        <is>
          <t>price</t>
        </is>
      </c>
      <c r="E140" t="inlineStr">
        <is>
          <t>price</t>
        </is>
      </c>
      <c r="F140" t="inlineStr">
        <is>
          <t>quarterly</t>
        </is>
      </c>
      <c r="G140" t="inlineStr">
        <is>
          <t>NSA</t>
        </is>
      </c>
      <c r="H140" t="inlineStr">
        <is>
          <t>index 1995Q1=100</t>
        </is>
      </c>
      <c r="I140" t="inlineStr">
        <is>
          <t>index</t>
        </is>
      </c>
      <c r="J140" t="inlineStr">
        <is>
          <t>cbsa:33460</t>
        </is>
      </c>
      <c r="K140" t="inlineStr">
        <is>
          <t>FALSE</t>
        </is>
      </c>
      <c r="L140" t="inlineStr">
        <is>
          <t>TRUE</t>
        </is>
      </c>
      <c r="M140" t="inlineStr">
        <is>
          <t>yoy_pct</t>
        </is>
      </c>
      <c r="N140" t="inlineStr">
        <is>
          <t>none</t>
        </is>
      </c>
      <c r="O140" t="inlineStr">
        <is>
          <t>FHFA metro HPI (CBSA) -- watchlist-capable.</t>
        </is>
      </c>
    </row>
    <row r="141">
      <c r="A141" t="inlineStr">
        <is>
          <t>ATNHPIUS19820Q</t>
        </is>
      </c>
      <c r="B141" t="inlineStr">
        <is>
          <t>FHFA HPI -- Detroit-Warren-Dearborn, MI</t>
        </is>
      </c>
      <c r="C141" t="inlineStr">
        <is>
          <t>hpi_metro</t>
        </is>
      </c>
      <c r="D141" t="inlineStr">
        <is>
          <t>price</t>
        </is>
      </c>
      <c r="E141" t="inlineStr">
        <is>
          <t>price</t>
        </is>
      </c>
      <c r="F141" t="inlineStr">
        <is>
          <t>quarterly</t>
        </is>
      </c>
      <c r="G141" t="inlineStr">
        <is>
          <t>NSA</t>
        </is>
      </c>
      <c r="H141" t="inlineStr">
        <is>
          <t>index 1995Q1=100</t>
        </is>
      </c>
      <c r="I141" t="inlineStr">
        <is>
          <t>index</t>
        </is>
      </c>
      <c r="J141" t="inlineStr">
        <is>
          <t>cbsa:19820</t>
        </is>
      </c>
      <c r="K141" t="inlineStr">
        <is>
          <t>FALSE</t>
        </is>
      </c>
      <c r="L141" t="inlineStr">
        <is>
          <t>TRUE</t>
        </is>
      </c>
      <c r="M141" t="inlineStr">
        <is>
          <t>yoy_pct</t>
        </is>
      </c>
      <c r="N141" t="inlineStr">
        <is>
          <t>none</t>
        </is>
      </c>
      <c r="O141" t="inlineStr">
        <is>
          <t>FHFA metro HPI (CBSA) -- watchlist-capable.</t>
        </is>
      </c>
    </row>
    <row r="142">
      <c r="A142" t="inlineStr">
        <is>
          <t>ATNHPIUS12420Q</t>
        </is>
      </c>
      <c r="B142" t="inlineStr">
        <is>
          <t>FHFA HPI -- Austin-Round Rock-Georgetown, TX</t>
        </is>
      </c>
      <c r="C142" t="inlineStr">
        <is>
          <t>hpi_metro</t>
        </is>
      </c>
      <c r="D142" t="inlineStr">
        <is>
          <t>price</t>
        </is>
      </c>
      <c r="E142" t="inlineStr">
        <is>
          <t>price</t>
        </is>
      </c>
      <c r="F142" t="inlineStr">
        <is>
          <t>quarterly</t>
        </is>
      </c>
      <c r="G142" t="inlineStr">
        <is>
          <t>NSA</t>
        </is>
      </c>
      <c r="H142" t="inlineStr">
        <is>
          <t>index 1995Q1=100</t>
        </is>
      </c>
      <c r="I142" t="inlineStr">
        <is>
          <t>index</t>
        </is>
      </c>
      <c r="J142" t="inlineStr">
        <is>
          <t>cbsa:12420</t>
        </is>
      </c>
      <c r="K142" t="inlineStr">
        <is>
          <t>FALSE</t>
        </is>
      </c>
      <c r="L142" t="inlineStr">
        <is>
          <t>TRUE</t>
        </is>
      </c>
      <c r="M142" t="inlineStr">
        <is>
          <t>yoy_pct</t>
        </is>
      </c>
      <c r="N142" t="inlineStr">
        <is>
          <t>none</t>
        </is>
      </c>
      <c r="O142" t="inlineStr">
        <is>
          <t>FHFA metro HPI (CBSA) -- watchlist-capable.</t>
        </is>
      </c>
    </row>
    <row r="143">
      <c r="A143" t="inlineStr">
        <is>
          <t>ATNHPIUS40140Q</t>
        </is>
      </c>
      <c r="B143" t="inlineStr">
        <is>
          <t>FHFA HPI -- Riverside-San Bernardino-Ontario, CA</t>
        </is>
      </c>
      <c r="C143" t="inlineStr">
        <is>
          <t>hpi_metro</t>
        </is>
      </c>
      <c r="D143" t="inlineStr">
        <is>
          <t>price</t>
        </is>
      </c>
      <c r="E143" t="inlineStr">
        <is>
          <t>price</t>
        </is>
      </c>
      <c r="F143" t="inlineStr">
        <is>
          <t>quarterly</t>
        </is>
      </c>
      <c r="G143" t="inlineStr">
        <is>
          <t>NSA</t>
        </is>
      </c>
      <c r="H143" t="inlineStr">
        <is>
          <t>index 1995Q1=100</t>
        </is>
      </c>
      <c r="I143" t="inlineStr">
        <is>
          <t>index</t>
        </is>
      </c>
      <c r="J143" t="inlineStr">
        <is>
          <t>cbsa:40140</t>
        </is>
      </c>
      <c r="K143" t="inlineStr">
        <is>
          <t>FALSE</t>
        </is>
      </c>
      <c r="L143" t="inlineStr">
        <is>
          <t>TRUE</t>
        </is>
      </c>
      <c r="M143" t="inlineStr">
        <is>
          <t>yoy_pct</t>
        </is>
      </c>
      <c r="N143" t="inlineStr">
        <is>
          <t>none</t>
        </is>
      </c>
      <c r="O143" t="inlineStr">
        <is>
          <t>FHFA metro HPI (CBSA) -- watchlist-capable.</t>
        </is>
      </c>
    </row>
    <row r="144">
      <c r="A144" t="inlineStr">
        <is>
          <t>ATNHPIUS45300Q</t>
        </is>
      </c>
      <c r="B144" t="inlineStr">
        <is>
          <t>FHFA HPI -- Tampa-St. Petersburg-Clearwater, FL</t>
        </is>
      </c>
      <c r="C144" t="inlineStr">
        <is>
          <t>hpi_metro</t>
        </is>
      </c>
      <c r="D144" t="inlineStr">
        <is>
          <t>price</t>
        </is>
      </c>
      <c r="E144" t="inlineStr">
        <is>
          <t>price</t>
        </is>
      </c>
      <c r="F144" t="inlineStr">
        <is>
          <t>quarterly</t>
        </is>
      </c>
      <c r="G144" t="inlineStr">
        <is>
          <t>NSA</t>
        </is>
      </c>
      <c r="H144" t="inlineStr">
        <is>
          <t>index 1995Q1=100</t>
        </is>
      </c>
      <c r="I144" t="inlineStr">
        <is>
          <t>index</t>
        </is>
      </c>
      <c r="J144" t="inlineStr">
        <is>
          <t>cbsa:45300</t>
        </is>
      </c>
      <c r="K144" t="inlineStr">
        <is>
          <t>FALSE</t>
        </is>
      </c>
      <c r="L144" t="inlineStr">
        <is>
          <t>TRUE</t>
        </is>
      </c>
      <c r="M144" t="inlineStr">
        <is>
          <t>yoy_pct</t>
        </is>
      </c>
      <c r="N144" t="inlineStr">
        <is>
          <t>none</t>
        </is>
      </c>
      <c r="O144" t="inlineStr">
        <is>
          <t>FHFA metro HPI (CBSA) -- watchlist-capable.</t>
        </is>
      </c>
    </row>
    <row r="145">
      <c r="A145" t="inlineStr">
        <is>
          <t>ATXRSA</t>
        </is>
      </c>
      <c r="B145" t="inlineStr">
        <is>
          <t>Case-Shiller HPI -- Atlanta, GA</t>
        </is>
      </c>
      <c r="C145" t="inlineStr">
        <is>
          <t>hpi_caseshiller</t>
        </is>
      </c>
      <c r="D145" t="inlineStr">
        <is>
          <t>price</t>
        </is>
      </c>
      <c r="E145" t="inlineStr">
        <is>
          <t>price</t>
        </is>
      </c>
      <c r="F145" t="inlineStr">
        <is>
          <t>monthly</t>
        </is>
      </c>
      <c r="G145" t="inlineStr">
        <is>
          <t>SA</t>
        </is>
      </c>
      <c r="H145" t="inlineStr">
        <is>
          <t>index 2000-01=100</t>
        </is>
      </c>
      <c r="I145" t="inlineStr">
        <is>
          <t>index</t>
        </is>
      </c>
      <c r="J145" t="inlineStr">
        <is>
          <t>metro:Atlanta, GA</t>
        </is>
      </c>
      <c r="K145" t="inlineStr">
        <is>
          <t>FALSE</t>
        </is>
      </c>
      <c r="L145" t="inlineStr">
        <is>
          <t>TRUE</t>
        </is>
      </c>
      <c r="M145" t="inlineStr">
        <is>
          <t>yoy_pct</t>
        </is>
      </c>
      <c r="N145" t="inlineStr">
        <is>
          <t>none</t>
        </is>
      </c>
      <c r="O145" t="inlineStr">
        <is>
          <t>Case-Shiller metro -- copyrighted, internal only, higher-frequency confirmation.</t>
        </is>
      </c>
    </row>
    <row r="146">
      <c r="A146" t="inlineStr">
        <is>
          <t>BOXRSA</t>
        </is>
      </c>
      <c r="B146" t="inlineStr">
        <is>
          <t>Case-Shiller HPI -- Boston, MA</t>
        </is>
      </c>
      <c r="C146" t="inlineStr">
        <is>
          <t>hpi_caseshiller</t>
        </is>
      </c>
      <c r="D146" t="inlineStr">
        <is>
          <t>price</t>
        </is>
      </c>
      <c r="E146" t="inlineStr">
        <is>
          <t>price</t>
        </is>
      </c>
      <c r="F146" t="inlineStr">
        <is>
          <t>monthly</t>
        </is>
      </c>
      <c r="G146" t="inlineStr">
        <is>
          <t>SA</t>
        </is>
      </c>
      <c r="H146" t="inlineStr">
        <is>
          <t>index 2000-01=100</t>
        </is>
      </c>
      <c r="I146" t="inlineStr">
        <is>
          <t>index</t>
        </is>
      </c>
      <c r="J146" t="inlineStr">
        <is>
          <t>metro:Boston, MA</t>
        </is>
      </c>
      <c r="K146" t="inlineStr">
        <is>
          <t>FALSE</t>
        </is>
      </c>
      <c r="L146" t="inlineStr">
        <is>
          <t>TRUE</t>
        </is>
      </c>
      <c r="M146" t="inlineStr">
        <is>
          <t>yoy_pct</t>
        </is>
      </c>
      <c r="N146" t="inlineStr">
        <is>
          <t>none</t>
        </is>
      </c>
      <c r="O146" t="inlineStr">
        <is>
          <t>Case-Shiller metro -- copyrighted, internal only, higher-frequency confirmation.</t>
        </is>
      </c>
    </row>
    <row r="147">
      <c r="A147" t="inlineStr">
        <is>
          <t>CRXRSA</t>
        </is>
      </c>
      <c r="B147" t="inlineStr">
        <is>
          <t>Case-Shiller HPI -- Charlotte, NC</t>
        </is>
      </c>
      <c r="C147" t="inlineStr">
        <is>
          <t>hpi_caseshiller</t>
        </is>
      </c>
      <c r="D147" t="inlineStr">
        <is>
          <t>price</t>
        </is>
      </c>
      <c r="E147" t="inlineStr">
        <is>
          <t>price</t>
        </is>
      </c>
      <c r="F147" t="inlineStr">
        <is>
          <t>monthly</t>
        </is>
      </c>
      <c r="G147" t="inlineStr">
        <is>
          <t>SA</t>
        </is>
      </c>
      <c r="H147" t="inlineStr">
        <is>
          <t>index 2000-01=100</t>
        </is>
      </c>
      <c r="I147" t="inlineStr">
        <is>
          <t>index</t>
        </is>
      </c>
      <c r="J147" t="inlineStr">
        <is>
          <t>metro:Charlotte, NC</t>
        </is>
      </c>
      <c r="K147" t="inlineStr">
        <is>
          <t>FALSE</t>
        </is>
      </c>
      <c r="L147" t="inlineStr">
        <is>
          <t>TRUE</t>
        </is>
      </c>
      <c r="M147" t="inlineStr">
        <is>
          <t>yoy_pct</t>
        </is>
      </c>
      <c r="N147" t="inlineStr">
        <is>
          <t>none</t>
        </is>
      </c>
      <c r="O147" t="inlineStr">
        <is>
          <t>Case-Shiller metro -- copyrighted, internal only, higher-frequency confirmation.</t>
        </is>
      </c>
    </row>
    <row r="148">
      <c r="A148" t="inlineStr">
        <is>
          <t>CHXRSA</t>
        </is>
      </c>
      <c r="B148" t="inlineStr">
        <is>
          <t>Case-Shiller HPI -- Chicago, IL</t>
        </is>
      </c>
      <c r="C148" t="inlineStr">
        <is>
          <t>hpi_caseshiller</t>
        </is>
      </c>
      <c r="D148" t="inlineStr">
        <is>
          <t>price</t>
        </is>
      </c>
      <c r="E148" t="inlineStr">
        <is>
          <t>price</t>
        </is>
      </c>
      <c r="F148" t="inlineStr">
        <is>
          <t>monthly</t>
        </is>
      </c>
      <c r="G148" t="inlineStr">
        <is>
          <t>SA</t>
        </is>
      </c>
      <c r="H148" t="inlineStr">
        <is>
          <t>index 2000-01=100</t>
        </is>
      </c>
      <c r="I148" t="inlineStr">
        <is>
          <t>index</t>
        </is>
      </c>
      <c r="J148" t="inlineStr">
        <is>
          <t>metro:Chicago, IL</t>
        </is>
      </c>
      <c r="K148" t="inlineStr">
        <is>
          <t>FALSE</t>
        </is>
      </c>
      <c r="L148" t="inlineStr">
        <is>
          <t>TRUE</t>
        </is>
      </c>
      <c r="M148" t="inlineStr">
        <is>
          <t>yoy_pct</t>
        </is>
      </c>
      <c r="N148" t="inlineStr">
        <is>
          <t>none</t>
        </is>
      </c>
      <c r="O148" t="inlineStr">
        <is>
          <t>Case-Shiller metro -- copyrighted, internal only, higher-frequency confirmation.</t>
        </is>
      </c>
    </row>
    <row r="149">
      <c r="A149" t="inlineStr">
        <is>
          <t>CEXRSA</t>
        </is>
      </c>
      <c r="B149" t="inlineStr">
        <is>
          <t>Case-Shiller HPI -- Cleveland, OH</t>
        </is>
      </c>
      <c r="C149" t="inlineStr">
        <is>
          <t>hpi_caseshiller</t>
        </is>
      </c>
      <c r="D149" t="inlineStr">
        <is>
          <t>price</t>
        </is>
      </c>
      <c r="E149" t="inlineStr">
        <is>
          <t>price</t>
        </is>
      </c>
      <c r="F149" t="inlineStr">
        <is>
          <t>monthly</t>
        </is>
      </c>
      <c r="G149" t="inlineStr">
        <is>
          <t>SA</t>
        </is>
      </c>
      <c r="H149" t="inlineStr">
        <is>
          <t>index 2000-01=100</t>
        </is>
      </c>
      <c r="I149" t="inlineStr">
        <is>
          <t>index</t>
        </is>
      </c>
      <c r="J149" t="inlineStr">
        <is>
          <t>metro:Cleveland, OH</t>
        </is>
      </c>
      <c r="K149" t="inlineStr">
        <is>
          <t>FALSE</t>
        </is>
      </c>
      <c r="L149" t="inlineStr">
        <is>
          <t>TRUE</t>
        </is>
      </c>
      <c r="M149" t="inlineStr">
        <is>
          <t>yoy_pct</t>
        </is>
      </c>
      <c r="N149" t="inlineStr">
        <is>
          <t>none</t>
        </is>
      </c>
      <c r="O149" t="inlineStr">
        <is>
          <t>Case-Shiller metro -- copyrighted, internal only, higher-frequency confirmation.</t>
        </is>
      </c>
    </row>
    <row r="150">
      <c r="A150" t="inlineStr">
        <is>
          <t>DAXRSA</t>
        </is>
      </c>
      <c r="B150" t="inlineStr">
        <is>
          <t>Case-Shiller HPI -- Dallas, TX</t>
        </is>
      </c>
      <c r="C150" t="inlineStr">
        <is>
          <t>hpi_caseshiller</t>
        </is>
      </c>
      <c r="D150" t="inlineStr">
        <is>
          <t>price</t>
        </is>
      </c>
      <c r="E150" t="inlineStr">
        <is>
          <t>price</t>
        </is>
      </c>
      <c r="F150" t="inlineStr">
        <is>
          <t>monthly</t>
        </is>
      </c>
      <c r="G150" t="inlineStr">
        <is>
          <t>SA</t>
        </is>
      </c>
      <c r="H150" t="inlineStr">
        <is>
          <t>index 2000-01=100</t>
        </is>
      </c>
      <c r="I150" t="inlineStr">
        <is>
          <t>index</t>
        </is>
      </c>
      <c r="J150" t="inlineStr">
        <is>
          <t>metro:Dallas, TX</t>
        </is>
      </c>
      <c r="K150" t="inlineStr">
        <is>
          <t>FALSE</t>
        </is>
      </c>
      <c r="L150" t="inlineStr">
        <is>
          <t>TRUE</t>
        </is>
      </c>
      <c r="M150" t="inlineStr">
        <is>
          <t>yoy_pct</t>
        </is>
      </c>
      <c r="N150" t="inlineStr">
        <is>
          <t>none</t>
        </is>
      </c>
      <c r="O150" t="inlineStr">
        <is>
          <t>Case-Shiller metro -- copyrighted, internal only, higher-frequency confirmation.</t>
        </is>
      </c>
    </row>
    <row r="151">
      <c r="A151" t="inlineStr">
        <is>
          <t>DNXRSA</t>
        </is>
      </c>
      <c r="B151" t="inlineStr">
        <is>
          <t>Case-Shiller HPI -- Denver, CO</t>
        </is>
      </c>
      <c r="C151" t="inlineStr">
        <is>
          <t>hpi_caseshiller</t>
        </is>
      </c>
      <c r="D151" t="inlineStr">
        <is>
          <t>price</t>
        </is>
      </c>
      <c r="E151" t="inlineStr">
        <is>
          <t>price</t>
        </is>
      </c>
      <c r="F151" t="inlineStr">
        <is>
          <t>monthly</t>
        </is>
      </c>
      <c r="G151" t="inlineStr">
        <is>
          <t>SA</t>
        </is>
      </c>
      <c r="H151" t="inlineStr">
        <is>
          <t>index 2000-01=100</t>
        </is>
      </c>
      <c r="I151" t="inlineStr">
        <is>
          <t>index</t>
        </is>
      </c>
      <c r="J151" t="inlineStr">
        <is>
          <t>metro:Denver, CO</t>
        </is>
      </c>
      <c r="K151" t="inlineStr">
        <is>
          <t>FALSE</t>
        </is>
      </c>
      <c r="L151" t="inlineStr">
        <is>
          <t>TRUE</t>
        </is>
      </c>
      <c r="M151" t="inlineStr">
        <is>
          <t>yoy_pct</t>
        </is>
      </c>
      <c r="N151" t="inlineStr">
        <is>
          <t>none</t>
        </is>
      </c>
      <c r="O151" t="inlineStr">
        <is>
          <t>Case-Shiller metro -- copyrighted, internal only, higher-frequency confirmation.</t>
        </is>
      </c>
    </row>
    <row r="152">
      <c r="A152" t="inlineStr">
        <is>
          <t>DEXRSA</t>
        </is>
      </c>
      <c r="B152" t="inlineStr">
        <is>
          <t>Case-Shiller HPI -- Detroit, MI</t>
        </is>
      </c>
      <c r="C152" t="inlineStr">
        <is>
          <t>hpi_caseshiller</t>
        </is>
      </c>
      <c r="D152" t="inlineStr">
        <is>
          <t>price</t>
        </is>
      </c>
      <c r="E152" t="inlineStr">
        <is>
          <t>price</t>
        </is>
      </c>
      <c r="F152" t="inlineStr">
        <is>
          <t>monthly</t>
        </is>
      </c>
      <c r="G152" t="inlineStr">
        <is>
          <t>SA</t>
        </is>
      </c>
      <c r="H152" t="inlineStr">
        <is>
          <t>index 2000-01=100</t>
        </is>
      </c>
      <c r="I152" t="inlineStr">
        <is>
          <t>index</t>
        </is>
      </c>
      <c r="J152" t="inlineStr">
        <is>
          <t>metro:Detroit, MI</t>
        </is>
      </c>
      <c r="K152" t="inlineStr">
        <is>
          <t>FALSE</t>
        </is>
      </c>
      <c r="L152" t="inlineStr">
        <is>
          <t>TRUE</t>
        </is>
      </c>
      <c r="M152" t="inlineStr">
        <is>
          <t>yoy_pct</t>
        </is>
      </c>
      <c r="N152" t="inlineStr">
        <is>
          <t>none</t>
        </is>
      </c>
      <c r="O152" t="inlineStr">
        <is>
          <t>Case-Shiller metro -- copyrighted, internal only, higher-frequency confirmation.</t>
        </is>
      </c>
    </row>
    <row r="153">
      <c r="A153" t="inlineStr">
        <is>
          <t>LVXRSA</t>
        </is>
      </c>
      <c r="B153" t="inlineStr">
        <is>
          <t>Case-Shiller HPI -- Las Vegas, NV</t>
        </is>
      </c>
      <c r="C153" t="inlineStr">
        <is>
          <t>hpi_caseshiller</t>
        </is>
      </c>
      <c r="D153" t="inlineStr">
        <is>
          <t>price</t>
        </is>
      </c>
      <c r="E153" t="inlineStr">
        <is>
          <t>price</t>
        </is>
      </c>
      <c r="F153" t="inlineStr">
        <is>
          <t>monthly</t>
        </is>
      </c>
      <c r="G153" t="inlineStr">
        <is>
          <t>SA</t>
        </is>
      </c>
      <c r="H153" t="inlineStr">
        <is>
          <t>index 2000-01=100</t>
        </is>
      </c>
      <c r="I153" t="inlineStr">
        <is>
          <t>index</t>
        </is>
      </c>
      <c r="J153" t="inlineStr">
        <is>
          <t>metro:Las Vegas, NV</t>
        </is>
      </c>
      <c r="K153" t="inlineStr">
        <is>
          <t>FALSE</t>
        </is>
      </c>
      <c r="L153" t="inlineStr">
        <is>
          <t>TRUE</t>
        </is>
      </c>
      <c r="M153" t="inlineStr">
        <is>
          <t>yoy_pct</t>
        </is>
      </c>
      <c r="N153" t="inlineStr">
        <is>
          <t>none</t>
        </is>
      </c>
      <c r="O153" t="inlineStr">
        <is>
          <t>Case-Shiller metro -- copyrighted, internal only, higher-frequency confirmation.</t>
        </is>
      </c>
    </row>
    <row r="154">
      <c r="A154" t="inlineStr">
        <is>
          <t>LXXRSA</t>
        </is>
      </c>
      <c r="B154" t="inlineStr">
        <is>
          <t>Case-Shiller HPI -- Los Angeles, CA</t>
        </is>
      </c>
      <c r="C154" t="inlineStr">
        <is>
          <t>hpi_caseshiller</t>
        </is>
      </c>
      <c r="D154" t="inlineStr">
        <is>
          <t>price</t>
        </is>
      </c>
      <c r="E154" t="inlineStr">
        <is>
          <t>price</t>
        </is>
      </c>
      <c r="F154" t="inlineStr">
        <is>
          <t>monthly</t>
        </is>
      </c>
      <c r="G154" t="inlineStr">
        <is>
          <t>SA</t>
        </is>
      </c>
      <c r="H154" t="inlineStr">
        <is>
          <t>index 2000-01=100</t>
        </is>
      </c>
      <c r="I154" t="inlineStr">
        <is>
          <t>index</t>
        </is>
      </c>
      <c r="J154" t="inlineStr">
        <is>
          <t>metro:Los Angeles, CA</t>
        </is>
      </c>
      <c r="K154" t="inlineStr">
        <is>
          <t>FALSE</t>
        </is>
      </c>
      <c r="L154" t="inlineStr">
        <is>
          <t>TRUE</t>
        </is>
      </c>
      <c r="M154" t="inlineStr">
        <is>
          <t>yoy_pct</t>
        </is>
      </c>
      <c r="N154" t="inlineStr">
        <is>
          <t>none</t>
        </is>
      </c>
      <c r="O154" t="inlineStr">
        <is>
          <t>Case-Shiller metro -- copyrighted, internal only, higher-frequency confirmation.</t>
        </is>
      </c>
    </row>
    <row r="155">
      <c r="A155" t="inlineStr">
        <is>
          <t>MIXRSA</t>
        </is>
      </c>
      <c r="B155" t="inlineStr">
        <is>
          <t>Case-Shiller HPI -- Miami, FL</t>
        </is>
      </c>
      <c r="C155" t="inlineStr">
        <is>
          <t>hpi_caseshiller</t>
        </is>
      </c>
      <c r="D155" t="inlineStr">
        <is>
          <t>price</t>
        </is>
      </c>
      <c r="E155" t="inlineStr">
        <is>
          <t>price</t>
        </is>
      </c>
      <c r="F155" t="inlineStr">
        <is>
          <t>monthly</t>
        </is>
      </c>
      <c r="G155" t="inlineStr">
        <is>
          <t>SA</t>
        </is>
      </c>
      <c r="H155" t="inlineStr">
        <is>
          <t>index 2000-01=100</t>
        </is>
      </c>
      <c r="I155" t="inlineStr">
        <is>
          <t>index</t>
        </is>
      </c>
      <c r="J155" t="inlineStr">
        <is>
          <t>metro:Miami, FL</t>
        </is>
      </c>
      <c r="K155" t="inlineStr">
        <is>
          <t>FALSE</t>
        </is>
      </c>
      <c r="L155" t="inlineStr">
        <is>
          <t>TRUE</t>
        </is>
      </c>
      <c r="M155" t="inlineStr">
        <is>
          <t>yoy_pct</t>
        </is>
      </c>
      <c r="N155" t="inlineStr">
        <is>
          <t>none</t>
        </is>
      </c>
      <c r="O155" t="inlineStr">
        <is>
          <t>Case-Shiller metro -- copyrighted, internal only, higher-frequency confirmation.</t>
        </is>
      </c>
    </row>
    <row r="156">
      <c r="A156" t="inlineStr">
        <is>
          <t>MNXRSA</t>
        </is>
      </c>
      <c r="B156" t="inlineStr">
        <is>
          <t>Case-Shiller HPI -- Minneapolis, MN</t>
        </is>
      </c>
      <c r="C156" t="inlineStr">
        <is>
          <t>hpi_caseshiller</t>
        </is>
      </c>
      <c r="D156" t="inlineStr">
        <is>
          <t>price</t>
        </is>
      </c>
      <c r="E156" t="inlineStr">
        <is>
          <t>price</t>
        </is>
      </c>
      <c r="F156" t="inlineStr">
        <is>
          <t>monthly</t>
        </is>
      </c>
      <c r="G156" t="inlineStr">
        <is>
          <t>SA</t>
        </is>
      </c>
      <c r="H156" t="inlineStr">
        <is>
          <t>index 2000-01=100</t>
        </is>
      </c>
      <c r="I156" t="inlineStr">
        <is>
          <t>index</t>
        </is>
      </c>
      <c r="J156" t="inlineStr">
        <is>
          <t>metro:Minneapolis, MN</t>
        </is>
      </c>
      <c r="K156" t="inlineStr">
        <is>
          <t>FALSE</t>
        </is>
      </c>
      <c r="L156" t="inlineStr">
        <is>
          <t>TRUE</t>
        </is>
      </c>
      <c r="M156" t="inlineStr">
        <is>
          <t>yoy_pct</t>
        </is>
      </c>
      <c r="N156" t="inlineStr">
        <is>
          <t>none</t>
        </is>
      </c>
      <c r="O156" t="inlineStr">
        <is>
          <t>Case-Shiller metro -- copyrighted, internal only, higher-frequency confirmation.</t>
        </is>
      </c>
    </row>
    <row r="157">
      <c r="A157" t="inlineStr">
        <is>
          <t>NYXRSA</t>
        </is>
      </c>
      <c r="B157" t="inlineStr">
        <is>
          <t>Case-Shiller HPI -- New York, NY</t>
        </is>
      </c>
      <c r="C157" t="inlineStr">
        <is>
          <t>hpi_caseshiller</t>
        </is>
      </c>
      <c r="D157" t="inlineStr">
        <is>
          <t>price</t>
        </is>
      </c>
      <c r="E157" t="inlineStr">
        <is>
          <t>price</t>
        </is>
      </c>
      <c r="F157" t="inlineStr">
        <is>
          <t>monthly</t>
        </is>
      </c>
      <c r="G157" t="inlineStr">
        <is>
          <t>SA</t>
        </is>
      </c>
      <c r="H157" t="inlineStr">
        <is>
          <t>index 2000-01=100</t>
        </is>
      </c>
      <c r="I157" t="inlineStr">
        <is>
          <t>index</t>
        </is>
      </c>
      <c r="J157" t="inlineStr">
        <is>
          <t>metro:New York, NY</t>
        </is>
      </c>
      <c r="K157" t="inlineStr">
        <is>
          <t>FALSE</t>
        </is>
      </c>
      <c r="L157" t="inlineStr">
        <is>
          <t>TRUE</t>
        </is>
      </c>
      <c r="M157" t="inlineStr">
        <is>
          <t>yoy_pct</t>
        </is>
      </c>
      <c r="N157" t="inlineStr">
        <is>
          <t>none</t>
        </is>
      </c>
      <c r="O157" t="inlineStr">
        <is>
          <t>Case-Shiller metro -- copyrighted, internal only, higher-frequency confirmation.</t>
        </is>
      </c>
    </row>
    <row r="158">
      <c r="A158" t="inlineStr">
        <is>
          <t>PHXRSA</t>
        </is>
      </c>
      <c r="B158" t="inlineStr">
        <is>
          <t>Case-Shiller HPI -- Phoenix, AZ</t>
        </is>
      </c>
      <c r="C158" t="inlineStr">
        <is>
          <t>hpi_caseshiller</t>
        </is>
      </c>
      <c r="D158" t="inlineStr">
        <is>
          <t>price</t>
        </is>
      </c>
      <c r="E158" t="inlineStr">
        <is>
          <t>price</t>
        </is>
      </c>
      <c r="F158" t="inlineStr">
        <is>
          <t>monthly</t>
        </is>
      </c>
      <c r="G158" t="inlineStr">
        <is>
          <t>SA</t>
        </is>
      </c>
      <c r="H158" t="inlineStr">
        <is>
          <t>index 2000-01=100</t>
        </is>
      </c>
      <c r="I158" t="inlineStr">
        <is>
          <t>index</t>
        </is>
      </c>
      <c r="J158" t="inlineStr">
        <is>
          <t>metro:Phoenix, AZ</t>
        </is>
      </c>
      <c r="K158" t="inlineStr">
        <is>
          <t>FALSE</t>
        </is>
      </c>
      <c r="L158" t="inlineStr">
        <is>
          <t>TRUE</t>
        </is>
      </c>
      <c r="M158" t="inlineStr">
        <is>
          <t>yoy_pct</t>
        </is>
      </c>
      <c r="N158" t="inlineStr">
        <is>
          <t>none</t>
        </is>
      </c>
      <c r="O158" t="inlineStr">
        <is>
          <t>Case-Shiller metro -- copyrighted, internal only, higher-frequency confirmation.</t>
        </is>
      </c>
    </row>
    <row r="159">
      <c r="A159" t="inlineStr">
        <is>
          <t>POXRSA</t>
        </is>
      </c>
      <c r="B159" t="inlineStr">
        <is>
          <t>Case-Shiller HPI -- Portland, OR</t>
        </is>
      </c>
      <c r="C159" t="inlineStr">
        <is>
          <t>hpi_caseshiller</t>
        </is>
      </c>
      <c r="D159" t="inlineStr">
        <is>
          <t>price</t>
        </is>
      </c>
      <c r="E159" t="inlineStr">
        <is>
          <t>price</t>
        </is>
      </c>
      <c r="F159" t="inlineStr">
        <is>
          <t>monthly</t>
        </is>
      </c>
      <c r="G159" t="inlineStr">
        <is>
          <t>SA</t>
        </is>
      </c>
      <c r="H159" t="inlineStr">
        <is>
          <t>index 2000-01=100</t>
        </is>
      </c>
      <c r="I159" t="inlineStr">
        <is>
          <t>index</t>
        </is>
      </c>
      <c r="J159" t="inlineStr">
        <is>
          <t>metro:Portland, OR</t>
        </is>
      </c>
      <c r="K159" t="inlineStr">
        <is>
          <t>FALSE</t>
        </is>
      </c>
      <c r="L159" t="inlineStr">
        <is>
          <t>TRUE</t>
        </is>
      </c>
      <c r="M159" t="inlineStr">
        <is>
          <t>yoy_pct</t>
        </is>
      </c>
      <c r="N159" t="inlineStr">
        <is>
          <t>none</t>
        </is>
      </c>
      <c r="O159" t="inlineStr">
        <is>
          <t>Case-Shiller metro -- copyrighted, internal only, higher-frequency confirmation.</t>
        </is>
      </c>
    </row>
    <row r="160">
      <c r="A160" t="inlineStr">
        <is>
          <t>SDXRSA</t>
        </is>
      </c>
      <c r="B160" t="inlineStr">
        <is>
          <t>Case-Shiller HPI -- San Diego, CA</t>
        </is>
      </c>
      <c r="C160" t="inlineStr">
        <is>
          <t>hpi_caseshiller</t>
        </is>
      </c>
      <c r="D160" t="inlineStr">
        <is>
          <t>price</t>
        </is>
      </c>
      <c r="E160" t="inlineStr">
        <is>
          <t>price</t>
        </is>
      </c>
      <c r="F160" t="inlineStr">
        <is>
          <t>monthly</t>
        </is>
      </c>
      <c r="G160" t="inlineStr">
        <is>
          <t>SA</t>
        </is>
      </c>
      <c r="H160" t="inlineStr">
        <is>
          <t>index 2000-01=100</t>
        </is>
      </c>
      <c r="I160" t="inlineStr">
        <is>
          <t>index</t>
        </is>
      </c>
      <c r="J160" t="inlineStr">
        <is>
          <t>metro:San Diego, CA</t>
        </is>
      </c>
      <c r="K160" t="inlineStr">
        <is>
          <t>FALSE</t>
        </is>
      </c>
      <c r="L160" t="inlineStr">
        <is>
          <t>TRUE</t>
        </is>
      </c>
      <c r="M160" t="inlineStr">
        <is>
          <t>yoy_pct</t>
        </is>
      </c>
      <c r="N160" t="inlineStr">
        <is>
          <t>none</t>
        </is>
      </c>
      <c r="O160" t="inlineStr">
        <is>
          <t>Case-Shiller metro -- copyrighted, internal only, higher-frequency confirmation.</t>
        </is>
      </c>
    </row>
    <row r="161">
      <c r="A161" t="inlineStr">
        <is>
          <t>SFXRSA</t>
        </is>
      </c>
      <c r="B161" t="inlineStr">
        <is>
          <t>Case-Shiller HPI -- San Francisco, CA</t>
        </is>
      </c>
      <c r="C161" t="inlineStr">
        <is>
          <t>hpi_caseshiller</t>
        </is>
      </c>
      <c r="D161" t="inlineStr">
        <is>
          <t>price</t>
        </is>
      </c>
      <c r="E161" t="inlineStr">
        <is>
          <t>price</t>
        </is>
      </c>
      <c r="F161" t="inlineStr">
        <is>
          <t>monthly</t>
        </is>
      </c>
      <c r="G161" t="inlineStr">
        <is>
          <t>SA</t>
        </is>
      </c>
      <c r="H161" t="inlineStr">
        <is>
          <t>index 2000-01=100</t>
        </is>
      </c>
      <c r="I161" t="inlineStr">
        <is>
          <t>index</t>
        </is>
      </c>
      <c r="J161" t="inlineStr">
        <is>
          <t>metro:San Francisco, CA</t>
        </is>
      </c>
      <c r="K161" t="inlineStr">
        <is>
          <t>FALSE</t>
        </is>
      </c>
      <c r="L161" t="inlineStr">
        <is>
          <t>TRUE</t>
        </is>
      </c>
      <c r="M161" t="inlineStr">
        <is>
          <t>yoy_pct</t>
        </is>
      </c>
      <c r="N161" t="inlineStr">
        <is>
          <t>none</t>
        </is>
      </c>
      <c r="O161" t="inlineStr">
        <is>
          <t>Case-Shiller metro -- copyrighted, internal only, higher-frequency confirmation.</t>
        </is>
      </c>
    </row>
    <row r="162">
      <c r="A162" t="inlineStr">
        <is>
          <t>SEXRSA</t>
        </is>
      </c>
      <c r="B162" t="inlineStr">
        <is>
          <t>Case-Shiller HPI -- Seattle, WA</t>
        </is>
      </c>
      <c r="C162" t="inlineStr">
        <is>
          <t>hpi_caseshiller</t>
        </is>
      </c>
      <c r="D162" t="inlineStr">
        <is>
          <t>price</t>
        </is>
      </c>
      <c r="E162" t="inlineStr">
        <is>
          <t>price</t>
        </is>
      </c>
      <c r="F162" t="inlineStr">
        <is>
          <t>monthly</t>
        </is>
      </c>
      <c r="G162" t="inlineStr">
        <is>
          <t>SA</t>
        </is>
      </c>
      <c r="H162" t="inlineStr">
        <is>
          <t>index 2000-01=100</t>
        </is>
      </c>
      <c r="I162" t="inlineStr">
        <is>
          <t>index</t>
        </is>
      </c>
      <c r="J162" t="inlineStr">
        <is>
          <t>metro:Seattle, WA</t>
        </is>
      </c>
      <c r="K162" t="inlineStr">
        <is>
          <t>FALSE</t>
        </is>
      </c>
      <c r="L162" t="inlineStr">
        <is>
          <t>TRUE</t>
        </is>
      </c>
      <c r="M162" t="inlineStr">
        <is>
          <t>yoy_pct</t>
        </is>
      </c>
      <c r="N162" t="inlineStr">
        <is>
          <t>none</t>
        </is>
      </c>
      <c r="O162" t="inlineStr">
        <is>
          <t>Case-Shiller metro -- copyrighted, internal only, higher-frequency confirmation.</t>
        </is>
      </c>
    </row>
    <row r="163">
      <c r="A163" t="inlineStr">
        <is>
          <t>TPXRSA</t>
        </is>
      </c>
      <c r="B163" t="inlineStr">
        <is>
          <t>Case-Shiller HPI -- Tampa, FL</t>
        </is>
      </c>
      <c r="C163" t="inlineStr">
        <is>
          <t>hpi_caseshiller</t>
        </is>
      </c>
      <c r="D163" t="inlineStr">
        <is>
          <t>price</t>
        </is>
      </c>
      <c r="E163" t="inlineStr">
        <is>
          <t>price</t>
        </is>
      </c>
      <c r="F163" t="inlineStr">
        <is>
          <t>monthly</t>
        </is>
      </c>
      <c r="G163" t="inlineStr">
        <is>
          <t>SA</t>
        </is>
      </c>
      <c r="H163" t="inlineStr">
        <is>
          <t>index 2000-01=100</t>
        </is>
      </c>
      <c r="I163" t="inlineStr">
        <is>
          <t>index</t>
        </is>
      </c>
      <c r="J163" t="inlineStr">
        <is>
          <t>metro:Tampa, FL</t>
        </is>
      </c>
      <c r="K163" t="inlineStr">
        <is>
          <t>FALSE</t>
        </is>
      </c>
      <c r="L163" t="inlineStr">
        <is>
          <t>TRUE</t>
        </is>
      </c>
      <c r="M163" t="inlineStr">
        <is>
          <t>yoy_pct</t>
        </is>
      </c>
      <c r="N163" t="inlineStr">
        <is>
          <t>none</t>
        </is>
      </c>
      <c r="O163" t="inlineStr">
        <is>
          <t>Case-Shiller metro -- copyrighted, internal only, higher-frequency confirmation.</t>
        </is>
      </c>
    </row>
    <row r="164">
      <c r="A164" t="inlineStr">
        <is>
          <t>WDXRSA</t>
        </is>
      </c>
      <c r="B164" t="inlineStr">
        <is>
          <t>Case-Shiller HPI -- Washington, DC</t>
        </is>
      </c>
      <c r="C164" t="inlineStr">
        <is>
          <t>hpi_caseshiller</t>
        </is>
      </c>
      <c r="D164" t="inlineStr">
        <is>
          <t>price</t>
        </is>
      </c>
      <c r="E164" t="inlineStr">
        <is>
          <t>price</t>
        </is>
      </c>
      <c r="F164" t="inlineStr">
        <is>
          <t>monthly</t>
        </is>
      </c>
      <c r="G164" t="inlineStr">
        <is>
          <t>SA</t>
        </is>
      </c>
      <c r="H164" t="inlineStr">
        <is>
          <t>index 2000-01=100</t>
        </is>
      </c>
      <c r="I164" t="inlineStr">
        <is>
          <t>index</t>
        </is>
      </c>
      <c r="J164" t="inlineStr">
        <is>
          <t>metro:Washington, DC</t>
        </is>
      </c>
      <c r="K164" t="inlineStr">
        <is>
          <t>FALSE</t>
        </is>
      </c>
      <c r="L164" t="inlineStr">
        <is>
          <t>TRUE</t>
        </is>
      </c>
      <c r="M164" t="inlineStr">
        <is>
          <t>yoy_pct</t>
        </is>
      </c>
      <c r="N164" t="inlineStr">
        <is>
          <t>none</t>
        </is>
      </c>
      <c r="O164" t="inlineStr">
        <is>
          <t>Case-Shiller metro -- copyrighted, internal only, higher-frequency confirmation.</t>
        </is>
      </c>
    </row>
    <row r="166">
      <c r="A166" s="10" t="inlineStr">
        <is>
          <t>[CBSA_EXTENSIONS]</t>
        </is>
      </c>
    </row>
    <row r="167">
      <c r="A167" t="inlineStr">
        <is>
          <t>cbsa</t>
        </is>
      </c>
      <c r="B167" t="inlineStr">
        <is>
          <t>name</t>
        </is>
      </c>
      <c r="C167" t="inlineStr">
        <is>
          <t>series_id</t>
        </is>
      </c>
    </row>
    <row r="168">
      <c r="A168" t="inlineStr">
        <is>
          <t>35620</t>
        </is>
      </c>
      <c r="B168" t="inlineStr">
        <is>
          <t>New York-Newark-Jersey City, NY-NJ-PA</t>
        </is>
      </c>
      <c r="C168" t="inlineStr">
        <is>
          <t>ATNHPIUS35620Q</t>
        </is>
      </c>
    </row>
    <row r="169">
      <c r="A169" t="inlineStr">
        <is>
          <t>31080</t>
        </is>
      </c>
      <c r="B169" t="inlineStr">
        <is>
          <t>Los Angeles-Long Beach-Anaheim, CA</t>
        </is>
      </c>
      <c r="C169" t="inlineStr">
        <is>
          <t>ATNHPIUS31080Q</t>
        </is>
      </c>
    </row>
    <row r="170">
      <c r="A170" t="inlineStr">
        <is>
          <t>16980</t>
        </is>
      </c>
      <c r="B170" t="inlineStr">
        <is>
          <t>Chicago-Naperville-Elgin, IL-IN-WI</t>
        </is>
      </c>
      <c r="C170" t="inlineStr">
        <is>
          <t>ATNHPIUS16980Q</t>
        </is>
      </c>
    </row>
    <row r="171">
      <c r="A171" t="inlineStr">
        <is>
          <t>19100</t>
        </is>
      </c>
      <c r="B171" t="inlineStr">
        <is>
          <t>Dallas-Fort Worth-Arlington, TX</t>
        </is>
      </c>
      <c r="C171" t="inlineStr">
        <is>
          <t>ATNHPIUS19100Q</t>
        </is>
      </c>
    </row>
    <row r="172">
      <c r="A172" t="inlineStr">
        <is>
          <t>26420</t>
        </is>
      </c>
      <c r="B172" t="inlineStr">
        <is>
          <t>Houston-The Woodlands-Sugar Land, TX</t>
        </is>
      </c>
      <c r="C172" t="inlineStr">
        <is>
          <t>ATNHPIUS26420Q</t>
        </is>
      </c>
    </row>
    <row r="173">
      <c r="A173" t="inlineStr">
        <is>
          <t>47900</t>
        </is>
      </c>
      <c r="B173" t="inlineStr">
        <is>
          <t>Washington-Arlington-Alexandria, DC-VA-MD-WV</t>
        </is>
      </c>
      <c r="C173" t="inlineStr">
        <is>
          <t>ATNHPIUS47900Q</t>
        </is>
      </c>
    </row>
    <row r="174">
      <c r="A174" t="inlineStr">
        <is>
          <t>33100</t>
        </is>
      </c>
      <c r="B174" t="inlineStr">
        <is>
          <t>Miami-Fort Lauderdale-Pompano Beach, FL</t>
        </is>
      </c>
      <c r="C174" t="inlineStr">
        <is>
          <t>ATNHPIUS33100Q</t>
        </is>
      </c>
    </row>
    <row r="175">
      <c r="A175" t="inlineStr">
        <is>
          <t>37980</t>
        </is>
      </c>
      <c r="B175" t="inlineStr">
        <is>
          <t>Philadelphia-Camden-Wilmington, PA-NJ-DE-MD</t>
        </is>
      </c>
      <c r="C175" t="inlineStr">
        <is>
          <t>ATNHPIUS37980Q</t>
        </is>
      </c>
    </row>
    <row r="176">
      <c r="A176" t="inlineStr">
        <is>
          <t>12060</t>
        </is>
      </c>
      <c r="B176" t="inlineStr">
        <is>
          <t>Atlanta-Sandy Springs-Alpharetta, GA</t>
        </is>
      </c>
      <c r="C176" t="inlineStr">
        <is>
          <t>ATNHPIUS12060Q</t>
        </is>
      </c>
    </row>
    <row r="177">
      <c r="A177" t="inlineStr">
        <is>
          <t>38060</t>
        </is>
      </c>
      <c r="B177" t="inlineStr">
        <is>
          <t>Phoenix-Mesa-Chandler, AZ</t>
        </is>
      </c>
      <c r="C177" t="inlineStr">
        <is>
          <t>ATNHPIUS38060Q</t>
        </is>
      </c>
    </row>
    <row r="178">
      <c r="A178" t="inlineStr">
        <is>
          <t>14460</t>
        </is>
      </c>
      <c r="B178" t="inlineStr">
        <is>
          <t>Boston-Cambridge-Newton, MA-NH</t>
        </is>
      </c>
      <c r="C178" t="inlineStr">
        <is>
          <t>ATNHPIUS14460Q</t>
        </is>
      </c>
    </row>
    <row r="179">
      <c r="A179" t="inlineStr">
        <is>
          <t>41860</t>
        </is>
      </c>
      <c r="B179" t="inlineStr">
        <is>
          <t>San Francisco-Oakland-Berkeley, CA</t>
        </is>
      </c>
      <c r="C179" t="inlineStr">
        <is>
          <t>ATNHPIUS41860Q</t>
        </is>
      </c>
    </row>
    <row r="180">
      <c r="A180" t="inlineStr">
        <is>
          <t>42660</t>
        </is>
      </c>
      <c r="B180" t="inlineStr">
        <is>
          <t>Seattle-Tacoma-Bellevue, WA</t>
        </is>
      </c>
      <c r="C180" t="inlineStr">
        <is>
          <t>ATNHPIUS42660Q</t>
        </is>
      </c>
    </row>
    <row r="181">
      <c r="A181" t="inlineStr">
        <is>
          <t>33460</t>
        </is>
      </c>
      <c r="B181" t="inlineStr">
        <is>
          <t>Minneapolis-St. Paul-Bloomington, MN-WI</t>
        </is>
      </c>
      <c r="C181" t="inlineStr">
        <is>
          <t>ATNHPIUS33460Q</t>
        </is>
      </c>
    </row>
    <row r="182">
      <c r="A182" t="inlineStr">
        <is>
          <t>19820</t>
        </is>
      </c>
      <c r="B182" t="inlineStr">
        <is>
          <t>Detroit-Warren-Dearborn, MI</t>
        </is>
      </c>
      <c r="C182" t="inlineStr">
        <is>
          <t>ATNHPIUS19820Q</t>
        </is>
      </c>
    </row>
    <row r="183">
      <c r="A183" t="inlineStr">
        <is>
          <t>12420</t>
        </is>
      </c>
      <c r="B183" t="inlineStr">
        <is>
          <t>Austin-Round Rock-Georgetown, TX</t>
        </is>
      </c>
      <c r="C183" t="inlineStr">
        <is>
          <t>ATNHPIUS12420Q</t>
        </is>
      </c>
    </row>
    <row r="184">
      <c r="A184" t="inlineStr">
        <is>
          <t>40140</t>
        </is>
      </c>
      <c r="B184" t="inlineStr">
        <is>
          <t>Riverside-San Bernardino-Ontario, CA</t>
        </is>
      </c>
      <c r="C184" t="inlineStr">
        <is>
          <t>ATNHPIUS40140Q</t>
        </is>
      </c>
    </row>
    <row r="185">
      <c r="A185" t="inlineStr">
        <is>
          <t>45300</t>
        </is>
      </c>
      <c r="B185" t="inlineStr">
        <is>
          <t>Tampa-St. Petersburg-Clearwater, FL</t>
        </is>
      </c>
      <c r="C185" t="inlineStr">
        <is>
          <t>ATNHPIUS45300Q</t>
        </is>
      </c>
    </row>
    <row r="187">
      <c r="A187" t="inlineStr">
        <is>
          <t># To add a metro: add an FHFA series row to [SERIES] using series_id ATNHPIUS&lt;CBSA&gt;Q, category hpi_metro, lane price, geo_segment cbsa:&lt;CBSA&gt;, watchlist_capable TRUE, transform yoy_pct.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754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11" t="inlineStr">
        <is>
          <t>#!/usr/bin/env python3</t>
        </is>
      </c>
    </row>
    <row r="2">
      <c r="A2" s="11" t="inlineStr">
        <is>
          <t>"""FRED Credit-Risk Dashboard -- runner (the data path).</t>
        </is>
      </c>
    </row>
    <row r="3">
      <c r="A3" s="11" t="inlineStr"/>
    </row>
    <row r="4">
      <c r="A4" s="11" t="inlineStr">
        <is>
          <t>This module is the SINGLE SOURCE OF TRUTH for the data path and is embedded</t>
        </is>
      </c>
    </row>
    <row r="5">
      <c r="A5" s="11" t="inlineStr">
        <is>
          <t>verbatim into the workbook's ``_code_py`` tab. The VBA "Extract &amp; Run" button</t>
        </is>
      </c>
    </row>
    <row r="6">
      <c r="A6" s="11" t="inlineStr">
        <is>
          <t>writes it back out as ``runner.py`` and executes it.</t>
        </is>
      </c>
    </row>
    <row r="7">
      <c r="A7" s="11" t="inlineStr"/>
    </row>
    <row r="8">
      <c r="A8" s="11" t="inlineStr">
        <is>
          <t>It owns, in clearly isolated sections so a future template can swap pieces</t>
        </is>
      </c>
    </row>
    <row r="9">
      <c r="A9" s="11" t="inlineStr">
        <is>
          <t>without a rebuild (BUILD SPEC sec 0.3):</t>
        </is>
      </c>
    </row>
    <row r="10">
      <c r="A10" s="11" t="inlineStr"/>
    </row>
    <row r="11">
      <c r="A11" s="11" t="inlineStr">
        <is>
          <t xml:space="preserve">  * PROVIDER ADAPTER -- the only FRED-specific code. Swap this class for v2.</t>
        </is>
      </c>
    </row>
    <row r="12">
      <c r="A12" s="11" t="inlineStr">
        <is>
          <t xml:space="preserve">  * TRANSFORM REGISTRY -- deterministic, pure, named transforms (sec 3).</t>
        </is>
      </c>
    </row>
    <row r="13">
      <c r="A13" s="11" t="inlineStr">
        <is>
          <t xml:space="preserve">  * WATCHLIST VALIDATOR -- the hard sample/watchlist boundary gate (sec 0.1).</t>
        </is>
      </c>
    </row>
    <row r="14">
      <c r="A14" s="11" t="inlineStr">
        <is>
          <t xml:space="preserve">  * RAW LAYOUT -- fixed-anchor block geometry shared with the builder so</t>
        </is>
      </c>
    </row>
    <row r="15">
      <c r="A15" s="11" t="inlineStr">
        <is>
          <t xml:space="preserve">    dashboard formulas never break across refreshes.</t>
        </is>
      </c>
    </row>
    <row r="16">
      <c r="A16" s="11" t="inlineStr">
        <is>
          <t xml:space="preserve">  * WRITE BACKENDS -- xlwings (primary, writes into the open book) and</t>
        </is>
      </c>
    </row>
    <row r="17">
      <c r="A17" s="11" t="inlineStr">
        <is>
          <t xml:space="preserve">    openpyxl (fallback, writes the closed file). Presentation logic never</t>
        </is>
      </c>
    </row>
    <row r="18">
      <c r="A18" s="11" t="inlineStr">
        <is>
          <t xml:space="preserve">    sees the backend.</t>
        </is>
      </c>
    </row>
    <row r="19">
      <c r="A19" s="11" t="inlineStr"/>
    </row>
    <row r="20">
      <c r="A20" s="11" t="inlineStr">
        <is>
          <t>No AI/LLM is involved anywhere in this path. Every transform is pure; a given</t>
        </is>
      </c>
    </row>
    <row r="21">
      <c r="A21" s="11" t="inlineStr">
        <is>
          <t>FRED input produces exactly one output (BUILD SPEC sec 0.5).</t>
        </is>
      </c>
    </row>
    <row r="22">
      <c r="A22" s="11" t="inlineStr">
        <is>
          <t>"""</t>
        </is>
      </c>
    </row>
    <row r="23">
      <c r="A23" s="11" t="inlineStr">
        <is>
          <t>from __future__ import annotations</t>
        </is>
      </c>
    </row>
    <row r="24">
      <c r="A24" s="11" t="inlineStr"/>
    </row>
    <row r="25">
      <c r="A25" s="11" t="inlineStr">
        <is>
          <t>import argparse</t>
        </is>
      </c>
    </row>
    <row r="26">
      <c r="A26" s="11" t="inlineStr">
        <is>
          <t>import json</t>
        </is>
      </c>
    </row>
    <row r="27">
      <c r="A27" s="11" t="inlineStr">
        <is>
          <t>import math</t>
        </is>
      </c>
    </row>
    <row r="28">
      <c r="A28" s="11" t="inlineStr">
        <is>
          <t>import os</t>
        </is>
      </c>
    </row>
    <row r="29">
      <c r="A29" s="11" t="inlineStr">
        <is>
          <t>import sys</t>
        </is>
      </c>
    </row>
    <row r="30">
      <c r="A30" s="11" t="inlineStr">
        <is>
          <t>from dataclasses import dataclass, field</t>
        </is>
      </c>
    </row>
    <row r="31">
      <c r="A31" s="11" t="inlineStr">
        <is>
          <t>from datetime import date, datetime, timedelta</t>
        </is>
      </c>
    </row>
    <row r="32">
      <c r="A32" s="11" t="inlineStr">
        <is>
          <t>from typing import Callable, Dict, List, Optional, Sequence</t>
        </is>
      </c>
    </row>
    <row r="33">
      <c r="A33" s="11" t="inlineStr"/>
    </row>
    <row r="34">
      <c r="A34" s="11" t="inlineStr">
        <is>
          <t>import pandas as pd</t>
        </is>
      </c>
    </row>
    <row r="35">
      <c r="A35" s="11" t="inlineStr"/>
    </row>
    <row r="36">
      <c r="A36" s="11" t="inlineStr">
        <is>
          <t># Lane -&gt; raw tab name. Presentation tabs read from these.</t>
        </is>
      </c>
    </row>
    <row r="37">
      <c r="A37" s="11" t="inlineStr">
        <is>
          <t>LANE_RAW_TAB = {</t>
        </is>
      </c>
    </row>
    <row r="38">
      <c r="A38" s="11" t="inlineStr">
        <is>
          <t xml:space="preserve">    "consumer": "Raw_Consumer",</t>
        </is>
      </c>
    </row>
    <row r="39">
      <c r="A39" s="11" t="inlineStr">
        <is>
          <t xml:space="preserve">    "commercial": "Raw_Commercial",</t>
        </is>
      </c>
    </row>
    <row r="40">
      <c r="A40" s="11" t="inlineStr">
        <is>
          <t xml:space="preserve">    "price": "Raw_Price",</t>
        </is>
      </c>
    </row>
    <row r="41">
      <c r="A41" s="11" t="inlineStr">
        <is>
          <t>}</t>
        </is>
      </c>
    </row>
    <row r="42">
      <c r="A42" s="11" t="inlineStr"/>
    </row>
    <row r="43">
      <c r="A43" s="11" t="inlineStr">
        <is>
          <t># Fixed raw-block geometry (newest observation first). Both the builder and the</t>
        </is>
      </c>
    </row>
    <row r="44">
      <c r="A44" s="11" t="inlineStr">
        <is>
          <t># runner derive anchors from this, so refilling raw never shifts a formula.</t>
        </is>
      </c>
    </row>
    <row r="45">
      <c r="A45" s="11" t="inlineStr">
        <is>
          <t>RAW_SLOTS_DEFAULT = 100      # observation rows kept per series (newest-first)</t>
        </is>
      </c>
    </row>
    <row r="46">
      <c r="A46" s="11" t="inlineStr">
        <is>
          <t>RAW_HEADER_ROWS = 2          # row 0: id/title/meta; row 1: "date"/"value"</t>
        </is>
      </c>
    </row>
    <row r="47">
      <c r="A47" s="11" t="inlineStr">
        <is>
          <t>RAW_GAP_ROWS = 2             # blank rows between series blocks</t>
        </is>
      </c>
    </row>
    <row r="48">
      <c r="A48" s="11" t="inlineStr">
        <is>
          <t>RAW_FIRST_ROW = 2            # blocks start at sheet row 2 (row 1 is a banner)</t>
        </is>
      </c>
    </row>
    <row r="49">
      <c r="A49" s="11" t="inlineStr">
        <is>
          <t>RAW_DATE_COL = 1             # column A</t>
        </is>
      </c>
    </row>
    <row r="50">
      <c r="A50" s="11" t="inlineStr">
        <is>
          <t>RAW_VALUE_COL = 2            # column B</t>
        </is>
      </c>
    </row>
    <row r="51">
      <c r="A51" s="11" t="inlineStr"/>
    </row>
    <row r="52">
      <c r="A52" s="11" t="inlineStr">
        <is>
          <t># FRED missing-observation sentinel.</t>
        </is>
      </c>
    </row>
    <row r="53">
      <c r="A53" s="11" t="inlineStr">
        <is>
          <t>FRED_MISSING = "."</t>
        </is>
      </c>
    </row>
    <row r="54">
      <c r="A54" s="11" t="inlineStr"/>
    </row>
    <row r="55">
      <c r="A55" s="11" t="inlineStr">
        <is>
          <t># How many periods make a year / one step, by frequency.</t>
        </is>
      </c>
    </row>
    <row r="56">
      <c r="A56" s="11" t="inlineStr">
        <is>
          <t>FREQ_PERIODS = {</t>
        </is>
      </c>
    </row>
    <row r="57">
      <c r="A57" s="11" t="inlineStr">
        <is>
          <t xml:space="preserve">    "quarterly": {"year": 4, "step": 1},</t>
        </is>
      </c>
    </row>
    <row r="58">
      <c r="A58" s="11" t="inlineStr">
        <is>
          <t xml:space="preserve">    "monthly": {"year": 12, "step": 1},</t>
        </is>
      </c>
    </row>
    <row r="59">
      <c r="A59" s="11" t="inlineStr">
        <is>
          <t xml:space="preserve">    "annual": {"year": 1, "step": 1},</t>
        </is>
      </c>
    </row>
    <row r="60">
      <c r="A60" s="11" t="inlineStr">
        <is>
          <t xml:space="preserve">    "weekly": {"year": 52, "step": 1},</t>
        </is>
      </c>
    </row>
    <row r="61">
      <c r="A61" s="11" t="inlineStr">
        <is>
          <t>}</t>
        </is>
      </c>
    </row>
    <row r="62">
      <c r="A62" s="11" t="inlineStr"/>
    </row>
    <row r="63">
      <c r="A63" s="11" t="inlineStr"/>
    </row>
    <row r="64">
      <c r="A64" s="11" t="inlineStr">
        <is>
          <t>def _freq_key(frequency: str) -&gt; str:</t>
        </is>
      </c>
    </row>
    <row r="65">
      <c r="A65" s="11" t="inlineStr">
        <is>
          <t xml:space="preserve">    f = (frequency or "").strip().lower()</t>
        </is>
      </c>
    </row>
    <row r="66">
      <c r="A66" s="11" t="inlineStr">
        <is>
          <t xml:space="preserve">    if f.startswith("q"):</t>
        </is>
      </c>
    </row>
    <row r="67">
      <c r="A67" s="11" t="inlineStr">
        <is>
          <t xml:space="preserve">        return "quarterly"</t>
        </is>
      </c>
    </row>
    <row r="68">
      <c r="A68" s="11" t="inlineStr">
        <is>
          <t xml:space="preserve">    if f.startswith("m"):</t>
        </is>
      </c>
    </row>
    <row r="69">
      <c r="A69" s="11" t="inlineStr">
        <is>
          <t xml:space="preserve">        return "monthly"</t>
        </is>
      </c>
    </row>
    <row r="70">
      <c r="A70" s="11" t="inlineStr">
        <is>
          <t xml:space="preserve">    if f.startswith("a") or f.startswith("y"):</t>
        </is>
      </c>
    </row>
    <row r="71">
      <c r="A71" s="11" t="inlineStr">
        <is>
          <t xml:space="preserve">        return "annual"</t>
        </is>
      </c>
    </row>
    <row r="72">
      <c r="A72" s="11" t="inlineStr">
        <is>
          <t xml:space="preserve">    if f.startswith("w"):</t>
        </is>
      </c>
    </row>
    <row r="73">
      <c r="A73" s="11" t="inlineStr">
        <is>
          <t xml:space="preserve">        return "weekly"</t>
        </is>
      </c>
    </row>
    <row r="74">
      <c r="A74" s="11" t="inlineStr">
        <is>
          <t xml:space="preserve">    return "quarterly"</t>
        </is>
      </c>
    </row>
    <row r="75">
      <c r="A75" s="11" t="inlineStr"/>
    </row>
    <row r="76">
      <c r="A76" s="11" t="inlineStr"/>
    </row>
    <row r="77">
      <c r="A77" s="11" t="inlineStr">
        <is>
          <t>def periods_per_year(frequency: str) -&gt; int:</t>
        </is>
      </c>
    </row>
    <row r="78">
      <c r="A78" s="11" t="inlineStr">
        <is>
          <t xml:space="preserve">    return FREQ_PERIODS[_freq_key(frequency)]["year"]</t>
        </is>
      </c>
    </row>
    <row r="79">
      <c r="A79" s="11" t="inlineStr"/>
    </row>
    <row r="80">
      <c r="A80" s="11" t="inlineStr"/>
    </row>
    <row r="81">
      <c r="A81" s="11" t="inlineStr">
        <is>
          <t># ---------------------------------------------------------------------------</t>
        </is>
      </c>
    </row>
    <row r="82">
      <c r="A82" s="11" t="inlineStr">
        <is>
          <t># CONFIG MODEL (parsed from the `_config` sheet; backend-agnostic)</t>
        </is>
      </c>
    </row>
    <row r="83">
      <c r="A83" s="11" t="inlineStr">
        <is>
          <t># ---------------------------------------------------------------------------</t>
        </is>
      </c>
    </row>
    <row r="84">
      <c r="A84" s="11" t="inlineStr">
        <is>
          <t>@dataclass</t>
        </is>
      </c>
    </row>
    <row r="85">
      <c r="A85" s="11" t="inlineStr">
        <is>
          <t>class SeriesSpec:</t>
        </is>
      </c>
    </row>
    <row r="86">
      <c r="A86" s="11" t="inlineStr">
        <is>
          <t xml:space="preserve">    series_id: str</t>
        </is>
      </c>
    </row>
    <row r="87">
      <c r="A87" s="11" t="inlineStr">
        <is>
          <t xml:space="preserve">    title: str</t>
        </is>
      </c>
    </row>
    <row r="88">
      <c r="A88" s="11" t="inlineStr">
        <is>
          <t xml:space="preserve">    category: str</t>
        </is>
      </c>
    </row>
    <row r="89">
      <c r="A89" s="11" t="inlineStr">
        <is>
          <t xml:space="preserve">    lane: str</t>
        </is>
      </c>
    </row>
    <row r="90">
      <c r="A90" s="11" t="inlineStr">
        <is>
          <t xml:space="preserve">    metric_type: str</t>
        </is>
      </c>
    </row>
    <row r="91">
      <c r="A91" s="11" t="inlineStr">
        <is>
          <t xml:space="preserve">    frequency: str</t>
        </is>
      </c>
    </row>
    <row r="92">
      <c r="A92" s="11" t="inlineStr">
        <is>
          <t xml:space="preserve">    sa_nsa: str</t>
        </is>
      </c>
    </row>
    <row r="93">
      <c r="A93" s="11" t="inlineStr">
        <is>
          <t xml:space="preserve">    units: str</t>
        </is>
      </c>
    </row>
    <row r="94">
      <c r="A94" s="11" t="inlineStr">
        <is>
          <t xml:space="preserve">    level_rate_index: str</t>
        </is>
      </c>
    </row>
    <row r="95">
      <c r="A95" s="11" t="inlineStr">
        <is>
          <t xml:space="preserve">    geo_segment: str</t>
        </is>
      </c>
    </row>
    <row r="96">
      <c r="A96" s="11" t="inlineStr">
        <is>
          <t xml:space="preserve">    dashboard_capable: bool</t>
        </is>
      </c>
    </row>
    <row r="97">
      <c r="A97" s="11" t="inlineStr">
        <is>
          <t xml:space="preserve">    watchlist_capable: bool</t>
        </is>
      </c>
    </row>
    <row r="98">
      <c r="A98" s="11" t="inlineStr">
        <is>
          <t xml:space="preserve">    transform: str</t>
        </is>
      </c>
    </row>
    <row r="99">
      <c r="A99" s="11" t="inlineStr">
        <is>
          <t xml:space="preserve">    alert_rule: str          # zscore | sloos_level | none  (extends the dict)</t>
        </is>
      </c>
    </row>
    <row r="100">
      <c r="A100" s="11" t="inlineStr">
        <is>
          <t xml:space="preserve">    notes: str</t>
        </is>
      </c>
    </row>
    <row r="101">
      <c r="A101" s="11" t="inlineStr"/>
    </row>
    <row r="102">
      <c r="A102" s="11" t="inlineStr">
        <is>
          <t xml:space="preserve">    @property</t>
        </is>
      </c>
    </row>
    <row r="103">
      <c r="A103" s="11" t="inlineStr">
        <is>
          <t xml:space="preserve">    def is_dead(self) -&gt; bool:</t>
        </is>
      </c>
    </row>
    <row r="104">
      <c r="A104" s="11" t="inlineStr">
        <is>
          <t xml:space="preserve">        """Documented-dead / discontinued series are kept in the dictionary</t>
        </is>
      </c>
    </row>
    <row r="105">
      <c r="A105" s="11" t="inlineStr">
        <is>
          <t xml:space="preserve">        for the record but never pulled live (BUILD SPEC sec 2)."""</t>
        </is>
      </c>
    </row>
    <row r="106">
      <c r="A106" s="11" t="inlineStr">
        <is>
          <t xml:space="preserve">        n = (self.notes or "").lower()</t>
        </is>
      </c>
    </row>
    <row r="107">
      <c r="A107" s="11" t="inlineStr">
        <is>
          <t xml:space="preserve">        return ("discontinued" in n) or ("documented-dead" in n) or ("do not pull" in n)</t>
        </is>
      </c>
    </row>
    <row r="108">
      <c r="A108" s="11" t="inlineStr"/>
    </row>
    <row r="109">
      <c r="A109" s="11" t="inlineStr"/>
    </row>
    <row r="110">
      <c r="A110" s="11" t="inlineStr">
        <is>
          <t>@dataclass</t>
        </is>
      </c>
    </row>
    <row r="111">
      <c r="A111" s="11" t="inlineStr">
        <is>
          <t>class Config:</t>
        </is>
      </c>
    </row>
    <row r="112">
      <c r="A112" s="11" t="inlineStr">
        <is>
          <t xml:space="preserve">    settings: Dict[str, str] = field(default_factory=dict)</t>
        </is>
      </c>
    </row>
    <row r="113">
      <c r="A113" s="11" t="inlineStr">
        <is>
          <t xml:space="preserve">    thresholds: Dict[str, float] = field(default_factory=dict)</t>
        </is>
      </c>
    </row>
    <row r="114">
      <c r="A114" s="11" t="inlineStr">
        <is>
          <t xml:space="preserve">    series: List[SeriesSpec] = field(default_factory=list)</t>
        </is>
      </c>
    </row>
    <row r="115">
      <c r="A115" s="11" t="inlineStr">
        <is>
          <t xml:space="preserve">    cbsa_extensions: List[Dict[str, str]] = field(default_factory=list)</t>
        </is>
      </c>
    </row>
    <row r="116">
      <c r="A116" s="11" t="inlineStr"/>
    </row>
    <row r="117">
      <c r="A117" s="11" t="inlineStr">
        <is>
          <t xml:space="preserve">    def setting(self, key: str, default=None):</t>
        </is>
      </c>
    </row>
    <row r="118">
      <c r="A118" s="11" t="inlineStr">
        <is>
          <t xml:space="preserve">        return self.settings.get(key, default)</t>
        </is>
      </c>
    </row>
    <row r="119">
      <c r="A119" s="11" t="inlineStr"/>
    </row>
    <row r="120">
      <c r="A120" s="11" t="inlineStr">
        <is>
          <t xml:space="preserve">    @property</t>
        </is>
      </c>
    </row>
    <row r="121">
      <c r="A121" s="11" t="inlineStr">
        <is>
          <t xml:space="preserve">    def zscore_band(self) -&gt; float:</t>
        </is>
      </c>
    </row>
    <row r="122">
      <c r="A122" s="11" t="inlineStr">
        <is>
          <t xml:space="preserve">        return float(self.thresholds.get("zscore_band", 1.0))</t>
        </is>
      </c>
    </row>
    <row r="123">
      <c r="A123" s="11" t="inlineStr"/>
    </row>
    <row r="124">
      <c r="A124" s="11" t="inlineStr">
        <is>
          <t xml:space="preserve">    @property</t>
        </is>
      </c>
    </row>
    <row r="125">
      <c r="A125" s="11" t="inlineStr">
        <is>
          <t xml:space="preserve">    def sloos_band(self) -&gt; float:</t>
        </is>
      </c>
    </row>
    <row r="126">
      <c r="A126" s="11" t="inlineStr">
        <is>
          <t xml:space="preserve">        return float(self.thresholds.get("sloos_band", 20.0))</t>
        </is>
      </c>
    </row>
    <row r="127">
      <c r="A127" s="11" t="inlineStr"/>
    </row>
    <row r="128">
      <c r="A128" s="11" t="inlineStr">
        <is>
          <t xml:space="preserve">    @property</t>
        </is>
      </c>
    </row>
    <row r="129">
      <c r="A129" s="11" t="inlineStr">
        <is>
          <t xml:space="preserve">    def raw_slots(self) -&gt; int:</t>
        </is>
      </c>
    </row>
    <row r="130">
      <c r="A130" s="11" t="inlineStr">
        <is>
          <t xml:space="preserve">        return int(float(self.settings.get("raw_slots", RAW_SLOTS_DEFAULT)))</t>
        </is>
      </c>
    </row>
    <row r="131">
      <c r="A131" s="11" t="inlineStr"/>
    </row>
    <row r="132">
      <c r="A132" s="11" t="inlineStr">
        <is>
          <t xml:space="preserve">    @property</t>
        </is>
      </c>
    </row>
    <row r="133">
      <c r="A133" s="11" t="inlineStr">
        <is>
          <t xml:space="preserve">    def stale_multiplier(self) -&gt; float:</t>
        </is>
      </c>
    </row>
    <row r="134">
      <c r="A134" s="11" t="inlineStr">
        <is>
          <t xml:space="preserve">        return float(self.settings.get("stale_multiplier", 2.0))</t>
        </is>
      </c>
    </row>
    <row r="135">
      <c r="A135" s="11" t="inlineStr"/>
    </row>
    <row r="136">
      <c r="A136" s="11" t="inlineStr"/>
    </row>
    <row r="137">
      <c r="A137" s="11" t="inlineStr">
        <is>
          <t>def _as_bool(v) -&gt; bool:</t>
        </is>
      </c>
    </row>
    <row r="138">
      <c r="A138" s="11" t="inlineStr">
        <is>
          <t xml:space="preserve">    return str(v).strip().lower() in ("true", "1", "yes", "y", "t")</t>
        </is>
      </c>
    </row>
    <row r="139">
      <c r="A139" s="11" t="inlineStr"/>
    </row>
    <row r="140">
      <c r="A140" s="11" t="inlineStr"/>
    </row>
    <row r="141">
      <c r="A141" s="11" t="inlineStr">
        <is>
          <t>_SERIES_HEADER = [</t>
        </is>
      </c>
    </row>
    <row r="142">
      <c r="A142" s="11" t="inlineStr">
        <is>
          <t xml:space="preserve">    "series_id", "title", "category", "lane", "metric_type", "frequency",</t>
        </is>
      </c>
    </row>
    <row r="143">
      <c r="A143" s="11" t="inlineStr">
        <is>
          <t xml:space="preserve">    "sa_nsa", "units", "level_rate_index", "geo_segment", "dashboard_capable",</t>
        </is>
      </c>
    </row>
    <row r="144">
      <c r="A144" s="11" t="inlineStr">
        <is>
          <t xml:space="preserve">    "watchlist_capable", "transform", "alert_rule", "notes",</t>
        </is>
      </c>
    </row>
    <row r="145">
      <c r="A145" s="11" t="inlineStr">
        <is>
          <t>]</t>
        </is>
      </c>
    </row>
    <row r="146">
      <c r="A146" s="11" t="inlineStr"/>
    </row>
    <row r="147">
      <c r="A147" s="11" t="inlineStr"/>
    </row>
    <row r="148">
      <c r="A148" s="11" t="inlineStr">
        <is>
          <t>def parse_config(rows: Sequence[Sequence]) -&gt; Config:</t>
        </is>
      </c>
    </row>
    <row r="149">
      <c r="A149" s="11" t="inlineStr">
        <is>
          <t xml:space="preserve">    """Parse the `_config` sheet (list of row value-lists) into a Config.</t>
        </is>
      </c>
    </row>
    <row r="150">
      <c r="A150" s="11" t="inlineStr"/>
    </row>
    <row r="151">
      <c r="A151" s="11" t="inlineStr">
        <is>
          <t xml:space="preserve">    Sections are delimited by a marker in column A: ``[SETTINGS]``,</t>
        </is>
      </c>
    </row>
    <row r="152">
      <c r="A152" s="11" t="inlineStr">
        <is>
          <t xml:space="preserve">    ``[THRESHOLDS]``, ``[SERIES]``, ``[CBSA_EXTENSIONS]``. Editing the sheet</t>
        </is>
      </c>
    </row>
    <row r="153">
      <c r="A153" s="11" t="inlineStr">
        <is>
          <t xml:space="preserve">    changes behaviour with no code edit (BUILD SPEC sec 4, the knob panel).</t>
        </is>
      </c>
    </row>
    <row r="154">
      <c r="A154" s="11" t="inlineStr">
        <is>
          <t xml:space="preserve">    """</t>
        </is>
      </c>
    </row>
    <row r="155">
      <c r="A155" s="11" t="inlineStr">
        <is>
          <t xml:space="preserve">    cfg = Config()</t>
        </is>
      </c>
    </row>
    <row r="156">
      <c r="A156" s="11" t="inlineStr">
        <is>
          <t xml:space="preserve">    section = None</t>
        </is>
      </c>
    </row>
    <row r="157">
      <c r="A157" s="11" t="inlineStr">
        <is>
          <t xml:space="preserve">    series_header: Optional[List[str]] = None</t>
        </is>
      </c>
    </row>
    <row r="158">
      <c r="A158" s="11" t="inlineStr">
        <is>
          <t xml:space="preserve">    cbsa_header: Optional[List[str]] = None</t>
        </is>
      </c>
    </row>
    <row r="159">
      <c r="A159" s="11" t="inlineStr">
        <is>
          <t xml:space="preserve">    for raw in rows:</t>
        </is>
      </c>
    </row>
    <row r="160">
      <c r="A160" s="11" t="inlineStr">
        <is>
          <t xml:space="preserve">        cells = list(raw) + [""] * (len(_SERIES_HEADER) - len(raw)) if raw else []</t>
        </is>
      </c>
    </row>
    <row r="161">
      <c r="A161" s="11" t="inlineStr">
        <is>
          <t xml:space="preserve">        a = ("" if not raw or raw[0] is None else str(raw[0])).strip()</t>
        </is>
      </c>
    </row>
    <row r="162">
      <c r="A162" s="11" t="inlineStr">
        <is>
          <t xml:space="preserve">        if a.startswith("[") and a.endswith("]"):</t>
        </is>
      </c>
    </row>
    <row r="163">
      <c r="A163" s="11" t="inlineStr">
        <is>
          <t xml:space="preserve">            section = a.strip("[]").strip().upper()</t>
        </is>
      </c>
    </row>
    <row r="164">
      <c r="A164" s="11" t="inlineStr">
        <is>
          <t xml:space="preserve">            series_header = None</t>
        </is>
      </c>
    </row>
    <row r="165">
      <c r="A165" s="11" t="inlineStr">
        <is>
          <t xml:space="preserve">            cbsa_header = None</t>
        </is>
      </c>
    </row>
    <row r="166">
      <c r="A166" s="11" t="inlineStr">
        <is>
          <t xml:space="preserve">            continue</t>
        </is>
      </c>
    </row>
    <row r="167">
      <c r="A167" s="11" t="inlineStr">
        <is>
          <t xml:space="preserve">        if not a:</t>
        </is>
      </c>
    </row>
    <row r="168">
      <c r="A168" s="11" t="inlineStr">
        <is>
          <t xml:space="preserve">            continue</t>
        </is>
      </c>
    </row>
    <row r="169">
      <c r="A169" s="11" t="inlineStr">
        <is>
          <t xml:space="preserve">        if section in ("SETTINGS", "THRESHOLDS"):</t>
        </is>
      </c>
    </row>
    <row r="170">
      <c r="A170" s="11" t="inlineStr">
        <is>
          <t xml:space="preserve">            if a.lower() in ("key", "name"):     # header row</t>
        </is>
      </c>
    </row>
    <row r="171">
      <c r="A171" s="11" t="inlineStr">
        <is>
          <t xml:space="preserve">                continue</t>
        </is>
      </c>
    </row>
    <row r="172">
      <c r="A172" s="11" t="inlineStr">
        <is>
          <t xml:space="preserve">            val = "" if len(raw) &lt; 2 or raw[1] is None else raw[1]</t>
        </is>
      </c>
    </row>
    <row r="173">
      <c r="A173" s="11" t="inlineStr">
        <is>
          <t xml:space="preserve">            if section == "SETTINGS":</t>
        </is>
      </c>
    </row>
    <row r="174">
      <c r="A174" s="11" t="inlineStr">
        <is>
          <t xml:space="preserve">                cfg.settings[a] = str(val).strip()</t>
        </is>
      </c>
    </row>
    <row r="175">
      <c r="A175" s="11" t="inlineStr">
        <is>
          <t xml:space="preserve">            else:</t>
        </is>
      </c>
    </row>
    <row r="176">
      <c r="A176" s="11" t="inlineStr">
        <is>
          <t xml:space="preserve">                try:</t>
        </is>
      </c>
    </row>
    <row r="177">
      <c r="A177" s="11" t="inlineStr">
        <is>
          <t xml:space="preserve">                    cfg.thresholds[a] = float(val)</t>
        </is>
      </c>
    </row>
    <row r="178">
      <c r="A178" s="11" t="inlineStr">
        <is>
          <t xml:space="preserve">                except (TypeError, ValueError):</t>
        </is>
      </c>
    </row>
    <row r="179">
      <c r="A179" s="11" t="inlineStr">
        <is>
          <t xml:space="preserve">                    cfg.thresholds[a] = 0.0</t>
        </is>
      </c>
    </row>
    <row r="180">
      <c r="A180" s="11" t="inlineStr">
        <is>
          <t xml:space="preserve">        elif section == "SERIES":</t>
        </is>
      </c>
    </row>
    <row r="181">
      <c r="A181" s="11" t="inlineStr">
        <is>
          <t xml:space="preserve">            if series_header is None:</t>
        </is>
      </c>
    </row>
    <row r="182">
      <c r="A182" s="11" t="inlineStr">
        <is>
          <t xml:space="preserve">                series_header = [str(c).strip() for c in raw]</t>
        </is>
      </c>
    </row>
    <row r="183">
      <c r="A183" s="11" t="inlineStr">
        <is>
          <t xml:space="preserve">                continue</t>
        </is>
      </c>
    </row>
    <row r="184">
      <c r="A184" s="11" t="inlineStr">
        <is>
          <t xml:space="preserve">            vals = {h: ("" if i &gt;= len(raw) or raw[i] is None else raw[i])</t>
        </is>
      </c>
    </row>
    <row r="185">
      <c r="A185" s="11" t="inlineStr">
        <is>
          <t xml:space="preserve">                    for i, h in enumerate(series_header)}</t>
        </is>
      </c>
    </row>
    <row r="186">
      <c r="A186" s="11" t="inlineStr">
        <is>
          <t xml:space="preserve">            cfg.series.append(SeriesSpec(</t>
        </is>
      </c>
    </row>
    <row r="187">
      <c r="A187" s="11" t="inlineStr">
        <is>
          <t xml:space="preserve">                series_id=str(vals.get("series_id", "")).strip(),</t>
        </is>
      </c>
    </row>
    <row r="188">
      <c r="A188" s="11" t="inlineStr">
        <is>
          <t xml:space="preserve">                title=str(vals.get("title", "")).strip(),</t>
        </is>
      </c>
    </row>
    <row r="189">
      <c r="A189" s="11" t="inlineStr">
        <is>
          <t xml:space="preserve">                category=str(vals.get("category", "")).strip(),</t>
        </is>
      </c>
    </row>
    <row r="190">
      <c r="A190" s="11" t="inlineStr">
        <is>
          <t xml:space="preserve">                lane=str(vals.get("lane", "")).strip().lower(),</t>
        </is>
      </c>
    </row>
    <row r="191">
      <c r="A191" s="11" t="inlineStr">
        <is>
          <t xml:space="preserve">                metric_type=str(vals.get("metric_type", "")).strip(),</t>
        </is>
      </c>
    </row>
    <row r="192">
      <c r="A192" s="11" t="inlineStr">
        <is>
          <t xml:space="preserve">                frequency=str(vals.get("frequency", "")).strip(),</t>
        </is>
      </c>
    </row>
    <row r="193">
      <c r="A193" s="11" t="inlineStr">
        <is>
          <t xml:space="preserve">                sa_nsa=str(vals.get("sa_nsa", "")).strip(),</t>
        </is>
      </c>
    </row>
    <row r="194">
      <c r="A194" s="11" t="inlineStr">
        <is>
          <t xml:space="preserve">                units=str(vals.get("units", "")).strip(),</t>
        </is>
      </c>
    </row>
    <row r="195">
      <c r="A195" s="11" t="inlineStr">
        <is>
          <t xml:space="preserve">                level_rate_index=str(vals.get("level_rate_index", "")).strip().lower(),</t>
        </is>
      </c>
    </row>
    <row r="196">
      <c r="A196" s="11" t="inlineStr">
        <is>
          <t xml:space="preserve">                geo_segment=str(vals.get("geo_segment", "")).strip(),</t>
        </is>
      </c>
    </row>
    <row r="197">
      <c r="A197" s="11" t="inlineStr">
        <is>
          <t xml:space="preserve">                dashboard_capable=_as_bool(vals.get("dashboard_capable", "")),</t>
        </is>
      </c>
    </row>
    <row r="198">
      <c r="A198" s="11" t="inlineStr">
        <is>
          <t xml:space="preserve">                watchlist_capable=_as_bool(vals.get("watchlist_capable", "")),</t>
        </is>
      </c>
    </row>
    <row r="199">
      <c r="A199" s="11" t="inlineStr">
        <is>
          <t xml:space="preserve">                transform=str(vals.get("transform", "level")).strip().lower(),</t>
        </is>
      </c>
    </row>
    <row r="200">
      <c r="A200" s="11" t="inlineStr">
        <is>
          <t xml:space="preserve">                alert_rule=str(vals.get("alert_rule", "none")).strip().lower(),</t>
        </is>
      </c>
    </row>
    <row r="201">
      <c r="A201" s="11" t="inlineStr">
        <is>
          <t xml:space="preserve">                notes=str(vals.get("notes", "")).strip(),</t>
        </is>
      </c>
    </row>
    <row r="202">
      <c r="A202" s="11" t="inlineStr">
        <is>
          <t xml:space="preserve">            ))</t>
        </is>
      </c>
    </row>
    <row r="203">
      <c r="A203" s="11" t="inlineStr">
        <is>
          <t xml:space="preserve">        elif section == "CBSA_EXTENSIONS":</t>
        </is>
      </c>
    </row>
    <row r="204">
      <c r="A204" s="11" t="inlineStr">
        <is>
          <t xml:space="preserve">            if cbsa_header is None:</t>
        </is>
      </c>
    </row>
    <row r="205">
      <c r="A205" s="11" t="inlineStr">
        <is>
          <t xml:space="preserve">                cbsa_header = [str(c).strip() for c in raw]</t>
        </is>
      </c>
    </row>
    <row r="206">
      <c r="A206" s="11" t="inlineStr">
        <is>
          <t xml:space="preserve">                continue</t>
        </is>
      </c>
    </row>
    <row r="207">
      <c r="A207" s="11" t="inlineStr">
        <is>
          <t xml:space="preserve">            cfg.cbsa_extensions.append(</t>
        </is>
      </c>
    </row>
    <row r="208">
      <c r="A208" s="11" t="inlineStr">
        <is>
          <t xml:space="preserve">                {h: ("" if i &gt;= len(raw) else str(raw[i]).strip())</t>
        </is>
      </c>
    </row>
    <row r="209">
      <c r="A209" s="11" t="inlineStr">
        <is>
          <t xml:space="preserve">                 for i, h in enumerate(cbsa_header)})</t>
        </is>
      </c>
    </row>
    <row r="210">
      <c r="A210" s="11" t="inlineStr">
        <is>
          <t xml:space="preserve">    return cfg</t>
        </is>
      </c>
    </row>
    <row r="211">
      <c r="A211" s="11" t="inlineStr"/>
    </row>
    <row r="212">
      <c r="A212" s="11" t="inlineStr"/>
    </row>
    <row r="213">
      <c r="A213" s="11" t="inlineStr">
        <is>
          <t># ---------------------------------------------------------------------------</t>
        </is>
      </c>
    </row>
    <row r="214">
      <c r="A214" s="11" t="inlineStr">
        <is>
          <t># WATCHLIST VALIDATOR -- the hard gate (BUILD SPEC sec 0.1)</t>
        </is>
      </c>
    </row>
    <row r="215">
      <c r="A215" s="11" t="inlineStr">
        <is>
          <t># ---------------------------------------------------------------------------</t>
        </is>
      </c>
    </row>
    <row r="216">
      <c r="A216" s="11" t="inlineStr">
        <is>
          <t>class WatchlistBoundaryError(Exception):</t>
        </is>
      </c>
    </row>
    <row r="217">
      <c r="A217" s="11" t="inlineStr">
        <is>
          <t xml:space="preserve">    """Raised when config tries to route a non-geographic series into the</t>
        </is>
      </c>
    </row>
    <row r="218">
      <c r="A218" s="11" t="inlineStr">
        <is>
          <t xml:space="preserve">    commercial watchlist lane. The danger is presenting a national trend as if</t>
        </is>
      </c>
    </row>
    <row r="219">
      <c r="A219" s="11" t="inlineStr">
        <is>
          <t xml:space="preserve">    it can point at loans -- this is the analog of a 'never plug' rule."""</t>
        </is>
      </c>
    </row>
    <row r="220">
      <c r="A220" s="11" t="inlineStr"/>
    </row>
    <row r="221">
      <c r="A221" s="11" t="inlineStr"/>
    </row>
    <row r="222">
      <c r="A222" s="11" t="inlineStr">
        <is>
          <t># Geo keys that are NOT a portfolio-joinable location (national aggregates).</t>
        </is>
      </c>
    </row>
    <row r="223">
      <c r="A223" s="11" t="inlineStr">
        <is>
          <t>_NATIONAL_GEO = {"", "national", "us", "usa", "nation", "aggregate", "n/a", "none"}</t>
        </is>
      </c>
    </row>
    <row r="224">
      <c r="A224" s="11" t="inlineStr">
        <is>
          <t># Categories whose series may legitimately be watchlist-capable.</t>
        </is>
      </c>
    </row>
    <row r="225">
      <c r="A225" s="11" t="inlineStr">
        <is>
          <t>_HPI_CATEGORIES = {"hpi_state", "hpi_metro", "hpi_caseshiller"}</t>
        </is>
      </c>
    </row>
    <row r="226">
      <c r="A226" s="11" t="inlineStr"/>
    </row>
    <row r="227">
      <c r="A227" s="11" t="inlineStr"/>
    </row>
    <row r="228">
      <c r="A228" s="11" t="inlineStr">
        <is>
          <t>def validate_watchlist(series: Sequence[SeriesSpec]) -&gt; None:</t>
        </is>
      </c>
    </row>
    <row r="229">
      <c r="A229" s="11" t="inlineStr">
        <is>
          <t xml:space="preserve">    """Enforce: a series may be watchlist_capable ONLY if it carries a real</t>
        </is>
      </c>
    </row>
    <row r="230">
      <c r="A230" s="11" t="inlineStr">
        <is>
          <t xml:space="preserve">    geographic key a loan portfolio can join on -- i.e. a house-price index</t>
        </is>
      </c>
    </row>
    <row r="231">
      <c r="A231" s="11" t="inlineStr">
        <is>
          <t xml:space="preserve">    (FHFA state/metro, Case-Shiller metro). Charge-off, delinquency, G.19,</t>
        </is>
      </c>
    </row>
    <row r="232">
      <c r="A232" s="11" t="inlineStr">
        <is>
          <t xml:space="preserve">    DSR, SLOOS and CRE-price series are dashboard-only and must never reach</t>
        </is>
      </c>
    </row>
    <row r="233">
      <c r="A233" s="11" t="inlineStr">
        <is>
          <t xml:space="preserve">    the watchlist. Refuse with an error naming the offending series."""</t>
        </is>
      </c>
    </row>
    <row r="234">
      <c r="A234" s="11" t="inlineStr">
        <is>
          <t xml:space="preserve">    for s in series:</t>
        </is>
      </c>
    </row>
    <row r="235">
      <c r="A235" s="11" t="inlineStr">
        <is>
          <t xml:space="preserve">        if not s.watchlist_capable:</t>
        </is>
      </c>
    </row>
    <row r="236">
      <c r="A236" s="11" t="inlineStr">
        <is>
          <t xml:space="preserve">            continue</t>
        </is>
      </c>
    </row>
    <row r="237">
      <c r="A237" s="11" t="inlineStr">
        <is>
          <t xml:space="preserve">        geo = (s.geo_segment or "").strip().lower()</t>
        </is>
      </c>
    </row>
    <row r="238">
      <c r="A238" s="11" t="inlineStr">
        <is>
          <t xml:space="preserve">        reasons = []</t>
        </is>
      </c>
    </row>
    <row r="239">
      <c r="A239" s="11" t="inlineStr">
        <is>
          <t xml:space="preserve">        if geo in _NATIONAL_GEO:</t>
        </is>
      </c>
    </row>
    <row r="240">
      <c r="A240" s="11" t="inlineStr">
        <is>
          <t xml:space="preserve">            reasons.append("no geographic key (geo_segment is national/blank)")</t>
        </is>
      </c>
    </row>
    <row r="241">
      <c r="A241" s="11" t="inlineStr">
        <is>
          <t xml:space="preserve">        if s.lane != "price":</t>
        </is>
      </c>
    </row>
    <row r="242">
      <c r="A242" s="11" t="inlineStr">
        <is>
          <t xml:space="preserve">            reasons.append(f"lane is '{s.lane}', not 'price'")</t>
        </is>
      </c>
    </row>
    <row r="243">
      <c r="A243" s="11" t="inlineStr">
        <is>
          <t xml:space="preserve">        if s.category not in _HPI_CATEGORIES:</t>
        </is>
      </c>
    </row>
    <row r="244">
      <c r="A244" s="11" t="inlineStr">
        <is>
          <t xml:space="preserve">            reasons.append(</t>
        </is>
      </c>
    </row>
    <row r="245">
      <c r="A245" s="11" t="inlineStr">
        <is>
          <t xml:space="preserve">                f"category '{s.category}' is not a house-price index "</t>
        </is>
      </c>
    </row>
    <row r="246">
      <c r="A246" s="11" t="inlineStr">
        <is>
          <t xml:space="preserve">                f"({'/'.join(sorted(_HPI_CATEGORIES))})")</t>
        </is>
      </c>
    </row>
    <row r="247">
      <c r="A247" s="11" t="inlineStr">
        <is>
          <t xml:space="preserve">        if reasons:</t>
        </is>
      </c>
    </row>
    <row r="248">
      <c r="A248" s="11" t="inlineStr">
        <is>
          <t xml:space="preserve">            raise WatchlistBoundaryError(</t>
        </is>
      </c>
    </row>
    <row r="249">
      <c r="A249" s="11" t="inlineStr">
        <is>
          <t xml:space="preserve">                f"Series '{s.series_id}' ({s.title}) is marked watchlist_capable "</t>
        </is>
      </c>
    </row>
    <row r="250">
      <c r="A250" s="11" t="inlineStr">
        <is>
          <t xml:space="preserve">                f"but cannot localize a portfolio subset: " + "; ".join(reasons) +</t>
        </is>
      </c>
    </row>
    <row r="251">
      <c r="A251" s="11" t="inlineStr">
        <is>
          <t xml:space="preserve">                ". National credit-quality series are excluded by design.")</t>
        </is>
      </c>
    </row>
    <row r="252">
      <c r="A252" s="11" t="inlineStr"/>
    </row>
    <row r="253">
      <c r="A253" s="11" t="inlineStr"/>
    </row>
    <row r="254">
      <c r="A254" s="11" t="inlineStr">
        <is>
          <t>def watchlist_series(series: Sequence[SeriesSpec]) -&gt; List[SeriesSpec]:</t>
        </is>
      </c>
    </row>
    <row r="255">
      <c r="A255" s="11" t="inlineStr">
        <is>
          <t xml:space="preserve">    """Series eligible to feed Watchlist_Geo (after validation)."""</t>
        </is>
      </c>
    </row>
    <row r="256">
      <c r="A256" s="11" t="inlineStr">
        <is>
          <t xml:space="preserve">    return [s for s in series if s.watchlist_capable and not s.is_dead]</t>
        </is>
      </c>
    </row>
    <row r="257">
      <c r="A257" s="11" t="inlineStr"/>
    </row>
    <row r="258">
      <c r="A258" s="11" t="inlineStr"/>
    </row>
    <row r="259">
      <c r="A259" s="11" t="inlineStr">
        <is>
          <t># ---------------------------------------------------------------------------</t>
        </is>
      </c>
    </row>
    <row r="260">
      <c r="A260" s="11" t="inlineStr">
        <is>
          <t># TRANSFORM REGISTRY -- pure, deterministic (BUILD SPEC sec 3)</t>
        </is>
      </c>
    </row>
    <row r="261">
      <c r="A261" s="11" t="inlineStr">
        <is>
          <t># Each transform takes a date-indexed Series + its frequency and returns a</t>
        </is>
      </c>
    </row>
    <row r="262">
      <c r="A262" s="11" t="inlineStr">
        <is>
          <t># derived Series of the same index. No transform invents data; missing stays</t>
        </is>
      </c>
    </row>
    <row r="263">
      <c r="A263" s="11" t="inlineStr">
        <is>
          <t># missing. The builder maps each name to the matching Excel formula; the</t>
        </is>
      </c>
    </row>
    <row r="264">
      <c r="A264" s="11" t="inlineStr">
        <is>
          <t># runner uses them for the Python-side alert cross-check.</t>
        </is>
      </c>
    </row>
    <row r="265">
      <c r="A265" s="11" t="inlineStr">
        <is>
          <t># ---------------------------------------------------------------------------</t>
        </is>
      </c>
    </row>
    <row r="266">
      <c r="A266" s="11" t="inlineStr">
        <is>
          <t>def t_level(s: pd.Series, frequency: str) -&gt; pd.Series:</t>
        </is>
      </c>
    </row>
    <row r="267">
      <c r="A267" s="11" t="inlineStr">
        <is>
          <t xml:space="preserve">    return s.astype("float64")</t>
        </is>
      </c>
    </row>
    <row r="268">
      <c r="A268" s="11" t="inlineStr"/>
    </row>
    <row r="269">
      <c r="A269" s="11" t="inlineStr"/>
    </row>
    <row r="270">
      <c r="A270" s="11" t="inlineStr">
        <is>
          <t>def t_yoy_pct(s: pd.Series, frequency: str) -&gt; pd.Series:</t>
        </is>
      </c>
    </row>
    <row r="271">
      <c r="A271" s="11" t="inlineStr">
        <is>
          <t xml:space="preserve">    n = periods_per_year(frequency)</t>
        </is>
      </c>
    </row>
    <row r="272">
      <c r="A272" s="11" t="inlineStr">
        <is>
          <t xml:space="preserve">    return s.astype("float64").pct_change(periods=n) * 100.0</t>
        </is>
      </c>
    </row>
    <row r="273">
      <c r="A273" s="11" t="inlineStr"/>
    </row>
    <row r="274">
      <c r="A274" s="11" t="inlineStr"/>
    </row>
    <row r="275">
      <c r="A275" s="11" t="inlineStr">
        <is>
          <t>def t_qoq_pct(s: pd.Series, frequency: str) -&gt; pd.Series:</t>
        </is>
      </c>
    </row>
    <row r="276">
      <c r="A276" s="11" t="inlineStr">
        <is>
          <t xml:space="preserve">    return s.astype("float64").pct_change(periods=1) * 100.0</t>
        </is>
      </c>
    </row>
    <row r="277">
      <c r="A277" s="11" t="inlineStr"/>
    </row>
    <row r="278">
      <c r="A278" s="11" t="inlineStr"/>
    </row>
    <row r="279">
      <c r="A279" s="11" t="inlineStr">
        <is>
          <t>def t_mom_pct(s: pd.Series, frequency: str) -&gt; pd.Series:</t>
        </is>
      </c>
    </row>
    <row r="280">
      <c r="A280" s="11" t="inlineStr">
        <is>
          <t xml:space="preserve">    return s.astype("float64").pct_change(periods=1) * 100.0</t>
        </is>
      </c>
    </row>
    <row r="281">
      <c r="A281" s="11" t="inlineStr"/>
    </row>
    <row r="282">
      <c r="A282" s="11" t="inlineStr"/>
    </row>
    <row r="283">
      <c r="A283" s="11" t="inlineStr">
        <is>
          <t>def t_zscore_8q(s: pd.Series, frequency: str) -&gt; pd.Series:</t>
        </is>
      </c>
    </row>
    <row r="284">
      <c r="A284" s="11" t="inlineStr">
        <is>
          <t xml:space="preserve">    """Z-score of each point vs. its trailing 8-period mean/std -- the dashboard</t>
        </is>
      </c>
    </row>
    <row r="285">
      <c r="A285" s="11" t="inlineStr">
        <is>
          <t xml:space="preserve">    alert primitive. Window is 8 by name; std uses sample (ddof=1)."""</t>
        </is>
      </c>
    </row>
    <row r="286">
      <c r="A286" s="11" t="inlineStr">
        <is>
          <t xml:space="preserve">    x = s.astype("float64")</t>
        </is>
      </c>
    </row>
    <row r="287">
      <c r="A287" s="11" t="inlineStr">
        <is>
          <t xml:space="preserve">    mean = x.rolling(window=8, min_periods=8).mean()</t>
        </is>
      </c>
    </row>
    <row r="288">
      <c r="A288" s="11" t="inlineStr">
        <is>
          <t xml:space="preserve">    std = x.rolling(window=8, min_periods=8).std(ddof=1)</t>
        </is>
      </c>
    </row>
    <row r="289">
      <c r="A289" s="11" t="inlineStr">
        <is>
          <t xml:space="preserve">    return (x - mean) / std.replace(0.0, math.nan)</t>
        </is>
      </c>
    </row>
    <row r="290">
      <c r="A290" s="11" t="inlineStr"/>
    </row>
    <row r="291">
      <c r="A291" s="11" t="inlineStr"/>
    </row>
    <row r="292">
      <c r="A292" s="11" t="inlineStr">
        <is>
          <t>def t_index_to_pct(s: pd.Series, frequency: str) -&gt; pd.Series:</t>
        </is>
      </c>
    </row>
    <row r="293">
      <c r="A293" s="11" t="inlineStr">
        <is>
          <t xml:space="preserve">    """Convert an index series to YoY % change. Must NEVER be applied to a</t>
        </is>
      </c>
    </row>
    <row r="294">
      <c r="A294" s="11" t="inlineStr">
        <is>
          <t xml:space="preserve">    dollar-level series (e.g. the Z.1 CRE dollar levels) -- the validator and</t>
        </is>
      </c>
    </row>
    <row r="295">
      <c r="A295" s="11" t="inlineStr">
        <is>
          <t xml:space="preserve">    config guard against that."""</t>
        </is>
      </c>
    </row>
    <row r="296">
      <c r="A296" s="11" t="inlineStr">
        <is>
          <t xml:space="preserve">    return t_yoy_pct(s, frequency)</t>
        </is>
      </c>
    </row>
    <row r="297">
      <c r="A297" s="11" t="inlineStr"/>
    </row>
    <row r="298">
      <c r="A298" s="11" t="inlineStr"/>
    </row>
    <row r="299">
      <c r="A299" s="11" t="inlineStr">
        <is>
          <t>TRANSFORMS: Dict[str, Callable[[pd.Series, str], pd.Series]] = {</t>
        </is>
      </c>
    </row>
    <row r="300">
      <c r="A300" s="11" t="inlineStr">
        <is>
          <t xml:space="preserve">    "level": t_level,</t>
        </is>
      </c>
    </row>
    <row r="301">
      <c r="A301" s="11" t="inlineStr">
        <is>
          <t xml:space="preserve">    "yoy_pct": t_yoy_pct,</t>
        </is>
      </c>
    </row>
    <row r="302">
      <c r="A302" s="11" t="inlineStr">
        <is>
          <t xml:space="preserve">    "qoq_pct": t_qoq_pct,</t>
        </is>
      </c>
    </row>
    <row r="303">
      <c r="A303" s="11" t="inlineStr">
        <is>
          <t xml:space="preserve">    "mom_pct": t_mom_pct,</t>
        </is>
      </c>
    </row>
    <row r="304">
      <c r="A304" s="11" t="inlineStr">
        <is>
          <t xml:space="preserve">    "zscore_8q": t_zscore_8q,</t>
        </is>
      </c>
    </row>
    <row r="305">
      <c r="A305" s="11" t="inlineStr">
        <is>
          <t xml:space="preserve">    "index_to_pct": t_index_to_pct,</t>
        </is>
      </c>
    </row>
    <row r="306">
      <c r="A306" s="11" t="inlineStr">
        <is>
          <t>}</t>
        </is>
      </c>
    </row>
    <row r="307">
      <c r="A307" s="11" t="inlineStr"/>
    </row>
    <row r="308">
      <c r="A308" s="11" t="inlineStr">
        <is>
          <t># Transforms that are only meaningful on an index (% of an index), never on a</t>
        </is>
      </c>
    </row>
    <row r="309">
      <c r="A309" s="11" t="inlineStr">
        <is>
          <t># dollar level. Used by validate_transforms().</t>
        </is>
      </c>
    </row>
    <row r="310">
      <c r="A310" s="11" t="inlineStr">
        <is>
          <t>_INDEX_ONLY_TRANSFORMS = {"index_to_pct"}</t>
        </is>
      </c>
    </row>
    <row r="311">
      <c r="A311" s="11" t="inlineStr">
        <is>
          <t>_DOLLAR_LEVELS = {"level", "dollar", "dollars", "$"}</t>
        </is>
      </c>
    </row>
    <row r="312">
      <c r="A312" s="11" t="inlineStr"/>
    </row>
    <row r="313">
      <c r="A313" s="11" t="inlineStr"/>
    </row>
    <row r="314">
      <c r="A314" s="11" t="inlineStr">
        <is>
          <t>class TransformMisuseError(Exception):</t>
        </is>
      </c>
    </row>
    <row r="315">
      <c r="A315" s="11" t="inlineStr">
        <is>
          <t xml:space="preserve">    pass</t>
        </is>
      </c>
    </row>
    <row r="316">
      <c r="A316" s="11" t="inlineStr"/>
    </row>
    <row r="317">
      <c r="A317" s="11" t="inlineStr"/>
    </row>
    <row r="318">
      <c r="A318" s="11" t="inlineStr">
        <is>
          <t>def validate_transforms(series: Sequence[SeriesSpec]) -&gt; None:</t>
        </is>
      </c>
    </row>
    <row r="319">
      <c r="A319" s="11" t="inlineStr">
        <is>
          <t xml:space="preserve">    """Guard: index_to_pct must not be wired onto a dollar-level series."""</t>
        </is>
      </c>
    </row>
    <row r="320">
      <c r="A320" s="11" t="inlineStr">
        <is>
          <t xml:space="preserve">    for s in series:</t>
        </is>
      </c>
    </row>
    <row r="321">
      <c r="A321" s="11" t="inlineStr">
        <is>
          <t xml:space="preserve">        if s.transform in _INDEX_ONLY_TRANSFORMS and s.level_rate_index in _DOLLAR_LEVELS:</t>
        </is>
      </c>
    </row>
    <row r="322">
      <c r="A322" s="11" t="inlineStr">
        <is>
          <t xml:space="preserve">            raise TransformMisuseError(</t>
        </is>
      </c>
    </row>
    <row r="323">
      <c r="A323" s="11" t="inlineStr">
        <is>
          <t xml:space="preserve">                f"Series '{s.series_id}' is a {s.level_rate_index} series but is "</t>
        </is>
      </c>
    </row>
    <row r="324">
      <c r="A324" s="11" t="inlineStr">
        <is>
          <t xml:space="preserve">                f"assigned transform '{s.transform}', which is index-only. Use "</t>
        </is>
      </c>
    </row>
    <row r="325">
      <c r="A325" s="11" t="inlineStr">
        <is>
          <t xml:space="preserve">                f"'level' or 'yoy_pct' for dollar-level series.")</t>
        </is>
      </c>
    </row>
    <row r="326">
      <c r="A326" s="11" t="inlineStr">
        <is>
          <t xml:space="preserve">    for s in series:</t>
        </is>
      </c>
    </row>
    <row r="327">
      <c r="A327" s="11" t="inlineStr">
        <is>
          <t xml:space="preserve">        if s.transform not in TRANSFORMS:</t>
        </is>
      </c>
    </row>
    <row r="328">
      <c r="A328" s="11" t="inlineStr">
        <is>
          <t xml:space="preserve">            raise TransformMisuseError(</t>
        </is>
      </c>
    </row>
    <row r="329">
      <c r="A329" s="11" t="inlineStr">
        <is>
          <t xml:space="preserve">                f"Series '{s.series_id}' references unknown transform '{s.transform}'.")</t>
        </is>
      </c>
    </row>
    <row r="330">
      <c r="A330" s="11" t="inlineStr"/>
    </row>
    <row r="331">
      <c r="A331" s="11" t="inlineStr"/>
    </row>
    <row r="332">
      <c r="A332" s="11" t="inlineStr">
        <is>
          <t>def apply_transform(spec: SeriesSpec, s: pd.Series) -&gt; pd.Series:</t>
        </is>
      </c>
    </row>
    <row r="333">
      <c r="A333" s="11" t="inlineStr">
        <is>
          <t xml:space="preserve">    return TRANSFORMS[spec.transform](s, spec.frequency)</t>
        </is>
      </c>
    </row>
    <row r="334">
      <c r="A334" s="11" t="inlineStr"/>
    </row>
    <row r="335">
      <c r="A335" s="11" t="inlineStr"/>
    </row>
    <row r="336">
      <c r="A336" s="11" t="inlineStr">
        <is>
          <t># ---------------------------------------------------------------------------</t>
        </is>
      </c>
    </row>
    <row r="337">
      <c r="A337" s="11" t="inlineStr">
        <is>
          <t># THRESHOLD ENGINE -- config-driven (BUILD SPEC sec 3)</t>
        </is>
      </c>
    </row>
    <row r="338">
      <c r="A338" s="11" t="inlineStr">
        <is>
          <t># ---------------------------------------------------------------------------</t>
        </is>
      </c>
    </row>
    <row r="339">
      <c r="A339" s="11" t="inlineStr">
        <is>
          <t>def latest_valid(s: pd.Series):</t>
        </is>
      </c>
    </row>
    <row r="340">
      <c r="A340" s="11" t="inlineStr">
        <is>
          <t xml:space="preserve">    s = s.dropna()</t>
        </is>
      </c>
    </row>
    <row r="341">
      <c r="A341" s="11" t="inlineStr">
        <is>
          <t xml:space="preserve">    return None if s.empty else float(s.iloc[-1])</t>
        </is>
      </c>
    </row>
    <row r="342">
      <c r="A342" s="11" t="inlineStr"/>
    </row>
    <row r="343">
      <c r="A343" s="11" t="inlineStr"/>
    </row>
    <row r="344">
      <c r="A344" s="11" t="inlineStr">
        <is>
          <t>def evaluate_alert(spec: SeriesSpec, s: pd.Series, cfg: Config) -&gt; Optional[dict]:</t>
        </is>
      </c>
    </row>
    <row r="345">
      <c r="A345" s="11" t="inlineStr">
        <is>
          <t xml:space="preserve">    """Return an alert dict if the series breaches its configured band, else</t>
        </is>
      </c>
    </row>
    <row r="346">
      <c r="A346" s="11" t="inlineStr">
        <is>
          <t xml:space="preserve">    None. Mirrors the Excel flag so the runner can report a count."""</t>
        </is>
      </c>
    </row>
    <row r="347">
      <c r="A347" s="11" t="inlineStr">
        <is>
          <t xml:space="preserve">    if spec.alert_rule == "zscore":</t>
        </is>
      </c>
    </row>
    <row r="348">
      <c r="A348" s="11" t="inlineStr">
        <is>
          <t xml:space="preserve">        z = latest_valid(t_zscore_8q(s, spec.frequency))</t>
        </is>
      </c>
    </row>
    <row r="349">
      <c r="A349" s="11" t="inlineStr">
        <is>
          <t xml:space="preserve">        if z is not None and z &gt;= cfg.zscore_band:</t>
        </is>
      </c>
    </row>
    <row r="350">
      <c r="A350" s="11" t="inlineStr">
        <is>
          <t xml:space="preserve">            return {"series_id": spec.series_id, "rule": "zscore", "value": round(z, 2),</t>
        </is>
      </c>
    </row>
    <row r="351">
      <c r="A351" s="11" t="inlineStr">
        <is>
          <t xml:space="preserve">                    "band": cfg.zscore_band}</t>
        </is>
      </c>
    </row>
    <row r="352">
      <c r="A352" s="11" t="inlineStr">
        <is>
          <t xml:space="preserve">    elif spec.alert_rule == "sloos_level":</t>
        </is>
      </c>
    </row>
    <row r="353">
      <c r="A353" s="11" t="inlineStr">
        <is>
          <t xml:space="preserve">        v = latest_valid(t_level(s, spec.frequency))</t>
        </is>
      </c>
    </row>
    <row r="354">
      <c r="A354" s="11" t="inlineStr">
        <is>
          <t xml:space="preserve">        if v is not None and v &gt;= cfg.sloos_band:</t>
        </is>
      </c>
    </row>
    <row r="355">
      <c r="A355" s="11" t="inlineStr">
        <is>
          <t xml:space="preserve">            return {"series_id": spec.series_id, "rule": "sloos_level", "value": round(v, 1),</t>
        </is>
      </c>
    </row>
    <row r="356">
      <c r="A356" s="11" t="inlineStr">
        <is>
          <t xml:space="preserve">                    "band": cfg.sloos_band}</t>
        </is>
      </c>
    </row>
    <row r="357">
      <c r="A357" s="11" t="inlineStr">
        <is>
          <t xml:space="preserve">    return None</t>
        </is>
      </c>
    </row>
    <row r="358">
      <c r="A358" s="11" t="inlineStr"/>
    </row>
    <row r="359">
      <c r="A359" s="11" t="inlineStr"/>
    </row>
    <row r="360">
      <c r="A360" s="11" t="inlineStr">
        <is>
          <t># ---------------------------------------------------------------------------</t>
        </is>
      </c>
    </row>
    <row r="361">
      <c r="A361" s="11" t="inlineStr">
        <is>
          <t># PROVIDER ADAPTER -- the ONLY FRED-specific code (BUILD SPEC sec 0.3, sec 1)</t>
        </is>
      </c>
    </row>
    <row r="362">
      <c r="A362" s="11" t="inlineStr">
        <is>
          <t># Swap this class to point the template at another source. Nothing downstream</t>
        </is>
      </c>
    </row>
    <row r="363">
      <c r="A363" s="11" t="inlineStr">
        <is>
          <t># (transforms, validator, layout, backends) knows it is FRED.</t>
        </is>
      </c>
    </row>
    <row r="364">
      <c r="A364" s="11" t="inlineStr">
        <is>
          <t># ---------------------------------------------------------------------------</t>
        </is>
      </c>
    </row>
    <row r="365">
      <c r="A365" s="11" t="inlineStr">
        <is>
          <t>def coerce_series(raw: pd.Series) -&gt; pd.Series:</t>
        </is>
      </c>
    </row>
    <row r="366">
      <c r="A366" s="11" t="inlineStr">
        <is>
          <t xml:space="preserve">    """FRED returns '.' for missing observations -- coerce to NaN, NEVER to 0</t>
        </is>
      </c>
    </row>
    <row r="367">
      <c r="A367" s="11" t="inlineStr">
        <is>
          <t xml:space="preserve">    (BUILD SPEC sec 2). Keep the DatetimeIndex; do not resample."""</t>
        </is>
      </c>
    </row>
    <row r="368">
      <c r="A368" s="11" t="inlineStr">
        <is>
          <t xml:space="preserve">    s = raw.copy()</t>
        </is>
      </c>
    </row>
    <row r="369">
      <c r="A369" s="11" t="inlineStr">
        <is>
          <t xml:space="preserve">    s = s.replace(FRED_MISSING, pd.NA)</t>
        </is>
      </c>
    </row>
    <row r="370">
      <c r="A370" s="11" t="inlineStr">
        <is>
          <t xml:space="preserve">    s = pd.to_numeric(s, errors="coerce")</t>
        </is>
      </c>
    </row>
    <row r="371">
      <c r="A371" s="11" t="inlineStr">
        <is>
          <t xml:space="preserve">    try:</t>
        </is>
      </c>
    </row>
    <row r="372">
      <c r="A372" s="11" t="inlineStr">
        <is>
          <t xml:space="preserve">        s.index = pd.to_datetime(s.index)</t>
        </is>
      </c>
    </row>
    <row r="373">
      <c r="A373" s="11" t="inlineStr">
        <is>
          <t xml:space="preserve">    except (TypeError, ValueError):</t>
        </is>
      </c>
    </row>
    <row r="374">
      <c r="A374" s="11" t="inlineStr">
        <is>
          <t xml:space="preserve">        pass</t>
        </is>
      </c>
    </row>
    <row r="375">
      <c r="A375" s="11" t="inlineStr">
        <is>
          <t xml:space="preserve">    return s.sort_index()</t>
        </is>
      </c>
    </row>
    <row r="376">
      <c r="A376" s="11" t="inlineStr"/>
    </row>
    <row r="377">
      <c r="A377" s="11" t="inlineStr"/>
    </row>
    <row r="378">
      <c r="A378" s="11" t="inlineStr">
        <is>
          <t>class Provider:</t>
        </is>
      </c>
    </row>
    <row r="379">
      <c r="A379" s="11" t="inlineStr">
        <is>
          <t xml:space="preserve">    """Provider protocol. Implementations must return a tidy, date-indexed,</t>
        </is>
      </c>
    </row>
    <row r="380">
      <c r="A380" s="11" t="inlineStr">
        <is>
          <t xml:space="preserve">    NaN-for-missing float Series and a last-observation date."""</t>
        </is>
      </c>
    </row>
    <row r="381">
      <c r="A381" s="11" t="inlineStr"/>
    </row>
    <row r="382">
      <c r="A382" s="11" t="inlineStr">
        <is>
          <t xml:space="preserve">    def fetch(self, series_id: str) -&gt; pd.Series:  # pragma: no cover - interface</t>
        </is>
      </c>
    </row>
    <row r="383">
      <c r="A383" s="11" t="inlineStr">
        <is>
          <t xml:space="preserve">        raise NotImplementedError</t>
        </is>
      </c>
    </row>
    <row r="384">
      <c r="A384" s="11" t="inlineStr"/>
    </row>
    <row r="385">
      <c r="A385" s="11" t="inlineStr">
        <is>
          <t xml:space="preserve">    def last_observation_date(self, series_id: str) -&gt; Optional[date]:  # pragma: no cover</t>
        </is>
      </c>
    </row>
    <row r="386">
      <c r="A386" s="11" t="inlineStr">
        <is>
          <t xml:space="preserve">        raise NotImplementedError</t>
        </is>
      </c>
    </row>
    <row r="387">
      <c r="A387" s="11" t="inlineStr"/>
    </row>
    <row r="388">
      <c r="A388" s="11" t="inlineStr"/>
    </row>
    <row r="389">
      <c r="A389" s="11" t="inlineStr">
        <is>
          <t>class FredProvider(Provider):</t>
        </is>
      </c>
    </row>
    <row r="390">
      <c r="A390" s="11" t="inlineStr">
        <is>
          <t xml:space="preserve">    """FRED adapter via the `fredapi` library (BUILD SPEC sec 1)."""</t>
        </is>
      </c>
    </row>
    <row r="391">
      <c r="A391" s="11" t="inlineStr"/>
    </row>
    <row r="392">
      <c r="A392" s="11" t="inlineStr">
        <is>
          <t xml:space="preserve">    def __init__(self, api_key: str):</t>
        </is>
      </c>
    </row>
    <row r="393">
      <c r="A393" s="11" t="inlineStr">
        <is>
          <t xml:space="preserve">        from fredapi import Fred          # imported lazily so the module loads w/o it</t>
        </is>
      </c>
    </row>
    <row r="394">
      <c r="A394" s="11" t="inlineStr">
        <is>
          <t xml:space="preserve">        self._fred = Fred(api_key=api_key)</t>
        </is>
      </c>
    </row>
    <row r="395">
      <c r="A395" s="11" t="inlineStr"/>
    </row>
    <row r="396">
      <c r="A396" s="11" t="inlineStr">
        <is>
          <t xml:space="preserve">    def fetch(self, series_id: str) -&gt; pd.Series:</t>
        </is>
      </c>
    </row>
    <row r="397">
      <c r="A397" s="11" t="inlineStr">
        <is>
          <t xml:space="preserve">        return coerce_series(self._fred.get_series(series_id))</t>
        </is>
      </c>
    </row>
    <row r="398">
      <c r="A398" s="11" t="inlineStr"/>
    </row>
    <row r="399">
      <c r="A399" s="11" t="inlineStr">
        <is>
          <t xml:space="preserve">    def last_observation_date(self, series_id: str) -&gt; Optional[date]:</t>
        </is>
      </c>
    </row>
    <row r="400">
      <c r="A400" s="11" t="inlineStr">
        <is>
          <t xml:space="preserve">        try:</t>
        </is>
      </c>
    </row>
    <row r="401">
      <c r="A401" s="11" t="inlineStr">
        <is>
          <t xml:space="preserve">            info = self._fred.get_series_info(series_id)</t>
        </is>
      </c>
    </row>
    <row r="402">
      <c r="A402" s="11" t="inlineStr">
        <is>
          <t xml:space="preserve">            return pd.to_datetime(info["observation_end"]).date()</t>
        </is>
      </c>
    </row>
    <row r="403">
      <c r="A403" s="11" t="inlineStr">
        <is>
          <t xml:space="preserve">        except Exception:</t>
        </is>
      </c>
    </row>
    <row r="404">
      <c r="A404" s="11" t="inlineStr">
        <is>
          <t xml:space="preserve">            s = self.fetch(series_id).dropna()</t>
        </is>
      </c>
    </row>
    <row r="405">
      <c r="A405" s="11" t="inlineStr">
        <is>
          <t xml:space="preserve">            return None if s.empty else s.index.max().date()</t>
        </is>
      </c>
    </row>
    <row r="406">
      <c r="A406" s="11" t="inlineStr"/>
    </row>
    <row r="407">
      <c r="A407" s="11" t="inlineStr"/>
    </row>
    <row r="408">
      <c r="A408" s="11" t="inlineStr">
        <is>
          <t>class DemoProvider(Provider):</t>
        </is>
      </c>
    </row>
    <row r="409">
      <c r="A409" s="11" t="inlineStr">
        <is>
          <t xml:space="preserve">    """Deterministic synthetic provider for offline demos and the email-sim</t>
        </is>
      </c>
    </row>
    <row r="410">
      <c r="A410" s="11" t="inlineStr">
        <is>
          <t xml:space="preserve">    acceptance test -- NO network, NO key. Produces plausible, reproducible</t>
        </is>
      </c>
    </row>
    <row r="411">
      <c r="A411" s="11" t="inlineStr">
        <is>
          <t xml:space="preserve">    shapes per series so the workbook populates and dashboards light up.</t>
        </is>
      </c>
    </row>
    <row r="412">
      <c r="A412" s="11" t="inlineStr"/>
    </row>
    <row r="413">
      <c r="A413" s="11" t="inlineStr">
        <is>
          <t xml:space="preserve">    This is a DEV/DEMO convenience, not part of the data path: enable with</t>
        </is>
      </c>
    </row>
    <row r="414">
      <c r="A414" s="11" t="inlineStr">
        <is>
          <t xml:space="preserve">    --demo or demo_mode=TRUE in _config. It never touches FRED.</t>
        </is>
      </c>
    </row>
    <row r="415">
      <c r="A415" s="11" t="inlineStr">
        <is>
          <t xml:space="preserve">    """</t>
        </is>
      </c>
    </row>
    <row r="416">
      <c r="A416" s="11" t="inlineStr"/>
    </row>
    <row r="417">
      <c r="A417" s="11" t="inlineStr">
        <is>
          <t xml:space="preserve">    def __init__(self, asof: Optional[date] = None):</t>
        </is>
      </c>
    </row>
    <row r="418">
      <c r="A418" s="11" t="inlineStr">
        <is>
          <t xml:space="preserve">        self.asof = asof or date(2026, 3, 1)</t>
        </is>
      </c>
    </row>
    <row r="419">
      <c r="A419" s="11" t="inlineStr"/>
    </row>
    <row r="420">
      <c r="A420" s="11" t="inlineStr">
        <is>
          <t xml:space="preserve">    def _seed(self, series_id: str) -&gt; int:</t>
        </is>
      </c>
    </row>
    <row r="421">
      <c r="A421" s="11" t="inlineStr">
        <is>
          <t xml:space="preserve">        return sum((i + 1) * ord(c) for i, c in enumerate(series_id)) % 997</t>
        </is>
      </c>
    </row>
    <row r="422">
      <c r="A422" s="11" t="inlineStr"/>
    </row>
    <row r="423">
      <c r="A423" s="11" t="inlineStr">
        <is>
          <t xml:space="preserve">    def fetch(self, series_id: str) -&gt; pd.Series:</t>
        </is>
      </c>
    </row>
    <row r="424">
      <c r="A424" s="11" t="inlineStr">
        <is>
          <t xml:space="preserve">        seed = self._seed(series_id)</t>
        </is>
      </c>
    </row>
    <row r="425">
      <c r="A425" s="11" t="inlineStr">
        <is>
          <t xml:space="preserve">        # Deterministic pseudo-walk (no randomness -&gt; reproducible).</t>
        </is>
      </c>
    </row>
    <row r="426">
      <c r="A426" s="11" t="inlineStr">
        <is>
          <t xml:space="preserve">        quarterly = not series_id.endswith(("SL", "NS", "SLAR"))  # G.19 monthly-ish</t>
        </is>
      </c>
    </row>
    <row r="427">
      <c r="A427" s="11" t="inlineStr">
        <is>
          <t xml:space="preserve">        n = 60</t>
        </is>
      </c>
    </row>
    <row r="428">
      <c r="A428" s="11" t="inlineStr">
        <is>
          <t xml:space="preserve">        freq = "Q" if quarterly else "M"</t>
        </is>
      </c>
    </row>
    <row r="429">
      <c r="A429" s="11" t="inlineStr">
        <is>
          <t xml:space="preserve">        idx = pd.period_range(end=pd.Period(self.asof, freq=freq[0]), periods=n, freq=freq[0])</t>
        </is>
      </c>
    </row>
    <row r="430">
      <c r="A430" s="11" t="inlineStr">
        <is>
          <t xml:space="preserve">        idx = idx.to_timestamp(how="end").normalize()</t>
        </is>
      </c>
    </row>
    <row r="431">
      <c r="A431" s="11" t="inlineStr">
        <is>
          <t xml:space="preserve">        base = 2.0 + (seed % 50) / 10.0</t>
        </is>
      </c>
    </row>
    <row r="432">
      <c r="A432" s="11" t="inlineStr">
        <is>
          <t xml:space="preserve">        vals = []</t>
        </is>
      </c>
    </row>
    <row r="433">
      <c r="A433" s="11" t="inlineStr">
        <is>
          <t xml:space="preserve">        v = base</t>
        </is>
      </c>
    </row>
    <row r="434">
      <c r="A434" s="11" t="inlineStr">
        <is>
          <t xml:space="preserve">        for i in range(n):</t>
        </is>
      </c>
    </row>
    <row r="435">
      <c r="A435" s="11" t="inlineStr">
        <is>
          <t xml:space="preserve">            wobble = math.sin((i + seed) / 5.0) * 0.15 + ((seed &gt;&gt; (i % 5)) &amp; 1) * 0.05</t>
        </is>
      </c>
    </row>
    <row r="436">
      <c r="A436" s="11" t="inlineStr">
        <is>
          <t xml:space="preserve">            drift = 0.02 if i &gt; n - 8 else 0.0     # gentle recent rise to trip some flags</t>
        </is>
      </c>
    </row>
    <row r="437">
      <c r="A437" s="11" t="inlineStr">
        <is>
          <t xml:space="preserve">            v = max(0.05, v + wobble * 0.2 + drift)</t>
        </is>
      </c>
    </row>
    <row r="438">
      <c r="A438" s="11" t="inlineStr">
        <is>
          <t xml:space="preserve">            vals.append(round(v, 3))</t>
        </is>
      </c>
    </row>
    <row r="439">
      <c r="A439" s="11" t="inlineStr">
        <is>
          <t xml:space="preserve">        s = pd.Series(vals, index=idx)</t>
        </is>
      </c>
    </row>
    <row r="440">
      <c r="A440" s="11" t="inlineStr">
        <is>
          <t xml:space="preserve">        s.iloc[seed % n] = math.nan               # exercise the missing-value path</t>
        </is>
      </c>
    </row>
    <row r="441">
      <c r="A441" s="11" t="inlineStr">
        <is>
          <t xml:space="preserve">        return s</t>
        </is>
      </c>
    </row>
    <row r="442">
      <c r="A442" s="11" t="inlineStr"/>
    </row>
    <row r="443">
      <c r="A443" s="11" t="inlineStr">
        <is>
          <t xml:space="preserve">    def last_observation_date(self, series_id: str) -&gt; Optional[date]:</t>
        </is>
      </c>
    </row>
    <row r="444">
      <c r="A444" s="11" t="inlineStr">
        <is>
          <t xml:space="preserve">        return self.asof</t>
        </is>
      </c>
    </row>
    <row r="445">
      <c r="A445" s="11" t="inlineStr"/>
    </row>
    <row r="446">
      <c r="A446" s="11" t="inlineStr"/>
    </row>
    <row r="447">
      <c r="A447" s="11" t="inlineStr">
        <is>
          <t>def resolve_api_key(cfg: Config) -&gt; Optional[str]:</t>
        </is>
      </c>
    </row>
    <row r="448">
      <c r="A448" s="11" t="inlineStr">
        <is>
          <t xml:space="preserve">    """Env var first, then the designated `_config` fallback cell. Never a</t>
        </is>
      </c>
    </row>
    <row r="449">
      <c r="A449" s="11" t="inlineStr">
        <is>
          <t xml:space="preserve">    hardcoded key (BUILD SPEC sec 1)."""</t>
        </is>
      </c>
    </row>
    <row r="450">
      <c r="A450" s="11" t="inlineStr">
        <is>
          <t xml:space="preserve">    key = os.environ.get("FRED_API_KEY", "").strip()</t>
        </is>
      </c>
    </row>
    <row r="451">
      <c r="A451" s="11" t="inlineStr">
        <is>
          <t xml:space="preserve">    if key:</t>
        </is>
      </c>
    </row>
    <row r="452">
      <c r="A452" s="11" t="inlineStr">
        <is>
          <t xml:space="preserve">        return key</t>
        </is>
      </c>
    </row>
    <row r="453">
      <c r="A453" s="11" t="inlineStr">
        <is>
          <t xml:space="preserve">    cell = str(cfg.setting("fred_api_key", "") or "").strip()</t>
        </is>
      </c>
    </row>
    <row r="454">
      <c r="A454" s="11" t="inlineStr">
        <is>
          <t xml:space="preserve">    if cell and cell.lower() not in ("", "&lt;paste-your-fred-api-key-here&gt;", "none"):</t>
        </is>
      </c>
    </row>
    <row r="455">
      <c r="A455" s="11" t="inlineStr">
        <is>
          <t xml:space="preserve">        return cell</t>
        </is>
      </c>
    </row>
    <row r="456">
      <c r="A456" s="11" t="inlineStr">
        <is>
          <t xml:space="preserve">    return None</t>
        </is>
      </c>
    </row>
    <row r="457">
      <c r="A457" s="11" t="inlineStr"/>
    </row>
    <row r="458">
      <c r="A458" s="11" t="inlineStr"/>
    </row>
    <row r="459">
      <c r="A459" s="11" t="inlineStr">
        <is>
          <t># ---------------------------------------------------------------------------</t>
        </is>
      </c>
    </row>
    <row r="460">
      <c r="A460" s="11" t="inlineStr">
        <is>
          <t># RAW LAYOUT -- fixed anchors shared with the builder</t>
        </is>
      </c>
    </row>
    <row r="461">
      <c r="A461" s="11" t="inlineStr">
        <is>
          <t># ---------------------------------------------------------------------------</t>
        </is>
      </c>
    </row>
    <row r="462">
      <c r="A462" s="11" t="inlineStr">
        <is>
          <t>@dataclass</t>
        </is>
      </c>
    </row>
    <row r="463">
      <c r="A463" s="11" t="inlineStr">
        <is>
          <t>class RawBlock:</t>
        </is>
      </c>
    </row>
    <row r="464">
      <c r="A464" s="11" t="inlineStr">
        <is>
          <t xml:space="preserve">    series_id: str</t>
        </is>
      </c>
    </row>
    <row r="465">
      <c r="A465" s="11" t="inlineStr">
        <is>
          <t xml:space="preserve">    tab: str</t>
        </is>
      </c>
    </row>
    <row r="466">
      <c r="A466" s="11" t="inlineStr">
        <is>
          <t xml:space="preserve">    header_row: int          # 1-based row of the id/title banner</t>
        </is>
      </c>
    </row>
    <row r="467">
      <c r="A467" s="11" t="inlineStr">
        <is>
          <t xml:space="preserve">    label_row: int           # "date"/"value" header</t>
        </is>
      </c>
    </row>
    <row r="468">
      <c r="A468" s="11" t="inlineStr">
        <is>
          <t xml:space="preserve">    first_data_row: int      # newest observation row</t>
        </is>
      </c>
    </row>
    <row r="469">
      <c r="A469" s="11" t="inlineStr">
        <is>
          <t xml:space="preserve">    slots: int</t>
        </is>
      </c>
    </row>
    <row r="470">
      <c r="A470" s="11" t="inlineStr"/>
    </row>
    <row r="471">
      <c r="A471" s="11" t="inlineStr">
        <is>
          <t xml:space="preserve">    def data_cell(self, offset: int) -&gt; str:</t>
        </is>
      </c>
    </row>
    <row r="472">
      <c r="A472" s="11" t="inlineStr">
        <is>
          <t xml:space="preserve">        """A1-style address of the value `offset` periods back from newest."""</t>
        </is>
      </c>
    </row>
    <row r="473">
      <c r="A473" s="11" t="inlineStr">
        <is>
          <t xml:space="preserve">        return f"{_col_letter(RAW_VALUE_COL)}{self.first_data_row + offset}"</t>
        </is>
      </c>
    </row>
    <row r="474">
      <c r="A474" s="11" t="inlineStr"/>
    </row>
    <row r="475">
      <c r="A475" s="11" t="inlineStr">
        <is>
          <t xml:space="preserve">    def date_cell(self, offset: int) -&gt; str:</t>
        </is>
      </c>
    </row>
    <row r="476">
      <c r="A476" s="11" t="inlineStr">
        <is>
          <t xml:space="preserve">        return f"{_col_letter(RAW_DATE_COL)}{self.first_data_row + offset}"</t>
        </is>
      </c>
    </row>
    <row r="477">
      <c r="A477" s="11" t="inlineStr"/>
    </row>
    <row r="478">
      <c r="A478" s="11" t="inlineStr">
        <is>
          <t xml:space="preserve">    def value_range(self, count: int) -&gt; str:</t>
        </is>
      </c>
    </row>
    <row r="479">
      <c r="A479" s="11" t="inlineStr">
        <is>
          <t xml:space="preserve">        c = _col_letter(RAW_VALUE_COL)</t>
        </is>
      </c>
    </row>
    <row r="480">
      <c r="A480" s="11" t="inlineStr">
        <is>
          <t xml:space="preserve">        return f"{c}{self.first_data_row}:{c}{self.first_data_row + count - 1}"</t>
        </is>
      </c>
    </row>
    <row r="481">
      <c r="A481" s="11" t="inlineStr"/>
    </row>
    <row r="482">
      <c r="A482" s="11" t="inlineStr"/>
    </row>
    <row r="483">
      <c r="A483" s="11" t="inlineStr">
        <is>
          <t>def _col_letter(idx: int) -&gt; str:</t>
        </is>
      </c>
    </row>
    <row r="484">
      <c r="A484" s="11" t="inlineStr">
        <is>
          <t xml:space="preserve">    s = ""</t>
        </is>
      </c>
    </row>
    <row r="485">
      <c r="A485" s="11" t="inlineStr">
        <is>
          <t xml:space="preserve">    while idx &gt; 0:</t>
        </is>
      </c>
    </row>
    <row r="486">
      <c r="A486" s="11" t="inlineStr">
        <is>
          <t xml:space="preserve">        idx, r = divmod(idx - 1, 26)</t>
        </is>
      </c>
    </row>
    <row r="487">
      <c r="A487" s="11" t="inlineStr">
        <is>
          <t xml:space="preserve">        s = chr(65 + r) + s</t>
        </is>
      </c>
    </row>
    <row r="488">
      <c r="A488" s="11" t="inlineStr">
        <is>
          <t xml:space="preserve">    return s</t>
        </is>
      </c>
    </row>
    <row r="489">
      <c r="A489" s="11" t="inlineStr"/>
    </row>
    <row r="490">
      <c r="A490" s="11" t="inlineStr"/>
    </row>
    <row r="491">
      <c r="A491" s="11" t="inlineStr">
        <is>
          <t>def raw_layout(series: Sequence[SeriesSpec], slots: int = RAW_SLOTS_DEFAULT) -&gt; Dict[str, RawBlock]:</t>
        </is>
      </c>
    </row>
    <row r="492">
      <c r="A492" s="11" t="inlineStr">
        <is>
          <t xml:space="preserve">    """Deterministic block placement: same input -&gt; same anchors, every run."""</t>
        </is>
      </c>
    </row>
    <row r="493">
      <c r="A493" s="11" t="inlineStr">
        <is>
          <t xml:space="preserve">    stride = RAW_HEADER_ROWS + slots + RAW_GAP_ROWS</t>
        </is>
      </c>
    </row>
    <row r="494">
      <c r="A494" s="11" t="inlineStr">
        <is>
          <t xml:space="preserve">    per_tab_index: Dict[str, int] = {}</t>
        </is>
      </c>
    </row>
    <row r="495">
      <c r="A495" s="11" t="inlineStr">
        <is>
          <t xml:space="preserve">    blocks: Dict[str, RawBlock] = {}</t>
        </is>
      </c>
    </row>
    <row r="496">
      <c r="A496" s="11" t="inlineStr">
        <is>
          <t xml:space="preserve">    for s in series:</t>
        </is>
      </c>
    </row>
    <row r="497">
      <c r="A497" s="11" t="inlineStr">
        <is>
          <t xml:space="preserve">        tab = LANE_RAW_TAB.get(s.lane, "Raw_Price")</t>
        </is>
      </c>
    </row>
    <row r="498">
      <c r="A498" s="11" t="inlineStr">
        <is>
          <t xml:space="preserve">        i = per_tab_index.get(tab, 0)</t>
        </is>
      </c>
    </row>
    <row r="499">
      <c r="A499" s="11" t="inlineStr">
        <is>
          <t xml:space="preserve">        per_tab_index[tab] = i + 1</t>
        </is>
      </c>
    </row>
    <row r="500">
      <c r="A500" s="11" t="inlineStr">
        <is>
          <t xml:space="preserve">        header_row = RAW_FIRST_ROW + i * stride</t>
        </is>
      </c>
    </row>
    <row r="501">
      <c r="A501" s="11" t="inlineStr">
        <is>
          <t xml:space="preserve">        blocks[s.series_id] = RawBlock(</t>
        </is>
      </c>
    </row>
    <row r="502">
      <c r="A502" s="11" t="inlineStr">
        <is>
          <t xml:space="preserve">            series_id=s.series_id, tab=tab, header_row=header_row,</t>
        </is>
      </c>
    </row>
    <row r="503">
      <c r="A503" s="11" t="inlineStr">
        <is>
          <t xml:space="preserve">            label_row=header_row + 1, first_data_row=header_row + RAW_HEADER_ROWS,</t>
        </is>
      </c>
    </row>
    <row r="504">
      <c r="A504" s="11" t="inlineStr">
        <is>
          <t xml:space="preserve">            slots=slots)</t>
        </is>
      </c>
    </row>
    <row r="505">
      <c r="A505" s="11" t="inlineStr">
        <is>
          <t xml:space="preserve">    return blocks</t>
        </is>
      </c>
    </row>
    <row r="506">
      <c r="A506" s="11" t="inlineStr"/>
    </row>
    <row r="507">
      <c r="A507" s="11" t="inlineStr"/>
    </row>
    <row r="508">
      <c r="A508" s="11" t="inlineStr">
        <is>
          <t># ---------------------------------------------------------------------------</t>
        </is>
      </c>
    </row>
    <row r="509">
      <c r="A509" s="11" t="inlineStr">
        <is>
          <t># WRITE BACKENDS -- presentation never sees these (BUILD SPEC sec 5/6)</t>
        </is>
      </c>
    </row>
    <row r="510">
      <c r="A510" s="11" t="inlineStr">
        <is>
          <t># ---------------------------------------------------------------------------</t>
        </is>
      </c>
    </row>
    <row r="511">
      <c r="A511" s="11" t="inlineStr">
        <is>
          <t>class Backend:</t>
        </is>
      </c>
    </row>
    <row r="512">
      <c r="A512" s="11" t="inlineStr">
        <is>
          <t xml:space="preserve">    def read_config(self) -&gt; Config:                      # pragma: no cover</t>
        </is>
      </c>
    </row>
    <row r="513">
      <c r="A513" s="11" t="inlineStr">
        <is>
          <t xml:space="preserve">        raise NotImplementedError</t>
        </is>
      </c>
    </row>
    <row r="514">
      <c r="A514" s="11" t="inlineStr"/>
    </row>
    <row r="515">
      <c r="A515" s="11" t="inlineStr">
        <is>
          <t xml:space="preserve">    def write_raw_block(self, block: RawBlock, spec: SeriesSpec, s: pd.Series):  # pragma: no cover</t>
        </is>
      </c>
    </row>
    <row r="516">
      <c r="A516" s="11" t="inlineStr">
        <is>
          <t xml:space="preserve">        raise NotImplementedError</t>
        </is>
      </c>
    </row>
    <row r="517">
      <c r="A517" s="11" t="inlineStr"/>
    </row>
    <row r="518">
      <c r="A518" s="11" t="inlineStr">
        <is>
          <t xml:space="preserve">    def write_status(self, status: dict):                 # pragma: no cover</t>
        </is>
      </c>
    </row>
    <row r="519">
      <c r="A519" s="11" t="inlineStr">
        <is>
          <t xml:space="preserve">        raise NotImplementedError</t>
        </is>
      </c>
    </row>
    <row r="520">
      <c r="A520" s="11" t="inlineStr"/>
    </row>
    <row r="521">
      <c r="A521" s="11" t="inlineStr">
        <is>
          <t xml:space="preserve">    def finalize(self):                                   # pragma: no cover</t>
        </is>
      </c>
    </row>
    <row r="522">
      <c r="A522" s="11" t="inlineStr">
        <is>
          <t xml:space="preserve">        pass</t>
        </is>
      </c>
    </row>
    <row r="523">
      <c r="A523" s="11" t="inlineStr"/>
    </row>
    <row r="524">
      <c r="A524" s="11" t="inlineStr"/>
    </row>
    <row r="525">
      <c r="A525" s="11" t="inlineStr">
        <is>
          <t>def _series_newest_first(s: pd.Series, slots: int):</t>
        </is>
      </c>
    </row>
    <row r="526">
      <c r="A526" s="11" t="inlineStr">
        <is>
          <t xml:space="preserve">    s = s.sort_index()</t>
        </is>
      </c>
    </row>
    <row r="527">
      <c r="A527" s="11" t="inlineStr">
        <is>
          <t xml:space="preserve">    tail = s.iloc[-slots:] if len(s) &gt; slots else s</t>
        </is>
      </c>
    </row>
    <row r="528">
      <c r="A528" s="11" t="inlineStr">
        <is>
          <t xml:space="preserve">    pairs = list(tail.items())[::-1]      # newest first</t>
        </is>
      </c>
    </row>
    <row r="529">
      <c r="A529" s="11" t="inlineStr">
        <is>
          <t xml:space="preserve">    return pairs</t>
        </is>
      </c>
    </row>
    <row r="530">
      <c r="A530" s="11" t="inlineStr"/>
    </row>
    <row r="531">
      <c r="A531" s="11" t="inlineStr"/>
    </row>
    <row r="532">
      <c r="A532" s="11" t="inlineStr">
        <is>
          <t>class OpenpyxlBackend(Backend):</t>
        </is>
      </c>
    </row>
    <row r="533">
      <c r="A533" s="11" t="inlineStr">
        <is>
          <t xml:space="preserve">    """Writes the closed workbook file in place (portable, fewer deps).</t>
        </is>
      </c>
    </row>
    <row r="534">
      <c r="A534" s="11" t="inlineStr">
        <is>
          <t xml:space="preserve">    Preserves the embedded VBA project via keep_vba=True."""</t>
        </is>
      </c>
    </row>
    <row r="535">
      <c r="A535" s="11" t="inlineStr"/>
    </row>
    <row r="536">
      <c r="A536" s="11" t="inlineStr">
        <is>
          <t xml:space="preserve">    def __init__(self, path: str):</t>
        </is>
      </c>
    </row>
    <row r="537">
      <c r="A537" s="11" t="inlineStr">
        <is>
          <t xml:space="preserve">        self.path = path</t>
        </is>
      </c>
    </row>
    <row r="538">
      <c r="A538" s="11" t="inlineStr">
        <is>
          <t xml:space="preserve">        import openpyxl</t>
        </is>
      </c>
    </row>
    <row r="539">
      <c r="A539" s="11" t="inlineStr">
        <is>
          <t xml:space="preserve">        self._wb = openpyxl.load_workbook(path, keep_vba=True)</t>
        </is>
      </c>
    </row>
    <row r="540">
      <c r="A540" s="11" t="inlineStr"/>
    </row>
    <row r="541">
      <c r="A541" s="11" t="inlineStr">
        <is>
          <t xml:space="preserve">    def read_config(self) -&gt; Config:</t>
        </is>
      </c>
    </row>
    <row r="542">
      <c r="A542" s="11" t="inlineStr">
        <is>
          <t xml:space="preserve">        ws = self._wb["_config"]</t>
        </is>
      </c>
    </row>
    <row r="543">
      <c r="A543" s="11" t="inlineStr">
        <is>
          <t xml:space="preserve">        rows = [[c.value for c in row] for row in ws.iter_rows()]</t>
        </is>
      </c>
    </row>
    <row r="544">
      <c r="A544" s="11" t="inlineStr">
        <is>
          <t xml:space="preserve">        return parse_config(rows)</t>
        </is>
      </c>
    </row>
    <row r="545">
      <c r="A545" s="11" t="inlineStr"/>
    </row>
    <row r="546">
      <c r="A546" s="11" t="inlineStr">
        <is>
          <t xml:space="preserve">    def write_raw_block(self, block: RawBlock, spec: SeriesSpec, s: pd.Series):</t>
        </is>
      </c>
    </row>
    <row r="547">
      <c r="A547" s="11" t="inlineStr">
        <is>
          <t xml:space="preserve">        ws = self._wb[block.tab]</t>
        </is>
      </c>
    </row>
    <row r="548">
      <c r="A548" s="11" t="inlineStr">
        <is>
          <t xml:space="preserve">        ws.cell(block.header_row, RAW_DATE_COL, spec.series_id)</t>
        </is>
      </c>
    </row>
    <row r="549">
      <c r="A549" s="11" t="inlineStr">
        <is>
          <t xml:space="preserve">        ws.cell(block.header_row, RAW_VALUE_COL, spec.title)</t>
        </is>
      </c>
    </row>
    <row r="550">
      <c r="A550" s="11" t="inlineStr">
        <is>
          <t xml:space="preserve">        ws.cell(block.header_row, RAW_VALUE_COL + 1, f"freq={spec.frequency}; transform={spec.transform}")</t>
        </is>
      </c>
    </row>
    <row r="551">
      <c r="A551" s="11" t="inlineStr">
        <is>
          <t xml:space="preserve">        ws.cell(block.label_row, RAW_DATE_COL, "date")</t>
        </is>
      </c>
    </row>
    <row r="552">
      <c r="A552" s="11" t="inlineStr">
        <is>
          <t xml:space="preserve">        ws.cell(block.label_row, RAW_VALUE_COL, "value")</t>
        </is>
      </c>
    </row>
    <row r="553">
      <c r="A553" s="11" t="inlineStr">
        <is>
          <t xml:space="preserve">        # Clear the slot region first (stateless refresh).</t>
        </is>
      </c>
    </row>
    <row r="554">
      <c r="A554" s="11" t="inlineStr">
        <is>
          <t xml:space="preserve">        for r in range(block.first_data_row, block.first_data_row + block.slots):</t>
        </is>
      </c>
    </row>
    <row r="555">
      <c r="A555" s="11" t="inlineStr">
        <is>
          <t xml:space="preserve">            ws.cell(r, RAW_DATE_COL, None)</t>
        </is>
      </c>
    </row>
    <row r="556">
      <c r="A556" s="11" t="inlineStr">
        <is>
          <t xml:space="preserve">            ws.cell(r, RAW_VALUE_COL, None)</t>
        </is>
      </c>
    </row>
    <row r="557">
      <c r="A557" s="11" t="inlineStr">
        <is>
          <t xml:space="preserve">        for i, (idx, val) in enumerate(_series_newest_first(s, block.slots)):</t>
        </is>
      </c>
    </row>
    <row r="558">
      <c r="A558" s="11" t="inlineStr">
        <is>
          <t xml:space="preserve">            r = block.first_data_row + i</t>
        </is>
      </c>
    </row>
    <row r="559">
      <c r="A559" s="11" t="inlineStr">
        <is>
          <t xml:space="preserve">            ws.cell(r, RAW_DATE_COL, pd.Timestamp(idx).date().isoformat())</t>
        </is>
      </c>
    </row>
    <row r="560">
      <c r="A560" s="11" t="inlineStr">
        <is>
          <t xml:space="preserve">            ws.cell(r, RAW_VALUE_COL, None if pd.isna(val) else float(val))</t>
        </is>
      </c>
    </row>
    <row r="561">
      <c r="A561" s="11" t="inlineStr"/>
    </row>
    <row r="562">
      <c r="A562" s="11" t="inlineStr">
        <is>
          <t xml:space="preserve">    def write_status(self, status: dict):</t>
        </is>
      </c>
    </row>
    <row r="563">
      <c r="A563" s="11" t="inlineStr">
        <is>
          <t xml:space="preserve">        for tab in ("Dashboard_Consumer", "Dashboard_Commercial", "Dashboard_Price"):</t>
        </is>
      </c>
    </row>
    <row r="564">
      <c r="A564" s="11" t="inlineStr">
        <is>
          <t xml:space="preserve">            if tab in self._wb.sheetnames:</t>
        </is>
      </c>
    </row>
    <row r="565">
      <c r="A565" s="11" t="inlineStr">
        <is>
          <t xml:space="preserve">                ws = self._wb[tab]</t>
        </is>
      </c>
    </row>
    <row r="566">
      <c r="A566" s="11" t="inlineStr">
        <is>
          <t xml:space="preserve">                ws["H1"] = "Last run:"</t>
        </is>
      </c>
    </row>
    <row r="567">
      <c r="A567" s="11" t="inlineStr">
        <is>
          <t xml:space="preserve">                ws["I1"] = status.get("timestamp", "")</t>
        </is>
      </c>
    </row>
    <row r="568">
      <c r="A568" s="11" t="inlineStr">
        <is>
          <t xml:space="preserve">                ws["H2"] = "Series pulled:"</t>
        </is>
      </c>
    </row>
    <row r="569">
      <c r="A569" s="11" t="inlineStr">
        <is>
          <t xml:space="preserve">                ws["I2"] = status.get("series_pulled", 0)</t>
        </is>
      </c>
    </row>
    <row r="570">
      <c r="A570" s="11" t="inlineStr">
        <is>
          <t xml:space="preserve">                ws["H3"] = "Alerts:"</t>
        </is>
      </c>
    </row>
    <row r="571">
      <c r="A571" s="11" t="inlineStr">
        <is>
          <t xml:space="preserve">                ws["I3"] = status.get("alert_count", 0)</t>
        </is>
      </c>
    </row>
    <row r="572">
      <c r="A572" s="11" t="inlineStr">
        <is>
          <t xml:space="preserve">                ws["H4"] = "Stale warnings:"</t>
        </is>
      </c>
    </row>
    <row r="573">
      <c r="A573" s="11" t="inlineStr">
        <is>
          <t xml:space="preserve">                ws["I4"] = "; ".join(status.get("stale", [])) or "none"</t>
        </is>
      </c>
    </row>
    <row r="574">
      <c r="A574" s="11" t="inlineStr"/>
    </row>
    <row r="575">
      <c r="A575" s="11" t="inlineStr">
        <is>
          <t xml:space="preserve">    def finalize(self):</t>
        </is>
      </c>
    </row>
    <row r="576">
      <c r="A576" s="11" t="inlineStr">
        <is>
          <t xml:space="preserve">        self._wb.save(self.path)</t>
        </is>
      </c>
    </row>
    <row r="577">
      <c r="A577" s="11" t="inlineStr"/>
    </row>
    <row r="578">
      <c r="A578" s="11" t="inlineStr"/>
    </row>
    <row r="579">
      <c r="A579" s="11" t="inlineStr">
        <is>
          <t>class XlwingsBackend(Backend):</t>
        </is>
      </c>
    </row>
    <row r="580">
      <c r="A580" s="11" t="inlineStr">
        <is>
          <t xml:space="preserve">    """Writes into the ALREADY-OPEN workbook (smoothest one-click feel) --</t>
        </is>
      </c>
    </row>
    <row r="581">
      <c r="A581" s="11" t="inlineStr">
        <is>
          <t xml:space="preserve">    the recommended path on the work machine (BUILD SPEC sec 5/6)."""</t>
        </is>
      </c>
    </row>
    <row r="582">
      <c r="A582" s="11" t="inlineStr"/>
    </row>
    <row r="583">
      <c r="A583" s="11" t="inlineStr">
        <is>
          <t xml:space="preserve">    def __init__(self, path: str):</t>
        </is>
      </c>
    </row>
    <row r="584">
      <c r="A584" s="11" t="inlineStr">
        <is>
          <t xml:space="preserve">        import xlwings as xw</t>
        </is>
      </c>
    </row>
    <row r="585">
      <c r="A585" s="11" t="inlineStr">
        <is>
          <t xml:space="preserve">        self.path = path</t>
        </is>
      </c>
    </row>
    <row r="586">
      <c r="A586" s="11" t="inlineStr">
        <is>
          <t xml:space="preserve">        self._app = None</t>
        </is>
      </c>
    </row>
    <row r="587">
      <c r="A587" s="11" t="inlineStr">
        <is>
          <t xml:space="preserve">        target = os.path.basename(path)</t>
        </is>
      </c>
    </row>
    <row r="588">
      <c r="A588" s="11" t="inlineStr">
        <is>
          <t xml:space="preserve">        for bk in xw.books:</t>
        </is>
      </c>
    </row>
    <row r="589">
      <c r="A589" s="11" t="inlineStr">
        <is>
          <t xml:space="preserve">            if bk.name.lower() == target.lower():</t>
        </is>
      </c>
    </row>
    <row r="590">
      <c r="A590" s="11" t="inlineStr">
        <is>
          <t xml:space="preserve">                self._book = bk</t>
        </is>
      </c>
    </row>
    <row r="591">
      <c r="A591" s="11" t="inlineStr">
        <is>
          <t xml:space="preserve">                break</t>
        </is>
      </c>
    </row>
    <row r="592">
      <c r="A592" s="11" t="inlineStr">
        <is>
          <t xml:space="preserve">        else:</t>
        </is>
      </c>
    </row>
    <row r="593">
      <c r="A593" s="11" t="inlineStr">
        <is>
          <t xml:space="preserve">            self._book = xw.Book(path)</t>
        </is>
      </c>
    </row>
    <row r="594">
      <c r="A594" s="11" t="inlineStr"/>
    </row>
    <row r="595">
      <c r="A595" s="11" t="inlineStr">
        <is>
          <t xml:space="preserve">    def read_config(self) -&gt; Config:</t>
        </is>
      </c>
    </row>
    <row r="596">
      <c r="A596" s="11" t="inlineStr">
        <is>
          <t xml:space="preserve">        sht = self._book.sheets["_config"]</t>
        </is>
      </c>
    </row>
    <row r="597">
      <c r="A597" s="11" t="inlineStr">
        <is>
          <t xml:space="preserve">        rows = sht.used_range.value or []</t>
        </is>
      </c>
    </row>
    <row r="598">
      <c r="A598" s="11" t="inlineStr">
        <is>
          <t xml:space="preserve">        if rows and not isinstance(rows[0], list):</t>
        </is>
      </c>
    </row>
    <row r="599">
      <c r="A599" s="11" t="inlineStr">
        <is>
          <t xml:space="preserve">            rows = [rows]</t>
        </is>
      </c>
    </row>
    <row r="600">
      <c r="A600" s="11" t="inlineStr">
        <is>
          <t xml:space="preserve">        return parse_config(rows)</t>
        </is>
      </c>
    </row>
    <row r="601">
      <c r="A601" s="11" t="inlineStr"/>
    </row>
    <row r="602">
      <c r="A602" s="11" t="inlineStr">
        <is>
          <t xml:space="preserve">    def write_raw_block(self, block: RawBlock, spec: SeriesSpec, s: pd.Series):</t>
        </is>
      </c>
    </row>
    <row r="603">
      <c r="A603" s="11" t="inlineStr">
        <is>
          <t xml:space="preserve">        sht = self._book.sheets[block.tab]</t>
        </is>
      </c>
    </row>
    <row r="604">
      <c r="A604" s="11" t="inlineStr">
        <is>
          <t xml:space="preserve">        sht.range((block.header_row, RAW_DATE_COL)).value = spec.series_id</t>
        </is>
      </c>
    </row>
    <row r="605">
      <c r="A605" s="11" t="inlineStr">
        <is>
          <t xml:space="preserve">        sht.range((block.header_row, RAW_VALUE_COL)).value = spec.title</t>
        </is>
      </c>
    </row>
    <row r="606">
      <c r="A606" s="11" t="inlineStr">
        <is>
          <t xml:space="preserve">        sht.range((block.header_row, RAW_VALUE_COL + 1)).value = (</t>
        </is>
      </c>
    </row>
    <row r="607">
      <c r="A607" s="11" t="inlineStr">
        <is>
          <t xml:space="preserve">            f"freq={spec.frequency}; transform={spec.transform}")</t>
        </is>
      </c>
    </row>
    <row r="608">
      <c r="A608" s="11" t="inlineStr">
        <is>
          <t xml:space="preserve">        sht.range((block.label_row, RAW_DATE_COL)).value = "date"</t>
        </is>
      </c>
    </row>
    <row r="609">
      <c r="A609" s="11" t="inlineStr">
        <is>
          <t xml:space="preserve">        sht.range((block.label_row, RAW_VALUE_COL)).value = "value"</t>
        </is>
      </c>
    </row>
    <row r="610">
      <c r="A610" s="11" t="inlineStr">
        <is>
          <t xml:space="preserve">        clear_rng = sht.range((block.first_data_row, RAW_DATE_COL),</t>
        </is>
      </c>
    </row>
    <row r="611">
      <c r="A611" s="11" t="inlineStr">
        <is>
          <t xml:space="preserve">                              (block.first_data_row + block.slots - 1, RAW_VALUE_COL))</t>
        </is>
      </c>
    </row>
    <row r="612">
      <c r="A612" s="11" t="inlineStr">
        <is>
          <t xml:space="preserve">        clear_rng.clear_contents()</t>
        </is>
      </c>
    </row>
    <row r="613">
      <c r="A613" s="11" t="inlineStr">
        <is>
          <t xml:space="preserve">        data = []</t>
        </is>
      </c>
    </row>
    <row r="614">
      <c r="A614" s="11" t="inlineStr">
        <is>
          <t xml:space="preserve">        for idx, val in _series_newest_first(s, block.slots):</t>
        </is>
      </c>
    </row>
    <row r="615">
      <c r="A615" s="11" t="inlineStr">
        <is>
          <t xml:space="preserve">            data.append([pd.Timestamp(idx).date().isoformat(),</t>
        </is>
      </c>
    </row>
    <row r="616">
      <c r="A616" s="11" t="inlineStr">
        <is>
          <t xml:space="preserve">                         None if pd.isna(val) else float(val)])</t>
        </is>
      </c>
    </row>
    <row r="617">
      <c r="A617" s="11" t="inlineStr">
        <is>
          <t xml:space="preserve">        if data:</t>
        </is>
      </c>
    </row>
    <row r="618">
      <c r="A618" s="11" t="inlineStr">
        <is>
          <t xml:space="preserve">            sht.range((block.first_data_row, RAW_DATE_COL)).value = data</t>
        </is>
      </c>
    </row>
    <row r="619">
      <c r="A619" s="11" t="inlineStr"/>
    </row>
    <row r="620">
      <c r="A620" s="11" t="inlineStr">
        <is>
          <t xml:space="preserve">    def write_status(self, status: dict):</t>
        </is>
      </c>
    </row>
    <row r="621">
      <c r="A621" s="11" t="inlineStr">
        <is>
          <t xml:space="preserve">        for tab in ("Dashboard_Consumer", "Dashboard_Commercial", "Dashboard_Price"):</t>
        </is>
      </c>
    </row>
    <row r="622">
      <c r="A622" s="11" t="inlineStr">
        <is>
          <t xml:space="preserve">            try:</t>
        </is>
      </c>
    </row>
    <row r="623">
      <c r="A623" s="11" t="inlineStr">
        <is>
          <t xml:space="preserve">                sht = self._book.sheets[tab]</t>
        </is>
      </c>
    </row>
    <row r="624">
      <c r="A624" s="11" t="inlineStr">
        <is>
          <t xml:space="preserve">            except Exception:</t>
        </is>
      </c>
    </row>
    <row r="625">
      <c r="A625" s="11" t="inlineStr">
        <is>
          <t xml:space="preserve">                continue</t>
        </is>
      </c>
    </row>
    <row r="626">
      <c r="A626" s="11" t="inlineStr">
        <is>
          <t xml:space="preserve">            sht.range("H1").value = "Last run:"</t>
        </is>
      </c>
    </row>
    <row r="627">
      <c r="A627" s="11" t="inlineStr">
        <is>
          <t xml:space="preserve">            sht.range("I1").value = status.get("timestamp", "")</t>
        </is>
      </c>
    </row>
    <row r="628">
      <c r="A628" s="11" t="inlineStr">
        <is>
          <t xml:space="preserve">            sht.range("H2").value = "Series pulled:"</t>
        </is>
      </c>
    </row>
    <row r="629">
      <c r="A629" s="11" t="inlineStr">
        <is>
          <t xml:space="preserve">            sht.range("I2").value = status.get("series_pulled", 0)</t>
        </is>
      </c>
    </row>
    <row r="630">
      <c r="A630" s="11" t="inlineStr">
        <is>
          <t xml:space="preserve">            sht.range("H3").value = "Alerts:"</t>
        </is>
      </c>
    </row>
    <row r="631">
      <c r="A631" s="11" t="inlineStr">
        <is>
          <t xml:space="preserve">            sht.range("I3").value = status.get("alert_count", 0)</t>
        </is>
      </c>
    </row>
    <row r="632">
      <c r="A632" s="11" t="inlineStr">
        <is>
          <t xml:space="preserve">            sht.range("H4").value = "Stale warnings:"</t>
        </is>
      </c>
    </row>
    <row r="633">
      <c r="A633" s="11" t="inlineStr">
        <is>
          <t xml:space="preserve">            sht.range("I4").value = "; ".join(status.get("stale", [])) or "none"</t>
        </is>
      </c>
    </row>
    <row r="634">
      <c r="A634" s="11" t="inlineStr"/>
    </row>
    <row r="635">
      <c r="A635" s="11" t="inlineStr">
        <is>
          <t xml:space="preserve">    def finalize(self):</t>
        </is>
      </c>
    </row>
    <row r="636">
      <c r="A636" s="11" t="inlineStr">
        <is>
          <t xml:space="preserve">        self._book.save()</t>
        </is>
      </c>
    </row>
    <row r="637">
      <c r="A637" s="11" t="inlineStr"/>
    </row>
    <row r="638">
      <c r="A638" s="11" t="inlineStr"/>
    </row>
    <row r="639">
      <c r="A639" s="11" t="inlineStr">
        <is>
          <t>def make_backend(name: str, path: str) -&gt; Backend:</t>
        </is>
      </c>
    </row>
    <row r="640">
      <c r="A640" s="11" t="inlineStr">
        <is>
          <t xml:space="preserve">    name = (name or "auto").lower()</t>
        </is>
      </c>
    </row>
    <row r="641">
      <c r="A641" s="11" t="inlineStr">
        <is>
          <t xml:space="preserve">    if name in ("auto", "xlwings"):</t>
        </is>
      </c>
    </row>
    <row r="642">
      <c r="A642" s="11" t="inlineStr">
        <is>
          <t xml:space="preserve">        try:</t>
        </is>
      </c>
    </row>
    <row r="643">
      <c r="A643" s="11" t="inlineStr">
        <is>
          <t xml:space="preserve">            return XlwingsBackend(path)</t>
        </is>
      </c>
    </row>
    <row r="644">
      <c r="A644" s="11" t="inlineStr">
        <is>
          <t xml:space="preserve">        except Exception as exc:</t>
        </is>
      </c>
    </row>
    <row r="645">
      <c r="A645" s="11" t="inlineStr">
        <is>
          <t xml:space="preserve">            if name == "xlwings":</t>
        </is>
      </c>
    </row>
    <row r="646">
      <c r="A646" s="11" t="inlineStr">
        <is>
          <t xml:space="preserve">                raise</t>
        </is>
      </c>
    </row>
    <row r="647">
      <c r="A647" s="11" t="inlineStr">
        <is>
          <t xml:space="preserve">            sys.stderr.write(f"[info] xlwings unavailable ({exc}); using openpyxl backend.\n")</t>
        </is>
      </c>
    </row>
    <row r="648">
      <c r="A648" s="11" t="inlineStr">
        <is>
          <t xml:space="preserve">    return OpenpyxlBackend(path)</t>
        </is>
      </c>
    </row>
    <row r="649">
      <c r="A649" s="11" t="inlineStr"/>
    </row>
    <row r="650">
      <c r="A650" s="11" t="inlineStr"/>
    </row>
    <row r="651">
      <c r="A651" s="11" t="inlineStr">
        <is>
          <t># ---------------------------------------------------------------------------</t>
        </is>
      </c>
    </row>
    <row r="652">
      <c r="A652" s="11" t="inlineStr">
        <is>
          <t># STALE-SERIES CHECK (BUILD SPEC sec 2)</t>
        </is>
      </c>
    </row>
    <row r="653">
      <c r="A653" s="11" t="inlineStr">
        <is>
          <t># ---------------------------------------------------------------------------</t>
        </is>
      </c>
    </row>
    <row r="654">
      <c r="A654" s="11" t="inlineStr">
        <is>
          <t>def is_stale(last_obs: Optional[date], frequency: str, asof: date, multiplier: float) -&gt; bool:</t>
        </is>
      </c>
    </row>
    <row r="655">
      <c r="A655" s="11" t="inlineStr">
        <is>
          <t xml:space="preserve">    if last_obs is None:</t>
        </is>
      </c>
    </row>
    <row r="656">
      <c r="A656" s="11" t="inlineStr">
        <is>
          <t xml:space="preserve">        return True</t>
        </is>
      </c>
    </row>
    <row r="657">
      <c r="A657" s="11" t="inlineStr">
        <is>
          <t xml:space="preserve">    days_per = {"quarterly": 92, "monthly": 31, "annual": 366, "weekly": 7}[_freq_key(frequency)]</t>
        </is>
      </c>
    </row>
    <row r="658">
      <c r="A658" s="11" t="inlineStr">
        <is>
          <t xml:space="preserve">    return (asof - last_obs).days &gt; days_per * multiplier</t>
        </is>
      </c>
    </row>
    <row r="659">
      <c r="A659" s="11" t="inlineStr"/>
    </row>
    <row r="660">
      <c r="A660" s="11" t="inlineStr"/>
    </row>
    <row r="661">
      <c r="A661" s="11" t="inlineStr">
        <is>
          <t># ---------------------------------------------------------------------------</t>
        </is>
      </c>
    </row>
    <row r="662">
      <c r="A662" s="11" t="inlineStr">
        <is>
          <t># ORCHESTRATION</t>
        </is>
      </c>
    </row>
    <row r="663">
      <c r="A663" s="11" t="inlineStr">
        <is>
          <t># ---------------------------------------------------------------------------</t>
        </is>
      </c>
    </row>
    <row r="664">
      <c r="A664" s="11" t="inlineStr">
        <is>
          <t>def run(workbook_path: str, backend_name: str = "auto", demo: bool = False,</t>
        </is>
      </c>
    </row>
    <row r="665">
      <c r="A665" s="11" t="inlineStr">
        <is>
          <t xml:space="preserve">        asof: Optional[date] = None) -&gt; dict:</t>
        </is>
      </c>
    </row>
    <row r="666">
      <c r="A666" s="11" t="inlineStr">
        <is>
          <t xml:space="preserve">    asof = asof or date.today()</t>
        </is>
      </c>
    </row>
    <row r="667">
      <c r="A667" s="11" t="inlineStr">
        <is>
          <t xml:space="preserve">    backend = make_backend(backend_name, workbook_path)</t>
        </is>
      </c>
    </row>
    <row r="668">
      <c r="A668" s="11" t="inlineStr">
        <is>
          <t xml:space="preserve">    cfg = backend.read_config()</t>
        </is>
      </c>
    </row>
    <row r="669">
      <c r="A669" s="11" t="inlineStr"/>
    </row>
    <row r="670">
      <c r="A670" s="11" t="inlineStr">
        <is>
          <t xml:space="preserve">    # Hard gates BEFORE any pull (BUILD SPEC sec 0.1, sec 3).</t>
        </is>
      </c>
    </row>
    <row r="671">
      <c r="A671" s="11" t="inlineStr">
        <is>
          <t xml:space="preserve">    validate_watchlist(cfg.series)</t>
        </is>
      </c>
    </row>
    <row r="672">
      <c r="A672" s="11" t="inlineStr">
        <is>
          <t xml:space="preserve">    validate_transforms(cfg.series)</t>
        </is>
      </c>
    </row>
    <row r="673">
      <c r="A673" s="11" t="inlineStr"/>
    </row>
    <row r="674">
      <c r="A674" s="11" t="inlineStr">
        <is>
          <t xml:space="preserve">    if demo or _as_bool(cfg.setting("demo_mode", "false")):</t>
        </is>
      </c>
    </row>
    <row r="675">
      <c r="A675" s="11" t="inlineStr">
        <is>
          <t xml:space="preserve">        provider: Provider = DemoProvider(asof=asof)</t>
        </is>
      </c>
    </row>
    <row r="676">
      <c r="A676" s="11" t="inlineStr">
        <is>
          <t xml:space="preserve">        mode = "demo"</t>
        </is>
      </c>
    </row>
    <row r="677">
      <c r="A677" s="11" t="inlineStr">
        <is>
          <t xml:space="preserve">    else:</t>
        </is>
      </c>
    </row>
    <row r="678">
      <c r="A678" s="11" t="inlineStr">
        <is>
          <t xml:space="preserve">        key = resolve_api_key(cfg)</t>
        </is>
      </c>
    </row>
    <row r="679">
      <c r="A679" s="11" t="inlineStr">
        <is>
          <t xml:space="preserve">        if not key:</t>
        </is>
      </c>
    </row>
    <row r="680">
      <c r="A680" s="11" t="inlineStr">
        <is>
          <t xml:space="preserve">            raise SystemExit(</t>
        </is>
      </c>
    </row>
    <row r="681">
      <c r="A681" s="11" t="inlineStr">
        <is>
          <t xml:space="preserve">                "FRED API key not found. Set the FRED_API_KEY environment "</t>
        </is>
      </c>
    </row>
    <row r="682">
      <c r="A682" s="11" t="inlineStr">
        <is>
          <t xml:space="preserve">                "variable or paste your key into the _config tab "</t>
        </is>
      </c>
    </row>
    <row r="683">
      <c r="A683" s="11" t="inlineStr">
        <is>
          <t xml:space="preserve">                "(SETTINGS -&gt; fred_api_key). Get a free key at "</t>
        </is>
      </c>
    </row>
    <row r="684">
      <c r="A684" s="11" t="inlineStr">
        <is>
          <t xml:space="preserve">                "https://fredaccount.stlouisfed.org/apikeys")</t>
        </is>
      </c>
    </row>
    <row r="685">
      <c r="A685" s="11" t="inlineStr">
        <is>
          <t xml:space="preserve">        provider = FredProvider(key)</t>
        </is>
      </c>
    </row>
    <row r="686">
      <c r="A686" s="11" t="inlineStr">
        <is>
          <t xml:space="preserve">        mode = "live"</t>
        </is>
      </c>
    </row>
    <row r="687">
      <c r="A687" s="11" t="inlineStr"/>
    </row>
    <row r="688">
      <c r="A688" s="11" t="inlineStr">
        <is>
          <t xml:space="preserve">    blocks = raw_layout(cfg.series, slots=cfg.raw_slots)</t>
        </is>
      </c>
    </row>
    <row r="689">
      <c r="A689" s="11" t="inlineStr">
        <is>
          <t xml:space="preserve">    pulled, stale, alerts, errors = 0, [], [], []</t>
        </is>
      </c>
    </row>
    <row r="690">
      <c r="A690" s="11" t="inlineStr">
        <is>
          <t xml:space="preserve">    pullable = [s for s in cfg.series if not s.is_dead]</t>
        </is>
      </c>
    </row>
    <row r="691">
      <c r="A691" s="11" t="inlineStr">
        <is>
          <t xml:space="preserve">    for spec in pullable:</t>
        </is>
      </c>
    </row>
    <row r="692">
      <c r="A692" s="11" t="inlineStr">
        <is>
          <t xml:space="preserve">        try:</t>
        </is>
      </c>
    </row>
    <row r="693">
      <c r="A693" s="11" t="inlineStr">
        <is>
          <t xml:space="preserve">            s = provider.fetch(spec.series_id)</t>
        </is>
      </c>
    </row>
    <row r="694">
      <c r="A694" s="11" t="inlineStr">
        <is>
          <t xml:space="preserve">        except Exception as exc:</t>
        </is>
      </c>
    </row>
    <row r="695">
      <c r="A695" s="11" t="inlineStr">
        <is>
          <t xml:space="preserve">            errors.append(f"{spec.series_id}: {exc}")</t>
        </is>
      </c>
    </row>
    <row r="696">
      <c r="A696" s="11" t="inlineStr">
        <is>
          <t xml:space="preserve">            continue</t>
        </is>
      </c>
    </row>
    <row r="697">
      <c r="A697" s="11" t="inlineStr">
        <is>
          <t xml:space="preserve">        block = blocks[spec.series_id]</t>
        </is>
      </c>
    </row>
    <row r="698">
      <c r="A698" s="11" t="inlineStr">
        <is>
          <t xml:space="preserve">        backend.write_raw_block(block, spec, s)</t>
        </is>
      </c>
    </row>
    <row r="699">
      <c r="A699" s="11" t="inlineStr">
        <is>
          <t xml:space="preserve">        pulled += 1</t>
        </is>
      </c>
    </row>
    <row r="700">
      <c r="A700" s="11" t="inlineStr">
        <is>
          <t xml:space="preserve">        last = provider.last_observation_date(spec.series_id)</t>
        </is>
      </c>
    </row>
    <row r="701">
      <c r="A701" s="11" t="inlineStr">
        <is>
          <t xml:space="preserve">        if is_stale(last, spec.frequency, asof, cfg.stale_multiplier):</t>
        </is>
      </c>
    </row>
    <row r="702">
      <c r="A702" s="11" t="inlineStr">
        <is>
          <t xml:space="preserve">            stale.append(spec.series_id)</t>
        </is>
      </c>
    </row>
    <row r="703">
      <c r="A703" s="11" t="inlineStr">
        <is>
          <t xml:space="preserve">        if spec.alert_rule in ("zscore", "sloos_level"):</t>
        </is>
      </c>
    </row>
    <row r="704">
      <c r="A704" s="11" t="inlineStr">
        <is>
          <t xml:space="preserve">            a = evaluate_alert(spec, s, cfg)</t>
        </is>
      </c>
    </row>
    <row r="705">
      <c r="A705" s="11" t="inlineStr">
        <is>
          <t xml:space="preserve">            if a:</t>
        </is>
      </c>
    </row>
    <row r="706">
      <c r="A706" s="11" t="inlineStr">
        <is>
          <t xml:space="preserve">                alerts.append(a)</t>
        </is>
      </c>
    </row>
    <row r="707">
      <c r="A707" s="11" t="inlineStr"/>
    </row>
    <row r="708">
      <c r="A708" s="11" t="inlineStr">
        <is>
          <t xml:space="preserve">    status = {</t>
        </is>
      </c>
    </row>
    <row r="709">
      <c r="A709" s="11" t="inlineStr">
        <is>
          <t xml:space="preserve">        "timestamp": asof.isoformat() if asof else "",</t>
        </is>
      </c>
    </row>
    <row r="710">
      <c r="A710" s="11" t="inlineStr">
        <is>
          <t xml:space="preserve">        "mode": mode,</t>
        </is>
      </c>
    </row>
    <row r="711">
      <c r="A711" s="11" t="inlineStr">
        <is>
          <t xml:space="preserve">        "series_in_dict": len(cfg.series),</t>
        </is>
      </c>
    </row>
    <row r="712">
      <c r="A712" s="11" t="inlineStr">
        <is>
          <t xml:space="preserve">        "series_pulled": pulled,</t>
        </is>
      </c>
    </row>
    <row r="713">
      <c r="A713" s="11" t="inlineStr">
        <is>
          <t xml:space="preserve">        "alert_count": len(alerts),</t>
        </is>
      </c>
    </row>
    <row r="714">
      <c r="A714" s="11" t="inlineStr">
        <is>
          <t xml:space="preserve">        "alerts": alerts[:25],</t>
        </is>
      </c>
    </row>
    <row r="715">
      <c r="A715" s="11" t="inlineStr">
        <is>
          <t xml:space="preserve">        "stale": stale,</t>
        </is>
      </c>
    </row>
    <row r="716">
      <c r="A716" s="11" t="inlineStr">
        <is>
          <t xml:space="preserve">        "errors": errors[:25],</t>
        </is>
      </c>
    </row>
    <row r="717">
      <c r="A717" s="11" t="inlineStr">
        <is>
          <t xml:space="preserve">    }</t>
        </is>
      </c>
    </row>
    <row r="718">
      <c r="A718" s="11" t="inlineStr">
        <is>
          <t xml:space="preserve">    backend.write_status(status)</t>
        </is>
      </c>
    </row>
    <row r="719">
      <c r="A719" s="11" t="inlineStr">
        <is>
          <t xml:space="preserve">    backend.finalize()</t>
        </is>
      </c>
    </row>
    <row r="720">
      <c r="A720" s="11" t="inlineStr">
        <is>
          <t xml:space="preserve">    return status</t>
        </is>
      </c>
    </row>
    <row r="721">
      <c r="A721" s="11" t="inlineStr"/>
    </row>
    <row r="722">
      <c r="A722" s="11" t="inlineStr"/>
    </row>
    <row r="723">
      <c r="A723" s="11" t="inlineStr">
        <is>
          <t>def main(argv: Optional[Sequence[str]] = None) -&gt; int:</t>
        </is>
      </c>
    </row>
    <row r="724">
      <c r="A724" s="11" t="inlineStr">
        <is>
          <t xml:space="preserve">    ap = argparse.ArgumentParser(description="FRED Credit-Risk Dashboard runner")</t>
        </is>
      </c>
    </row>
    <row r="725">
      <c r="A725" s="11" t="inlineStr">
        <is>
          <t xml:space="preserve">    ap.add_argument("--workbook", "-w", required=True, help="path to the .xlsm")</t>
        </is>
      </c>
    </row>
    <row r="726">
      <c r="A726" s="11" t="inlineStr">
        <is>
          <t xml:space="preserve">    ap.add_argument("--backend", default="auto", choices=["auto", "xlwings", "openpyxl"])</t>
        </is>
      </c>
    </row>
    <row r="727">
      <c r="A727" s="11" t="inlineStr">
        <is>
          <t xml:space="preserve">    ap.add_argument("--demo", action="store_true",</t>
        </is>
      </c>
    </row>
    <row r="728">
      <c r="A728" s="11" t="inlineStr">
        <is>
          <t xml:space="preserve">                    help="use the offline synthetic provider (no FRED key/network)")</t>
        </is>
      </c>
    </row>
    <row r="729">
      <c r="A729" s="11" t="inlineStr">
        <is>
          <t xml:space="preserve">    ap.add_argument("--asof", default=None, help="YYYY-MM-DD as-of date (testing)")</t>
        </is>
      </c>
    </row>
    <row r="730">
      <c r="A730" s="11" t="inlineStr">
        <is>
          <t xml:space="preserve">    args = ap.parse_args(argv)</t>
        </is>
      </c>
    </row>
    <row r="731">
      <c r="A731" s="11" t="inlineStr">
        <is>
          <t xml:space="preserve">    asof = datetime.strptime(args.asof, "%Y-%m-%d").date() if args.asof else None</t>
        </is>
      </c>
    </row>
    <row r="732">
      <c r="A732" s="11" t="inlineStr">
        <is>
          <t xml:space="preserve">    try:</t>
        </is>
      </c>
    </row>
    <row r="733">
      <c r="A733" s="11" t="inlineStr">
        <is>
          <t xml:space="preserve">        status = run(args.workbook, backend_name=args.backend, demo=args.demo, asof=asof)</t>
        </is>
      </c>
    </row>
    <row r="734">
      <c r="A734" s="11" t="inlineStr">
        <is>
          <t xml:space="preserve">    except (WatchlistBoundaryError, TransformMisuseError) as exc:</t>
        </is>
      </c>
    </row>
    <row r="735">
      <c r="A735" s="11" t="inlineStr">
        <is>
          <t xml:space="preserve">        sys.stderr.write(f"BOUNDARY ERROR: {exc}\n")</t>
        </is>
      </c>
    </row>
    <row r="736">
      <c r="A736" s="11" t="inlineStr">
        <is>
          <t xml:space="preserve">        print(json.dumps({"ok": False, "error": str(exc)}))</t>
        </is>
      </c>
    </row>
    <row r="737">
      <c r="A737" s="11" t="inlineStr">
        <is>
          <t xml:space="preserve">        return 2</t>
        </is>
      </c>
    </row>
    <row r="738">
      <c r="A738" s="11" t="inlineStr">
        <is>
          <t xml:space="preserve">    except SystemExit as exc:</t>
        </is>
      </c>
    </row>
    <row r="739">
      <c r="A739" s="11" t="inlineStr">
        <is>
          <t xml:space="preserve">        sys.stderr.write(f"{exc}\n")</t>
        </is>
      </c>
    </row>
    <row r="740">
      <c r="A740" s="11" t="inlineStr">
        <is>
          <t xml:space="preserve">        print(json.dumps({"ok": False, "error": str(exc)}))</t>
        </is>
      </c>
    </row>
    <row r="741">
      <c r="A741" s="11" t="inlineStr">
        <is>
          <t xml:space="preserve">        return 3</t>
        </is>
      </c>
    </row>
    <row r="742">
      <c r="A742" s="11" t="inlineStr">
        <is>
          <t xml:space="preserve">    except Exception as exc:</t>
        </is>
      </c>
    </row>
    <row r="743">
      <c r="A743" s="11" t="inlineStr">
        <is>
          <t xml:space="preserve">        sys.stderr.write(f"RUN ERROR: {exc}\n")</t>
        </is>
      </c>
    </row>
    <row r="744">
      <c r="A744" s="11" t="inlineStr">
        <is>
          <t xml:space="preserve">        print(json.dumps({"ok": False, "error": str(exc)}))</t>
        </is>
      </c>
    </row>
    <row r="745">
      <c r="A745" s="11" t="inlineStr">
        <is>
          <t xml:space="preserve">        return 1</t>
        </is>
      </c>
    </row>
    <row r="746">
      <c r="A746" s="11" t="inlineStr">
        <is>
          <t xml:space="preserve">    print(json.dumps({"ok": True, **status}))</t>
        </is>
      </c>
    </row>
    <row r="747">
      <c r="A747" s="11" t="inlineStr">
        <is>
          <t xml:space="preserve">    sys.stderr.write(</t>
        </is>
      </c>
    </row>
    <row r="748">
      <c r="A748" s="11" t="inlineStr">
        <is>
          <t xml:space="preserve">        f"OK: {status['series_pulled']}/{status['series_in_dict']} series, "</t>
        </is>
      </c>
    </row>
    <row r="749">
      <c r="A749" s="11" t="inlineStr">
        <is>
          <t xml:space="preserve">        f"{status['alert_count']} alerts, {len(status['stale'])} stale.\n")</t>
        </is>
      </c>
    </row>
    <row r="750">
      <c r="A750" s="11" t="inlineStr">
        <is>
          <t xml:space="preserve">    return 0</t>
        </is>
      </c>
    </row>
    <row r="751">
      <c r="A751" s="11" t="inlineStr"/>
    </row>
    <row r="752">
      <c r="A752" s="11" t="inlineStr"/>
    </row>
    <row r="753">
      <c r="A753" s="11" t="inlineStr">
        <is>
          <t>if __name__ == "__main__":</t>
        </is>
      </c>
    </row>
    <row r="754">
      <c r="A754" s="11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147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11" t="inlineStr">
        <is>
          <t>Attribute VB_Name = "FREDDashboard"</t>
        </is>
      </c>
    </row>
    <row r="2">
      <c r="A2" s="11" t="inlineStr">
        <is>
          <t>'================================================================================</t>
        </is>
      </c>
    </row>
    <row r="3">
      <c r="A3" s="11" t="inlineStr">
        <is>
          <t>' FRED Credit-Risk Dashboard -- bootstrap macro (BUILD SPEC section 5)</t>
        </is>
      </c>
    </row>
    <row r="4">
      <c r="A4" s="11" t="inlineStr">
        <is>
          <t>'</t>
        </is>
      </c>
    </row>
    <row r="5">
      <c r="A5" s="11" t="inlineStr">
        <is>
          <t>' "Extract &amp; Run" button:</t>
        </is>
      </c>
    </row>
    <row r="6">
      <c r="A6" s="11" t="inlineStr">
        <is>
          <t>'   1. Reads the _code_py tab (one source line per cell, column A) and writes it</t>
        </is>
      </c>
    </row>
    <row r="7">
      <c r="A7" s="11" t="inlineStr">
        <is>
          <t>'      to runner.py in the workbook's own folder.</t>
        </is>
      </c>
    </row>
    <row r="8">
      <c r="A8" s="11" t="inlineStr">
        <is>
          <t>'   2. Shells out to Python to execute runner.py against THIS workbook.</t>
        </is>
      </c>
    </row>
    <row r="9">
      <c r="A9" s="11" t="inlineStr">
        <is>
          <t>'   3. The runner pulls FRED per _config and writes the Raw_* tabs (xlwings into</t>
        </is>
      </c>
    </row>
    <row r="10">
      <c r="A10" s="11" t="inlineStr">
        <is>
          <t>'      the open book; openpyxl on the file as a fallback). Formulas recalc the</t>
        </is>
      </c>
    </row>
    <row r="11">
      <c r="A11" s="11" t="inlineStr">
        <is>
          <t>'      dashboards automatically.</t>
        </is>
      </c>
    </row>
    <row r="12">
      <c r="A12" s="11" t="inlineStr">
        <is>
          <t>'   4. Reports success/failure (timestamp, series pulled, stale warnings) in the</t>
        </is>
      </c>
    </row>
    <row r="13">
      <c r="A13" s="11" t="inlineStr">
        <is>
          <t>'      status cells, and surfaces Python's stderr -- no silent failures.</t>
        </is>
      </c>
    </row>
    <row r="14">
      <c r="A14" s="11" t="inlineStr">
        <is>
          <t>'</t>
        </is>
      </c>
    </row>
    <row r="15">
      <c r="A15" s="11" t="inlineStr">
        <is>
          <t>' This is a readable/portable reference copy; the identical text lives in the</t>
        </is>
      </c>
    </row>
    <row r="16">
      <c r="A16" s="11" t="inlineStr">
        <is>
          <t>' _code_vba tab so the workbook stays the single source of truth.</t>
        </is>
      </c>
    </row>
    <row r="17">
      <c r="A17" s="11" t="inlineStr">
        <is>
          <t>'================================================================================</t>
        </is>
      </c>
    </row>
    <row r="18">
      <c r="A18" s="11" t="inlineStr">
        <is>
          <t>Option Explicit</t>
        </is>
      </c>
    </row>
    <row r="19">
      <c r="A19" s="11" t="inlineStr"/>
    </row>
    <row r="20">
      <c r="A20" s="11" t="inlineStr">
        <is>
          <t>Private Const STATUS_SHEET As String = "Dashboard_Consumer"</t>
        </is>
      </c>
    </row>
    <row r="21">
      <c r="A21" s="11" t="inlineStr"/>
    </row>
    <row r="22">
      <c r="A22" s="11" t="inlineStr">
        <is>
          <t>Public Sub ExtractAndRun()</t>
        </is>
      </c>
    </row>
    <row r="23">
      <c r="A23" s="11" t="inlineStr">
        <is>
          <t xml:space="preserve">    Dim folder As String, pyPath As String, runnerPath As String</t>
        </is>
      </c>
    </row>
    <row r="24">
      <c r="A24" s="11" t="inlineStr">
        <is>
          <t xml:space="preserve">    Dim pyExe As String, cmd As String</t>
        </is>
      </c>
    </row>
    <row r="25">
      <c r="A25" s="11" t="inlineStr">
        <is>
          <t xml:space="preserve">    Dim out As String, err As String, code As Long</t>
        </is>
      </c>
    </row>
    <row r="26">
      <c r="A26" s="11" t="inlineStr"/>
    </row>
    <row r="27">
      <c r="A27" s="11" t="inlineStr">
        <is>
          <t xml:space="preserve">    On Error GoTo Fail</t>
        </is>
      </c>
    </row>
    <row r="28">
      <c r="A28" s="11" t="inlineStr">
        <is>
          <t xml:space="preserve">    Application.StatusBar = "Extracting runner.py ..."</t>
        </is>
      </c>
    </row>
    <row r="29">
      <c r="A29" s="11" t="inlineStr">
        <is>
          <t xml:space="preserve">    SetStatus "Running", "Extracting runner.py from _code_py ..."</t>
        </is>
      </c>
    </row>
    <row r="30">
      <c r="A30" s="11" t="inlineStr"/>
    </row>
    <row r="31">
      <c r="A31" s="11" t="inlineStr">
        <is>
          <t xml:space="preserve">    folder = ThisWorkbook.Path</t>
        </is>
      </c>
    </row>
    <row r="32">
      <c r="A32" s="11" t="inlineStr">
        <is>
          <t xml:space="preserve">    If Len(folder) = 0 Then</t>
        </is>
      </c>
    </row>
    <row r="33">
      <c r="A33" s="11" t="inlineStr">
        <is>
          <t xml:space="preserve">        MsgBox "Save the workbook to a folder first, then click Extract &amp; Run.", vbExclamation</t>
        </is>
      </c>
    </row>
    <row r="34">
      <c r="A34" s="11" t="inlineStr">
        <is>
          <t xml:space="preserve">        SetStatus "Error", "Workbook is unsaved -- save it to a folder first."</t>
        </is>
      </c>
    </row>
    <row r="35">
      <c r="A35" s="11" t="inlineStr">
        <is>
          <t xml:space="preserve">        Exit Sub</t>
        </is>
      </c>
    </row>
    <row r="36">
      <c r="A36" s="11" t="inlineStr">
        <is>
          <t xml:space="preserve">    End If</t>
        </is>
      </c>
    </row>
    <row r="37">
      <c r="A37" s="11" t="inlineStr"/>
    </row>
    <row r="38">
      <c r="A38" s="11" t="inlineStr">
        <is>
          <t xml:space="preserve">    ' Make sure the on-disk copy reflects the latest _config edits.</t>
        </is>
      </c>
    </row>
    <row r="39">
      <c r="A39" s="11" t="inlineStr">
        <is>
          <t xml:space="preserve">    ThisWorkbook.Save</t>
        </is>
      </c>
    </row>
    <row r="40">
      <c r="A40" s="11" t="inlineStr"/>
    </row>
    <row r="41">
      <c r="A41" s="11" t="inlineStr">
        <is>
          <t xml:space="preserve">    runnerPath = folder &amp; Application.PathSeparator &amp; "runner.py"</t>
        </is>
      </c>
    </row>
    <row r="42">
      <c r="A42" s="11" t="inlineStr">
        <is>
          <t xml:space="preserve">    WriteTabToFile "_code_py", runnerPath</t>
        </is>
      </c>
    </row>
    <row r="43">
      <c r="A43" s="11" t="inlineStr"/>
    </row>
    <row r="44">
      <c r="A44" s="11" t="inlineStr">
        <is>
          <t xml:space="preserve">    ' Locate a Python interpreter on PATH.</t>
        </is>
      </c>
    </row>
    <row r="45">
      <c r="A45" s="11" t="inlineStr">
        <is>
          <t xml:space="preserve">    pyExe = FindPython()</t>
        </is>
      </c>
    </row>
    <row r="46">
      <c r="A46" s="11" t="inlineStr">
        <is>
          <t xml:space="preserve">    If Len(pyExe) = 0 Then</t>
        </is>
      </c>
    </row>
    <row r="47">
      <c r="A47" s="11" t="inlineStr">
        <is>
          <t xml:space="preserve">        SetStatus "Error", "Python not found on PATH. Install Python 3 and the deps " &amp; _</t>
        </is>
      </c>
    </row>
    <row r="48">
      <c r="A48" s="11" t="inlineStr">
        <is>
          <t xml:space="preserve">            "(pip install fredapi xlwings openpyxl pandas), then reopen and retry."</t>
        </is>
      </c>
    </row>
    <row r="49">
      <c r="A49" s="11" t="inlineStr">
        <is>
          <t xml:space="preserve">        MsgBox "Python was not found on PATH." &amp; vbCrLf &amp; _</t>
        </is>
      </c>
    </row>
    <row r="50">
      <c r="A50" s="11" t="inlineStr">
        <is>
          <t xml:space="preserve">               "Install Python 3, then run:  pip install fredapi xlwings openpyxl pandas", vbExclamation</t>
        </is>
      </c>
    </row>
    <row r="51">
      <c r="A51" s="11" t="inlineStr">
        <is>
          <t xml:space="preserve">        Exit Sub</t>
        </is>
      </c>
    </row>
    <row r="52">
      <c r="A52" s="11" t="inlineStr">
        <is>
          <t xml:space="preserve">    End If</t>
        </is>
      </c>
    </row>
    <row r="53">
      <c r="A53" s="11" t="inlineStr"/>
    </row>
    <row r="54">
      <c r="A54" s="11" t="inlineStr">
        <is>
          <t xml:space="preserve">    SetStatus "Running", "Pulling FRED and rebuilding (this can take a minute) ..."</t>
        </is>
      </c>
    </row>
    <row r="55">
      <c r="A55" s="11" t="inlineStr">
        <is>
          <t xml:space="preserve">    Application.StatusBar = "Running FRED pull ..."</t>
        </is>
      </c>
    </row>
    <row r="56">
      <c r="A56" s="11" t="inlineStr"/>
    </row>
    <row r="57">
      <c r="A57" s="11" t="inlineStr">
        <is>
          <t xml:space="preserve">    ' Quote paths to survive spaces. The runner reads _config from the workbook.</t>
        </is>
      </c>
    </row>
    <row r="58">
      <c r="A58" s="11" t="inlineStr">
        <is>
          <t xml:space="preserve">    cmd = """" &amp; pyExe &amp; """ """ &amp; runnerPath &amp; """ --workbook """ &amp; _</t>
        </is>
      </c>
    </row>
    <row r="59">
      <c r="A59" s="11" t="inlineStr">
        <is>
          <t xml:space="preserve">          ThisWorkbook.FullName &amp; """ --backend auto"</t>
        </is>
      </c>
    </row>
    <row r="60">
      <c r="A60" s="11" t="inlineStr"/>
    </row>
    <row r="61">
      <c r="A61" s="11" t="inlineStr">
        <is>
          <t xml:space="preserve">    code = RunAndCapture(cmd, out, err)</t>
        </is>
      </c>
    </row>
    <row r="62">
      <c r="A62" s="11" t="inlineStr"/>
    </row>
    <row r="63">
      <c r="A63" s="11" t="inlineStr">
        <is>
          <t xml:space="preserve">    If code &lt;&gt; 0 Then</t>
        </is>
      </c>
    </row>
    <row r="64">
      <c r="A64" s="11" t="inlineStr">
        <is>
          <t xml:space="preserve">        SetStatus "Error", "Python exited " &amp; code &amp; ". " &amp; FirstLine(err)</t>
        </is>
      </c>
    </row>
    <row r="65">
      <c r="A65" s="11" t="inlineStr">
        <is>
          <t xml:space="preserve">        MsgBox "The FRED runner reported an error (exit " &amp; code &amp; "):" &amp; vbCrLf &amp; vbCrLf &amp; _</t>
        </is>
      </c>
    </row>
    <row r="66">
      <c r="A66" s="11" t="inlineStr">
        <is>
          <t xml:space="preserve">               IIf(Len(err) &gt; 0, err, out), vbExclamation, "Extract &amp; Run failed"</t>
        </is>
      </c>
    </row>
    <row r="67">
      <c r="A67" s="11" t="inlineStr">
        <is>
          <t xml:space="preserve">        Application.StatusBar = False</t>
        </is>
      </c>
    </row>
    <row r="68">
      <c r="A68" s="11" t="inlineStr">
        <is>
          <t xml:space="preserve">        Exit Sub</t>
        </is>
      </c>
    </row>
    <row r="69">
      <c r="A69" s="11" t="inlineStr">
        <is>
          <t xml:space="preserve">    End If</t>
        </is>
      </c>
    </row>
    <row r="70">
      <c r="A70" s="11" t="inlineStr"/>
    </row>
    <row r="71">
      <c r="A71" s="11" t="inlineStr">
        <is>
          <t xml:space="preserve">    ' On the openpyxl fallback path the file changed on disk while open; the</t>
        </is>
      </c>
    </row>
    <row r="72">
      <c r="A72" s="11" t="inlineStr">
        <is>
          <t xml:space="preserve">    ' xlwings path already wrote into this instance. Either way, recalc.</t>
        </is>
      </c>
    </row>
    <row r="73">
      <c r="A73" s="11" t="inlineStr">
        <is>
          <t xml:space="preserve">    Application.CalculateFull</t>
        </is>
      </c>
    </row>
    <row r="74">
      <c r="A74" s="11" t="inlineStr">
        <is>
          <t xml:space="preserve">    SetStatus "OK", "Last run " &amp; Format(Now, "yyyy-mm-dd hh:nn") &amp; ". " &amp; FirstLine(out)</t>
        </is>
      </c>
    </row>
    <row r="75">
      <c r="A75" s="11" t="inlineStr">
        <is>
          <t xml:space="preserve">    Application.StatusBar = False</t>
        </is>
      </c>
    </row>
    <row r="76">
      <c r="A76" s="11" t="inlineStr">
        <is>
          <t xml:space="preserve">    Exit Sub</t>
        </is>
      </c>
    </row>
    <row r="77">
      <c r="A77" s="11" t="inlineStr"/>
    </row>
    <row r="78">
      <c r="A78" s="11" t="inlineStr">
        <is>
          <t>Fail:</t>
        </is>
      </c>
    </row>
    <row r="79">
      <c r="A79" s="11" t="inlineStr">
        <is>
          <t xml:space="preserve">    SetStatus "Error", "Macro error: " &amp; Err.Description</t>
        </is>
      </c>
    </row>
    <row r="80">
      <c r="A80" s="11" t="inlineStr">
        <is>
          <t xml:space="preserve">    Application.StatusBar = False</t>
        </is>
      </c>
    </row>
    <row r="81">
      <c r="A81" s="11" t="inlineStr">
        <is>
          <t xml:space="preserve">    MsgBox "Extract &amp; Run failed: " &amp; Err.Description, vbCritical</t>
        </is>
      </c>
    </row>
    <row r="82">
      <c r="A82" s="11" t="inlineStr">
        <is>
          <t>End Sub</t>
        </is>
      </c>
    </row>
    <row r="83">
      <c r="A83" s="11" t="inlineStr"/>
    </row>
    <row r="84">
      <c r="A84" s="11" t="inlineStr">
        <is>
          <t>' Write one tab's column A (one source line per cell) to a UTF-8-ish text file.</t>
        </is>
      </c>
    </row>
    <row r="85">
      <c r="A85" s="11" t="inlineStr">
        <is>
          <t>Private Sub WriteTabToFile(tabName As String, filePath As String)</t>
        </is>
      </c>
    </row>
    <row r="86">
      <c r="A86" s="11" t="inlineStr">
        <is>
          <t xml:space="preserve">    Dim ws As Worksheet, fso As Object, ts As Object</t>
        </is>
      </c>
    </row>
    <row r="87">
      <c r="A87" s="11" t="inlineStr">
        <is>
          <t xml:space="preserve">    Dim lastRow As Long, r As Long, line As String, body As String</t>
        </is>
      </c>
    </row>
    <row r="88">
      <c r="A88" s="11" t="inlineStr">
        <is>
          <t xml:space="preserve">    Set ws = ThisWorkbook.Worksheets(tabName)</t>
        </is>
      </c>
    </row>
    <row r="89">
      <c r="A89" s="11" t="inlineStr">
        <is>
          <t xml:space="preserve">    lastRow = ws.Cells(ws.Rows.Count, 1).End(xlUp).Row</t>
        </is>
      </c>
    </row>
    <row r="90">
      <c r="A90" s="11" t="inlineStr">
        <is>
          <t xml:space="preserve">    Set fso = CreateObject("Scripting.FileSystemObject")</t>
        </is>
      </c>
    </row>
    <row r="91">
      <c r="A91" s="11" t="inlineStr">
        <is>
          <t xml:space="preserve">    Set ts = fso.CreateTextFile(filePath, True, False)</t>
        </is>
      </c>
    </row>
    <row r="92">
      <c r="A92" s="11" t="inlineStr">
        <is>
          <t xml:space="preserve">    For r = 1 To lastRow</t>
        </is>
      </c>
    </row>
    <row r="93">
      <c r="A93" s="11" t="inlineStr">
        <is>
          <t xml:space="preserve">        line = CStr(ws.Cells(r, 1).Value)</t>
        </is>
      </c>
    </row>
    <row r="94">
      <c r="A94" s="11" t="inlineStr">
        <is>
          <t xml:space="preserve">        body = body &amp; line &amp; vbLf</t>
        </is>
      </c>
    </row>
    <row r="95">
      <c r="A95" s="11" t="inlineStr">
        <is>
          <t xml:space="preserve">    Next r</t>
        </is>
      </c>
    </row>
    <row r="96">
      <c r="A96" s="11" t="inlineStr">
        <is>
          <t xml:space="preserve">    ts.Write body</t>
        </is>
      </c>
    </row>
    <row r="97">
      <c r="A97" s="11" t="inlineStr">
        <is>
          <t xml:space="preserve">    ts.Close</t>
        </is>
      </c>
    </row>
    <row r="98">
      <c r="A98" s="11" t="inlineStr">
        <is>
          <t>End Sub</t>
        </is>
      </c>
    </row>
    <row r="99">
      <c r="A99" s="11" t="inlineStr"/>
    </row>
    <row r="100">
      <c r="A100" s="11" t="inlineStr">
        <is>
          <t>' Try common Python launchers; return the first that responds, else "".</t>
        </is>
      </c>
    </row>
    <row r="101">
      <c r="A101" s="11" t="inlineStr">
        <is>
          <t>Private Function FindPython() As String</t>
        </is>
      </c>
    </row>
    <row r="102">
      <c r="A102" s="11" t="inlineStr">
        <is>
          <t xml:space="preserve">    Dim candidates As Variant, i As Long, o As String, e As String</t>
        </is>
      </c>
    </row>
    <row r="103">
      <c r="A103" s="11" t="inlineStr">
        <is>
          <t xml:space="preserve">    candidates = Array("python", "python3", "py -3")</t>
        </is>
      </c>
    </row>
    <row r="104">
      <c r="A104" s="11" t="inlineStr">
        <is>
          <t xml:space="preserve">    For i = LBound(candidates) To UBound(candidates)</t>
        </is>
      </c>
    </row>
    <row r="105">
      <c r="A105" s="11" t="inlineStr">
        <is>
          <t xml:space="preserve">        If RunAndCapture(candidates(i) &amp; " --version", o, e) = 0 Then</t>
        </is>
      </c>
    </row>
    <row r="106">
      <c r="A106" s="11" t="inlineStr">
        <is>
          <t xml:space="preserve">            FindPython = candidates(i)</t>
        </is>
      </c>
    </row>
    <row r="107">
      <c r="A107" s="11" t="inlineStr">
        <is>
          <t xml:space="preserve">            Exit Function</t>
        </is>
      </c>
    </row>
    <row r="108">
      <c r="A108" s="11" t="inlineStr">
        <is>
          <t xml:space="preserve">        End If</t>
        </is>
      </c>
    </row>
    <row r="109">
      <c r="A109" s="11" t="inlineStr">
        <is>
          <t xml:space="preserve">    Next i</t>
        </is>
      </c>
    </row>
    <row r="110">
      <c r="A110" s="11" t="inlineStr">
        <is>
          <t xml:space="preserve">    FindPython = ""</t>
        </is>
      </c>
    </row>
    <row r="111">
      <c r="A111" s="11" t="inlineStr">
        <is>
          <t>End Function</t>
        </is>
      </c>
    </row>
    <row r="112">
      <c r="A112" s="11" t="inlineStr"/>
    </row>
    <row r="113">
      <c r="A113" s="11" t="inlineStr">
        <is>
          <t>' Run a command, capture stdout+stderr, return the exit code.</t>
        </is>
      </c>
    </row>
    <row r="114">
      <c r="A114" s="11" t="inlineStr">
        <is>
          <t>Private Function RunAndCapture(cmd As String, ByRef outText As String, ByRef errText As String) As Long</t>
        </is>
      </c>
    </row>
    <row r="115">
      <c r="A115" s="11" t="inlineStr">
        <is>
          <t xml:space="preserve">    Dim sh As Object, exec As Object</t>
        </is>
      </c>
    </row>
    <row r="116">
      <c r="A116" s="11" t="inlineStr">
        <is>
          <t xml:space="preserve">    Set sh = CreateObject("WScript.Shell")</t>
        </is>
      </c>
    </row>
    <row r="117">
      <c r="A117" s="11" t="inlineStr">
        <is>
          <t xml:space="preserve">    On Error GoTo ExecErr</t>
        </is>
      </c>
    </row>
    <row r="118">
      <c r="A118" s="11" t="inlineStr">
        <is>
          <t xml:space="preserve">    Set exec = sh.exec("cmd /c " &amp; cmd)</t>
        </is>
      </c>
    </row>
    <row r="119">
      <c r="A119" s="11" t="inlineStr">
        <is>
          <t xml:space="preserve">    Do While exec.Status = 0</t>
        </is>
      </c>
    </row>
    <row r="120">
      <c r="A120" s="11" t="inlineStr">
        <is>
          <t xml:space="preserve">        DoEvents</t>
        </is>
      </c>
    </row>
    <row r="121">
      <c r="A121" s="11" t="inlineStr">
        <is>
          <t xml:space="preserve">        If Not exec.StdOut.AtEndOfStream Then outText = outText &amp; exec.StdOut.ReadAll</t>
        </is>
      </c>
    </row>
    <row r="122">
      <c r="A122" s="11" t="inlineStr">
        <is>
          <t xml:space="preserve">        If Not exec.StdErr.AtEndOfStream Then errText = errText &amp; exec.StdErr.ReadAll</t>
        </is>
      </c>
    </row>
    <row r="123">
      <c r="A123" s="11" t="inlineStr">
        <is>
          <t xml:space="preserve">    Loop</t>
        </is>
      </c>
    </row>
    <row r="124">
      <c r="A124" s="11" t="inlineStr">
        <is>
          <t xml:space="preserve">    If Not exec.StdOut.AtEndOfStream Then outText = outText &amp; exec.StdOut.ReadAll</t>
        </is>
      </c>
    </row>
    <row r="125">
      <c r="A125" s="11" t="inlineStr">
        <is>
          <t xml:space="preserve">    If Not exec.StdErr.AtEndOfStream Then errText = errText &amp; exec.StdErr.ReadAll</t>
        </is>
      </c>
    </row>
    <row r="126">
      <c r="A126" s="11" t="inlineStr">
        <is>
          <t xml:space="preserve">    RunAndCapture = exec.ExitCode</t>
        </is>
      </c>
    </row>
    <row r="127">
      <c r="A127" s="11" t="inlineStr">
        <is>
          <t xml:space="preserve">    Exit Function</t>
        </is>
      </c>
    </row>
    <row r="128">
      <c r="A128" s="11" t="inlineStr">
        <is>
          <t>ExecErr:</t>
        </is>
      </c>
    </row>
    <row r="129">
      <c r="A129" s="11" t="inlineStr">
        <is>
          <t xml:space="preserve">    errText = errText &amp; "Shell error: " &amp; Err.Description</t>
        </is>
      </c>
    </row>
    <row r="130">
      <c r="A130" s="11" t="inlineStr">
        <is>
          <t xml:space="preserve">    RunAndCapture = 9999</t>
        </is>
      </c>
    </row>
    <row r="131">
      <c r="A131" s="11" t="inlineStr">
        <is>
          <t>End Function</t>
        </is>
      </c>
    </row>
    <row r="132">
      <c r="A132" s="11" t="inlineStr"/>
    </row>
    <row r="133">
      <c r="A133" s="11" t="inlineStr">
        <is>
          <t>Private Function FirstLine(s As String) As String</t>
        </is>
      </c>
    </row>
    <row r="134">
      <c r="A134" s="11" t="inlineStr">
        <is>
          <t xml:space="preserve">    Dim p As Long</t>
        </is>
      </c>
    </row>
    <row r="135">
      <c r="A135" s="11" t="inlineStr">
        <is>
          <t xml:space="preserve">    s = Replace(s, vbCrLf, vbLf)</t>
        </is>
      </c>
    </row>
    <row r="136">
      <c r="A136" s="11" t="inlineStr">
        <is>
          <t xml:space="preserve">    p = InStr(s, vbLf)</t>
        </is>
      </c>
    </row>
    <row r="137">
      <c r="A137" s="11" t="inlineStr">
        <is>
          <t xml:space="preserve">    If p &gt; 0 Then FirstLine = Left(s, p - 1) Else FirstLine = s</t>
        </is>
      </c>
    </row>
    <row r="138">
      <c r="A138" s="11" t="inlineStr">
        <is>
          <t>End Function</t>
        </is>
      </c>
    </row>
    <row r="139">
      <c r="A139" s="11" t="inlineStr"/>
    </row>
    <row r="140">
      <c r="A140" s="11" t="inlineStr">
        <is>
          <t>Private Sub SetStatus(state As String, msg As String)</t>
        </is>
      </c>
    </row>
    <row r="141">
      <c r="A141" s="11" t="inlineStr">
        <is>
          <t xml:space="preserve">    Dim ws As Worksheet</t>
        </is>
      </c>
    </row>
    <row r="142">
      <c r="A142" s="11" t="inlineStr">
        <is>
          <t xml:space="preserve">    On Error Resume Next</t>
        </is>
      </c>
    </row>
    <row r="143">
      <c r="A143" s="11" t="inlineStr">
        <is>
          <t xml:space="preserve">    Set ws = ThisWorkbook.Worksheets(STATUS_SHEET)</t>
        </is>
      </c>
    </row>
    <row r="144">
      <c r="A144" s="11" t="inlineStr">
        <is>
          <t xml:space="preserve">    If ws Is Nothing Then Exit Sub</t>
        </is>
      </c>
    </row>
    <row r="145">
      <c r="A145" s="11" t="inlineStr">
        <is>
          <t xml:space="preserve">    ws.Range("H6").Value = "Macro:"</t>
        </is>
      </c>
    </row>
    <row r="146">
      <c r="A146" s="11" t="inlineStr">
        <is>
          <t xml:space="preserve">    ws.Range("I6").Value = state &amp; " -- " &amp; msg</t>
        </is>
      </c>
    </row>
    <row r="147">
      <c r="A147" s="11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81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s="2" t="inlineStr">
        <is>
          <t>FRED CREDIT-RISK DASHBOARD -- README</t>
        </is>
      </c>
    </row>
    <row r="2">
      <c r="A2" t="inlineStr">
        <is>
          <t>====================================</t>
        </is>
      </c>
    </row>
    <row r="3">
      <c r="A3" t="inlineStr"/>
    </row>
    <row r="4">
      <c r="A4" s="2" t="inlineStr">
        <is>
          <t>WHAT THIS IS</t>
        </is>
      </c>
    </row>
    <row r="5">
      <c r="A5" t="inlineStr">
        <is>
          <t xml:space="preserve">  A self-contained, reusable template. One workbook pulls credit-risk data from</t>
        </is>
      </c>
    </row>
    <row r="6">
      <c r="A6" t="inlineStr">
        <is>
          <t xml:space="preserve">  FRED (Federal Reserve Economic Data), lands it raw, and presents it as</t>
        </is>
      </c>
    </row>
    <row r="7">
      <c r="A7" t="inlineStr">
        <is>
          <t xml:space="preserve">  formula-driven dashboards plus a geographic stress watchlist for commercial</t>
        </is>
      </c>
    </row>
    <row r="8">
      <c r="A8" t="inlineStr">
        <is>
          <t xml:space="preserve">  loan-portfolio targeting. All code, config and docs live inside this workbook,</t>
        </is>
      </c>
    </row>
    <row r="9">
      <c r="A9" t="inlineStr">
        <is>
          <t xml:space="preserve">  so it can be emailed, opened on another machine, and re-run with one click.</t>
        </is>
      </c>
    </row>
    <row r="10">
      <c r="A10" t="inlineStr"/>
    </row>
    <row r="11">
      <c r="A11" s="2" t="inlineStr">
        <is>
          <t>ONE-TIME SETUP</t>
        </is>
      </c>
    </row>
    <row r="12">
      <c r="A12" t="inlineStr">
        <is>
          <t xml:space="preserve">  1. Install Python 3 (add it to PATH) and the dependencies:</t>
        </is>
      </c>
    </row>
    <row r="13">
      <c r="A13" t="inlineStr">
        <is>
          <t xml:space="preserve">         pip install fredapi xlwings openpyxl pandas</t>
        </is>
      </c>
    </row>
    <row r="14">
      <c r="A14" t="inlineStr">
        <is>
          <t xml:space="preserve">  2. Get a free FRED API key: https://fredaccount.stlouisfed.org/apikeys</t>
        </is>
      </c>
    </row>
    <row r="15">
      <c r="A15" t="inlineStr">
        <is>
          <t xml:space="preserve">  3. Provide the key ONE of two ways (never hardcoded in code):</t>
        </is>
      </c>
    </row>
    <row r="16">
      <c r="A16" t="inlineStr">
        <is>
          <t xml:space="preserve">       - set an environment variable  FRED_API_KEY=your_key   (preferred), or</t>
        </is>
      </c>
    </row>
    <row r="17">
      <c r="A17" t="inlineStr">
        <is>
          <t xml:space="preserve">       - paste it into the _config tab: [SETTINGS] -&gt; fred_api_key cell.</t>
        </is>
      </c>
    </row>
    <row r="18">
      <c r="A18" t="inlineStr">
        <is>
          <t xml:space="preserve">  4. Enable macros when prompted (the button needs them).</t>
        </is>
      </c>
    </row>
    <row r="19">
      <c r="A19" t="inlineStr"/>
    </row>
    <row r="20">
      <c r="A20" s="2" t="inlineStr">
        <is>
          <t>RUN IT</t>
        </is>
      </c>
    </row>
    <row r="21">
      <c r="A21" t="inlineStr">
        <is>
          <t xml:space="preserve">  Click "Extract &amp; Run" on Dashboard_Consumer. The macro:</t>
        </is>
      </c>
    </row>
    <row r="22">
      <c r="A22" t="inlineStr">
        <is>
          <t xml:space="preserve">    - writes the runner from the _code_py tab to runner.py next to this file,</t>
        </is>
      </c>
    </row>
    <row r="23">
      <c r="A23" t="inlineStr">
        <is>
          <t xml:space="preserve">    - shells Python to pull FRED per _config and fill the Raw_* tabs,</t>
        </is>
      </c>
    </row>
    <row r="24">
      <c r="A24" t="inlineStr">
        <is>
          <t xml:space="preserve">    - the dashboards recalc from formulas; status shows in the top-right cells.</t>
        </is>
      </c>
    </row>
    <row r="25">
      <c r="A25" t="inlineStr">
        <is>
          <t xml:space="preserve">  No key yet? Set _config [SETTINGS] demo_mode = TRUE to populate the workbook</t>
        </is>
      </c>
    </row>
    <row r="26">
      <c r="A26" t="inlineStr">
        <is>
          <t xml:space="preserve">  with offline synthetic data and see the machinery work end-to-end.</t>
        </is>
      </c>
    </row>
    <row r="27">
      <c r="A27" t="inlineStr"/>
    </row>
    <row r="28">
      <c r="A28" t="inlineStr">
        <is>
          <t>WHY xlwings (the write path)</t>
        </is>
      </c>
    </row>
    <row r="29">
      <c r="A29" t="inlineStr">
        <is>
          <t xml:space="preserve">  xlwings lets Python write into the already-open workbook, so the button is a</t>
        </is>
      </c>
    </row>
    <row r="30">
      <c r="A30" t="inlineStr">
        <is>
          <t xml:space="preserve">  true one-click on the work machine. openpyxl is kept as an isolated fallback</t>
        </is>
      </c>
    </row>
    <row r="31">
      <c r="A31" t="inlineStr">
        <is>
          <t xml:space="preserve">  (writes the closed file) for headless/no-Excel use. Either is selected by</t>
        </is>
      </c>
    </row>
    <row r="32">
      <c r="A32" t="inlineStr">
        <is>
          <t xml:space="preserve">  _config [SETTINGS] write_backend = auto|xlwings|openpyxl.</t>
        </is>
      </c>
    </row>
    <row r="33">
      <c r="A33" t="inlineStr"/>
    </row>
    <row r="34">
      <c r="A34" s="2" t="inlineStr">
        <is>
          <t>THE TABS</t>
        </is>
      </c>
    </row>
    <row r="35">
      <c r="A35" t="inlineStr">
        <is>
          <t xml:space="preserve">  Dashboard_Consumer / _Commercial / _Price  -- formula-driven panels: latest,</t>
        </is>
      </c>
    </row>
    <row r="36">
      <c r="A36" t="inlineStr">
        <is>
          <t xml:space="preserve">      trailing trend, YoY, an 8-period z-score, and a Flag column. Heat shading</t>
        </is>
      </c>
    </row>
    <row r="37">
      <c r="A37" t="inlineStr">
        <is>
          <t xml:space="preserve">      marks stress. Bank-tier rows (All / Top 100 / Not top 100) sit together.</t>
        </is>
      </c>
    </row>
    <row r="38">
      <c r="A38" t="inlineStr">
        <is>
          <t xml:space="preserve">  Watchlist_Geo  -- the commercial sample-targeting output: states &amp; metros</t>
        </is>
      </c>
    </row>
    <row r="39">
      <c r="A39" t="inlineStr">
        <is>
          <t xml:space="preserve">      ranked by house-price deterioration (YoY). Join these geographies to your</t>
        </is>
      </c>
    </row>
    <row r="40">
      <c r="A40" t="inlineStr">
        <is>
          <t xml:space="preserve">      book's collateral locations manually.</t>
        </is>
      </c>
    </row>
    <row r="41">
      <c r="A41" t="inlineStr">
        <is>
          <t xml:space="preserve">  Raw_Consumer / _Commercial / _Price  -- raw observations, newest-first, one</t>
        </is>
      </c>
    </row>
    <row r="42">
      <c r="A42" t="inlineStr">
        <is>
          <t xml:space="preserve">      block per series. Python writes here; the dashboards read these by formula</t>
        </is>
      </c>
    </row>
    <row r="43">
      <c r="A43" t="inlineStr">
        <is>
          <t xml:space="preserve">      so you can re-render without re-pulling.</t>
        </is>
      </c>
    </row>
    <row r="44">
      <c r="A44" t="inlineStr">
        <is>
          <t xml:space="preserve">  _config  -- THE KNOB PANEL. The series dictionary, the threshold bands, the</t>
        </is>
      </c>
    </row>
    <row r="45">
      <c r="A45" t="inlineStr">
        <is>
          <t xml:space="preserve">      API-key fallback cell, and the metro-extension list. Edit here to add or</t>
        </is>
      </c>
    </row>
    <row r="46">
      <c r="A46" t="inlineStr">
        <is>
          <t xml:space="preserve">      remove series or change thresholds -- no code change needed.</t>
        </is>
      </c>
    </row>
    <row r="47">
      <c r="A47" t="inlineStr">
        <is>
          <t xml:space="preserve">  _code_py / _code_vba  -- the complete runner and macro as plain text (one</t>
        </is>
      </c>
    </row>
    <row r="48">
      <c r="A48" t="inlineStr">
        <is>
          <t xml:space="preserve">      source line per cell). The button rebuilds runner.py from _code_py, so the</t>
        </is>
      </c>
    </row>
    <row r="49">
      <c r="A49" t="inlineStr">
        <is>
          <t xml:space="preserve">      workbook -- not the repo -- is the source of truth.</t>
        </is>
      </c>
    </row>
    <row r="50">
      <c r="A50" t="inlineStr"/>
    </row>
    <row r="51">
      <c r="A51" t="inlineStr">
        <is>
          <t>THE WATCHLIST BOUNDARY (why some series can't reach the watchlist)</t>
        </is>
      </c>
    </row>
    <row r="52">
      <c r="A52" t="inlineStr">
        <is>
          <t xml:space="preserve">  Only house-price indices that carry a geographic key a loan portfolio can join</t>
        </is>
      </c>
    </row>
    <row r="53">
      <c r="A53" t="inlineStr">
        <is>
          <t xml:space="preserve">  on (FHFA state/metro, Case-Shiller metros) may feed Watchlist_Geo. Charge-off,</t>
        </is>
      </c>
    </row>
    <row r="54">
      <c r="A54" t="inlineStr">
        <is>
          <t xml:space="preserve">  delinquency, G.19, debt-service, SLOOS and CRE-price series are NATIONAL</t>
        </is>
      </c>
    </row>
    <row r="55">
      <c r="A55" t="inlineStr">
        <is>
          <t xml:space="preserve">  aggregates -- they describe the whole country and cannot point at a subset of</t>
        </is>
      </c>
    </row>
    <row r="56">
      <c r="A56" t="inlineStr">
        <is>
          <t xml:space="preserve">  your loans. The runner refuses (with an error naming the series) if _config</t>
        </is>
      </c>
    </row>
    <row r="57">
      <c r="A57" t="inlineStr">
        <is>
          <t xml:space="preserve">  ever marks a non-geographic series watchlist_capable. Presenting a national</t>
        </is>
      </c>
    </row>
    <row r="58">
      <c r="A58" t="inlineStr">
        <is>
          <t xml:space="preserve">  trend as if it could localize a portfolio is the failure this gate prevents.</t>
        </is>
      </c>
    </row>
    <row r="59">
      <c r="A59" t="inlineStr"/>
    </row>
    <row r="60">
      <c r="A60" s="2" t="inlineStr">
        <is>
          <t>ADD / REMOVE SERIES</t>
        </is>
      </c>
    </row>
    <row r="61">
      <c r="A61" t="inlineStr">
        <is>
          <t xml:space="preserve">  Edit the [SERIES] table in _config. Each row is pulled per its series_id and</t>
        </is>
      </c>
    </row>
    <row r="62">
      <c r="A62" t="inlineStr">
        <is>
          <t xml:space="preserve">  routed by its lane (consumer|commercial|price). To make a series eligible for</t>
        </is>
      </c>
    </row>
    <row r="63">
      <c r="A63" t="inlineStr">
        <is>
          <t xml:space="preserve">  the watchlist it must be a geographically-keyed house-price index: lane=price,</t>
        </is>
      </c>
    </row>
    <row r="64">
      <c r="A64" t="inlineStr">
        <is>
          <t xml:space="preserve">  category=hpi_state|hpi_metro|hpi_caseshiller, a real geo_segment, and</t>
        </is>
      </c>
    </row>
    <row r="65">
      <c r="A65" t="inlineStr">
        <is>
          <t xml:space="preserve">  watchlist_capable=TRUE. Anything else marked watchlist_capable is rejected.</t>
        </is>
      </c>
    </row>
    <row r="66">
      <c r="A66" t="inlineStr"/>
    </row>
    <row r="67">
      <c r="A67" t="inlineStr">
        <is>
          <t>KNOWN DATA TRAPS (handled, but know they exist)</t>
        </is>
      </c>
    </row>
    <row r="68">
      <c r="A68" t="inlineStr">
        <is>
          <t xml:space="preserve">  - FRED returns "." for missing -- coerced to blank/NaN, never 0.</t>
        </is>
      </c>
    </row>
    <row r="69">
      <c r="A69" t="inlineStr">
        <is>
          <t xml:space="preserve">  - Quarterly series are not force-aligned to a monthly grid.</t>
        </is>
      </c>
    </row>
    <row r="70">
      <c r="A70" t="inlineStr">
        <is>
          <t xml:space="preserve">  - Methodology breaks: debt-service ratios moved to a credit-bureau method in</t>
        </is>
      </c>
    </row>
    <row r="71">
      <c r="A71" t="inlineStr">
        <is>
          <t xml:space="preserve">    2024:Q2; G.19 dropped the nonfinancial-business sector in the May 2025</t>
        </is>
      </c>
    </row>
    <row r="72">
      <c r="A72" t="inlineStr">
        <is>
          <t xml:space="preserve">    release; FODSP was discontinued after 2023:Q3 (kept as documented-dead, not</t>
        </is>
      </c>
    </row>
    <row r="73">
      <c r="A73" t="inlineStr">
        <is>
          <t xml:space="preserve">    pulled live). These are noted in _config so alerts don't misread a step.</t>
        </is>
      </c>
    </row>
    <row r="74">
      <c r="A74" t="inlineStr">
        <is>
          <t xml:space="preserve">  - Several bank-tier delinquency series lag; the stale-check logs them.</t>
        </is>
      </c>
    </row>
    <row r="75">
      <c r="A75" t="inlineStr">
        <is>
          <t xml:space="preserve">  - Case-Shiller data is copyrighted: internal monitoring only, not for</t>
        </is>
      </c>
    </row>
    <row r="76">
      <c r="A76" t="inlineStr">
        <is>
          <t xml:space="preserve">    redistribution.</t>
        </is>
      </c>
    </row>
    <row r="77">
      <c r="A77" t="inlineStr"/>
    </row>
    <row r="78">
      <c r="A78" t="inlineStr">
        <is>
          <t>NO AI IS INVOLVED IN THE DATA PATH. Thresholds, transforms and rankings are</t>
        </is>
      </c>
    </row>
    <row r="79">
      <c r="A79" t="inlineStr">
        <is>
          <t>deterministic and config-driven: the same FRED data always yields the same</t>
        </is>
      </c>
    </row>
    <row r="80">
      <c r="A80" t="inlineStr">
        <is>
          <t>workbook.</t>
        </is>
      </c>
    </row>
    <row r="81">
      <c r="A81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2026-06-29T21:55:38Z</dcterms:created>
  <dcterms:modified xsi:type="dcterms:W3CDTF">2026-06-29T21:55:38Z</dcterms:modified>
</cp:coreProperties>
</file>