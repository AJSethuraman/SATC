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ditions" sheetId="1" state="visible" r:id="rId1"/>
    <sheet name="Dashboard_Labor" sheetId="2" state="visible" r:id="rId2"/>
    <sheet name="Dashboard_Housing_Sentiment" sheetId="3" state="visible" r:id="rId3"/>
    <sheet name="Watchlist" sheetId="4" state="visible" r:id="rId4"/>
    <sheet name="Raw_FRED" sheetId="5" state="visible" r:id="rId5"/>
    <sheet name="_config" sheetId="6" state="visible" r:id="rId6"/>
    <sheet name="_code_py" sheetId="7" state="visible" r:id="rId7"/>
    <sheet name="_code_vba" sheetId="8" state="visible" r:id="rId8"/>
    <sheet name="_readme" sheetId="9" state="visible" r:id="rId9"/>
  </sheets>
  <definedNames>
    <definedName name="sahm_state_band">_config!$B$11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Arial"/>
      <b val="1"/>
      <color rgb="00FFFFFF"/>
      <sz val="11"/>
    </font>
    <font>
      <name val="Calibri"/>
      <color rgb="0057534B"/>
      <sz val="11"/>
    </font>
    <font>
      <name val="Consolas"/>
      <color rgb="0016130F"/>
      <sz val="9"/>
    </font>
    <font>
      <name val="Calibri"/>
      <color rgb="0016130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16130F"/>
      </patternFill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29">
    <xf numFmtId="0" fontId="0" fillId="0" borderId="0" pivotButton="0" quotePrefix="0" xfId="0"/>
    <xf numFmtId="0" fontId="8" fillId="3" borderId="0" applyAlignment="1" pivotButton="0" quotePrefix="0" xfId="0">
      <alignment horizontal="left" vertical="center" indent="1"/>
    </xf>
    <xf numFmtId="0" fontId="5" fillId="0" borderId="0" applyAlignment="1" pivotButton="0" quotePrefix="0" xfId="0">
      <alignment horizontal="left" vertical="center"/>
    </xf>
    <xf numFmtId="0" fontId="9" fillId="3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4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4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4" borderId="0" applyAlignment="1" pivotButton="0" quotePrefix="0" xfId="0">
      <alignment horizontal="left" vertical="center" indent="1"/>
    </xf>
    <xf numFmtId="0" fontId="5" fillId="4" borderId="0" applyAlignment="1" pivotButton="0" quotePrefix="0" xfId="0">
      <alignment horizontal="left" vertical="center" indent="1"/>
    </xf>
    <xf numFmtId="0" fontId="4" fillId="3" borderId="2" applyAlignment="1" pivotButton="0" quotePrefix="0" xfId="0">
      <alignment horizontal="left" vertical="center"/>
    </xf>
    <xf numFmtId="0" fontId="4" fillId="3" borderId="2" applyAlignment="1" pivotButton="0" quotePrefix="0" xfId="0">
      <alignment horizontal="right" vertical="center"/>
    </xf>
    <xf numFmtId="0" fontId="4" fillId="3" borderId="2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center" vertical="center"/>
    </xf>
    <xf numFmtId="0" fontId="12" fillId="5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1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8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Conditions Dashboard</t>
        </is>
      </c>
      <c r="L1" s="2" t="n"/>
    </row>
    <row r="2" ht="18.4" customHeight="1">
      <c r="A2" s="3" t="inlineStr">
        <is>
          <t>Cycle position &amp; wholesale credit pricing: curve inversion, ICE BofA spreads (display-only lane), stress gauges, SLOOS underwriting cycle.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Leading indicators of credit deterioration</t>
        </is>
      </c>
    </row>
    <row r="4" ht="26" customHeight="1">
      <c r="A4" s="10">
        <f>COUNTIF(H8:H17,"ALERT")</f>
        <v/>
      </c>
      <c r="D4" s="10">
        <f>COUNTIF(H8:H17,"WATCH")</f>
        <v/>
      </c>
      <c r="G4" s="10">
        <f>10</f>
        <v/>
      </c>
      <c r="L4" s="9" t="n"/>
    </row>
    <row r="5">
      <c r="A5" s="11" t="inlineStr">
        <is>
          <t>of 10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3" t="inlineStr">
        <is>
          <t>Latest</t>
        </is>
      </c>
      <c r="E7" s="13" t="inlineStr">
        <is>
          <t>Prior</t>
        </is>
      </c>
      <c r="F7" s="13" t="inlineStr">
        <is>
          <t>Signal</t>
        </is>
      </c>
      <c r="G7" s="14" t="inlineStr">
        <is>
          <t>Trend (8)</t>
        </is>
      </c>
      <c r="H7" s="14" t="inlineStr">
        <is>
          <t>Status</t>
        </is>
      </c>
    </row>
    <row r="8">
      <c r="A8" s="15" t="inlineStr">
        <is>
          <t>conditions</t>
        </is>
      </c>
      <c r="B8" s="16" t="inlineStr">
        <is>
          <t>ANFCI</t>
        </is>
      </c>
      <c r="C8" s="17" t="inlineStr">
        <is>
          <t>Chicago Fed adjusted NFCI</t>
        </is>
      </c>
      <c r="D8" s="18">
        <f>IF(Raw_FRED!B772="","",Raw_FRED!B772)</f>
        <v/>
      </c>
      <c r="E8" s="18">
        <f>IF(Raw_FRED!B773="","",Raw_FRED!B773)</f>
        <v/>
      </c>
      <c r="F8" s="19">
        <f>IF(Raw_FRED!B772="","",Raw_FRED!B772)</f>
        <v/>
      </c>
      <c r="G8" s="20" t="n"/>
      <c r="H8" s="21" t="n"/>
    </row>
    <row r="9">
      <c r="A9" s="15" t="inlineStr">
        <is>
          <t>conditions</t>
        </is>
      </c>
      <c r="B9" s="16" t="inlineStr">
        <is>
          <t>KCFSI</t>
        </is>
      </c>
      <c r="C9" s="17" t="inlineStr">
        <is>
          <t>Kansas City Fed stress index</t>
        </is>
      </c>
      <c r="D9" s="18">
        <f>IF(Raw_FRED!B900="","",Raw_FRED!B900)</f>
        <v/>
      </c>
      <c r="E9" s="18">
        <f>IF(Raw_FRED!B901="","",Raw_FRED!B901)</f>
        <v/>
      </c>
      <c r="F9" s="19">
        <f>IF(Raw_FRED!B900="","",Raw_FRED!B900)</f>
        <v/>
      </c>
      <c r="G9" s="20" t="n"/>
      <c r="H9" s="21" t="n"/>
    </row>
    <row r="10">
      <c r="A10" s="15" t="inlineStr">
        <is>
          <t>conditions</t>
        </is>
      </c>
      <c r="B10" s="16" t="inlineStr">
        <is>
          <t>NFCI</t>
        </is>
      </c>
      <c r="C10" s="17" t="inlineStr">
        <is>
          <t>Chicago Fed NFCI</t>
        </is>
      </c>
      <c r="D10" s="18">
        <f>IF(Raw_FRED!B708="","",Raw_FRED!B708)</f>
        <v/>
      </c>
      <c r="E10" s="18">
        <f>IF(Raw_FRED!B709="","",Raw_FRED!B709)</f>
        <v/>
      </c>
      <c r="F10" s="19">
        <f>IF(Raw_FRED!B708="","",Raw_FRED!B708)</f>
        <v/>
      </c>
      <c r="G10" s="20" t="n"/>
      <c r="H10" s="21">
        <f>IF(NOT(ISNUMBER($F10)),"",IF($F10&gt;=_config!$C$20,"ALERT",IF($F10&gt;=_config!$B$20,"WATCH","OK")))</f>
        <v/>
      </c>
    </row>
    <row r="11">
      <c r="A11" s="15" t="inlineStr">
        <is>
          <t>conditions</t>
        </is>
      </c>
      <c r="B11" s="16" t="inlineStr">
        <is>
          <t>STLFSI4</t>
        </is>
      </c>
      <c r="C11" s="17" t="inlineStr">
        <is>
          <t>St. Louis Fed stress index</t>
        </is>
      </c>
      <c r="D11" s="18">
        <f>IF(Raw_FRED!B836="","",Raw_FRED!B836)</f>
        <v/>
      </c>
      <c r="E11" s="18">
        <f>IF(Raw_FRED!B837="","",Raw_FRED!B837)</f>
        <v/>
      </c>
      <c r="F11" s="19">
        <f>IF(Raw_FRED!B836="","",Raw_FRED!B836)</f>
        <v/>
      </c>
      <c r="G11" s="20" t="n"/>
      <c r="H11" s="21">
        <f>IF(NOT(ISNUMBER($F11)),"",IF($F11&gt;=_config!$C$21,"ALERT",IF($F11&gt;=_config!$B$21,"WATCH","OK")))</f>
        <v/>
      </c>
    </row>
    <row r="12">
      <c r="A12" s="15" t="inlineStr">
        <is>
          <t>curve</t>
        </is>
      </c>
      <c r="B12" s="16" t="inlineStr">
        <is>
          <t>T10Y2Y</t>
        </is>
      </c>
      <c r="C12" s="17" t="inlineStr">
        <is>
          <t>10Y-2Y Treasury spread</t>
        </is>
      </c>
      <c r="D12" s="18">
        <f>IF(Raw_FRED!B68="","",Raw_FRED!B68)</f>
        <v/>
      </c>
      <c r="E12" s="18">
        <f>IF(Raw_FRED!B69="","",Raw_FRED!B69)</f>
        <v/>
      </c>
      <c r="F12" s="19">
        <f>IF(Raw_FRED!B68="","",Raw_FRED!B68)</f>
        <v/>
      </c>
      <c r="G12" s="20" t="n"/>
      <c r="H12" s="21" t="n"/>
    </row>
    <row r="13">
      <c r="A13" s="15" t="inlineStr">
        <is>
          <t>curve</t>
        </is>
      </c>
      <c r="B13" s="16" t="inlineStr">
        <is>
          <t>T10Y3M</t>
        </is>
      </c>
      <c r="C13" s="17" t="inlineStr">
        <is>
          <t>10Y-3M Treasury spread</t>
        </is>
      </c>
      <c r="D13" s="18">
        <f>IF(Raw_FRED!B4="","",Raw_FRED!B4)</f>
        <v/>
      </c>
      <c r="E13" s="18">
        <f>IF(Raw_FRED!B5="","",Raw_FRED!B5)</f>
        <v/>
      </c>
      <c r="F13" s="19">
        <f>IF(Raw_FRED!B4="","",Raw_FRED!B4)</f>
        <v/>
      </c>
      <c r="G13" s="20" t="n"/>
      <c r="H13" s="21">
        <f>IF(NOT(ISNUMBER($F13)),"",IF($F13&lt;=_config!$C$16,"ALERT",IF($F13&lt;=_config!$B$16,"WATCH","OK")))</f>
        <v/>
      </c>
    </row>
    <row r="14">
      <c r="A14" s="15" t="inlineStr">
        <is>
          <t>curve</t>
        </is>
      </c>
      <c r="B14" s="16" t="inlineStr">
        <is>
          <t>T10Y3MM</t>
        </is>
      </c>
      <c r="C14" s="17" t="inlineStr">
        <is>
          <t>10Y-3M spread (monthly)</t>
        </is>
      </c>
      <c r="D14" s="18">
        <f>IF(Raw_FRED!B132="","",Raw_FRED!B132)</f>
        <v/>
      </c>
      <c r="E14" s="18">
        <f>IF(Raw_FRED!B133="","",Raw_FRED!B133)</f>
        <v/>
      </c>
      <c r="F14" s="19">
        <f>IF(Raw_FRED!B132="","",Raw_FRED!B132)</f>
        <v/>
      </c>
      <c r="G14" s="20" t="n"/>
      <c r="H14" s="21" t="n"/>
    </row>
    <row r="15">
      <c r="A15" s="15" t="inlineStr">
        <is>
          <t>sloos</t>
        </is>
      </c>
      <c r="B15" s="16" t="inlineStr">
        <is>
          <t>DRTSCILM</t>
        </is>
      </c>
      <c r="C15" s="17" t="inlineStr">
        <is>
          <t>SLOOS: C&amp;I tightening (large/mid)</t>
        </is>
      </c>
      <c r="D15" s="18">
        <f>IF(Raw_FRED!B964="","",Raw_FRED!B964)</f>
        <v/>
      </c>
      <c r="E15" s="18">
        <f>IF(Raw_FRED!B965="","",Raw_FRED!B965)</f>
        <v/>
      </c>
      <c r="F15" s="19">
        <f>IF(Raw_FRED!B964="","",Raw_FRED!B964)</f>
        <v/>
      </c>
      <c r="G15" s="20" t="n"/>
      <c r="H15" s="21">
        <f>IF(NOT(ISNUMBER($F15)),"",IF($F15&gt;=_config!$C$22,"ALERT",IF($F15&gt;=_config!$B$22,"WATCH","OK")))</f>
        <v/>
      </c>
    </row>
    <row r="16">
      <c r="A16" s="15" t="inlineStr">
        <is>
          <t>spreads</t>
        </is>
      </c>
      <c r="B16" s="16" t="inlineStr">
        <is>
          <t>BAMLC0A0CM</t>
        </is>
      </c>
      <c r="C16" s="17" t="inlineStr">
        <is>
          <t>IG OAS (ICE BofA)</t>
        </is>
      </c>
      <c r="D16" s="18">
        <f>IF(Raw_FRED!B644="","",Raw_FRED!B644)</f>
        <v/>
      </c>
      <c r="E16" s="18">
        <f>IF(Raw_FRED!B645="","",Raw_FRED!B645)</f>
        <v/>
      </c>
      <c r="F16" s="19">
        <f>IF(Raw_FRED!B644="","",Raw_FRED!B644)</f>
        <v/>
      </c>
      <c r="G16" s="20" t="n"/>
      <c r="H16" s="21" t="n"/>
    </row>
    <row r="17">
      <c r="A17" s="15" t="inlineStr">
        <is>
          <t>spreads</t>
        </is>
      </c>
      <c r="B17" s="16" t="inlineStr">
        <is>
          <t>BAMLH0A0HYM2</t>
        </is>
      </c>
      <c r="C17" s="17" t="inlineStr">
        <is>
          <t>HY OAS (ICE BofA)</t>
        </is>
      </c>
      <c r="D17" s="18">
        <f>IF(Raw_FRED!B580="","",Raw_FRED!B580)</f>
        <v/>
      </c>
      <c r="E17" s="18">
        <f>IF(Raw_FRED!B581="","",Raw_FRED!B581)</f>
        <v/>
      </c>
      <c r="F17" s="19">
        <f>IF(Raw_FRED!B580="","",Raw_FRED!B580)</f>
        <v/>
      </c>
      <c r="G17" s="20" t="n"/>
      <c r="H17" s="21">
        <f>IF(NOT(ISNUMBER($F17)),"",IF($F17&gt;=_config!$C$19,"ALERT",IF($F17&gt;=_config!$B$19,"WATCH","OK")))</f>
        <v/>
      </c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7">
    <cfRule type="expression" priority="1" dxfId="0">
      <formula>ISNUMBER(SEARCH("ALERT",H8))</formula>
    </cfRule>
  </conditionalFormatting>
  <conditionalFormatting sqref="F8:F17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3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8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Labor Dashboard</t>
        </is>
      </c>
      <c r="L1" s="2" t="n"/>
    </row>
    <row r="2" ht="18.4" customHeight="1">
      <c r="A2" s="3" t="inlineStr">
        <is>
          <t>Labor leads consumer delinquency: the Sahm pair, the weekly claims family (timeliest tripwire), manufacturing hours.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Leading indicators of credit deterioration</t>
        </is>
      </c>
    </row>
    <row r="4" ht="26" customHeight="1">
      <c r="A4" s="10">
        <f>COUNTIF(H8:H13,"ALERT")</f>
        <v/>
      </c>
      <c r="D4" s="10">
        <f>COUNTIF(H8:H13,"WATCH")</f>
        <v/>
      </c>
      <c r="G4" s="10">
        <f>6</f>
        <v/>
      </c>
      <c r="L4" s="9" t="n"/>
    </row>
    <row r="5">
      <c r="A5" s="11" t="inlineStr">
        <is>
          <t>of 6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3" t="inlineStr">
        <is>
          <t>Latest</t>
        </is>
      </c>
      <c r="E7" s="13" t="inlineStr">
        <is>
          <t>Prior</t>
        </is>
      </c>
      <c r="F7" s="13" t="inlineStr">
        <is>
          <t>Signal</t>
        </is>
      </c>
      <c r="G7" s="14" t="inlineStr">
        <is>
          <t>Trend (8)</t>
        </is>
      </c>
      <c r="H7" s="14" t="inlineStr">
        <is>
          <t>Status</t>
        </is>
      </c>
    </row>
    <row r="8">
      <c r="A8" s="15" t="inlineStr">
        <is>
          <t>labor</t>
        </is>
      </c>
      <c r="B8" s="16" t="inlineStr">
        <is>
          <t>AWHMAN</t>
        </is>
      </c>
      <c r="C8" s="17" t="inlineStr">
        <is>
          <t>Mfg avg weekly hours</t>
        </is>
      </c>
      <c r="D8" s="18">
        <f>IF(Raw_FRED!B516="","",Raw_FRED!B516)</f>
        <v/>
      </c>
      <c r="E8" s="18">
        <f>IF(Raw_FRED!B517="","",Raw_FRED!B517)</f>
        <v/>
      </c>
      <c r="F8" s="19">
        <f>IF(Raw_FRED!B516="","",Raw_FRED!B516)</f>
        <v/>
      </c>
      <c r="G8" s="20" t="n"/>
      <c r="H8" s="21" t="n"/>
    </row>
    <row r="9">
      <c r="A9" s="15" t="inlineStr">
        <is>
          <t>labor</t>
        </is>
      </c>
      <c r="B9" s="16" t="inlineStr">
        <is>
          <t>CCSA</t>
        </is>
      </c>
      <c r="C9" s="17" t="inlineStr">
        <is>
          <t>Continued claims</t>
        </is>
      </c>
      <c r="D9" s="18">
        <f>IF(Raw_FRED!B452="","",Raw_FRED!B452)</f>
        <v/>
      </c>
      <c r="E9" s="18">
        <f>IF(Raw_FRED!B453="","",Raw_FRED!B453)</f>
        <v/>
      </c>
      <c r="F9" s="19">
        <f>IF(OR(Raw_FRED!B452="",Raw_FRED!B504=""),"",IFERROR((AVERAGE(Raw_FRED!B452:B455)-AVERAGE(Raw_FRED!B504:B507))/AVERAGE(Raw_FRED!B504:B507)*100,""))</f>
        <v/>
      </c>
      <c r="G9" s="20" t="n"/>
      <c r="H9" s="21" t="n"/>
    </row>
    <row r="10">
      <c r="A10" s="15" t="inlineStr">
        <is>
          <t>labor</t>
        </is>
      </c>
      <c r="B10" s="16" t="inlineStr">
        <is>
          <t>IC4WSA</t>
        </is>
      </c>
      <c r="C10" s="17" t="inlineStr">
        <is>
          <t>Initial claims, 4-week MA</t>
        </is>
      </c>
      <c r="D10" s="18">
        <f>IF(Raw_FRED!B388="","",Raw_FRED!B388)</f>
        <v/>
      </c>
      <c r="E10" s="18">
        <f>IF(Raw_FRED!B389="","",Raw_FRED!B389)</f>
        <v/>
      </c>
      <c r="F10" s="19">
        <f>IF(Raw_FRED!B388="","",Raw_FRED!B388)</f>
        <v/>
      </c>
      <c r="G10" s="20" t="n"/>
      <c r="H10" s="21" t="n"/>
    </row>
    <row r="11">
      <c r="A11" s="15" t="inlineStr">
        <is>
          <t>labor</t>
        </is>
      </c>
      <c r="B11" s="16" t="inlineStr">
        <is>
          <t>ICSA</t>
        </is>
      </c>
      <c r="C11" s="17" t="inlineStr">
        <is>
          <t>Initial claims</t>
        </is>
      </c>
      <c r="D11" s="18">
        <f>IF(Raw_FRED!B324="","",Raw_FRED!B324)</f>
        <v/>
      </c>
      <c r="E11" s="18">
        <f>IF(Raw_FRED!B325="","",Raw_FRED!B325)</f>
        <v/>
      </c>
      <c r="F11" s="19">
        <f>IF(OR(Raw_FRED!B324="",Raw_FRED!B376=""),"",IFERROR((AVERAGE(Raw_FRED!B324:B327)-AVERAGE(Raw_FRED!B376:B379))/AVERAGE(Raw_FRED!B376:B379)*100,""))</f>
        <v/>
      </c>
      <c r="G11" s="20" t="n"/>
      <c r="H11" s="21">
        <f>IF(NOT(ISNUMBER($F11)),"",IF($F11&gt;=_config!$C$18,"ALERT",IF($F11&gt;=_config!$B$18,"WATCH","OK")))</f>
        <v/>
      </c>
    </row>
    <row r="12">
      <c r="A12" s="15" t="inlineStr">
        <is>
          <t>labor</t>
        </is>
      </c>
      <c r="B12" s="16" t="inlineStr">
        <is>
          <t>SAHMCURRENT</t>
        </is>
      </c>
      <c r="C12" s="17" t="inlineStr">
        <is>
          <t>Sahm rule (current data)</t>
        </is>
      </c>
      <c r="D12" s="18">
        <f>IF(Raw_FRED!B260="","",Raw_FRED!B260)</f>
        <v/>
      </c>
      <c r="E12" s="18">
        <f>IF(Raw_FRED!B261="","",Raw_FRED!B261)</f>
        <v/>
      </c>
      <c r="F12" s="19">
        <f>IF(Raw_FRED!B260="","",Raw_FRED!B260)</f>
        <v/>
      </c>
      <c r="G12" s="20" t="n"/>
      <c r="H12" s="21" t="n"/>
    </row>
    <row r="13">
      <c r="A13" s="15" t="inlineStr">
        <is>
          <t>labor</t>
        </is>
      </c>
      <c r="B13" s="16" t="inlineStr">
        <is>
          <t>SAHMREALTIME</t>
        </is>
      </c>
      <c r="C13" s="17" t="inlineStr">
        <is>
          <t>Sahm rule (real-time)</t>
        </is>
      </c>
      <c r="D13" s="18">
        <f>IF(Raw_FRED!B196="","",Raw_FRED!B196)</f>
        <v/>
      </c>
      <c r="E13" s="18">
        <f>IF(Raw_FRED!B197="","",Raw_FRED!B197)</f>
        <v/>
      </c>
      <c r="F13" s="19">
        <f>IF(Raw_FRED!B196="","",Raw_FRED!B196)</f>
        <v/>
      </c>
      <c r="G13" s="20" t="n"/>
      <c r="H13" s="21">
        <f>IF(NOT(ISNUMBER($F13)),"",IF($F13&gt;=_config!$C$17,"ALERT",IF($F13&gt;=_config!$B$17,"WATCH","OK")))</f>
        <v/>
      </c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3">
    <cfRule type="expression" priority="1" dxfId="0">
      <formula>ISNUMBER(SEARCH("ALERT",H8))</formula>
    </cfRule>
  </conditionalFormatting>
  <conditionalFormatting sqref="F8:F13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2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8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Housing &amp; Sentiment Dashboard</t>
        </is>
      </c>
      <c r="L1" s="2" t="n"/>
    </row>
    <row r="2" ht="18.4" customHeight="1">
      <c r="A2" s="3" t="inlineStr">
        <is>
          <t>Demand, sentiment, and the confirmatory lane: 3m-smoothed permits/starts, UMich (1-mo delay), core capex orders, recession probability (confirmation only).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Leading indicators of credit deterioration</t>
        </is>
      </c>
    </row>
    <row r="4" ht="26" customHeight="1">
      <c r="A4" s="10">
        <f>COUNTIF(H8:H12,"ALERT")</f>
        <v/>
      </c>
      <c r="D4" s="10">
        <f>COUNTIF(H8:H12,"WATCH")</f>
        <v/>
      </c>
      <c r="G4" s="10">
        <f>5</f>
        <v/>
      </c>
      <c r="L4" s="9" t="n"/>
    </row>
    <row r="5">
      <c r="A5" s="11" t="inlineStr">
        <is>
          <t>of 5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3" t="inlineStr">
        <is>
          <t>Latest</t>
        </is>
      </c>
      <c r="E7" s="13" t="inlineStr">
        <is>
          <t>Prior</t>
        </is>
      </c>
      <c r="F7" s="13" t="inlineStr">
        <is>
          <t>Signal</t>
        </is>
      </c>
      <c r="G7" s="14" t="inlineStr">
        <is>
          <t>Trend (8)</t>
        </is>
      </c>
      <c r="H7" s="14" t="inlineStr">
        <is>
          <t>Status</t>
        </is>
      </c>
    </row>
    <row r="8">
      <c r="A8" s="15" t="inlineStr">
        <is>
          <t>confirm</t>
        </is>
      </c>
      <c r="B8" s="16" t="inlineStr">
        <is>
          <t>RECPROUSM156N</t>
        </is>
      </c>
      <c r="C8" s="17" t="inlineStr">
        <is>
          <t>Recession probability (smoothed)</t>
        </is>
      </c>
      <c r="D8" s="18">
        <f>IF(Raw_FRED!B1284="","",Raw_FRED!B1284)</f>
        <v/>
      </c>
      <c r="E8" s="18">
        <f>IF(Raw_FRED!B1285="","",Raw_FRED!B1285)</f>
        <v/>
      </c>
      <c r="F8" s="19">
        <f>IF(Raw_FRED!B1284="","",Raw_FRED!B1284)</f>
        <v/>
      </c>
      <c r="G8" s="20" t="n"/>
      <c r="H8" s="21">
        <f>IF(NOT(ISNUMBER($F8)),"",IF($F8&gt;=_config!$C$23,"ALERT",IF($F8&gt;=_config!$B$23,"WATCH","OK")))</f>
        <v/>
      </c>
    </row>
    <row r="9">
      <c r="A9" s="15" t="inlineStr">
        <is>
          <t>housing</t>
        </is>
      </c>
      <c r="B9" s="16" t="inlineStr">
        <is>
          <t>HOUST</t>
        </is>
      </c>
      <c r="C9" s="17" t="inlineStr">
        <is>
          <t>Housing starts</t>
        </is>
      </c>
      <c r="D9" s="18">
        <f>IF(Raw_FRED!B1092="","",Raw_FRED!B1092)</f>
        <v/>
      </c>
      <c r="E9" s="18">
        <f>IF(Raw_FRED!B1093="","",Raw_FRED!B1093)</f>
        <v/>
      </c>
      <c r="F9" s="19">
        <f>IF(OR(Raw_FRED!B1092="",Raw_FRED!B1104=""),"",IFERROR((AVERAGE(Raw_FRED!B1092:B1094)-AVERAGE(Raw_FRED!B1104:B1106))/AVERAGE(Raw_FRED!B1104:B1106)*100,""))</f>
        <v/>
      </c>
      <c r="G9" s="20" t="n"/>
      <c r="H9" s="21" t="n"/>
    </row>
    <row r="10">
      <c r="A10" s="15" t="inlineStr">
        <is>
          <t>housing</t>
        </is>
      </c>
      <c r="B10" s="16" t="inlineStr">
        <is>
          <t>PERMIT</t>
        </is>
      </c>
      <c r="C10" s="17" t="inlineStr">
        <is>
          <t>Building permits</t>
        </is>
      </c>
      <c r="D10" s="18">
        <f>IF(Raw_FRED!B1028="","",Raw_FRED!B1028)</f>
        <v/>
      </c>
      <c r="E10" s="18">
        <f>IF(Raw_FRED!B1029="","",Raw_FRED!B1029)</f>
        <v/>
      </c>
      <c r="F10" s="19">
        <f>IF(OR(Raw_FRED!B1028="",Raw_FRED!B1040=""),"",IFERROR((AVERAGE(Raw_FRED!B1028:B1030)-AVERAGE(Raw_FRED!B1040:B1042))/AVERAGE(Raw_FRED!B1040:B1042)*100,""))</f>
        <v/>
      </c>
      <c r="G10" s="20" t="n"/>
      <c r="H10" s="21" t="n"/>
    </row>
    <row r="11">
      <c r="A11" s="15" t="inlineStr">
        <is>
          <t>sentiment</t>
        </is>
      </c>
      <c r="B11" s="16" t="inlineStr">
        <is>
          <t>NEWORDER</t>
        </is>
      </c>
      <c r="C11" s="17" t="inlineStr">
        <is>
          <t>Core capex orders</t>
        </is>
      </c>
      <c r="D11" s="18">
        <f>IF(Raw_FRED!B1220="","",Raw_FRED!B1220)</f>
        <v/>
      </c>
      <c r="E11" s="18">
        <f>IF(Raw_FRED!B1221="","",Raw_FRED!B1221)</f>
        <v/>
      </c>
      <c r="F11" s="19">
        <f>IF(OR(Raw_FRED!B1220="",Raw_FRED!B1232=""),"",IFERROR((Raw_FRED!B1220-Raw_FRED!B1232)/Raw_FRED!B1232*100,""))</f>
        <v/>
      </c>
      <c r="G11" s="20" t="n"/>
      <c r="H11" s="21" t="n"/>
    </row>
    <row r="12">
      <c r="A12" s="15" t="inlineStr">
        <is>
          <t>sentiment</t>
        </is>
      </c>
      <c r="B12" s="16" t="inlineStr">
        <is>
          <t>UMCSENT</t>
        </is>
      </c>
      <c r="C12" s="17" t="inlineStr">
        <is>
          <t>UMich consumer sentiment</t>
        </is>
      </c>
      <c r="D12" s="18">
        <f>IF(Raw_FRED!B1156="","",Raw_FRED!B1156)</f>
        <v/>
      </c>
      <c r="E12" s="18">
        <f>IF(Raw_FRED!B1157="","",Raw_FRED!B1157)</f>
        <v/>
      </c>
      <c r="F12" s="19">
        <f>IF(OR(Raw_FRED!B1156="",Raw_FRED!B1168=""),"",IFERROR((Raw_FRED!B1156-Raw_FRED!B1168)/Raw_FRED!B1168*100,""))</f>
        <v/>
      </c>
      <c r="G12" s="20" t="n"/>
      <c r="H12" s="21" t="n"/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2">
    <cfRule type="expression" priority="1" dxfId="0">
      <formula>ISNUMBER(SEARCH("ALERT",H8))</formula>
    </cfRule>
  </conditionalFormatting>
  <conditionalFormatting sqref="F8:F12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5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0" customWidth="1" min="1" max="1"/>
    <col width="12" customWidth="1" min="2" max="2"/>
    <col width="18" customWidth="1" min="3" max="3"/>
    <col width="18" customWidth="1" min="4" max="4"/>
    <col width="8" customWidth="1" min="5" max="5"/>
    <col width="12" customWidth="1" min="6" max="6"/>
  </cols>
  <sheetData>
    <row r="1" ht="27.6" customHeight="1">
      <c r="A1" s="1" t="inlineStr">
        <is>
          <t>Watchlist -- State Footprint Stress</t>
        </is>
      </c>
    </row>
    <row r="2" ht="18.4" customHeight="1">
      <c r="A2" s="3" t="inlineStr">
        <is>
          <t>Macro stress at the state join key: UR Sahm-style gap ranks the lane; claims and coincident-index columns corroborate. Join portfolio state exposure here.</t>
        </is>
      </c>
      <c r="B2" s="4" t="n"/>
      <c r="C2" s="4" t="n"/>
      <c r="D2" s="4" t="n"/>
      <c r="E2" s="4" t="n"/>
      <c r="F2" s="4" t="n"/>
    </row>
    <row r="3" ht="42" customHeight="1">
      <c r="A3" s="22" t="inlineStr">
        <is>
          <t>GEOGRAPHIC RULE. This lane admits ONLY genuinely state-keyed Class A series (geo_segment matching state:XX) -- the default-deny validator refuses anything else, series-named. National/aggregate series cannot localize a portfolio footprint; join your portfolio's state exposure on the State column. MSA/county promotion is a spec change, not a config edit.</t>
        </is>
      </c>
    </row>
    <row r="4" ht="22" customHeight="1">
      <c r="A4" s="12" t="inlineStr">
        <is>
          <t>State</t>
        </is>
      </c>
      <c r="B4" s="13" t="inlineStr">
        <is>
          <t>UR gap</t>
        </is>
      </c>
      <c r="C4" s="13" t="inlineStr">
        <is>
          <t>Claims YoY 4wk-MA</t>
        </is>
      </c>
      <c r="D4" s="13" t="inlineStr">
        <is>
          <t>Coincident 3m chg</t>
        </is>
      </c>
      <c r="E4" s="14" t="inlineStr">
        <is>
          <t>Rank</t>
        </is>
      </c>
      <c r="F4" s="14" t="inlineStr">
        <is>
          <t>Status</t>
        </is>
      </c>
    </row>
    <row r="5">
      <c r="A5" s="16" t="inlineStr">
        <is>
          <t>AK</t>
        </is>
      </c>
      <c r="B5" s="18">
        <f>IF(OR(Raw_FRED!B1348="",Raw_FRED!B1362=""),"",AVERAGE(Raw_FRED!B1348:B1350)-MIN(Raw_FRED!B1351:B1362))</f>
        <v/>
      </c>
      <c r="C5" s="19">
        <f>IF(OR(Raw_FRED!B4612="",Raw_FRED!B4664=""),"",IFERROR((AVERAGE(Raw_FRED!B4612:B4615)-AVERAGE(Raw_FRED!B4664:B4667))/AVERAGE(Raw_FRED!B4664:B4667)*100,""))</f>
        <v/>
      </c>
      <c r="D5" s="18">
        <f>IF(OR(Raw_FRED!B7812="",Raw_FRED!B7815=""),"",Raw_FRED!B7812-Raw_FRED!B7815)</f>
        <v/>
      </c>
      <c r="E5" s="21">
        <f>IF(NOT(ISNUMBER($B5)),"",RANK($B5,$B$5:$B$55))</f>
        <v/>
      </c>
      <c r="F5" s="21">
        <f>IF(NOT(ISNUMBER($B5)),"",IF($B5&gt;=sahm_state_band,"ALERT",IF($B5&gt;=0.6*sahm_state_band,"WATCH","")))</f>
        <v/>
      </c>
    </row>
    <row r="6">
      <c r="A6" s="16" t="inlineStr">
        <is>
          <t>AL</t>
        </is>
      </c>
      <c r="B6" s="18">
        <f>IF(OR(Raw_FRED!B1412="",Raw_FRED!B1426=""),"",AVERAGE(Raw_FRED!B1412:B1414)-MIN(Raw_FRED!B1415:B1426))</f>
        <v/>
      </c>
      <c r="C6" s="19">
        <f>IF(OR(Raw_FRED!B4676="",Raw_FRED!B4728=""),"",IFERROR((AVERAGE(Raw_FRED!B4676:B4679)-AVERAGE(Raw_FRED!B4728:B4731))/AVERAGE(Raw_FRED!B4728:B4731)*100,""))</f>
        <v/>
      </c>
      <c r="D6" s="18">
        <f>IF(OR(Raw_FRED!B7876="",Raw_FRED!B7879=""),"",Raw_FRED!B7876-Raw_FRED!B7879)</f>
        <v/>
      </c>
      <c r="E6" s="21">
        <f>IF(NOT(ISNUMBER($B6)),"",RANK($B6,$B$5:$B$55))</f>
        <v/>
      </c>
      <c r="F6" s="21">
        <f>IF(NOT(ISNUMBER($B6)),"",IF($B6&gt;=sahm_state_band,"ALERT",IF($B6&gt;=0.6*sahm_state_band,"WATCH","")))</f>
        <v/>
      </c>
    </row>
    <row r="7">
      <c r="A7" s="16" t="inlineStr">
        <is>
          <t>AR</t>
        </is>
      </c>
      <c r="B7" s="18">
        <f>IF(OR(Raw_FRED!B1476="",Raw_FRED!B1490=""),"",AVERAGE(Raw_FRED!B1476:B1478)-MIN(Raw_FRED!B1479:B1490))</f>
        <v/>
      </c>
      <c r="C7" s="19">
        <f>IF(OR(Raw_FRED!B4740="",Raw_FRED!B4792=""),"",IFERROR((AVERAGE(Raw_FRED!B4740:B4743)-AVERAGE(Raw_FRED!B4792:B4795))/AVERAGE(Raw_FRED!B4792:B4795)*100,""))</f>
        <v/>
      </c>
      <c r="D7" s="18">
        <f>IF(OR(Raw_FRED!B7940="",Raw_FRED!B7943=""),"",Raw_FRED!B7940-Raw_FRED!B7943)</f>
        <v/>
      </c>
      <c r="E7" s="21">
        <f>IF(NOT(ISNUMBER($B7)),"",RANK($B7,$B$5:$B$55))</f>
        <v/>
      </c>
      <c r="F7" s="21">
        <f>IF(NOT(ISNUMBER($B7)),"",IF($B7&gt;=sahm_state_band,"ALERT",IF($B7&gt;=0.6*sahm_state_band,"WATCH","")))</f>
        <v/>
      </c>
    </row>
    <row r="8">
      <c r="A8" s="16" t="inlineStr">
        <is>
          <t>AZ</t>
        </is>
      </c>
      <c r="B8" s="18">
        <f>IF(OR(Raw_FRED!B1540="",Raw_FRED!B1554=""),"",AVERAGE(Raw_FRED!B1540:B1542)-MIN(Raw_FRED!B1543:B1554))</f>
        <v/>
      </c>
      <c r="C8" s="19">
        <f>IF(OR(Raw_FRED!B4804="",Raw_FRED!B4856=""),"",IFERROR((AVERAGE(Raw_FRED!B4804:B4807)-AVERAGE(Raw_FRED!B4856:B4859))/AVERAGE(Raw_FRED!B4856:B4859)*100,""))</f>
        <v/>
      </c>
      <c r="D8" s="18">
        <f>IF(OR(Raw_FRED!B8004="",Raw_FRED!B8007=""),"",Raw_FRED!B8004-Raw_FRED!B8007)</f>
        <v/>
      </c>
      <c r="E8" s="21">
        <f>IF(NOT(ISNUMBER($B8)),"",RANK($B8,$B$5:$B$55))</f>
        <v/>
      </c>
      <c r="F8" s="21">
        <f>IF(NOT(ISNUMBER($B8)),"",IF($B8&gt;=sahm_state_band,"ALERT",IF($B8&gt;=0.6*sahm_state_band,"WATCH","")))</f>
        <v/>
      </c>
    </row>
    <row r="9">
      <c r="A9" s="16" t="inlineStr">
        <is>
          <t>CA</t>
        </is>
      </c>
      <c r="B9" s="18">
        <f>IF(OR(Raw_FRED!B1604="",Raw_FRED!B1618=""),"",AVERAGE(Raw_FRED!B1604:B1606)-MIN(Raw_FRED!B1607:B1618))</f>
        <v/>
      </c>
      <c r="C9" s="19">
        <f>IF(OR(Raw_FRED!B4868="",Raw_FRED!B4920=""),"",IFERROR((AVERAGE(Raw_FRED!B4868:B4871)-AVERAGE(Raw_FRED!B4920:B4923))/AVERAGE(Raw_FRED!B4920:B4923)*100,""))</f>
        <v/>
      </c>
      <c r="D9" s="18">
        <f>IF(OR(Raw_FRED!B8068="",Raw_FRED!B8071=""),"",Raw_FRED!B8068-Raw_FRED!B8071)</f>
        <v/>
      </c>
      <c r="E9" s="21">
        <f>IF(NOT(ISNUMBER($B9)),"",RANK($B9,$B$5:$B$55))</f>
        <v/>
      </c>
      <c r="F9" s="21">
        <f>IF(NOT(ISNUMBER($B9)),"",IF($B9&gt;=sahm_state_band,"ALERT",IF($B9&gt;=0.6*sahm_state_band,"WATCH","")))</f>
        <v/>
      </c>
    </row>
    <row r="10">
      <c r="A10" s="16" t="inlineStr">
        <is>
          <t>CO</t>
        </is>
      </c>
      <c r="B10" s="18">
        <f>IF(OR(Raw_FRED!B1668="",Raw_FRED!B1682=""),"",AVERAGE(Raw_FRED!B1668:B1670)-MIN(Raw_FRED!B1671:B1682))</f>
        <v/>
      </c>
      <c r="C10" s="19">
        <f>IF(OR(Raw_FRED!B4932="",Raw_FRED!B4984=""),"",IFERROR((AVERAGE(Raw_FRED!B4932:B4935)-AVERAGE(Raw_FRED!B4984:B4987))/AVERAGE(Raw_FRED!B4984:B4987)*100,""))</f>
        <v/>
      </c>
      <c r="D10" s="18">
        <f>IF(OR(Raw_FRED!B8132="",Raw_FRED!B8135=""),"",Raw_FRED!B8132-Raw_FRED!B8135)</f>
        <v/>
      </c>
      <c r="E10" s="21">
        <f>IF(NOT(ISNUMBER($B10)),"",RANK($B10,$B$5:$B$55))</f>
        <v/>
      </c>
      <c r="F10" s="21">
        <f>IF(NOT(ISNUMBER($B10)),"",IF($B10&gt;=sahm_state_band,"ALERT",IF($B10&gt;=0.6*sahm_state_band,"WATCH","")))</f>
        <v/>
      </c>
    </row>
    <row r="11">
      <c r="A11" s="16" t="inlineStr">
        <is>
          <t>CT</t>
        </is>
      </c>
      <c r="B11" s="18">
        <f>IF(OR(Raw_FRED!B1732="",Raw_FRED!B1746=""),"",AVERAGE(Raw_FRED!B1732:B1734)-MIN(Raw_FRED!B1735:B1746))</f>
        <v/>
      </c>
      <c r="C11" s="19">
        <f>IF(OR(Raw_FRED!B4996="",Raw_FRED!B5048=""),"",IFERROR((AVERAGE(Raw_FRED!B4996:B4999)-AVERAGE(Raw_FRED!B5048:B5051))/AVERAGE(Raw_FRED!B5048:B5051)*100,""))</f>
        <v/>
      </c>
      <c r="D11" s="18">
        <f>IF(OR(Raw_FRED!B8196="",Raw_FRED!B8199=""),"",Raw_FRED!B8196-Raw_FRED!B8199)</f>
        <v/>
      </c>
      <c r="E11" s="21">
        <f>IF(NOT(ISNUMBER($B11)),"",RANK($B11,$B$5:$B$55))</f>
        <v/>
      </c>
      <c r="F11" s="21">
        <f>IF(NOT(ISNUMBER($B11)),"",IF($B11&gt;=sahm_state_band,"ALERT",IF($B11&gt;=0.6*sahm_state_band,"WATCH","")))</f>
        <v/>
      </c>
    </row>
    <row r="12">
      <c r="A12" s="16" t="inlineStr">
        <is>
          <t>DC</t>
        </is>
      </c>
      <c r="B12" s="18">
        <f>IF(OR(Raw_FRED!B1796="",Raw_FRED!B1810=""),"",AVERAGE(Raw_FRED!B1796:B1798)-MIN(Raw_FRED!B1799:B1810))</f>
        <v/>
      </c>
      <c r="C12" s="23" t="n"/>
      <c r="D12" s="23" t="n"/>
      <c r="E12" s="21">
        <f>IF(NOT(ISNUMBER($B12)),"",RANK($B12,$B$5:$B$55))</f>
        <v/>
      </c>
      <c r="F12" s="21">
        <f>IF(NOT(ISNUMBER($B12)),"",IF($B12&gt;=sahm_state_band,"ALERT",IF($B12&gt;=0.6*sahm_state_band,"WATCH","")))</f>
        <v/>
      </c>
    </row>
    <row r="13">
      <c r="A13" s="16" t="inlineStr">
        <is>
          <t>DE</t>
        </is>
      </c>
      <c r="B13" s="18">
        <f>IF(OR(Raw_FRED!B1860="",Raw_FRED!B1874=""),"",AVERAGE(Raw_FRED!B1860:B1862)-MIN(Raw_FRED!B1863:B1874))</f>
        <v/>
      </c>
      <c r="C13" s="19">
        <f>IF(OR(Raw_FRED!B5060="",Raw_FRED!B5112=""),"",IFERROR((AVERAGE(Raw_FRED!B5060:B5063)-AVERAGE(Raw_FRED!B5112:B5115))/AVERAGE(Raw_FRED!B5112:B5115)*100,""))</f>
        <v/>
      </c>
      <c r="D13" s="18">
        <f>IF(OR(Raw_FRED!B8260="",Raw_FRED!B8263=""),"",Raw_FRED!B8260-Raw_FRED!B8263)</f>
        <v/>
      </c>
      <c r="E13" s="21">
        <f>IF(NOT(ISNUMBER($B13)),"",RANK($B13,$B$5:$B$55))</f>
        <v/>
      </c>
      <c r="F13" s="21">
        <f>IF(NOT(ISNUMBER($B13)),"",IF($B13&gt;=sahm_state_band,"ALERT",IF($B13&gt;=0.6*sahm_state_band,"WATCH","")))</f>
        <v/>
      </c>
    </row>
    <row r="14">
      <c r="A14" s="16" t="inlineStr">
        <is>
          <t>FL</t>
        </is>
      </c>
      <c r="B14" s="18">
        <f>IF(OR(Raw_FRED!B1924="",Raw_FRED!B1938=""),"",AVERAGE(Raw_FRED!B1924:B1926)-MIN(Raw_FRED!B1927:B1938))</f>
        <v/>
      </c>
      <c r="C14" s="19">
        <f>IF(OR(Raw_FRED!B5124="",Raw_FRED!B5176=""),"",IFERROR((AVERAGE(Raw_FRED!B5124:B5127)-AVERAGE(Raw_FRED!B5176:B5179))/AVERAGE(Raw_FRED!B5176:B5179)*100,""))</f>
        <v/>
      </c>
      <c r="D14" s="18">
        <f>IF(OR(Raw_FRED!B8324="",Raw_FRED!B8327=""),"",Raw_FRED!B8324-Raw_FRED!B8327)</f>
        <v/>
      </c>
      <c r="E14" s="21">
        <f>IF(NOT(ISNUMBER($B14)),"",RANK($B14,$B$5:$B$55))</f>
        <v/>
      </c>
      <c r="F14" s="21">
        <f>IF(NOT(ISNUMBER($B14)),"",IF($B14&gt;=sahm_state_band,"ALERT",IF($B14&gt;=0.6*sahm_state_band,"WATCH","")))</f>
        <v/>
      </c>
    </row>
    <row r="15">
      <c r="A15" s="16" t="inlineStr">
        <is>
          <t>GA</t>
        </is>
      </c>
      <c r="B15" s="18">
        <f>IF(OR(Raw_FRED!B1988="",Raw_FRED!B2002=""),"",AVERAGE(Raw_FRED!B1988:B1990)-MIN(Raw_FRED!B1991:B2002))</f>
        <v/>
      </c>
      <c r="C15" s="19">
        <f>IF(OR(Raw_FRED!B5188="",Raw_FRED!B5240=""),"",IFERROR((AVERAGE(Raw_FRED!B5188:B5191)-AVERAGE(Raw_FRED!B5240:B5243))/AVERAGE(Raw_FRED!B5240:B5243)*100,""))</f>
        <v/>
      </c>
      <c r="D15" s="18">
        <f>IF(OR(Raw_FRED!B8388="",Raw_FRED!B8391=""),"",Raw_FRED!B8388-Raw_FRED!B8391)</f>
        <v/>
      </c>
      <c r="E15" s="21">
        <f>IF(NOT(ISNUMBER($B15)),"",RANK($B15,$B$5:$B$55))</f>
        <v/>
      </c>
      <c r="F15" s="21">
        <f>IF(NOT(ISNUMBER($B15)),"",IF($B15&gt;=sahm_state_band,"ALERT",IF($B15&gt;=0.6*sahm_state_band,"WATCH","")))</f>
        <v/>
      </c>
    </row>
    <row r="16">
      <c r="A16" s="16" t="inlineStr">
        <is>
          <t>HI</t>
        </is>
      </c>
      <c r="B16" s="18">
        <f>IF(OR(Raw_FRED!B2052="",Raw_FRED!B2066=""),"",AVERAGE(Raw_FRED!B2052:B2054)-MIN(Raw_FRED!B2055:B2066))</f>
        <v/>
      </c>
      <c r="C16" s="19">
        <f>IF(OR(Raw_FRED!B5252="",Raw_FRED!B5304=""),"",IFERROR((AVERAGE(Raw_FRED!B5252:B5255)-AVERAGE(Raw_FRED!B5304:B5307))/AVERAGE(Raw_FRED!B5304:B5307)*100,""))</f>
        <v/>
      </c>
      <c r="D16" s="18">
        <f>IF(OR(Raw_FRED!B8452="",Raw_FRED!B8455=""),"",Raw_FRED!B8452-Raw_FRED!B8455)</f>
        <v/>
      </c>
      <c r="E16" s="21">
        <f>IF(NOT(ISNUMBER($B16)),"",RANK($B16,$B$5:$B$55))</f>
        <v/>
      </c>
      <c r="F16" s="21">
        <f>IF(NOT(ISNUMBER($B16)),"",IF($B16&gt;=sahm_state_band,"ALERT",IF($B16&gt;=0.6*sahm_state_band,"WATCH","")))</f>
        <v/>
      </c>
    </row>
    <row r="17">
      <c r="A17" s="16" t="inlineStr">
        <is>
          <t>IA</t>
        </is>
      </c>
      <c r="B17" s="18">
        <f>IF(OR(Raw_FRED!B2116="",Raw_FRED!B2130=""),"",AVERAGE(Raw_FRED!B2116:B2118)-MIN(Raw_FRED!B2119:B2130))</f>
        <v/>
      </c>
      <c r="C17" s="19">
        <f>IF(OR(Raw_FRED!B5316="",Raw_FRED!B5368=""),"",IFERROR((AVERAGE(Raw_FRED!B5316:B5319)-AVERAGE(Raw_FRED!B5368:B5371))/AVERAGE(Raw_FRED!B5368:B5371)*100,""))</f>
        <v/>
      </c>
      <c r="D17" s="18">
        <f>IF(OR(Raw_FRED!B8516="",Raw_FRED!B8519=""),"",Raw_FRED!B8516-Raw_FRED!B8519)</f>
        <v/>
      </c>
      <c r="E17" s="21">
        <f>IF(NOT(ISNUMBER($B17)),"",RANK($B17,$B$5:$B$55))</f>
        <v/>
      </c>
      <c r="F17" s="21">
        <f>IF(NOT(ISNUMBER($B17)),"",IF($B17&gt;=sahm_state_band,"ALERT",IF($B17&gt;=0.6*sahm_state_band,"WATCH","")))</f>
        <v/>
      </c>
    </row>
    <row r="18">
      <c r="A18" s="16" t="inlineStr">
        <is>
          <t>ID</t>
        </is>
      </c>
      <c r="B18" s="18">
        <f>IF(OR(Raw_FRED!B2180="",Raw_FRED!B2194=""),"",AVERAGE(Raw_FRED!B2180:B2182)-MIN(Raw_FRED!B2183:B2194))</f>
        <v/>
      </c>
      <c r="C18" s="19">
        <f>IF(OR(Raw_FRED!B5380="",Raw_FRED!B5432=""),"",IFERROR((AVERAGE(Raw_FRED!B5380:B5383)-AVERAGE(Raw_FRED!B5432:B5435))/AVERAGE(Raw_FRED!B5432:B5435)*100,""))</f>
        <v/>
      </c>
      <c r="D18" s="18">
        <f>IF(OR(Raw_FRED!B8580="",Raw_FRED!B8583=""),"",Raw_FRED!B8580-Raw_FRED!B8583)</f>
        <v/>
      </c>
      <c r="E18" s="21">
        <f>IF(NOT(ISNUMBER($B18)),"",RANK($B18,$B$5:$B$55))</f>
        <v/>
      </c>
      <c r="F18" s="21">
        <f>IF(NOT(ISNUMBER($B18)),"",IF($B18&gt;=sahm_state_band,"ALERT",IF($B18&gt;=0.6*sahm_state_band,"WATCH","")))</f>
        <v/>
      </c>
    </row>
    <row r="19">
      <c r="A19" s="16" t="inlineStr">
        <is>
          <t>IL</t>
        </is>
      </c>
      <c r="B19" s="18">
        <f>IF(OR(Raw_FRED!B2244="",Raw_FRED!B2258=""),"",AVERAGE(Raw_FRED!B2244:B2246)-MIN(Raw_FRED!B2247:B2258))</f>
        <v/>
      </c>
      <c r="C19" s="19">
        <f>IF(OR(Raw_FRED!B5444="",Raw_FRED!B5496=""),"",IFERROR((AVERAGE(Raw_FRED!B5444:B5447)-AVERAGE(Raw_FRED!B5496:B5499))/AVERAGE(Raw_FRED!B5496:B5499)*100,""))</f>
        <v/>
      </c>
      <c r="D19" s="18">
        <f>IF(OR(Raw_FRED!B8644="",Raw_FRED!B8647=""),"",Raw_FRED!B8644-Raw_FRED!B8647)</f>
        <v/>
      </c>
      <c r="E19" s="21">
        <f>IF(NOT(ISNUMBER($B19)),"",RANK($B19,$B$5:$B$55))</f>
        <v/>
      </c>
      <c r="F19" s="21">
        <f>IF(NOT(ISNUMBER($B19)),"",IF($B19&gt;=sahm_state_band,"ALERT",IF($B19&gt;=0.6*sahm_state_band,"WATCH","")))</f>
        <v/>
      </c>
    </row>
    <row r="20">
      <c r="A20" s="16" t="inlineStr">
        <is>
          <t>IN</t>
        </is>
      </c>
      <c r="B20" s="18">
        <f>IF(OR(Raw_FRED!B2308="",Raw_FRED!B2322=""),"",AVERAGE(Raw_FRED!B2308:B2310)-MIN(Raw_FRED!B2311:B2322))</f>
        <v/>
      </c>
      <c r="C20" s="19">
        <f>IF(OR(Raw_FRED!B5508="",Raw_FRED!B5560=""),"",IFERROR((AVERAGE(Raw_FRED!B5508:B5511)-AVERAGE(Raw_FRED!B5560:B5563))/AVERAGE(Raw_FRED!B5560:B5563)*100,""))</f>
        <v/>
      </c>
      <c r="D20" s="18">
        <f>IF(OR(Raw_FRED!B8708="",Raw_FRED!B8711=""),"",Raw_FRED!B8708-Raw_FRED!B8711)</f>
        <v/>
      </c>
      <c r="E20" s="21">
        <f>IF(NOT(ISNUMBER($B20)),"",RANK($B20,$B$5:$B$55))</f>
        <v/>
      </c>
      <c r="F20" s="21">
        <f>IF(NOT(ISNUMBER($B20)),"",IF($B20&gt;=sahm_state_band,"ALERT",IF($B20&gt;=0.6*sahm_state_band,"WATCH","")))</f>
        <v/>
      </c>
    </row>
    <row r="21">
      <c r="A21" s="16" t="inlineStr">
        <is>
          <t>KS</t>
        </is>
      </c>
      <c r="B21" s="18">
        <f>IF(OR(Raw_FRED!B2372="",Raw_FRED!B2386=""),"",AVERAGE(Raw_FRED!B2372:B2374)-MIN(Raw_FRED!B2375:B2386))</f>
        <v/>
      </c>
      <c r="C21" s="19">
        <f>IF(OR(Raw_FRED!B5572="",Raw_FRED!B5624=""),"",IFERROR((AVERAGE(Raw_FRED!B5572:B5575)-AVERAGE(Raw_FRED!B5624:B5627))/AVERAGE(Raw_FRED!B5624:B5627)*100,""))</f>
        <v/>
      </c>
      <c r="D21" s="18">
        <f>IF(OR(Raw_FRED!B8772="",Raw_FRED!B8775=""),"",Raw_FRED!B8772-Raw_FRED!B8775)</f>
        <v/>
      </c>
      <c r="E21" s="21">
        <f>IF(NOT(ISNUMBER($B21)),"",RANK($B21,$B$5:$B$55))</f>
        <v/>
      </c>
      <c r="F21" s="21">
        <f>IF(NOT(ISNUMBER($B21)),"",IF($B21&gt;=sahm_state_band,"ALERT",IF($B21&gt;=0.6*sahm_state_band,"WATCH","")))</f>
        <v/>
      </c>
    </row>
    <row r="22">
      <c r="A22" s="16" t="inlineStr">
        <is>
          <t>KY</t>
        </is>
      </c>
      <c r="B22" s="18">
        <f>IF(OR(Raw_FRED!B2436="",Raw_FRED!B2450=""),"",AVERAGE(Raw_FRED!B2436:B2438)-MIN(Raw_FRED!B2439:B2450))</f>
        <v/>
      </c>
      <c r="C22" s="19">
        <f>IF(OR(Raw_FRED!B5636="",Raw_FRED!B5688=""),"",IFERROR((AVERAGE(Raw_FRED!B5636:B5639)-AVERAGE(Raw_FRED!B5688:B5691))/AVERAGE(Raw_FRED!B5688:B5691)*100,""))</f>
        <v/>
      </c>
      <c r="D22" s="18">
        <f>IF(OR(Raw_FRED!B8836="",Raw_FRED!B8839=""),"",Raw_FRED!B8836-Raw_FRED!B8839)</f>
        <v/>
      </c>
      <c r="E22" s="21">
        <f>IF(NOT(ISNUMBER($B22)),"",RANK($B22,$B$5:$B$55))</f>
        <v/>
      </c>
      <c r="F22" s="21">
        <f>IF(NOT(ISNUMBER($B22)),"",IF($B22&gt;=sahm_state_band,"ALERT",IF($B22&gt;=0.6*sahm_state_band,"WATCH","")))</f>
        <v/>
      </c>
    </row>
    <row r="23">
      <c r="A23" s="16" t="inlineStr">
        <is>
          <t>LA</t>
        </is>
      </c>
      <c r="B23" s="18">
        <f>IF(OR(Raw_FRED!B2500="",Raw_FRED!B2514=""),"",AVERAGE(Raw_FRED!B2500:B2502)-MIN(Raw_FRED!B2503:B2514))</f>
        <v/>
      </c>
      <c r="C23" s="19">
        <f>IF(OR(Raw_FRED!B5700="",Raw_FRED!B5752=""),"",IFERROR((AVERAGE(Raw_FRED!B5700:B5703)-AVERAGE(Raw_FRED!B5752:B5755))/AVERAGE(Raw_FRED!B5752:B5755)*100,""))</f>
        <v/>
      </c>
      <c r="D23" s="18">
        <f>IF(OR(Raw_FRED!B8900="",Raw_FRED!B8903=""),"",Raw_FRED!B8900-Raw_FRED!B8903)</f>
        <v/>
      </c>
      <c r="E23" s="21">
        <f>IF(NOT(ISNUMBER($B23)),"",RANK($B23,$B$5:$B$55))</f>
        <v/>
      </c>
      <c r="F23" s="21">
        <f>IF(NOT(ISNUMBER($B23)),"",IF($B23&gt;=sahm_state_band,"ALERT",IF($B23&gt;=0.6*sahm_state_band,"WATCH","")))</f>
        <v/>
      </c>
    </row>
    <row r="24">
      <c r="A24" s="16" t="inlineStr">
        <is>
          <t>MA</t>
        </is>
      </c>
      <c r="B24" s="18">
        <f>IF(OR(Raw_FRED!B2564="",Raw_FRED!B2578=""),"",AVERAGE(Raw_FRED!B2564:B2566)-MIN(Raw_FRED!B2567:B2578))</f>
        <v/>
      </c>
      <c r="C24" s="19">
        <f>IF(OR(Raw_FRED!B5764="",Raw_FRED!B5816=""),"",IFERROR((AVERAGE(Raw_FRED!B5764:B5767)-AVERAGE(Raw_FRED!B5816:B5819))/AVERAGE(Raw_FRED!B5816:B5819)*100,""))</f>
        <v/>
      </c>
      <c r="D24" s="18">
        <f>IF(OR(Raw_FRED!B8964="",Raw_FRED!B8967=""),"",Raw_FRED!B8964-Raw_FRED!B8967)</f>
        <v/>
      </c>
      <c r="E24" s="21">
        <f>IF(NOT(ISNUMBER($B24)),"",RANK($B24,$B$5:$B$55))</f>
        <v/>
      </c>
      <c r="F24" s="21">
        <f>IF(NOT(ISNUMBER($B24)),"",IF($B24&gt;=sahm_state_band,"ALERT",IF($B24&gt;=0.6*sahm_state_band,"WATCH","")))</f>
        <v/>
      </c>
    </row>
    <row r="25">
      <c r="A25" s="16" t="inlineStr">
        <is>
          <t>MD</t>
        </is>
      </c>
      <c r="B25" s="18">
        <f>IF(OR(Raw_FRED!B2628="",Raw_FRED!B2642=""),"",AVERAGE(Raw_FRED!B2628:B2630)-MIN(Raw_FRED!B2631:B2642))</f>
        <v/>
      </c>
      <c r="C25" s="19">
        <f>IF(OR(Raw_FRED!B5828="",Raw_FRED!B5880=""),"",IFERROR((AVERAGE(Raw_FRED!B5828:B5831)-AVERAGE(Raw_FRED!B5880:B5883))/AVERAGE(Raw_FRED!B5880:B5883)*100,""))</f>
        <v/>
      </c>
      <c r="D25" s="18">
        <f>IF(OR(Raw_FRED!B9028="",Raw_FRED!B9031=""),"",Raw_FRED!B9028-Raw_FRED!B9031)</f>
        <v/>
      </c>
      <c r="E25" s="21">
        <f>IF(NOT(ISNUMBER($B25)),"",RANK($B25,$B$5:$B$55))</f>
        <v/>
      </c>
      <c r="F25" s="21">
        <f>IF(NOT(ISNUMBER($B25)),"",IF($B25&gt;=sahm_state_band,"ALERT",IF($B25&gt;=0.6*sahm_state_band,"WATCH","")))</f>
        <v/>
      </c>
    </row>
    <row r="26">
      <c r="A26" s="16" t="inlineStr">
        <is>
          <t>ME</t>
        </is>
      </c>
      <c r="B26" s="18">
        <f>IF(OR(Raw_FRED!B2692="",Raw_FRED!B2706=""),"",AVERAGE(Raw_FRED!B2692:B2694)-MIN(Raw_FRED!B2695:B2706))</f>
        <v/>
      </c>
      <c r="C26" s="19">
        <f>IF(OR(Raw_FRED!B5892="",Raw_FRED!B5944=""),"",IFERROR((AVERAGE(Raw_FRED!B5892:B5895)-AVERAGE(Raw_FRED!B5944:B5947))/AVERAGE(Raw_FRED!B5944:B5947)*100,""))</f>
        <v/>
      </c>
      <c r="D26" s="18">
        <f>IF(OR(Raw_FRED!B9092="",Raw_FRED!B9095=""),"",Raw_FRED!B9092-Raw_FRED!B9095)</f>
        <v/>
      </c>
      <c r="E26" s="21">
        <f>IF(NOT(ISNUMBER($B26)),"",RANK($B26,$B$5:$B$55))</f>
        <v/>
      </c>
      <c r="F26" s="21">
        <f>IF(NOT(ISNUMBER($B26)),"",IF($B26&gt;=sahm_state_band,"ALERT",IF($B26&gt;=0.6*sahm_state_band,"WATCH","")))</f>
        <v/>
      </c>
    </row>
    <row r="27">
      <c r="A27" s="16" t="inlineStr">
        <is>
          <t>MI</t>
        </is>
      </c>
      <c r="B27" s="18">
        <f>IF(OR(Raw_FRED!B2756="",Raw_FRED!B2770=""),"",AVERAGE(Raw_FRED!B2756:B2758)-MIN(Raw_FRED!B2759:B2770))</f>
        <v/>
      </c>
      <c r="C27" s="19">
        <f>IF(OR(Raw_FRED!B5956="",Raw_FRED!B6008=""),"",IFERROR((AVERAGE(Raw_FRED!B5956:B5959)-AVERAGE(Raw_FRED!B6008:B6011))/AVERAGE(Raw_FRED!B6008:B6011)*100,""))</f>
        <v/>
      </c>
      <c r="D27" s="18">
        <f>IF(OR(Raw_FRED!B9156="",Raw_FRED!B9159=""),"",Raw_FRED!B9156-Raw_FRED!B9159)</f>
        <v/>
      </c>
      <c r="E27" s="21">
        <f>IF(NOT(ISNUMBER($B27)),"",RANK($B27,$B$5:$B$55))</f>
        <v/>
      </c>
      <c r="F27" s="21">
        <f>IF(NOT(ISNUMBER($B27)),"",IF($B27&gt;=sahm_state_band,"ALERT",IF($B27&gt;=0.6*sahm_state_band,"WATCH","")))</f>
        <v/>
      </c>
    </row>
    <row r="28">
      <c r="A28" s="16" t="inlineStr">
        <is>
          <t>MN</t>
        </is>
      </c>
      <c r="B28" s="18">
        <f>IF(OR(Raw_FRED!B2820="",Raw_FRED!B2834=""),"",AVERAGE(Raw_FRED!B2820:B2822)-MIN(Raw_FRED!B2823:B2834))</f>
        <v/>
      </c>
      <c r="C28" s="19">
        <f>IF(OR(Raw_FRED!B6020="",Raw_FRED!B6072=""),"",IFERROR((AVERAGE(Raw_FRED!B6020:B6023)-AVERAGE(Raw_FRED!B6072:B6075))/AVERAGE(Raw_FRED!B6072:B6075)*100,""))</f>
        <v/>
      </c>
      <c r="D28" s="18">
        <f>IF(OR(Raw_FRED!B9220="",Raw_FRED!B9223=""),"",Raw_FRED!B9220-Raw_FRED!B9223)</f>
        <v/>
      </c>
      <c r="E28" s="21">
        <f>IF(NOT(ISNUMBER($B28)),"",RANK($B28,$B$5:$B$55))</f>
        <v/>
      </c>
      <c r="F28" s="21">
        <f>IF(NOT(ISNUMBER($B28)),"",IF($B28&gt;=sahm_state_band,"ALERT",IF($B28&gt;=0.6*sahm_state_band,"WATCH","")))</f>
        <v/>
      </c>
    </row>
    <row r="29">
      <c r="A29" s="16" t="inlineStr">
        <is>
          <t>MO</t>
        </is>
      </c>
      <c r="B29" s="18">
        <f>IF(OR(Raw_FRED!B2884="",Raw_FRED!B2898=""),"",AVERAGE(Raw_FRED!B2884:B2886)-MIN(Raw_FRED!B2887:B2898))</f>
        <v/>
      </c>
      <c r="C29" s="19">
        <f>IF(OR(Raw_FRED!B6084="",Raw_FRED!B6136=""),"",IFERROR((AVERAGE(Raw_FRED!B6084:B6087)-AVERAGE(Raw_FRED!B6136:B6139))/AVERAGE(Raw_FRED!B6136:B6139)*100,""))</f>
        <v/>
      </c>
      <c r="D29" s="18">
        <f>IF(OR(Raw_FRED!B9284="",Raw_FRED!B9287=""),"",Raw_FRED!B9284-Raw_FRED!B9287)</f>
        <v/>
      </c>
      <c r="E29" s="21">
        <f>IF(NOT(ISNUMBER($B29)),"",RANK($B29,$B$5:$B$55))</f>
        <v/>
      </c>
      <c r="F29" s="21">
        <f>IF(NOT(ISNUMBER($B29)),"",IF($B29&gt;=sahm_state_band,"ALERT",IF($B29&gt;=0.6*sahm_state_band,"WATCH","")))</f>
        <v/>
      </c>
    </row>
    <row r="30">
      <c r="A30" s="16" t="inlineStr">
        <is>
          <t>MS</t>
        </is>
      </c>
      <c r="B30" s="18">
        <f>IF(OR(Raw_FRED!B2948="",Raw_FRED!B2962=""),"",AVERAGE(Raw_FRED!B2948:B2950)-MIN(Raw_FRED!B2951:B2962))</f>
        <v/>
      </c>
      <c r="C30" s="19">
        <f>IF(OR(Raw_FRED!B6148="",Raw_FRED!B6200=""),"",IFERROR((AVERAGE(Raw_FRED!B6148:B6151)-AVERAGE(Raw_FRED!B6200:B6203))/AVERAGE(Raw_FRED!B6200:B6203)*100,""))</f>
        <v/>
      </c>
      <c r="D30" s="18">
        <f>IF(OR(Raw_FRED!B9348="",Raw_FRED!B9351=""),"",Raw_FRED!B9348-Raw_FRED!B9351)</f>
        <v/>
      </c>
      <c r="E30" s="21">
        <f>IF(NOT(ISNUMBER($B30)),"",RANK($B30,$B$5:$B$55))</f>
        <v/>
      </c>
      <c r="F30" s="21">
        <f>IF(NOT(ISNUMBER($B30)),"",IF($B30&gt;=sahm_state_band,"ALERT",IF($B30&gt;=0.6*sahm_state_band,"WATCH","")))</f>
        <v/>
      </c>
    </row>
    <row r="31">
      <c r="A31" s="16" t="inlineStr">
        <is>
          <t>MT</t>
        </is>
      </c>
      <c r="B31" s="18">
        <f>IF(OR(Raw_FRED!B3012="",Raw_FRED!B3026=""),"",AVERAGE(Raw_FRED!B3012:B3014)-MIN(Raw_FRED!B3015:B3026))</f>
        <v/>
      </c>
      <c r="C31" s="19">
        <f>IF(OR(Raw_FRED!B6212="",Raw_FRED!B6264=""),"",IFERROR((AVERAGE(Raw_FRED!B6212:B6215)-AVERAGE(Raw_FRED!B6264:B6267))/AVERAGE(Raw_FRED!B6264:B6267)*100,""))</f>
        <v/>
      </c>
      <c r="D31" s="18">
        <f>IF(OR(Raw_FRED!B9412="",Raw_FRED!B9415=""),"",Raw_FRED!B9412-Raw_FRED!B9415)</f>
        <v/>
      </c>
      <c r="E31" s="21">
        <f>IF(NOT(ISNUMBER($B31)),"",RANK($B31,$B$5:$B$55))</f>
        <v/>
      </c>
      <c r="F31" s="21">
        <f>IF(NOT(ISNUMBER($B31)),"",IF($B31&gt;=sahm_state_band,"ALERT",IF($B31&gt;=0.6*sahm_state_band,"WATCH","")))</f>
        <v/>
      </c>
    </row>
    <row r="32">
      <c r="A32" s="16" t="inlineStr">
        <is>
          <t>NC</t>
        </is>
      </c>
      <c r="B32" s="18">
        <f>IF(OR(Raw_FRED!B3076="",Raw_FRED!B3090=""),"",AVERAGE(Raw_FRED!B3076:B3078)-MIN(Raw_FRED!B3079:B3090))</f>
        <v/>
      </c>
      <c r="C32" s="19">
        <f>IF(OR(Raw_FRED!B6276="",Raw_FRED!B6328=""),"",IFERROR((AVERAGE(Raw_FRED!B6276:B6279)-AVERAGE(Raw_FRED!B6328:B6331))/AVERAGE(Raw_FRED!B6328:B6331)*100,""))</f>
        <v/>
      </c>
      <c r="D32" s="18">
        <f>IF(OR(Raw_FRED!B9476="",Raw_FRED!B9479=""),"",Raw_FRED!B9476-Raw_FRED!B9479)</f>
        <v/>
      </c>
      <c r="E32" s="21">
        <f>IF(NOT(ISNUMBER($B32)),"",RANK($B32,$B$5:$B$55))</f>
        <v/>
      </c>
      <c r="F32" s="21">
        <f>IF(NOT(ISNUMBER($B32)),"",IF($B32&gt;=sahm_state_band,"ALERT",IF($B32&gt;=0.6*sahm_state_band,"WATCH","")))</f>
        <v/>
      </c>
    </row>
    <row r="33">
      <c r="A33" s="16" t="inlineStr">
        <is>
          <t>ND</t>
        </is>
      </c>
      <c r="B33" s="18">
        <f>IF(OR(Raw_FRED!B3140="",Raw_FRED!B3154=""),"",AVERAGE(Raw_FRED!B3140:B3142)-MIN(Raw_FRED!B3143:B3154))</f>
        <v/>
      </c>
      <c r="C33" s="19">
        <f>IF(OR(Raw_FRED!B6340="",Raw_FRED!B6392=""),"",IFERROR((AVERAGE(Raw_FRED!B6340:B6343)-AVERAGE(Raw_FRED!B6392:B6395))/AVERAGE(Raw_FRED!B6392:B6395)*100,""))</f>
        <v/>
      </c>
      <c r="D33" s="18">
        <f>IF(OR(Raw_FRED!B9540="",Raw_FRED!B9543=""),"",Raw_FRED!B9540-Raw_FRED!B9543)</f>
        <v/>
      </c>
      <c r="E33" s="21">
        <f>IF(NOT(ISNUMBER($B33)),"",RANK($B33,$B$5:$B$55))</f>
        <v/>
      </c>
      <c r="F33" s="21">
        <f>IF(NOT(ISNUMBER($B33)),"",IF($B33&gt;=sahm_state_band,"ALERT",IF($B33&gt;=0.6*sahm_state_band,"WATCH","")))</f>
        <v/>
      </c>
    </row>
    <row r="34">
      <c r="A34" s="16" t="inlineStr">
        <is>
          <t>NE</t>
        </is>
      </c>
      <c r="B34" s="18">
        <f>IF(OR(Raw_FRED!B3204="",Raw_FRED!B3218=""),"",AVERAGE(Raw_FRED!B3204:B3206)-MIN(Raw_FRED!B3207:B3218))</f>
        <v/>
      </c>
      <c r="C34" s="19">
        <f>IF(OR(Raw_FRED!B6404="",Raw_FRED!B6456=""),"",IFERROR((AVERAGE(Raw_FRED!B6404:B6407)-AVERAGE(Raw_FRED!B6456:B6459))/AVERAGE(Raw_FRED!B6456:B6459)*100,""))</f>
        <v/>
      </c>
      <c r="D34" s="18">
        <f>IF(OR(Raw_FRED!B9604="",Raw_FRED!B9607=""),"",Raw_FRED!B9604-Raw_FRED!B9607)</f>
        <v/>
      </c>
      <c r="E34" s="21">
        <f>IF(NOT(ISNUMBER($B34)),"",RANK($B34,$B$5:$B$55))</f>
        <v/>
      </c>
      <c r="F34" s="21">
        <f>IF(NOT(ISNUMBER($B34)),"",IF($B34&gt;=sahm_state_band,"ALERT",IF($B34&gt;=0.6*sahm_state_band,"WATCH","")))</f>
        <v/>
      </c>
    </row>
    <row r="35">
      <c r="A35" s="16" t="inlineStr">
        <is>
          <t>NH</t>
        </is>
      </c>
      <c r="B35" s="18">
        <f>IF(OR(Raw_FRED!B3268="",Raw_FRED!B3282=""),"",AVERAGE(Raw_FRED!B3268:B3270)-MIN(Raw_FRED!B3271:B3282))</f>
        <v/>
      </c>
      <c r="C35" s="19">
        <f>IF(OR(Raw_FRED!B6468="",Raw_FRED!B6520=""),"",IFERROR((AVERAGE(Raw_FRED!B6468:B6471)-AVERAGE(Raw_FRED!B6520:B6523))/AVERAGE(Raw_FRED!B6520:B6523)*100,""))</f>
        <v/>
      </c>
      <c r="D35" s="18">
        <f>IF(OR(Raw_FRED!B9668="",Raw_FRED!B9671=""),"",Raw_FRED!B9668-Raw_FRED!B9671)</f>
        <v/>
      </c>
      <c r="E35" s="21">
        <f>IF(NOT(ISNUMBER($B35)),"",RANK($B35,$B$5:$B$55))</f>
        <v/>
      </c>
      <c r="F35" s="21">
        <f>IF(NOT(ISNUMBER($B35)),"",IF($B35&gt;=sahm_state_band,"ALERT",IF($B35&gt;=0.6*sahm_state_band,"WATCH","")))</f>
        <v/>
      </c>
    </row>
    <row r="36">
      <c r="A36" s="16" t="inlineStr">
        <is>
          <t>NJ</t>
        </is>
      </c>
      <c r="B36" s="18">
        <f>IF(OR(Raw_FRED!B3332="",Raw_FRED!B3346=""),"",AVERAGE(Raw_FRED!B3332:B3334)-MIN(Raw_FRED!B3335:B3346))</f>
        <v/>
      </c>
      <c r="C36" s="19">
        <f>IF(OR(Raw_FRED!B6532="",Raw_FRED!B6584=""),"",IFERROR((AVERAGE(Raw_FRED!B6532:B6535)-AVERAGE(Raw_FRED!B6584:B6587))/AVERAGE(Raw_FRED!B6584:B6587)*100,""))</f>
        <v/>
      </c>
      <c r="D36" s="18">
        <f>IF(OR(Raw_FRED!B9732="",Raw_FRED!B9735=""),"",Raw_FRED!B9732-Raw_FRED!B9735)</f>
        <v/>
      </c>
      <c r="E36" s="21">
        <f>IF(NOT(ISNUMBER($B36)),"",RANK($B36,$B$5:$B$55))</f>
        <v/>
      </c>
      <c r="F36" s="21">
        <f>IF(NOT(ISNUMBER($B36)),"",IF($B36&gt;=sahm_state_band,"ALERT",IF($B36&gt;=0.6*sahm_state_band,"WATCH","")))</f>
        <v/>
      </c>
    </row>
    <row r="37">
      <c r="A37" s="16" t="inlineStr">
        <is>
          <t>NM</t>
        </is>
      </c>
      <c r="B37" s="18">
        <f>IF(OR(Raw_FRED!B3396="",Raw_FRED!B3410=""),"",AVERAGE(Raw_FRED!B3396:B3398)-MIN(Raw_FRED!B3399:B3410))</f>
        <v/>
      </c>
      <c r="C37" s="19">
        <f>IF(OR(Raw_FRED!B6596="",Raw_FRED!B6648=""),"",IFERROR((AVERAGE(Raw_FRED!B6596:B6599)-AVERAGE(Raw_FRED!B6648:B6651))/AVERAGE(Raw_FRED!B6648:B6651)*100,""))</f>
        <v/>
      </c>
      <c r="D37" s="18">
        <f>IF(OR(Raw_FRED!B9796="",Raw_FRED!B9799=""),"",Raw_FRED!B9796-Raw_FRED!B9799)</f>
        <v/>
      </c>
      <c r="E37" s="21">
        <f>IF(NOT(ISNUMBER($B37)),"",RANK($B37,$B$5:$B$55))</f>
        <v/>
      </c>
      <c r="F37" s="21">
        <f>IF(NOT(ISNUMBER($B37)),"",IF($B37&gt;=sahm_state_band,"ALERT",IF($B37&gt;=0.6*sahm_state_band,"WATCH","")))</f>
        <v/>
      </c>
    </row>
    <row r="38">
      <c r="A38" s="16" t="inlineStr">
        <is>
          <t>NV</t>
        </is>
      </c>
      <c r="B38" s="18">
        <f>IF(OR(Raw_FRED!B3460="",Raw_FRED!B3474=""),"",AVERAGE(Raw_FRED!B3460:B3462)-MIN(Raw_FRED!B3463:B3474))</f>
        <v/>
      </c>
      <c r="C38" s="19">
        <f>IF(OR(Raw_FRED!B6660="",Raw_FRED!B6712=""),"",IFERROR((AVERAGE(Raw_FRED!B6660:B6663)-AVERAGE(Raw_FRED!B6712:B6715))/AVERAGE(Raw_FRED!B6712:B6715)*100,""))</f>
        <v/>
      </c>
      <c r="D38" s="18">
        <f>IF(OR(Raw_FRED!B9860="",Raw_FRED!B9863=""),"",Raw_FRED!B9860-Raw_FRED!B9863)</f>
        <v/>
      </c>
      <c r="E38" s="21">
        <f>IF(NOT(ISNUMBER($B38)),"",RANK($B38,$B$5:$B$55))</f>
        <v/>
      </c>
      <c r="F38" s="21">
        <f>IF(NOT(ISNUMBER($B38)),"",IF($B38&gt;=sahm_state_band,"ALERT",IF($B38&gt;=0.6*sahm_state_band,"WATCH","")))</f>
        <v/>
      </c>
    </row>
    <row r="39">
      <c r="A39" s="16" t="inlineStr">
        <is>
          <t>NY</t>
        </is>
      </c>
      <c r="B39" s="18">
        <f>IF(OR(Raw_FRED!B3524="",Raw_FRED!B3538=""),"",AVERAGE(Raw_FRED!B3524:B3526)-MIN(Raw_FRED!B3527:B3538))</f>
        <v/>
      </c>
      <c r="C39" s="19">
        <f>IF(OR(Raw_FRED!B6724="",Raw_FRED!B6776=""),"",IFERROR((AVERAGE(Raw_FRED!B6724:B6727)-AVERAGE(Raw_FRED!B6776:B6779))/AVERAGE(Raw_FRED!B6776:B6779)*100,""))</f>
        <v/>
      </c>
      <c r="D39" s="18">
        <f>IF(OR(Raw_FRED!B9924="",Raw_FRED!B9927=""),"",Raw_FRED!B9924-Raw_FRED!B9927)</f>
        <v/>
      </c>
      <c r="E39" s="21">
        <f>IF(NOT(ISNUMBER($B39)),"",RANK($B39,$B$5:$B$55))</f>
        <v/>
      </c>
      <c r="F39" s="21">
        <f>IF(NOT(ISNUMBER($B39)),"",IF($B39&gt;=sahm_state_band,"ALERT",IF($B39&gt;=0.6*sahm_state_band,"WATCH","")))</f>
        <v/>
      </c>
    </row>
    <row r="40">
      <c r="A40" s="16" t="inlineStr">
        <is>
          <t>OH</t>
        </is>
      </c>
      <c r="B40" s="18">
        <f>IF(OR(Raw_FRED!B3588="",Raw_FRED!B3602=""),"",AVERAGE(Raw_FRED!B3588:B3590)-MIN(Raw_FRED!B3591:B3602))</f>
        <v/>
      </c>
      <c r="C40" s="19">
        <f>IF(OR(Raw_FRED!B6788="",Raw_FRED!B6840=""),"",IFERROR((AVERAGE(Raw_FRED!B6788:B6791)-AVERAGE(Raw_FRED!B6840:B6843))/AVERAGE(Raw_FRED!B6840:B6843)*100,""))</f>
        <v/>
      </c>
      <c r="D40" s="18">
        <f>IF(OR(Raw_FRED!B9988="",Raw_FRED!B9991=""),"",Raw_FRED!B9988-Raw_FRED!B9991)</f>
        <v/>
      </c>
      <c r="E40" s="21">
        <f>IF(NOT(ISNUMBER($B40)),"",RANK($B40,$B$5:$B$55))</f>
        <v/>
      </c>
      <c r="F40" s="21">
        <f>IF(NOT(ISNUMBER($B40)),"",IF($B40&gt;=sahm_state_band,"ALERT",IF($B40&gt;=0.6*sahm_state_band,"WATCH","")))</f>
        <v/>
      </c>
    </row>
    <row r="41">
      <c r="A41" s="16" t="inlineStr">
        <is>
          <t>OK</t>
        </is>
      </c>
      <c r="B41" s="18">
        <f>IF(OR(Raw_FRED!B3652="",Raw_FRED!B3666=""),"",AVERAGE(Raw_FRED!B3652:B3654)-MIN(Raw_FRED!B3655:B3666))</f>
        <v/>
      </c>
      <c r="C41" s="19">
        <f>IF(OR(Raw_FRED!B6852="",Raw_FRED!B6904=""),"",IFERROR((AVERAGE(Raw_FRED!B6852:B6855)-AVERAGE(Raw_FRED!B6904:B6907))/AVERAGE(Raw_FRED!B6904:B6907)*100,""))</f>
        <v/>
      </c>
      <c r="D41" s="18">
        <f>IF(OR(Raw_FRED!B10052="",Raw_FRED!B10055=""),"",Raw_FRED!B10052-Raw_FRED!B10055)</f>
        <v/>
      </c>
      <c r="E41" s="21">
        <f>IF(NOT(ISNUMBER($B41)),"",RANK($B41,$B$5:$B$55))</f>
        <v/>
      </c>
      <c r="F41" s="21">
        <f>IF(NOT(ISNUMBER($B41)),"",IF($B41&gt;=sahm_state_band,"ALERT",IF($B41&gt;=0.6*sahm_state_band,"WATCH","")))</f>
        <v/>
      </c>
    </row>
    <row r="42">
      <c r="A42" s="16" t="inlineStr">
        <is>
          <t>OR</t>
        </is>
      </c>
      <c r="B42" s="18">
        <f>IF(OR(Raw_FRED!B3716="",Raw_FRED!B3730=""),"",AVERAGE(Raw_FRED!B3716:B3718)-MIN(Raw_FRED!B3719:B3730))</f>
        <v/>
      </c>
      <c r="C42" s="19">
        <f>IF(OR(Raw_FRED!B6916="",Raw_FRED!B6968=""),"",IFERROR((AVERAGE(Raw_FRED!B6916:B6919)-AVERAGE(Raw_FRED!B6968:B6971))/AVERAGE(Raw_FRED!B6968:B6971)*100,""))</f>
        <v/>
      </c>
      <c r="D42" s="18">
        <f>IF(OR(Raw_FRED!B10116="",Raw_FRED!B10119=""),"",Raw_FRED!B10116-Raw_FRED!B10119)</f>
        <v/>
      </c>
      <c r="E42" s="21">
        <f>IF(NOT(ISNUMBER($B42)),"",RANK($B42,$B$5:$B$55))</f>
        <v/>
      </c>
      <c r="F42" s="21">
        <f>IF(NOT(ISNUMBER($B42)),"",IF($B42&gt;=sahm_state_band,"ALERT",IF($B42&gt;=0.6*sahm_state_band,"WATCH","")))</f>
        <v/>
      </c>
    </row>
    <row r="43">
      <c r="A43" s="16" t="inlineStr">
        <is>
          <t>PA</t>
        </is>
      </c>
      <c r="B43" s="18">
        <f>IF(OR(Raw_FRED!B3780="",Raw_FRED!B3794=""),"",AVERAGE(Raw_FRED!B3780:B3782)-MIN(Raw_FRED!B3783:B3794))</f>
        <v/>
      </c>
      <c r="C43" s="19">
        <f>IF(OR(Raw_FRED!B6980="",Raw_FRED!B7032=""),"",IFERROR((AVERAGE(Raw_FRED!B6980:B6983)-AVERAGE(Raw_FRED!B7032:B7035))/AVERAGE(Raw_FRED!B7032:B7035)*100,""))</f>
        <v/>
      </c>
      <c r="D43" s="18">
        <f>IF(OR(Raw_FRED!B10180="",Raw_FRED!B10183=""),"",Raw_FRED!B10180-Raw_FRED!B10183)</f>
        <v/>
      </c>
      <c r="E43" s="21">
        <f>IF(NOT(ISNUMBER($B43)),"",RANK($B43,$B$5:$B$55))</f>
        <v/>
      </c>
      <c r="F43" s="21">
        <f>IF(NOT(ISNUMBER($B43)),"",IF($B43&gt;=sahm_state_band,"ALERT",IF($B43&gt;=0.6*sahm_state_band,"WATCH","")))</f>
        <v/>
      </c>
    </row>
    <row r="44">
      <c r="A44" s="16" t="inlineStr">
        <is>
          <t>RI</t>
        </is>
      </c>
      <c r="B44" s="18">
        <f>IF(OR(Raw_FRED!B3844="",Raw_FRED!B3858=""),"",AVERAGE(Raw_FRED!B3844:B3846)-MIN(Raw_FRED!B3847:B3858))</f>
        <v/>
      </c>
      <c r="C44" s="19">
        <f>IF(OR(Raw_FRED!B7044="",Raw_FRED!B7096=""),"",IFERROR((AVERAGE(Raw_FRED!B7044:B7047)-AVERAGE(Raw_FRED!B7096:B7099))/AVERAGE(Raw_FRED!B7096:B7099)*100,""))</f>
        <v/>
      </c>
      <c r="D44" s="18">
        <f>IF(OR(Raw_FRED!B10244="",Raw_FRED!B10247=""),"",Raw_FRED!B10244-Raw_FRED!B10247)</f>
        <v/>
      </c>
      <c r="E44" s="21">
        <f>IF(NOT(ISNUMBER($B44)),"",RANK($B44,$B$5:$B$55))</f>
        <v/>
      </c>
      <c r="F44" s="21">
        <f>IF(NOT(ISNUMBER($B44)),"",IF($B44&gt;=sahm_state_band,"ALERT",IF($B44&gt;=0.6*sahm_state_band,"WATCH","")))</f>
        <v/>
      </c>
    </row>
    <row r="45">
      <c r="A45" s="16" t="inlineStr">
        <is>
          <t>SC</t>
        </is>
      </c>
      <c r="B45" s="18">
        <f>IF(OR(Raw_FRED!B3908="",Raw_FRED!B3922=""),"",AVERAGE(Raw_FRED!B3908:B3910)-MIN(Raw_FRED!B3911:B3922))</f>
        <v/>
      </c>
      <c r="C45" s="19">
        <f>IF(OR(Raw_FRED!B7108="",Raw_FRED!B7160=""),"",IFERROR((AVERAGE(Raw_FRED!B7108:B7111)-AVERAGE(Raw_FRED!B7160:B7163))/AVERAGE(Raw_FRED!B7160:B7163)*100,""))</f>
        <v/>
      </c>
      <c r="D45" s="18">
        <f>IF(OR(Raw_FRED!B10308="",Raw_FRED!B10311=""),"",Raw_FRED!B10308-Raw_FRED!B10311)</f>
        <v/>
      </c>
      <c r="E45" s="21">
        <f>IF(NOT(ISNUMBER($B45)),"",RANK($B45,$B$5:$B$55))</f>
        <v/>
      </c>
      <c r="F45" s="21">
        <f>IF(NOT(ISNUMBER($B45)),"",IF($B45&gt;=sahm_state_band,"ALERT",IF($B45&gt;=0.6*sahm_state_band,"WATCH","")))</f>
        <v/>
      </c>
    </row>
    <row r="46">
      <c r="A46" s="16" t="inlineStr">
        <is>
          <t>SD</t>
        </is>
      </c>
      <c r="B46" s="18">
        <f>IF(OR(Raw_FRED!B3972="",Raw_FRED!B3986=""),"",AVERAGE(Raw_FRED!B3972:B3974)-MIN(Raw_FRED!B3975:B3986))</f>
        <v/>
      </c>
      <c r="C46" s="19">
        <f>IF(OR(Raw_FRED!B7172="",Raw_FRED!B7224=""),"",IFERROR((AVERAGE(Raw_FRED!B7172:B7175)-AVERAGE(Raw_FRED!B7224:B7227))/AVERAGE(Raw_FRED!B7224:B7227)*100,""))</f>
        <v/>
      </c>
      <c r="D46" s="18">
        <f>IF(OR(Raw_FRED!B10372="",Raw_FRED!B10375=""),"",Raw_FRED!B10372-Raw_FRED!B10375)</f>
        <v/>
      </c>
      <c r="E46" s="21">
        <f>IF(NOT(ISNUMBER($B46)),"",RANK($B46,$B$5:$B$55))</f>
        <v/>
      </c>
      <c r="F46" s="21">
        <f>IF(NOT(ISNUMBER($B46)),"",IF($B46&gt;=sahm_state_band,"ALERT",IF($B46&gt;=0.6*sahm_state_band,"WATCH","")))</f>
        <v/>
      </c>
    </row>
    <row r="47">
      <c r="A47" s="16" t="inlineStr">
        <is>
          <t>TN</t>
        </is>
      </c>
      <c r="B47" s="18">
        <f>IF(OR(Raw_FRED!B4036="",Raw_FRED!B4050=""),"",AVERAGE(Raw_FRED!B4036:B4038)-MIN(Raw_FRED!B4039:B4050))</f>
        <v/>
      </c>
      <c r="C47" s="19">
        <f>IF(OR(Raw_FRED!B7236="",Raw_FRED!B7288=""),"",IFERROR((AVERAGE(Raw_FRED!B7236:B7239)-AVERAGE(Raw_FRED!B7288:B7291))/AVERAGE(Raw_FRED!B7288:B7291)*100,""))</f>
        <v/>
      </c>
      <c r="D47" s="18">
        <f>IF(OR(Raw_FRED!B10436="",Raw_FRED!B10439=""),"",Raw_FRED!B10436-Raw_FRED!B10439)</f>
        <v/>
      </c>
      <c r="E47" s="21">
        <f>IF(NOT(ISNUMBER($B47)),"",RANK($B47,$B$5:$B$55))</f>
        <v/>
      </c>
      <c r="F47" s="21">
        <f>IF(NOT(ISNUMBER($B47)),"",IF($B47&gt;=sahm_state_band,"ALERT",IF($B47&gt;=0.6*sahm_state_band,"WATCH","")))</f>
        <v/>
      </c>
    </row>
    <row r="48">
      <c r="A48" s="16" t="inlineStr">
        <is>
          <t>TX</t>
        </is>
      </c>
      <c r="B48" s="18">
        <f>IF(OR(Raw_FRED!B4100="",Raw_FRED!B4114=""),"",AVERAGE(Raw_FRED!B4100:B4102)-MIN(Raw_FRED!B4103:B4114))</f>
        <v/>
      </c>
      <c r="C48" s="19">
        <f>IF(OR(Raw_FRED!B7300="",Raw_FRED!B7352=""),"",IFERROR((AVERAGE(Raw_FRED!B7300:B7303)-AVERAGE(Raw_FRED!B7352:B7355))/AVERAGE(Raw_FRED!B7352:B7355)*100,""))</f>
        <v/>
      </c>
      <c r="D48" s="18">
        <f>IF(OR(Raw_FRED!B10500="",Raw_FRED!B10503=""),"",Raw_FRED!B10500-Raw_FRED!B10503)</f>
        <v/>
      </c>
      <c r="E48" s="21">
        <f>IF(NOT(ISNUMBER($B48)),"",RANK($B48,$B$5:$B$55))</f>
        <v/>
      </c>
      <c r="F48" s="21">
        <f>IF(NOT(ISNUMBER($B48)),"",IF($B48&gt;=sahm_state_band,"ALERT",IF($B48&gt;=0.6*sahm_state_band,"WATCH","")))</f>
        <v/>
      </c>
    </row>
    <row r="49">
      <c r="A49" s="16" t="inlineStr">
        <is>
          <t>UT</t>
        </is>
      </c>
      <c r="B49" s="18">
        <f>IF(OR(Raw_FRED!B4164="",Raw_FRED!B4178=""),"",AVERAGE(Raw_FRED!B4164:B4166)-MIN(Raw_FRED!B4167:B4178))</f>
        <v/>
      </c>
      <c r="C49" s="19">
        <f>IF(OR(Raw_FRED!B7364="",Raw_FRED!B7416=""),"",IFERROR((AVERAGE(Raw_FRED!B7364:B7367)-AVERAGE(Raw_FRED!B7416:B7419))/AVERAGE(Raw_FRED!B7416:B7419)*100,""))</f>
        <v/>
      </c>
      <c r="D49" s="18">
        <f>IF(OR(Raw_FRED!B10564="",Raw_FRED!B10567=""),"",Raw_FRED!B10564-Raw_FRED!B10567)</f>
        <v/>
      </c>
      <c r="E49" s="21">
        <f>IF(NOT(ISNUMBER($B49)),"",RANK($B49,$B$5:$B$55))</f>
        <v/>
      </c>
      <c r="F49" s="21">
        <f>IF(NOT(ISNUMBER($B49)),"",IF($B49&gt;=sahm_state_band,"ALERT",IF($B49&gt;=0.6*sahm_state_band,"WATCH","")))</f>
        <v/>
      </c>
    </row>
    <row r="50">
      <c r="A50" s="16" t="inlineStr">
        <is>
          <t>VA</t>
        </is>
      </c>
      <c r="B50" s="18">
        <f>IF(OR(Raw_FRED!B4228="",Raw_FRED!B4242=""),"",AVERAGE(Raw_FRED!B4228:B4230)-MIN(Raw_FRED!B4231:B4242))</f>
        <v/>
      </c>
      <c r="C50" s="19">
        <f>IF(OR(Raw_FRED!B7428="",Raw_FRED!B7480=""),"",IFERROR((AVERAGE(Raw_FRED!B7428:B7431)-AVERAGE(Raw_FRED!B7480:B7483))/AVERAGE(Raw_FRED!B7480:B7483)*100,""))</f>
        <v/>
      </c>
      <c r="D50" s="18">
        <f>IF(OR(Raw_FRED!B10628="",Raw_FRED!B10631=""),"",Raw_FRED!B10628-Raw_FRED!B10631)</f>
        <v/>
      </c>
      <c r="E50" s="21">
        <f>IF(NOT(ISNUMBER($B50)),"",RANK($B50,$B$5:$B$55))</f>
        <v/>
      </c>
      <c r="F50" s="21">
        <f>IF(NOT(ISNUMBER($B50)),"",IF($B50&gt;=sahm_state_band,"ALERT",IF($B50&gt;=0.6*sahm_state_band,"WATCH","")))</f>
        <v/>
      </c>
    </row>
    <row r="51">
      <c r="A51" s="16" t="inlineStr">
        <is>
          <t>VT</t>
        </is>
      </c>
      <c r="B51" s="18">
        <f>IF(OR(Raw_FRED!B4292="",Raw_FRED!B4306=""),"",AVERAGE(Raw_FRED!B4292:B4294)-MIN(Raw_FRED!B4295:B4306))</f>
        <v/>
      </c>
      <c r="C51" s="19">
        <f>IF(OR(Raw_FRED!B7492="",Raw_FRED!B7544=""),"",IFERROR((AVERAGE(Raw_FRED!B7492:B7495)-AVERAGE(Raw_FRED!B7544:B7547))/AVERAGE(Raw_FRED!B7544:B7547)*100,""))</f>
        <v/>
      </c>
      <c r="D51" s="18">
        <f>IF(OR(Raw_FRED!B10692="",Raw_FRED!B10695=""),"",Raw_FRED!B10692-Raw_FRED!B10695)</f>
        <v/>
      </c>
      <c r="E51" s="21">
        <f>IF(NOT(ISNUMBER($B51)),"",RANK($B51,$B$5:$B$55))</f>
        <v/>
      </c>
      <c r="F51" s="21">
        <f>IF(NOT(ISNUMBER($B51)),"",IF($B51&gt;=sahm_state_band,"ALERT",IF($B51&gt;=0.6*sahm_state_band,"WATCH","")))</f>
        <v/>
      </c>
    </row>
    <row r="52">
      <c r="A52" s="16" t="inlineStr">
        <is>
          <t>WA</t>
        </is>
      </c>
      <c r="B52" s="18">
        <f>IF(OR(Raw_FRED!B4356="",Raw_FRED!B4370=""),"",AVERAGE(Raw_FRED!B4356:B4358)-MIN(Raw_FRED!B4359:B4370))</f>
        <v/>
      </c>
      <c r="C52" s="19">
        <f>IF(OR(Raw_FRED!B7556="",Raw_FRED!B7608=""),"",IFERROR((AVERAGE(Raw_FRED!B7556:B7559)-AVERAGE(Raw_FRED!B7608:B7611))/AVERAGE(Raw_FRED!B7608:B7611)*100,""))</f>
        <v/>
      </c>
      <c r="D52" s="18">
        <f>IF(OR(Raw_FRED!B10756="",Raw_FRED!B10759=""),"",Raw_FRED!B10756-Raw_FRED!B10759)</f>
        <v/>
      </c>
      <c r="E52" s="21">
        <f>IF(NOT(ISNUMBER($B52)),"",RANK($B52,$B$5:$B$55))</f>
        <v/>
      </c>
      <c r="F52" s="21">
        <f>IF(NOT(ISNUMBER($B52)),"",IF($B52&gt;=sahm_state_band,"ALERT",IF($B52&gt;=0.6*sahm_state_band,"WATCH","")))</f>
        <v/>
      </c>
    </row>
    <row r="53">
      <c r="A53" s="16" t="inlineStr">
        <is>
          <t>WI</t>
        </is>
      </c>
      <c r="B53" s="18">
        <f>IF(OR(Raw_FRED!B4420="",Raw_FRED!B4434=""),"",AVERAGE(Raw_FRED!B4420:B4422)-MIN(Raw_FRED!B4423:B4434))</f>
        <v/>
      </c>
      <c r="C53" s="19">
        <f>IF(OR(Raw_FRED!B7620="",Raw_FRED!B7672=""),"",IFERROR((AVERAGE(Raw_FRED!B7620:B7623)-AVERAGE(Raw_FRED!B7672:B7675))/AVERAGE(Raw_FRED!B7672:B7675)*100,""))</f>
        <v/>
      </c>
      <c r="D53" s="18">
        <f>IF(OR(Raw_FRED!B10820="",Raw_FRED!B10823=""),"",Raw_FRED!B10820-Raw_FRED!B10823)</f>
        <v/>
      </c>
      <c r="E53" s="21">
        <f>IF(NOT(ISNUMBER($B53)),"",RANK($B53,$B$5:$B$55))</f>
        <v/>
      </c>
      <c r="F53" s="21">
        <f>IF(NOT(ISNUMBER($B53)),"",IF($B53&gt;=sahm_state_band,"ALERT",IF($B53&gt;=0.6*sahm_state_band,"WATCH","")))</f>
        <v/>
      </c>
    </row>
    <row r="54">
      <c r="A54" s="16" t="inlineStr">
        <is>
          <t>WV</t>
        </is>
      </c>
      <c r="B54" s="18">
        <f>IF(OR(Raw_FRED!B4484="",Raw_FRED!B4498=""),"",AVERAGE(Raw_FRED!B4484:B4486)-MIN(Raw_FRED!B4487:B4498))</f>
        <v/>
      </c>
      <c r="C54" s="19">
        <f>IF(OR(Raw_FRED!B7684="",Raw_FRED!B7736=""),"",IFERROR((AVERAGE(Raw_FRED!B7684:B7687)-AVERAGE(Raw_FRED!B7736:B7739))/AVERAGE(Raw_FRED!B7736:B7739)*100,""))</f>
        <v/>
      </c>
      <c r="D54" s="18">
        <f>IF(OR(Raw_FRED!B10884="",Raw_FRED!B10887=""),"",Raw_FRED!B10884-Raw_FRED!B10887)</f>
        <v/>
      </c>
      <c r="E54" s="21">
        <f>IF(NOT(ISNUMBER($B54)),"",RANK($B54,$B$5:$B$55))</f>
        <v/>
      </c>
      <c r="F54" s="21">
        <f>IF(NOT(ISNUMBER($B54)),"",IF($B54&gt;=sahm_state_band,"ALERT",IF($B54&gt;=0.6*sahm_state_band,"WATCH","")))</f>
        <v/>
      </c>
    </row>
    <row r="55">
      <c r="A55" s="16" t="inlineStr">
        <is>
          <t>WY</t>
        </is>
      </c>
      <c r="B55" s="18">
        <f>IF(OR(Raw_FRED!B4548="",Raw_FRED!B4562=""),"",AVERAGE(Raw_FRED!B4548:B4550)-MIN(Raw_FRED!B4551:B4562))</f>
        <v/>
      </c>
      <c r="C55" s="19">
        <f>IF(OR(Raw_FRED!B7748="",Raw_FRED!B7800=""),"",IFERROR((AVERAGE(Raw_FRED!B7748:B7751)-AVERAGE(Raw_FRED!B7800:B7803))/AVERAGE(Raw_FRED!B7800:B7803)*100,""))</f>
        <v/>
      </c>
      <c r="D55" s="18">
        <f>IF(OR(Raw_FRED!B10948="",Raw_FRED!B10951=""),"",Raw_FRED!B10948-Raw_FRED!B10951)</f>
        <v/>
      </c>
      <c r="E55" s="21">
        <f>IF(NOT(ISNUMBER($B55)),"",RANK($B55,$B$5:$B$55))</f>
        <v/>
      </c>
      <c r="F55" s="21">
        <f>IF(NOT(ISNUMBER($B55)),"",IF($B55&gt;=sahm_state_band,"ALERT",IF($B55&gt;=0.6*sahm_state_band,"WATCH","")))</f>
        <v/>
      </c>
    </row>
  </sheetData>
  <mergeCells count="3">
    <mergeCell ref="A3:F3"/>
    <mergeCell ref="A2:F2"/>
    <mergeCell ref="A1:F1"/>
  </mergeCells>
  <conditionalFormatting sqref="F5:F55">
    <cfRule type="expression" priority="1" dxfId="0">
      <formula>ISNUMBER(SEARCH("ALERT",F5))</formula>
    </cfRule>
  </conditionalFormatting>
  <conditionalFormatting sqref="B5:B55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0947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46" customWidth="1" min="3" max="3"/>
  </cols>
  <sheetData>
    <row r="1">
      <c r="A1" s="24" t="inlineStr">
        <is>
          <t>Raw_FRED -- raw FRED observations (or DemoProvider output in --demo), newest-first. Written by runner.py; dashboards and the Watchlist read these by formula. Do not edit by hand.</t>
        </is>
      </c>
    </row>
    <row r="2">
      <c r="A2" s="25" t="inlineStr">
        <is>
          <t>T10Y3M</t>
        </is>
      </c>
      <c r="B2" t="inlineStr">
        <is>
          <t>10Y-3M Treasury spread</t>
        </is>
      </c>
      <c r="C2" s="24" t="inlineStr">
        <is>
          <t>freq=daily; transform=level; class=A; geo=national</t>
        </is>
      </c>
    </row>
    <row r="3">
      <c r="A3" s="26" t="inlineStr">
        <is>
          <t>period</t>
        </is>
      </c>
      <c r="B3" s="26" t="inlineStr">
        <is>
          <t>value</t>
        </is>
      </c>
    </row>
    <row r="66">
      <c r="A66" s="25" t="inlineStr">
        <is>
          <t>T10Y2Y</t>
        </is>
      </c>
      <c r="B66" t="inlineStr">
        <is>
          <t>10Y-2Y Treasury spread</t>
        </is>
      </c>
      <c r="C66" s="24" t="inlineStr">
        <is>
          <t>freq=daily; transform=level; class=A; geo=national</t>
        </is>
      </c>
    </row>
    <row r="67">
      <c r="A67" s="26" t="inlineStr">
        <is>
          <t>period</t>
        </is>
      </c>
      <c r="B67" s="26" t="inlineStr">
        <is>
          <t>value</t>
        </is>
      </c>
    </row>
    <row r="130">
      <c r="A130" s="25" t="inlineStr">
        <is>
          <t>T10Y3MM</t>
        </is>
      </c>
      <c r="B130" t="inlineStr">
        <is>
          <t>10Y-3M spread (monthly)</t>
        </is>
      </c>
      <c r="C130" s="24" t="inlineStr">
        <is>
          <t>freq=monthly; transform=level; class=A; geo=national</t>
        </is>
      </c>
    </row>
    <row r="131">
      <c r="A131" s="26" t="inlineStr">
        <is>
          <t>period</t>
        </is>
      </c>
      <c r="B131" s="26" t="inlineStr">
        <is>
          <t>value</t>
        </is>
      </c>
    </row>
    <row r="194">
      <c r="A194" s="25" t="inlineStr">
        <is>
          <t>SAHMREALTIME</t>
        </is>
      </c>
      <c r="B194" t="inlineStr">
        <is>
          <t>Sahm rule (real-time)</t>
        </is>
      </c>
      <c r="C194" s="24" t="inlineStr">
        <is>
          <t>freq=monthly; transform=level; class=A; geo=national</t>
        </is>
      </c>
    </row>
    <row r="195">
      <c r="A195" s="26" t="inlineStr">
        <is>
          <t>period</t>
        </is>
      </c>
      <c r="B195" s="26" t="inlineStr">
        <is>
          <t>value</t>
        </is>
      </c>
    </row>
    <row r="258">
      <c r="A258" s="25" t="inlineStr">
        <is>
          <t>SAHMCURRENT</t>
        </is>
      </c>
      <c r="B258" t="inlineStr">
        <is>
          <t>Sahm rule (current data)</t>
        </is>
      </c>
      <c r="C258" s="24" t="inlineStr">
        <is>
          <t>freq=monthly; transform=level; class=A; geo=national</t>
        </is>
      </c>
    </row>
    <row r="259">
      <c r="A259" s="26" t="inlineStr">
        <is>
          <t>period</t>
        </is>
      </c>
      <c r="B259" s="26" t="inlineStr">
        <is>
          <t>value</t>
        </is>
      </c>
    </row>
    <row r="322">
      <c r="A322" s="25" t="inlineStr">
        <is>
          <t>ICSA</t>
        </is>
      </c>
      <c r="B322" t="inlineStr">
        <is>
          <t>Initial claims</t>
        </is>
      </c>
      <c r="C322" s="24" t="inlineStr">
        <is>
          <t>freq=weekly; transform=yoy_ma4; class=A; geo=national</t>
        </is>
      </c>
    </row>
    <row r="323">
      <c r="A323" s="26" t="inlineStr">
        <is>
          <t>period</t>
        </is>
      </c>
      <c r="B323" s="26" t="inlineStr">
        <is>
          <t>value</t>
        </is>
      </c>
    </row>
    <row r="386">
      <c r="A386" s="25" t="inlineStr">
        <is>
          <t>IC4WSA</t>
        </is>
      </c>
      <c r="B386" t="inlineStr">
        <is>
          <t>Initial claims, 4-week MA</t>
        </is>
      </c>
      <c r="C386" s="24" t="inlineStr">
        <is>
          <t>freq=weekly; transform=level; class=A; geo=national</t>
        </is>
      </c>
    </row>
    <row r="387">
      <c r="A387" s="26" t="inlineStr">
        <is>
          <t>period</t>
        </is>
      </c>
      <c r="B387" s="26" t="inlineStr">
        <is>
          <t>value</t>
        </is>
      </c>
    </row>
    <row r="450">
      <c r="A450" s="25" t="inlineStr">
        <is>
          <t>CCSA</t>
        </is>
      </c>
      <c r="B450" t="inlineStr">
        <is>
          <t>Continued claims</t>
        </is>
      </c>
      <c r="C450" s="24" t="inlineStr">
        <is>
          <t>freq=weekly; transform=yoy_ma4; class=A; geo=national</t>
        </is>
      </c>
    </row>
    <row r="451">
      <c r="A451" s="26" t="inlineStr">
        <is>
          <t>period</t>
        </is>
      </c>
      <c r="B451" s="26" t="inlineStr">
        <is>
          <t>value</t>
        </is>
      </c>
    </row>
    <row r="514">
      <c r="A514" s="25" t="inlineStr">
        <is>
          <t>AWHMAN</t>
        </is>
      </c>
      <c r="B514" t="inlineStr">
        <is>
          <t>Mfg avg weekly hours</t>
        </is>
      </c>
      <c r="C514" s="24" t="inlineStr">
        <is>
          <t>freq=monthly; transform=level; class=A; geo=national</t>
        </is>
      </c>
    </row>
    <row r="515">
      <c r="A515" s="26" t="inlineStr">
        <is>
          <t>period</t>
        </is>
      </c>
      <c r="B515" s="26" t="inlineStr">
        <is>
          <t>value</t>
        </is>
      </c>
    </row>
    <row r="578">
      <c r="A578" s="25" t="inlineStr">
        <is>
          <t>BAMLH0A0HYM2</t>
        </is>
      </c>
      <c r="B578" t="inlineStr">
        <is>
          <t>HY OAS (ICE BofA)</t>
        </is>
      </c>
      <c r="C578" s="24" t="inlineStr">
        <is>
          <t>freq=daily; transform=level; class=A; geo=national</t>
        </is>
      </c>
    </row>
    <row r="579">
      <c r="A579" s="26" t="inlineStr">
        <is>
          <t>period</t>
        </is>
      </c>
      <c r="B579" s="26" t="inlineStr">
        <is>
          <t>value</t>
        </is>
      </c>
    </row>
    <row r="642">
      <c r="A642" s="25" t="inlineStr">
        <is>
          <t>BAMLC0A0CM</t>
        </is>
      </c>
      <c r="B642" t="inlineStr">
        <is>
          <t>IG OAS (ICE BofA)</t>
        </is>
      </c>
      <c r="C642" s="24" t="inlineStr">
        <is>
          <t>freq=daily; transform=level; class=A; geo=national</t>
        </is>
      </c>
    </row>
    <row r="643">
      <c r="A643" s="26" t="inlineStr">
        <is>
          <t>period</t>
        </is>
      </c>
      <c r="B643" s="26" t="inlineStr">
        <is>
          <t>value</t>
        </is>
      </c>
    </row>
    <row r="706">
      <c r="A706" s="25" t="inlineStr">
        <is>
          <t>NFCI</t>
        </is>
      </c>
      <c r="B706" t="inlineStr">
        <is>
          <t>Chicago Fed NFCI</t>
        </is>
      </c>
      <c r="C706" s="24" t="inlineStr">
        <is>
          <t>freq=weekly; transform=level; class=A; geo=national</t>
        </is>
      </c>
    </row>
    <row r="707">
      <c r="A707" s="26" t="inlineStr">
        <is>
          <t>period</t>
        </is>
      </c>
      <c r="B707" s="26" t="inlineStr">
        <is>
          <t>value</t>
        </is>
      </c>
    </row>
    <row r="770">
      <c r="A770" s="25" t="inlineStr">
        <is>
          <t>ANFCI</t>
        </is>
      </c>
      <c r="B770" t="inlineStr">
        <is>
          <t>Chicago Fed adjusted NFCI</t>
        </is>
      </c>
      <c r="C770" s="24" t="inlineStr">
        <is>
          <t>freq=weekly; transform=level; class=A; geo=national</t>
        </is>
      </c>
    </row>
    <row r="771">
      <c r="A771" s="26" t="inlineStr">
        <is>
          <t>period</t>
        </is>
      </c>
      <c r="B771" s="26" t="inlineStr">
        <is>
          <t>value</t>
        </is>
      </c>
    </row>
    <row r="834">
      <c r="A834" s="25" t="inlineStr">
        <is>
          <t>STLFSI4</t>
        </is>
      </c>
      <c r="B834" t="inlineStr">
        <is>
          <t>St. Louis Fed stress index</t>
        </is>
      </c>
      <c r="C834" s="24" t="inlineStr">
        <is>
          <t>freq=weekly; transform=level; class=A; geo=national</t>
        </is>
      </c>
    </row>
    <row r="835">
      <c r="A835" s="26" t="inlineStr">
        <is>
          <t>period</t>
        </is>
      </c>
      <c r="B835" s="26" t="inlineStr">
        <is>
          <t>value</t>
        </is>
      </c>
    </row>
    <row r="898">
      <c r="A898" s="25" t="inlineStr">
        <is>
          <t>KCFSI</t>
        </is>
      </c>
      <c r="B898" t="inlineStr">
        <is>
          <t>Kansas City Fed stress index</t>
        </is>
      </c>
      <c r="C898" s="24" t="inlineStr">
        <is>
          <t>freq=monthly; transform=level; class=A; geo=national</t>
        </is>
      </c>
    </row>
    <row r="899">
      <c r="A899" s="26" t="inlineStr">
        <is>
          <t>period</t>
        </is>
      </c>
      <c r="B899" s="26" t="inlineStr">
        <is>
          <t>value</t>
        </is>
      </c>
    </row>
    <row r="962">
      <c r="A962" s="25" t="inlineStr">
        <is>
          <t>DRTSCILM</t>
        </is>
      </c>
      <c r="B962" t="inlineStr">
        <is>
          <t>SLOOS: C&amp;I tightening (large/mid)</t>
        </is>
      </c>
      <c r="C962" s="24" t="inlineStr">
        <is>
          <t>freq=quarterly; transform=level; class=A; geo=national</t>
        </is>
      </c>
    </row>
    <row r="963">
      <c r="A963" s="26" t="inlineStr">
        <is>
          <t>period</t>
        </is>
      </c>
      <c r="B963" s="26" t="inlineStr">
        <is>
          <t>value</t>
        </is>
      </c>
    </row>
    <row r="1026">
      <c r="A1026" s="25" t="inlineStr">
        <is>
          <t>PERMIT</t>
        </is>
      </c>
      <c r="B1026" t="inlineStr">
        <is>
          <t>Building permits</t>
        </is>
      </c>
      <c r="C1026" s="24" t="inlineStr">
        <is>
          <t>freq=monthly; transform=yoy_ma3; class=A; geo=national</t>
        </is>
      </c>
    </row>
    <row r="1027">
      <c r="A1027" s="26" t="inlineStr">
        <is>
          <t>period</t>
        </is>
      </c>
      <c r="B1027" s="26" t="inlineStr">
        <is>
          <t>value</t>
        </is>
      </c>
    </row>
    <row r="1090">
      <c r="A1090" s="25" t="inlineStr">
        <is>
          <t>HOUST</t>
        </is>
      </c>
      <c r="B1090" t="inlineStr">
        <is>
          <t>Housing starts</t>
        </is>
      </c>
      <c r="C1090" s="24" t="inlineStr">
        <is>
          <t>freq=monthly; transform=yoy_ma3; class=A; geo=national</t>
        </is>
      </c>
    </row>
    <row r="1091">
      <c r="A1091" s="26" t="inlineStr">
        <is>
          <t>period</t>
        </is>
      </c>
      <c r="B1091" s="26" t="inlineStr">
        <is>
          <t>value</t>
        </is>
      </c>
    </row>
    <row r="1154">
      <c r="A1154" s="25" t="inlineStr">
        <is>
          <t>UMCSENT</t>
        </is>
      </c>
      <c r="B1154" t="inlineStr">
        <is>
          <t>UMich consumer sentiment</t>
        </is>
      </c>
      <c r="C1154" s="24" t="inlineStr">
        <is>
          <t>freq=monthly; transform=yoy_pct; class=A; geo=national</t>
        </is>
      </c>
    </row>
    <row r="1155">
      <c r="A1155" s="26" t="inlineStr">
        <is>
          <t>period</t>
        </is>
      </c>
      <c r="B1155" s="26" t="inlineStr">
        <is>
          <t>value</t>
        </is>
      </c>
    </row>
    <row r="1218">
      <c r="A1218" s="25" t="inlineStr">
        <is>
          <t>NEWORDER</t>
        </is>
      </c>
      <c r="B1218" t="inlineStr">
        <is>
          <t>Core capex orders</t>
        </is>
      </c>
      <c r="C1218" s="24" t="inlineStr">
        <is>
          <t>freq=monthly; transform=yoy_pct; class=A; geo=national</t>
        </is>
      </c>
    </row>
    <row r="1219">
      <c r="A1219" s="26" t="inlineStr">
        <is>
          <t>period</t>
        </is>
      </c>
      <c r="B1219" s="26" t="inlineStr">
        <is>
          <t>value</t>
        </is>
      </c>
    </row>
    <row r="1282">
      <c r="A1282" s="25" t="inlineStr">
        <is>
          <t>RECPROUSM156N</t>
        </is>
      </c>
      <c r="B1282" t="inlineStr">
        <is>
          <t>Recession probability (smoothed)</t>
        </is>
      </c>
      <c r="C1282" s="24" t="inlineStr">
        <is>
          <t>freq=monthly; transform=level; class=A; geo=national</t>
        </is>
      </c>
    </row>
    <row r="1283">
      <c r="A1283" s="26" t="inlineStr">
        <is>
          <t>period</t>
        </is>
      </c>
      <c r="B1283" s="26" t="inlineStr">
        <is>
          <t>value</t>
        </is>
      </c>
    </row>
    <row r="1346">
      <c r="A1346" s="25" t="inlineStr">
        <is>
          <t>AKUR</t>
        </is>
      </c>
      <c r="B1346" t="inlineStr">
        <is>
          <t>Alaska unemployment rate</t>
        </is>
      </c>
      <c r="C1346" s="24" t="inlineStr">
        <is>
          <t>freq=monthly; transform=sahm_gap; class=A; geo=state:AK</t>
        </is>
      </c>
    </row>
    <row r="1347">
      <c r="A1347" s="26" t="inlineStr">
        <is>
          <t>period</t>
        </is>
      </c>
      <c r="B1347" s="26" t="inlineStr">
        <is>
          <t>value</t>
        </is>
      </c>
    </row>
    <row r="1410">
      <c r="A1410" s="25" t="inlineStr">
        <is>
          <t>ALUR</t>
        </is>
      </c>
      <c r="B1410" t="inlineStr">
        <is>
          <t>Alabama unemployment rate</t>
        </is>
      </c>
      <c r="C1410" s="24" t="inlineStr">
        <is>
          <t>freq=monthly; transform=sahm_gap; class=A; geo=state:AL</t>
        </is>
      </c>
    </row>
    <row r="1411">
      <c r="A1411" s="26" t="inlineStr">
        <is>
          <t>period</t>
        </is>
      </c>
      <c r="B1411" s="26" t="inlineStr">
        <is>
          <t>value</t>
        </is>
      </c>
    </row>
    <row r="1474">
      <c r="A1474" s="25" t="inlineStr">
        <is>
          <t>ARUR</t>
        </is>
      </c>
      <c r="B1474" t="inlineStr">
        <is>
          <t>Arkansas unemployment rate</t>
        </is>
      </c>
      <c r="C1474" s="24" t="inlineStr">
        <is>
          <t>freq=monthly; transform=sahm_gap; class=A; geo=state:AR</t>
        </is>
      </c>
    </row>
    <row r="1475">
      <c r="A1475" s="26" t="inlineStr">
        <is>
          <t>period</t>
        </is>
      </c>
      <c r="B1475" s="26" t="inlineStr">
        <is>
          <t>value</t>
        </is>
      </c>
    </row>
    <row r="1538">
      <c r="A1538" s="25" t="inlineStr">
        <is>
          <t>AZUR</t>
        </is>
      </c>
      <c r="B1538" t="inlineStr">
        <is>
          <t>Arizona unemployment rate</t>
        </is>
      </c>
      <c r="C1538" s="24" t="inlineStr">
        <is>
          <t>freq=monthly; transform=sahm_gap; class=A; geo=state:AZ</t>
        </is>
      </c>
    </row>
    <row r="1539">
      <c r="A1539" s="26" t="inlineStr">
        <is>
          <t>period</t>
        </is>
      </c>
      <c r="B1539" s="26" t="inlineStr">
        <is>
          <t>value</t>
        </is>
      </c>
    </row>
    <row r="1602">
      <c r="A1602" s="25" t="inlineStr">
        <is>
          <t>CAUR</t>
        </is>
      </c>
      <c r="B1602" t="inlineStr">
        <is>
          <t>California unemployment rate</t>
        </is>
      </c>
      <c r="C1602" s="24" t="inlineStr">
        <is>
          <t>freq=monthly; transform=sahm_gap; class=A; geo=state:CA</t>
        </is>
      </c>
    </row>
    <row r="1603">
      <c r="A1603" s="26" t="inlineStr">
        <is>
          <t>period</t>
        </is>
      </c>
      <c r="B1603" s="26" t="inlineStr">
        <is>
          <t>value</t>
        </is>
      </c>
    </row>
    <row r="1666">
      <c r="A1666" s="25" t="inlineStr">
        <is>
          <t>COUR</t>
        </is>
      </c>
      <c r="B1666" t="inlineStr">
        <is>
          <t>Colorado unemployment rate</t>
        </is>
      </c>
      <c r="C1666" s="24" t="inlineStr">
        <is>
          <t>freq=monthly; transform=sahm_gap; class=A; geo=state:CO</t>
        </is>
      </c>
    </row>
    <row r="1667">
      <c r="A1667" s="26" t="inlineStr">
        <is>
          <t>period</t>
        </is>
      </c>
      <c r="B1667" s="26" t="inlineStr">
        <is>
          <t>value</t>
        </is>
      </c>
    </row>
    <row r="1730">
      <c r="A1730" s="25" t="inlineStr">
        <is>
          <t>CTUR</t>
        </is>
      </c>
      <c r="B1730" t="inlineStr">
        <is>
          <t>Connecticut unemployment rate</t>
        </is>
      </c>
      <c r="C1730" s="24" t="inlineStr">
        <is>
          <t>freq=monthly; transform=sahm_gap; class=A; geo=state:CT</t>
        </is>
      </c>
    </row>
    <row r="1731">
      <c r="A1731" s="26" t="inlineStr">
        <is>
          <t>period</t>
        </is>
      </c>
      <c r="B1731" s="26" t="inlineStr">
        <is>
          <t>value</t>
        </is>
      </c>
    </row>
    <row r="1794">
      <c r="A1794" s="25" t="inlineStr">
        <is>
          <t>DCUR</t>
        </is>
      </c>
      <c r="B1794" t="inlineStr">
        <is>
          <t>District of Columbia unemployment rate</t>
        </is>
      </c>
      <c r="C1794" s="24" t="inlineStr">
        <is>
          <t>freq=monthly; transform=sahm_gap; class=A; geo=state:DC</t>
        </is>
      </c>
    </row>
    <row r="1795">
      <c r="A1795" s="26" t="inlineStr">
        <is>
          <t>period</t>
        </is>
      </c>
      <c r="B1795" s="26" t="inlineStr">
        <is>
          <t>value</t>
        </is>
      </c>
    </row>
    <row r="1858">
      <c r="A1858" s="25" t="inlineStr">
        <is>
          <t>DEUR</t>
        </is>
      </c>
      <c r="B1858" t="inlineStr">
        <is>
          <t>Delaware unemployment rate</t>
        </is>
      </c>
      <c r="C1858" s="24" t="inlineStr">
        <is>
          <t>freq=monthly; transform=sahm_gap; class=A; geo=state:DE</t>
        </is>
      </c>
    </row>
    <row r="1859">
      <c r="A1859" s="26" t="inlineStr">
        <is>
          <t>period</t>
        </is>
      </c>
      <c r="B1859" s="26" t="inlineStr">
        <is>
          <t>value</t>
        </is>
      </c>
    </row>
    <row r="1922">
      <c r="A1922" s="25" t="inlineStr">
        <is>
          <t>FLUR</t>
        </is>
      </c>
      <c r="B1922" t="inlineStr">
        <is>
          <t>Florida unemployment rate</t>
        </is>
      </c>
      <c r="C1922" s="24" t="inlineStr">
        <is>
          <t>freq=monthly; transform=sahm_gap; class=A; geo=state:FL</t>
        </is>
      </c>
    </row>
    <row r="1923">
      <c r="A1923" s="26" t="inlineStr">
        <is>
          <t>period</t>
        </is>
      </c>
      <c r="B1923" s="26" t="inlineStr">
        <is>
          <t>value</t>
        </is>
      </c>
    </row>
    <row r="1986">
      <c r="A1986" s="25" t="inlineStr">
        <is>
          <t>GAUR</t>
        </is>
      </c>
      <c r="B1986" t="inlineStr">
        <is>
          <t>Georgia unemployment rate</t>
        </is>
      </c>
      <c r="C1986" s="24" t="inlineStr">
        <is>
          <t>freq=monthly; transform=sahm_gap; class=A; geo=state:GA</t>
        </is>
      </c>
    </row>
    <row r="1987">
      <c r="A1987" s="26" t="inlineStr">
        <is>
          <t>period</t>
        </is>
      </c>
      <c r="B1987" s="26" t="inlineStr">
        <is>
          <t>value</t>
        </is>
      </c>
    </row>
    <row r="2050">
      <c r="A2050" s="25" t="inlineStr">
        <is>
          <t>HIUR</t>
        </is>
      </c>
      <c r="B2050" t="inlineStr">
        <is>
          <t>Hawaii unemployment rate</t>
        </is>
      </c>
      <c r="C2050" s="24" t="inlineStr">
        <is>
          <t>freq=monthly; transform=sahm_gap; class=A; geo=state:HI</t>
        </is>
      </c>
    </row>
    <row r="2051">
      <c r="A2051" s="26" t="inlineStr">
        <is>
          <t>period</t>
        </is>
      </c>
      <c r="B2051" s="26" t="inlineStr">
        <is>
          <t>value</t>
        </is>
      </c>
    </row>
    <row r="2114">
      <c r="A2114" s="25" t="inlineStr">
        <is>
          <t>IAUR</t>
        </is>
      </c>
      <c r="B2114" t="inlineStr">
        <is>
          <t>Iowa unemployment rate</t>
        </is>
      </c>
      <c r="C2114" s="24" t="inlineStr">
        <is>
          <t>freq=monthly; transform=sahm_gap; class=A; geo=state:IA</t>
        </is>
      </c>
    </row>
    <row r="2115">
      <c r="A2115" s="26" t="inlineStr">
        <is>
          <t>period</t>
        </is>
      </c>
      <c r="B2115" s="26" t="inlineStr">
        <is>
          <t>value</t>
        </is>
      </c>
    </row>
    <row r="2178">
      <c r="A2178" s="25" t="inlineStr">
        <is>
          <t>IDUR</t>
        </is>
      </c>
      <c r="B2178" t="inlineStr">
        <is>
          <t>Idaho unemployment rate</t>
        </is>
      </c>
      <c r="C2178" s="24" t="inlineStr">
        <is>
          <t>freq=monthly; transform=sahm_gap; class=A; geo=state:ID</t>
        </is>
      </c>
    </row>
    <row r="2179">
      <c r="A2179" s="26" t="inlineStr">
        <is>
          <t>period</t>
        </is>
      </c>
      <c r="B2179" s="26" t="inlineStr">
        <is>
          <t>value</t>
        </is>
      </c>
    </row>
    <row r="2242">
      <c r="A2242" s="25" t="inlineStr">
        <is>
          <t>ILUR</t>
        </is>
      </c>
      <c r="B2242" t="inlineStr">
        <is>
          <t>Illinois unemployment rate</t>
        </is>
      </c>
      <c r="C2242" s="24" t="inlineStr">
        <is>
          <t>freq=monthly; transform=sahm_gap; class=A; geo=state:IL</t>
        </is>
      </c>
    </row>
    <row r="2243">
      <c r="A2243" s="26" t="inlineStr">
        <is>
          <t>period</t>
        </is>
      </c>
      <c r="B2243" s="26" t="inlineStr">
        <is>
          <t>value</t>
        </is>
      </c>
    </row>
    <row r="2306">
      <c r="A2306" s="25" t="inlineStr">
        <is>
          <t>INUR</t>
        </is>
      </c>
      <c r="B2306" t="inlineStr">
        <is>
          <t>Indiana unemployment rate</t>
        </is>
      </c>
      <c r="C2306" s="24" t="inlineStr">
        <is>
          <t>freq=monthly; transform=sahm_gap; class=A; geo=state:IN</t>
        </is>
      </c>
    </row>
    <row r="2307">
      <c r="A2307" s="26" t="inlineStr">
        <is>
          <t>period</t>
        </is>
      </c>
      <c r="B2307" s="26" t="inlineStr">
        <is>
          <t>value</t>
        </is>
      </c>
    </row>
    <row r="2370">
      <c r="A2370" s="25" t="inlineStr">
        <is>
          <t>KSUR</t>
        </is>
      </c>
      <c r="B2370" t="inlineStr">
        <is>
          <t>Kansas unemployment rate</t>
        </is>
      </c>
      <c r="C2370" s="24" t="inlineStr">
        <is>
          <t>freq=monthly; transform=sahm_gap; class=A; geo=state:KS</t>
        </is>
      </c>
    </row>
    <row r="2371">
      <c r="A2371" s="26" t="inlineStr">
        <is>
          <t>period</t>
        </is>
      </c>
      <c r="B2371" s="26" t="inlineStr">
        <is>
          <t>value</t>
        </is>
      </c>
    </row>
    <row r="2434">
      <c r="A2434" s="25" t="inlineStr">
        <is>
          <t>KYUR</t>
        </is>
      </c>
      <c r="B2434" t="inlineStr">
        <is>
          <t>Kentucky unemployment rate</t>
        </is>
      </c>
      <c r="C2434" s="24" t="inlineStr">
        <is>
          <t>freq=monthly; transform=sahm_gap; class=A; geo=state:KY</t>
        </is>
      </c>
    </row>
    <row r="2435">
      <c r="A2435" s="26" t="inlineStr">
        <is>
          <t>period</t>
        </is>
      </c>
      <c r="B2435" s="26" t="inlineStr">
        <is>
          <t>value</t>
        </is>
      </c>
    </row>
    <row r="2498">
      <c r="A2498" s="25" t="inlineStr">
        <is>
          <t>LAUR</t>
        </is>
      </c>
      <c r="B2498" t="inlineStr">
        <is>
          <t>Louisiana unemployment rate</t>
        </is>
      </c>
      <c r="C2498" s="24" t="inlineStr">
        <is>
          <t>freq=monthly; transform=sahm_gap; class=A; geo=state:LA</t>
        </is>
      </c>
    </row>
    <row r="2499">
      <c r="A2499" s="26" t="inlineStr">
        <is>
          <t>period</t>
        </is>
      </c>
      <c r="B2499" s="26" t="inlineStr">
        <is>
          <t>value</t>
        </is>
      </c>
    </row>
    <row r="2562">
      <c r="A2562" s="25" t="inlineStr">
        <is>
          <t>MAUR</t>
        </is>
      </c>
      <c r="B2562" t="inlineStr">
        <is>
          <t>Massachusetts unemployment rate</t>
        </is>
      </c>
      <c r="C2562" s="24" t="inlineStr">
        <is>
          <t>freq=monthly; transform=sahm_gap; class=A; geo=state:MA</t>
        </is>
      </c>
    </row>
    <row r="2563">
      <c r="A2563" s="26" t="inlineStr">
        <is>
          <t>period</t>
        </is>
      </c>
      <c r="B2563" s="26" t="inlineStr">
        <is>
          <t>value</t>
        </is>
      </c>
    </row>
    <row r="2626">
      <c r="A2626" s="25" t="inlineStr">
        <is>
          <t>MDUR</t>
        </is>
      </c>
      <c r="B2626" t="inlineStr">
        <is>
          <t>Maryland unemployment rate</t>
        </is>
      </c>
      <c r="C2626" s="24" t="inlineStr">
        <is>
          <t>freq=monthly; transform=sahm_gap; class=A; geo=state:MD</t>
        </is>
      </c>
    </row>
    <row r="2627">
      <c r="A2627" s="26" t="inlineStr">
        <is>
          <t>period</t>
        </is>
      </c>
      <c r="B2627" s="26" t="inlineStr">
        <is>
          <t>value</t>
        </is>
      </c>
    </row>
    <row r="2690">
      <c r="A2690" s="25" t="inlineStr">
        <is>
          <t>MEUR</t>
        </is>
      </c>
      <c r="B2690" t="inlineStr">
        <is>
          <t>Maine unemployment rate</t>
        </is>
      </c>
      <c r="C2690" s="24" t="inlineStr">
        <is>
          <t>freq=monthly; transform=sahm_gap; class=A; geo=state:ME</t>
        </is>
      </c>
    </row>
    <row r="2691">
      <c r="A2691" s="26" t="inlineStr">
        <is>
          <t>period</t>
        </is>
      </c>
      <c r="B2691" s="26" t="inlineStr">
        <is>
          <t>value</t>
        </is>
      </c>
    </row>
    <row r="2754">
      <c r="A2754" s="25" t="inlineStr">
        <is>
          <t>MIUR</t>
        </is>
      </c>
      <c r="B2754" t="inlineStr">
        <is>
          <t>Michigan unemployment rate</t>
        </is>
      </c>
      <c r="C2754" s="24" t="inlineStr">
        <is>
          <t>freq=monthly; transform=sahm_gap; class=A; geo=state:MI</t>
        </is>
      </c>
    </row>
    <row r="2755">
      <c r="A2755" s="26" t="inlineStr">
        <is>
          <t>period</t>
        </is>
      </c>
      <c r="B2755" s="26" t="inlineStr">
        <is>
          <t>value</t>
        </is>
      </c>
    </row>
    <row r="2818">
      <c r="A2818" s="25" t="inlineStr">
        <is>
          <t>MNUR</t>
        </is>
      </c>
      <c r="B2818" t="inlineStr">
        <is>
          <t>Minnesota unemployment rate</t>
        </is>
      </c>
      <c r="C2818" s="24" t="inlineStr">
        <is>
          <t>freq=monthly; transform=sahm_gap; class=A; geo=state:MN</t>
        </is>
      </c>
    </row>
    <row r="2819">
      <c r="A2819" s="26" t="inlineStr">
        <is>
          <t>period</t>
        </is>
      </c>
      <c r="B2819" s="26" t="inlineStr">
        <is>
          <t>value</t>
        </is>
      </c>
    </row>
    <row r="2882">
      <c r="A2882" s="25" t="inlineStr">
        <is>
          <t>MOUR</t>
        </is>
      </c>
      <c r="B2882" t="inlineStr">
        <is>
          <t>Missouri unemployment rate</t>
        </is>
      </c>
      <c r="C2882" s="24" t="inlineStr">
        <is>
          <t>freq=monthly; transform=sahm_gap; class=A; geo=state:MO</t>
        </is>
      </c>
    </row>
    <row r="2883">
      <c r="A2883" s="26" t="inlineStr">
        <is>
          <t>period</t>
        </is>
      </c>
      <c r="B2883" s="26" t="inlineStr">
        <is>
          <t>value</t>
        </is>
      </c>
    </row>
    <row r="2946">
      <c r="A2946" s="25" t="inlineStr">
        <is>
          <t>MSUR</t>
        </is>
      </c>
      <c r="B2946" t="inlineStr">
        <is>
          <t>Mississippi unemployment rate</t>
        </is>
      </c>
      <c r="C2946" s="24" t="inlineStr">
        <is>
          <t>freq=monthly; transform=sahm_gap; class=A; geo=state:MS</t>
        </is>
      </c>
    </row>
    <row r="2947">
      <c r="A2947" s="26" t="inlineStr">
        <is>
          <t>period</t>
        </is>
      </c>
      <c r="B2947" s="26" t="inlineStr">
        <is>
          <t>value</t>
        </is>
      </c>
    </row>
    <row r="3010">
      <c r="A3010" s="25" t="inlineStr">
        <is>
          <t>MTUR</t>
        </is>
      </c>
      <c r="B3010" t="inlineStr">
        <is>
          <t>Montana unemployment rate</t>
        </is>
      </c>
      <c r="C3010" s="24" t="inlineStr">
        <is>
          <t>freq=monthly; transform=sahm_gap; class=A; geo=state:MT</t>
        </is>
      </c>
    </row>
    <row r="3011">
      <c r="A3011" s="26" t="inlineStr">
        <is>
          <t>period</t>
        </is>
      </c>
      <c r="B3011" s="26" t="inlineStr">
        <is>
          <t>value</t>
        </is>
      </c>
    </row>
    <row r="3074">
      <c r="A3074" s="25" t="inlineStr">
        <is>
          <t>NCUR</t>
        </is>
      </c>
      <c r="B3074" t="inlineStr">
        <is>
          <t>North Carolina unemployment rate</t>
        </is>
      </c>
      <c r="C3074" s="24" t="inlineStr">
        <is>
          <t>freq=monthly; transform=sahm_gap; class=A; geo=state:NC</t>
        </is>
      </c>
    </row>
    <row r="3075">
      <c r="A3075" s="26" t="inlineStr">
        <is>
          <t>period</t>
        </is>
      </c>
      <c r="B3075" s="26" t="inlineStr">
        <is>
          <t>value</t>
        </is>
      </c>
    </row>
    <row r="3138">
      <c r="A3138" s="25" t="inlineStr">
        <is>
          <t>NDUR</t>
        </is>
      </c>
      <c r="B3138" t="inlineStr">
        <is>
          <t>North Dakota unemployment rate</t>
        </is>
      </c>
      <c r="C3138" s="24" t="inlineStr">
        <is>
          <t>freq=monthly; transform=sahm_gap; class=A; geo=state:ND</t>
        </is>
      </c>
    </row>
    <row r="3139">
      <c r="A3139" s="26" t="inlineStr">
        <is>
          <t>period</t>
        </is>
      </c>
      <c r="B3139" s="26" t="inlineStr">
        <is>
          <t>value</t>
        </is>
      </c>
    </row>
    <row r="3202">
      <c r="A3202" s="25" t="inlineStr">
        <is>
          <t>NEUR</t>
        </is>
      </c>
      <c r="B3202" t="inlineStr">
        <is>
          <t>Nebraska unemployment rate</t>
        </is>
      </c>
      <c r="C3202" s="24" t="inlineStr">
        <is>
          <t>freq=monthly; transform=sahm_gap; class=A; geo=state:NE</t>
        </is>
      </c>
    </row>
    <row r="3203">
      <c r="A3203" s="26" t="inlineStr">
        <is>
          <t>period</t>
        </is>
      </c>
      <c r="B3203" s="26" t="inlineStr">
        <is>
          <t>value</t>
        </is>
      </c>
    </row>
    <row r="3266">
      <c r="A3266" s="25" t="inlineStr">
        <is>
          <t>NHUR</t>
        </is>
      </c>
      <c r="B3266" t="inlineStr">
        <is>
          <t>New Hampshire unemployment rate</t>
        </is>
      </c>
      <c r="C3266" s="24" t="inlineStr">
        <is>
          <t>freq=monthly; transform=sahm_gap; class=A; geo=state:NH</t>
        </is>
      </c>
    </row>
    <row r="3267">
      <c r="A3267" s="26" t="inlineStr">
        <is>
          <t>period</t>
        </is>
      </c>
      <c r="B3267" s="26" t="inlineStr">
        <is>
          <t>value</t>
        </is>
      </c>
    </row>
    <row r="3330">
      <c r="A3330" s="25" t="inlineStr">
        <is>
          <t>NJUR</t>
        </is>
      </c>
      <c r="B3330" t="inlineStr">
        <is>
          <t>New Jersey unemployment rate</t>
        </is>
      </c>
      <c r="C3330" s="24" t="inlineStr">
        <is>
          <t>freq=monthly; transform=sahm_gap; class=A; geo=state:NJ</t>
        </is>
      </c>
    </row>
    <row r="3331">
      <c r="A3331" s="26" t="inlineStr">
        <is>
          <t>period</t>
        </is>
      </c>
      <c r="B3331" s="26" t="inlineStr">
        <is>
          <t>value</t>
        </is>
      </c>
    </row>
    <row r="3394">
      <c r="A3394" s="25" t="inlineStr">
        <is>
          <t>NMUR</t>
        </is>
      </c>
      <c r="B3394" t="inlineStr">
        <is>
          <t>New Mexico unemployment rate</t>
        </is>
      </c>
      <c r="C3394" s="24" t="inlineStr">
        <is>
          <t>freq=monthly; transform=sahm_gap; class=A; geo=state:NM</t>
        </is>
      </c>
    </row>
    <row r="3395">
      <c r="A3395" s="26" t="inlineStr">
        <is>
          <t>period</t>
        </is>
      </c>
      <c r="B3395" s="26" t="inlineStr">
        <is>
          <t>value</t>
        </is>
      </c>
    </row>
    <row r="3458">
      <c r="A3458" s="25" t="inlineStr">
        <is>
          <t>NVUR</t>
        </is>
      </c>
      <c r="B3458" t="inlineStr">
        <is>
          <t>Nevada unemployment rate</t>
        </is>
      </c>
      <c r="C3458" s="24" t="inlineStr">
        <is>
          <t>freq=monthly; transform=sahm_gap; class=A; geo=state:NV</t>
        </is>
      </c>
    </row>
    <row r="3459">
      <c r="A3459" s="26" t="inlineStr">
        <is>
          <t>period</t>
        </is>
      </c>
      <c r="B3459" s="26" t="inlineStr">
        <is>
          <t>value</t>
        </is>
      </c>
    </row>
    <row r="3522">
      <c r="A3522" s="25" t="inlineStr">
        <is>
          <t>NYUR</t>
        </is>
      </c>
      <c r="B3522" t="inlineStr">
        <is>
          <t>New York unemployment rate</t>
        </is>
      </c>
      <c r="C3522" s="24" t="inlineStr">
        <is>
          <t>freq=monthly; transform=sahm_gap; class=A; geo=state:NY</t>
        </is>
      </c>
    </row>
    <row r="3523">
      <c r="A3523" s="26" t="inlineStr">
        <is>
          <t>period</t>
        </is>
      </c>
      <c r="B3523" s="26" t="inlineStr">
        <is>
          <t>value</t>
        </is>
      </c>
    </row>
    <row r="3586">
      <c r="A3586" s="25" t="inlineStr">
        <is>
          <t>OHUR</t>
        </is>
      </c>
      <c r="B3586" t="inlineStr">
        <is>
          <t>Ohio unemployment rate</t>
        </is>
      </c>
      <c r="C3586" s="24" t="inlineStr">
        <is>
          <t>freq=monthly; transform=sahm_gap; class=A; geo=state:OH</t>
        </is>
      </c>
    </row>
    <row r="3587">
      <c r="A3587" s="26" t="inlineStr">
        <is>
          <t>period</t>
        </is>
      </c>
      <c r="B3587" s="26" t="inlineStr">
        <is>
          <t>value</t>
        </is>
      </c>
    </row>
    <row r="3650">
      <c r="A3650" s="25" t="inlineStr">
        <is>
          <t>OKUR</t>
        </is>
      </c>
      <c r="B3650" t="inlineStr">
        <is>
          <t>Oklahoma unemployment rate</t>
        </is>
      </c>
      <c r="C3650" s="24" t="inlineStr">
        <is>
          <t>freq=monthly; transform=sahm_gap; class=A; geo=state:OK</t>
        </is>
      </c>
    </row>
    <row r="3651">
      <c r="A3651" s="26" t="inlineStr">
        <is>
          <t>period</t>
        </is>
      </c>
      <c r="B3651" s="26" t="inlineStr">
        <is>
          <t>value</t>
        </is>
      </c>
    </row>
    <row r="3714">
      <c r="A3714" s="25" t="inlineStr">
        <is>
          <t>ORUR</t>
        </is>
      </c>
      <c r="B3714" t="inlineStr">
        <is>
          <t>Oregon unemployment rate</t>
        </is>
      </c>
      <c r="C3714" s="24" t="inlineStr">
        <is>
          <t>freq=monthly; transform=sahm_gap; class=A; geo=state:OR</t>
        </is>
      </c>
    </row>
    <row r="3715">
      <c r="A3715" s="26" t="inlineStr">
        <is>
          <t>period</t>
        </is>
      </c>
      <c r="B3715" s="26" t="inlineStr">
        <is>
          <t>value</t>
        </is>
      </c>
    </row>
    <row r="3778">
      <c r="A3778" s="25" t="inlineStr">
        <is>
          <t>PAUR</t>
        </is>
      </c>
      <c r="B3778" t="inlineStr">
        <is>
          <t>Pennsylvania unemployment rate</t>
        </is>
      </c>
      <c r="C3778" s="24" t="inlineStr">
        <is>
          <t>freq=monthly; transform=sahm_gap; class=A; geo=state:PA</t>
        </is>
      </c>
    </row>
    <row r="3779">
      <c r="A3779" s="26" t="inlineStr">
        <is>
          <t>period</t>
        </is>
      </c>
      <c r="B3779" s="26" t="inlineStr">
        <is>
          <t>value</t>
        </is>
      </c>
    </row>
    <row r="3842">
      <c r="A3842" s="25" t="inlineStr">
        <is>
          <t>RIUR</t>
        </is>
      </c>
      <c r="B3842" t="inlineStr">
        <is>
          <t>Rhode Island unemployment rate</t>
        </is>
      </c>
      <c r="C3842" s="24" t="inlineStr">
        <is>
          <t>freq=monthly; transform=sahm_gap; class=A; geo=state:RI</t>
        </is>
      </c>
    </row>
    <row r="3843">
      <c r="A3843" s="26" t="inlineStr">
        <is>
          <t>period</t>
        </is>
      </c>
      <c r="B3843" s="26" t="inlineStr">
        <is>
          <t>value</t>
        </is>
      </c>
    </row>
    <row r="3906">
      <c r="A3906" s="25" t="inlineStr">
        <is>
          <t>SCUR</t>
        </is>
      </c>
      <c r="B3906" t="inlineStr">
        <is>
          <t>South Carolina unemployment rate</t>
        </is>
      </c>
      <c r="C3906" s="24" t="inlineStr">
        <is>
          <t>freq=monthly; transform=sahm_gap; class=A; geo=state:SC</t>
        </is>
      </c>
    </row>
    <row r="3907">
      <c r="A3907" s="26" t="inlineStr">
        <is>
          <t>period</t>
        </is>
      </c>
      <c r="B3907" s="26" t="inlineStr">
        <is>
          <t>value</t>
        </is>
      </c>
    </row>
    <row r="3970">
      <c r="A3970" s="25" t="inlineStr">
        <is>
          <t>SDUR</t>
        </is>
      </c>
      <c r="B3970" t="inlineStr">
        <is>
          <t>South Dakota unemployment rate</t>
        </is>
      </c>
      <c r="C3970" s="24" t="inlineStr">
        <is>
          <t>freq=monthly; transform=sahm_gap; class=A; geo=state:SD</t>
        </is>
      </c>
    </row>
    <row r="3971">
      <c r="A3971" s="26" t="inlineStr">
        <is>
          <t>period</t>
        </is>
      </c>
      <c r="B3971" s="26" t="inlineStr">
        <is>
          <t>value</t>
        </is>
      </c>
    </row>
    <row r="4034">
      <c r="A4034" s="25" t="inlineStr">
        <is>
          <t>TNUR</t>
        </is>
      </c>
      <c r="B4034" t="inlineStr">
        <is>
          <t>Tennessee unemployment rate</t>
        </is>
      </c>
      <c r="C4034" s="24" t="inlineStr">
        <is>
          <t>freq=monthly; transform=sahm_gap; class=A; geo=state:TN</t>
        </is>
      </c>
    </row>
    <row r="4035">
      <c r="A4035" s="26" t="inlineStr">
        <is>
          <t>period</t>
        </is>
      </c>
      <c r="B4035" s="26" t="inlineStr">
        <is>
          <t>value</t>
        </is>
      </c>
    </row>
    <row r="4098">
      <c r="A4098" s="25" t="inlineStr">
        <is>
          <t>TXUR</t>
        </is>
      </c>
      <c r="B4098" t="inlineStr">
        <is>
          <t>Texas unemployment rate</t>
        </is>
      </c>
      <c r="C4098" s="24" t="inlineStr">
        <is>
          <t>freq=monthly; transform=sahm_gap; class=A; geo=state:TX</t>
        </is>
      </c>
    </row>
    <row r="4099">
      <c r="A4099" s="26" t="inlineStr">
        <is>
          <t>period</t>
        </is>
      </c>
      <c r="B4099" s="26" t="inlineStr">
        <is>
          <t>value</t>
        </is>
      </c>
    </row>
    <row r="4162">
      <c r="A4162" s="25" t="inlineStr">
        <is>
          <t>UTUR</t>
        </is>
      </c>
      <c r="B4162" t="inlineStr">
        <is>
          <t>Utah unemployment rate</t>
        </is>
      </c>
      <c r="C4162" s="24" t="inlineStr">
        <is>
          <t>freq=monthly; transform=sahm_gap; class=A; geo=state:UT</t>
        </is>
      </c>
    </row>
    <row r="4163">
      <c r="A4163" s="26" t="inlineStr">
        <is>
          <t>period</t>
        </is>
      </c>
      <c r="B4163" s="26" t="inlineStr">
        <is>
          <t>value</t>
        </is>
      </c>
    </row>
    <row r="4226">
      <c r="A4226" s="25" t="inlineStr">
        <is>
          <t>VAUR</t>
        </is>
      </c>
      <c r="B4226" t="inlineStr">
        <is>
          <t>Virginia unemployment rate</t>
        </is>
      </c>
      <c r="C4226" s="24" t="inlineStr">
        <is>
          <t>freq=monthly; transform=sahm_gap; class=A; geo=state:VA</t>
        </is>
      </c>
    </row>
    <row r="4227">
      <c r="A4227" s="26" t="inlineStr">
        <is>
          <t>period</t>
        </is>
      </c>
      <c r="B4227" s="26" t="inlineStr">
        <is>
          <t>value</t>
        </is>
      </c>
    </row>
    <row r="4290">
      <c r="A4290" s="25" t="inlineStr">
        <is>
          <t>VTUR</t>
        </is>
      </c>
      <c r="B4290" t="inlineStr">
        <is>
          <t>Vermont unemployment rate</t>
        </is>
      </c>
      <c r="C4290" s="24" t="inlineStr">
        <is>
          <t>freq=monthly; transform=sahm_gap; class=A; geo=state:VT</t>
        </is>
      </c>
    </row>
    <row r="4291">
      <c r="A4291" s="26" t="inlineStr">
        <is>
          <t>period</t>
        </is>
      </c>
      <c r="B4291" s="26" t="inlineStr">
        <is>
          <t>value</t>
        </is>
      </c>
    </row>
    <row r="4354">
      <c r="A4354" s="25" t="inlineStr">
        <is>
          <t>WAUR</t>
        </is>
      </c>
      <c r="B4354" t="inlineStr">
        <is>
          <t>Washington unemployment rate</t>
        </is>
      </c>
      <c r="C4354" s="24" t="inlineStr">
        <is>
          <t>freq=monthly; transform=sahm_gap; class=A; geo=state:WA</t>
        </is>
      </c>
    </row>
    <row r="4355">
      <c r="A4355" s="26" t="inlineStr">
        <is>
          <t>period</t>
        </is>
      </c>
      <c r="B4355" s="26" t="inlineStr">
        <is>
          <t>value</t>
        </is>
      </c>
    </row>
    <row r="4418">
      <c r="A4418" s="25" t="inlineStr">
        <is>
          <t>WIUR</t>
        </is>
      </c>
      <c r="B4418" t="inlineStr">
        <is>
          <t>Wisconsin unemployment rate</t>
        </is>
      </c>
      <c r="C4418" s="24" t="inlineStr">
        <is>
          <t>freq=monthly; transform=sahm_gap; class=A; geo=state:WI</t>
        </is>
      </c>
    </row>
    <row r="4419">
      <c r="A4419" s="26" t="inlineStr">
        <is>
          <t>period</t>
        </is>
      </c>
      <c r="B4419" s="26" t="inlineStr">
        <is>
          <t>value</t>
        </is>
      </c>
    </row>
    <row r="4482">
      <c r="A4482" s="25" t="inlineStr">
        <is>
          <t>WVUR</t>
        </is>
      </c>
      <c r="B4482" t="inlineStr">
        <is>
          <t>West Virginia unemployment rate</t>
        </is>
      </c>
      <c r="C4482" s="24" t="inlineStr">
        <is>
          <t>freq=monthly; transform=sahm_gap; class=A; geo=state:WV</t>
        </is>
      </c>
    </row>
    <row r="4483">
      <c r="A4483" s="26" t="inlineStr">
        <is>
          <t>period</t>
        </is>
      </c>
      <c r="B4483" s="26" t="inlineStr">
        <is>
          <t>value</t>
        </is>
      </c>
    </row>
    <row r="4546">
      <c r="A4546" s="25" t="inlineStr">
        <is>
          <t>WYUR</t>
        </is>
      </c>
      <c r="B4546" t="inlineStr">
        <is>
          <t>Wyoming unemployment rate</t>
        </is>
      </c>
      <c r="C4546" s="24" t="inlineStr">
        <is>
          <t>freq=monthly; transform=sahm_gap; class=A; geo=state:WY</t>
        </is>
      </c>
    </row>
    <row r="4547">
      <c r="A4547" s="26" t="inlineStr">
        <is>
          <t>period</t>
        </is>
      </c>
      <c r="B4547" s="26" t="inlineStr">
        <is>
          <t>value</t>
        </is>
      </c>
    </row>
    <row r="4610">
      <c r="A4610" s="25" t="inlineStr">
        <is>
          <t>AKICLAIMS</t>
        </is>
      </c>
      <c r="B4610" t="inlineStr">
        <is>
          <t>Alaska initial claims</t>
        </is>
      </c>
      <c r="C4610" s="24" t="inlineStr">
        <is>
          <t>freq=weekly; transform=yoy_ma4; class=A; geo=state:AK</t>
        </is>
      </c>
    </row>
    <row r="4611">
      <c r="A4611" s="26" t="inlineStr">
        <is>
          <t>period</t>
        </is>
      </c>
      <c r="B4611" s="26" t="inlineStr">
        <is>
          <t>value</t>
        </is>
      </c>
    </row>
    <row r="4674">
      <c r="A4674" s="25" t="inlineStr">
        <is>
          <t>ALICLAIMS</t>
        </is>
      </c>
      <c r="B4674" t="inlineStr">
        <is>
          <t>Alabama initial claims</t>
        </is>
      </c>
      <c r="C4674" s="24" t="inlineStr">
        <is>
          <t>freq=weekly; transform=yoy_ma4; class=A; geo=state:AL</t>
        </is>
      </c>
    </row>
    <row r="4675">
      <c r="A4675" s="26" t="inlineStr">
        <is>
          <t>period</t>
        </is>
      </c>
      <c r="B4675" s="26" t="inlineStr">
        <is>
          <t>value</t>
        </is>
      </c>
    </row>
    <row r="4738">
      <c r="A4738" s="25" t="inlineStr">
        <is>
          <t>ARICLAIMS</t>
        </is>
      </c>
      <c r="B4738" t="inlineStr">
        <is>
          <t>Arkansas initial claims</t>
        </is>
      </c>
      <c r="C4738" s="24" t="inlineStr">
        <is>
          <t>freq=weekly; transform=yoy_ma4; class=A; geo=state:AR</t>
        </is>
      </c>
    </row>
    <row r="4739">
      <c r="A4739" s="26" t="inlineStr">
        <is>
          <t>period</t>
        </is>
      </c>
      <c r="B4739" s="26" t="inlineStr">
        <is>
          <t>value</t>
        </is>
      </c>
    </row>
    <row r="4802">
      <c r="A4802" s="25" t="inlineStr">
        <is>
          <t>AZICLAIMS</t>
        </is>
      </c>
      <c r="B4802" t="inlineStr">
        <is>
          <t>Arizona initial claims</t>
        </is>
      </c>
      <c r="C4802" s="24" t="inlineStr">
        <is>
          <t>freq=weekly; transform=yoy_ma4; class=A; geo=state:AZ</t>
        </is>
      </c>
    </row>
    <row r="4803">
      <c r="A4803" s="26" t="inlineStr">
        <is>
          <t>period</t>
        </is>
      </c>
      <c r="B4803" s="26" t="inlineStr">
        <is>
          <t>value</t>
        </is>
      </c>
    </row>
    <row r="4866">
      <c r="A4866" s="25" t="inlineStr">
        <is>
          <t>CAICLAIMS</t>
        </is>
      </c>
      <c r="B4866" t="inlineStr">
        <is>
          <t>California initial claims</t>
        </is>
      </c>
      <c r="C4866" s="24" t="inlineStr">
        <is>
          <t>freq=weekly; transform=yoy_ma4; class=A; geo=state:CA</t>
        </is>
      </c>
    </row>
    <row r="4867">
      <c r="A4867" s="26" t="inlineStr">
        <is>
          <t>period</t>
        </is>
      </c>
      <c r="B4867" s="26" t="inlineStr">
        <is>
          <t>value</t>
        </is>
      </c>
    </row>
    <row r="4930">
      <c r="A4930" s="25" t="inlineStr">
        <is>
          <t>COICLAIMS</t>
        </is>
      </c>
      <c r="B4930" t="inlineStr">
        <is>
          <t>Colorado initial claims</t>
        </is>
      </c>
      <c r="C4930" s="24" t="inlineStr">
        <is>
          <t>freq=weekly; transform=yoy_ma4; class=A; geo=state:CO</t>
        </is>
      </c>
    </row>
    <row r="4931">
      <c r="A4931" s="26" t="inlineStr">
        <is>
          <t>period</t>
        </is>
      </c>
      <c r="B4931" s="26" t="inlineStr">
        <is>
          <t>value</t>
        </is>
      </c>
    </row>
    <row r="4994">
      <c r="A4994" s="25" t="inlineStr">
        <is>
          <t>CTICLAIMS</t>
        </is>
      </c>
      <c r="B4994" t="inlineStr">
        <is>
          <t>Connecticut initial claims</t>
        </is>
      </c>
      <c r="C4994" s="24" t="inlineStr">
        <is>
          <t>freq=weekly; transform=yoy_ma4; class=A; geo=state:CT</t>
        </is>
      </c>
    </row>
    <row r="4995">
      <c r="A4995" s="26" t="inlineStr">
        <is>
          <t>period</t>
        </is>
      </c>
      <c r="B4995" s="26" t="inlineStr">
        <is>
          <t>value</t>
        </is>
      </c>
    </row>
    <row r="5058">
      <c r="A5058" s="25" t="inlineStr">
        <is>
          <t>DEICLAIMS</t>
        </is>
      </c>
      <c r="B5058" t="inlineStr">
        <is>
          <t>Delaware initial claims</t>
        </is>
      </c>
      <c r="C5058" s="24" t="inlineStr">
        <is>
          <t>freq=weekly; transform=yoy_ma4; class=A; geo=state:DE</t>
        </is>
      </c>
    </row>
    <row r="5059">
      <c r="A5059" s="26" t="inlineStr">
        <is>
          <t>period</t>
        </is>
      </c>
      <c r="B5059" s="26" t="inlineStr">
        <is>
          <t>value</t>
        </is>
      </c>
    </row>
    <row r="5122">
      <c r="A5122" s="25" t="inlineStr">
        <is>
          <t>FLICLAIMS</t>
        </is>
      </c>
      <c r="B5122" t="inlineStr">
        <is>
          <t>Florida initial claims</t>
        </is>
      </c>
      <c r="C5122" s="24" t="inlineStr">
        <is>
          <t>freq=weekly; transform=yoy_ma4; class=A; geo=state:FL</t>
        </is>
      </c>
    </row>
    <row r="5123">
      <c r="A5123" s="26" t="inlineStr">
        <is>
          <t>period</t>
        </is>
      </c>
      <c r="B5123" s="26" t="inlineStr">
        <is>
          <t>value</t>
        </is>
      </c>
    </row>
    <row r="5186">
      <c r="A5186" s="25" t="inlineStr">
        <is>
          <t>GAICLAIMS</t>
        </is>
      </c>
      <c r="B5186" t="inlineStr">
        <is>
          <t>Georgia initial claims</t>
        </is>
      </c>
      <c r="C5186" s="24" t="inlineStr">
        <is>
          <t>freq=weekly; transform=yoy_ma4; class=A; geo=state:GA</t>
        </is>
      </c>
    </row>
    <row r="5187">
      <c r="A5187" s="26" t="inlineStr">
        <is>
          <t>period</t>
        </is>
      </c>
      <c r="B5187" s="26" t="inlineStr">
        <is>
          <t>value</t>
        </is>
      </c>
    </row>
    <row r="5250">
      <c r="A5250" s="25" t="inlineStr">
        <is>
          <t>HIICLAIMS</t>
        </is>
      </c>
      <c r="B5250" t="inlineStr">
        <is>
          <t>Hawaii initial claims</t>
        </is>
      </c>
      <c r="C5250" s="24" t="inlineStr">
        <is>
          <t>freq=weekly; transform=yoy_ma4; class=A; geo=state:HI</t>
        </is>
      </c>
    </row>
    <row r="5251">
      <c r="A5251" s="26" t="inlineStr">
        <is>
          <t>period</t>
        </is>
      </c>
      <c r="B5251" s="26" t="inlineStr">
        <is>
          <t>value</t>
        </is>
      </c>
    </row>
    <row r="5314">
      <c r="A5314" s="25" t="inlineStr">
        <is>
          <t>IAICLAIMS</t>
        </is>
      </c>
      <c r="B5314" t="inlineStr">
        <is>
          <t>Iowa initial claims</t>
        </is>
      </c>
      <c r="C5314" s="24" t="inlineStr">
        <is>
          <t>freq=weekly; transform=yoy_ma4; class=A; geo=state:IA</t>
        </is>
      </c>
    </row>
    <row r="5315">
      <c r="A5315" s="26" t="inlineStr">
        <is>
          <t>period</t>
        </is>
      </c>
      <c r="B5315" s="26" t="inlineStr">
        <is>
          <t>value</t>
        </is>
      </c>
    </row>
    <row r="5378">
      <c r="A5378" s="25" t="inlineStr">
        <is>
          <t>IDICLAIMS</t>
        </is>
      </c>
      <c r="B5378" t="inlineStr">
        <is>
          <t>Idaho initial claims</t>
        </is>
      </c>
      <c r="C5378" s="24" t="inlineStr">
        <is>
          <t>freq=weekly; transform=yoy_ma4; class=A; geo=state:ID</t>
        </is>
      </c>
    </row>
    <row r="5379">
      <c r="A5379" s="26" t="inlineStr">
        <is>
          <t>period</t>
        </is>
      </c>
      <c r="B5379" s="26" t="inlineStr">
        <is>
          <t>value</t>
        </is>
      </c>
    </row>
    <row r="5442">
      <c r="A5442" s="25" t="inlineStr">
        <is>
          <t>ILICLAIMS</t>
        </is>
      </c>
      <c r="B5442" t="inlineStr">
        <is>
          <t>Illinois initial claims</t>
        </is>
      </c>
      <c r="C5442" s="24" t="inlineStr">
        <is>
          <t>freq=weekly; transform=yoy_ma4; class=A; geo=state:IL</t>
        </is>
      </c>
    </row>
    <row r="5443">
      <c r="A5443" s="26" t="inlineStr">
        <is>
          <t>period</t>
        </is>
      </c>
      <c r="B5443" s="26" t="inlineStr">
        <is>
          <t>value</t>
        </is>
      </c>
    </row>
    <row r="5506">
      <c r="A5506" s="25" t="inlineStr">
        <is>
          <t>INICLAIMS</t>
        </is>
      </c>
      <c r="B5506" t="inlineStr">
        <is>
          <t>Indiana initial claims</t>
        </is>
      </c>
      <c r="C5506" s="24" t="inlineStr">
        <is>
          <t>freq=weekly; transform=yoy_ma4; class=A; geo=state:IN</t>
        </is>
      </c>
    </row>
    <row r="5507">
      <c r="A5507" s="26" t="inlineStr">
        <is>
          <t>period</t>
        </is>
      </c>
      <c r="B5507" s="26" t="inlineStr">
        <is>
          <t>value</t>
        </is>
      </c>
    </row>
    <row r="5570">
      <c r="A5570" s="25" t="inlineStr">
        <is>
          <t>KSICLAIMS</t>
        </is>
      </c>
      <c r="B5570" t="inlineStr">
        <is>
          <t>Kansas initial claims</t>
        </is>
      </c>
      <c r="C5570" s="24" t="inlineStr">
        <is>
          <t>freq=weekly; transform=yoy_ma4; class=A; geo=state:KS</t>
        </is>
      </c>
    </row>
    <row r="5571">
      <c r="A5571" s="26" t="inlineStr">
        <is>
          <t>period</t>
        </is>
      </c>
      <c r="B5571" s="26" t="inlineStr">
        <is>
          <t>value</t>
        </is>
      </c>
    </row>
    <row r="5634">
      <c r="A5634" s="25" t="inlineStr">
        <is>
          <t>KYICLAIMS</t>
        </is>
      </c>
      <c r="B5634" t="inlineStr">
        <is>
          <t>Kentucky initial claims</t>
        </is>
      </c>
      <c r="C5634" s="24" t="inlineStr">
        <is>
          <t>freq=weekly; transform=yoy_ma4; class=A; geo=state:KY</t>
        </is>
      </c>
    </row>
    <row r="5635">
      <c r="A5635" s="26" t="inlineStr">
        <is>
          <t>period</t>
        </is>
      </c>
      <c r="B5635" s="26" t="inlineStr">
        <is>
          <t>value</t>
        </is>
      </c>
    </row>
    <row r="5698">
      <c r="A5698" s="25" t="inlineStr">
        <is>
          <t>LAICLAIMS</t>
        </is>
      </c>
      <c r="B5698" t="inlineStr">
        <is>
          <t>Louisiana initial claims</t>
        </is>
      </c>
      <c r="C5698" s="24" t="inlineStr">
        <is>
          <t>freq=weekly; transform=yoy_ma4; class=A; geo=state:LA</t>
        </is>
      </c>
    </row>
    <row r="5699">
      <c r="A5699" s="26" t="inlineStr">
        <is>
          <t>period</t>
        </is>
      </c>
      <c r="B5699" s="26" t="inlineStr">
        <is>
          <t>value</t>
        </is>
      </c>
    </row>
    <row r="5762">
      <c r="A5762" s="25" t="inlineStr">
        <is>
          <t>MAICLAIMS</t>
        </is>
      </c>
      <c r="B5762" t="inlineStr">
        <is>
          <t>Massachusetts initial claims</t>
        </is>
      </c>
      <c r="C5762" s="24" t="inlineStr">
        <is>
          <t>freq=weekly; transform=yoy_ma4; class=A; geo=state:MA</t>
        </is>
      </c>
    </row>
    <row r="5763">
      <c r="A5763" s="26" t="inlineStr">
        <is>
          <t>period</t>
        </is>
      </c>
      <c r="B5763" s="26" t="inlineStr">
        <is>
          <t>value</t>
        </is>
      </c>
    </row>
    <row r="5826">
      <c r="A5826" s="25" t="inlineStr">
        <is>
          <t>MDICLAIMS</t>
        </is>
      </c>
      <c r="B5826" t="inlineStr">
        <is>
          <t>Maryland initial claims</t>
        </is>
      </c>
      <c r="C5826" s="24" t="inlineStr">
        <is>
          <t>freq=weekly; transform=yoy_ma4; class=A; geo=state:MD</t>
        </is>
      </c>
    </row>
    <row r="5827">
      <c r="A5827" s="26" t="inlineStr">
        <is>
          <t>period</t>
        </is>
      </c>
      <c r="B5827" s="26" t="inlineStr">
        <is>
          <t>value</t>
        </is>
      </c>
    </row>
    <row r="5890">
      <c r="A5890" s="25" t="inlineStr">
        <is>
          <t>MEICLAIMS</t>
        </is>
      </c>
      <c r="B5890" t="inlineStr">
        <is>
          <t>Maine initial claims</t>
        </is>
      </c>
      <c r="C5890" s="24" t="inlineStr">
        <is>
          <t>freq=weekly; transform=yoy_ma4; class=A; geo=state:ME</t>
        </is>
      </c>
    </row>
    <row r="5891">
      <c r="A5891" s="26" t="inlineStr">
        <is>
          <t>period</t>
        </is>
      </c>
      <c r="B5891" s="26" t="inlineStr">
        <is>
          <t>value</t>
        </is>
      </c>
    </row>
    <row r="5954">
      <c r="A5954" s="25" t="inlineStr">
        <is>
          <t>MIICLAIMS</t>
        </is>
      </c>
      <c r="B5954" t="inlineStr">
        <is>
          <t>Michigan initial claims</t>
        </is>
      </c>
      <c r="C5954" s="24" t="inlineStr">
        <is>
          <t>freq=weekly; transform=yoy_ma4; class=A; geo=state:MI</t>
        </is>
      </c>
    </row>
    <row r="5955">
      <c r="A5955" s="26" t="inlineStr">
        <is>
          <t>period</t>
        </is>
      </c>
      <c r="B5955" s="26" t="inlineStr">
        <is>
          <t>value</t>
        </is>
      </c>
    </row>
    <row r="6018">
      <c r="A6018" s="25" t="inlineStr">
        <is>
          <t>MNICLAIMS</t>
        </is>
      </c>
      <c r="B6018" t="inlineStr">
        <is>
          <t>Minnesota initial claims</t>
        </is>
      </c>
      <c r="C6018" s="24" t="inlineStr">
        <is>
          <t>freq=weekly; transform=yoy_ma4; class=A; geo=state:MN</t>
        </is>
      </c>
    </row>
    <row r="6019">
      <c r="A6019" s="26" t="inlineStr">
        <is>
          <t>period</t>
        </is>
      </c>
      <c r="B6019" s="26" t="inlineStr">
        <is>
          <t>value</t>
        </is>
      </c>
    </row>
    <row r="6082">
      <c r="A6082" s="25" t="inlineStr">
        <is>
          <t>MOICLAIMS</t>
        </is>
      </c>
      <c r="B6082" t="inlineStr">
        <is>
          <t>Missouri initial claims</t>
        </is>
      </c>
      <c r="C6082" s="24" t="inlineStr">
        <is>
          <t>freq=weekly; transform=yoy_ma4; class=A; geo=state:MO</t>
        </is>
      </c>
    </row>
    <row r="6083">
      <c r="A6083" s="26" t="inlineStr">
        <is>
          <t>period</t>
        </is>
      </c>
      <c r="B6083" s="26" t="inlineStr">
        <is>
          <t>value</t>
        </is>
      </c>
    </row>
    <row r="6146">
      <c r="A6146" s="25" t="inlineStr">
        <is>
          <t>MSICLAIMS</t>
        </is>
      </c>
      <c r="B6146" t="inlineStr">
        <is>
          <t>Mississippi initial claims</t>
        </is>
      </c>
      <c r="C6146" s="24" t="inlineStr">
        <is>
          <t>freq=weekly; transform=yoy_ma4; class=A; geo=state:MS</t>
        </is>
      </c>
    </row>
    <row r="6147">
      <c r="A6147" s="26" t="inlineStr">
        <is>
          <t>period</t>
        </is>
      </c>
      <c r="B6147" s="26" t="inlineStr">
        <is>
          <t>value</t>
        </is>
      </c>
    </row>
    <row r="6210">
      <c r="A6210" s="25" t="inlineStr">
        <is>
          <t>MTICLAIMS</t>
        </is>
      </c>
      <c r="B6210" t="inlineStr">
        <is>
          <t>Montana initial claims</t>
        </is>
      </c>
      <c r="C6210" s="24" t="inlineStr">
        <is>
          <t>freq=weekly; transform=yoy_ma4; class=A; geo=state:MT</t>
        </is>
      </c>
    </row>
    <row r="6211">
      <c r="A6211" s="26" t="inlineStr">
        <is>
          <t>period</t>
        </is>
      </c>
      <c r="B6211" s="26" t="inlineStr">
        <is>
          <t>value</t>
        </is>
      </c>
    </row>
    <row r="6274">
      <c r="A6274" s="25" t="inlineStr">
        <is>
          <t>NCICLAIMS</t>
        </is>
      </c>
      <c r="B6274" t="inlineStr">
        <is>
          <t>North Carolina initial claims</t>
        </is>
      </c>
      <c r="C6274" s="24" t="inlineStr">
        <is>
          <t>freq=weekly; transform=yoy_ma4; class=A; geo=state:NC</t>
        </is>
      </c>
    </row>
    <row r="6275">
      <c r="A6275" s="26" t="inlineStr">
        <is>
          <t>period</t>
        </is>
      </c>
      <c r="B6275" s="26" t="inlineStr">
        <is>
          <t>value</t>
        </is>
      </c>
    </row>
    <row r="6338">
      <c r="A6338" s="25" t="inlineStr">
        <is>
          <t>NDICLAIMS</t>
        </is>
      </c>
      <c r="B6338" t="inlineStr">
        <is>
          <t>North Dakota initial claims</t>
        </is>
      </c>
      <c r="C6338" s="24" t="inlineStr">
        <is>
          <t>freq=weekly; transform=yoy_ma4; class=A; geo=state:ND</t>
        </is>
      </c>
    </row>
    <row r="6339">
      <c r="A6339" s="26" t="inlineStr">
        <is>
          <t>period</t>
        </is>
      </c>
      <c r="B6339" s="26" t="inlineStr">
        <is>
          <t>value</t>
        </is>
      </c>
    </row>
    <row r="6402">
      <c r="A6402" s="25" t="inlineStr">
        <is>
          <t>NEICLAIMS</t>
        </is>
      </c>
      <c r="B6402" t="inlineStr">
        <is>
          <t>Nebraska initial claims</t>
        </is>
      </c>
      <c r="C6402" s="24" t="inlineStr">
        <is>
          <t>freq=weekly; transform=yoy_ma4; class=A; geo=state:NE</t>
        </is>
      </c>
    </row>
    <row r="6403">
      <c r="A6403" s="26" t="inlineStr">
        <is>
          <t>period</t>
        </is>
      </c>
      <c r="B6403" s="26" t="inlineStr">
        <is>
          <t>value</t>
        </is>
      </c>
    </row>
    <row r="6466">
      <c r="A6466" s="25" t="inlineStr">
        <is>
          <t>NHICLAIMS</t>
        </is>
      </c>
      <c r="B6466" t="inlineStr">
        <is>
          <t>New Hampshire initial claims</t>
        </is>
      </c>
      <c r="C6466" s="24" t="inlineStr">
        <is>
          <t>freq=weekly; transform=yoy_ma4; class=A; geo=state:NH</t>
        </is>
      </c>
    </row>
    <row r="6467">
      <c r="A6467" s="26" t="inlineStr">
        <is>
          <t>period</t>
        </is>
      </c>
      <c r="B6467" s="26" t="inlineStr">
        <is>
          <t>value</t>
        </is>
      </c>
    </row>
    <row r="6530">
      <c r="A6530" s="25" t="inlineStr">
        <is>
          <t>NJICLAIMS</t>
        </is>
      </c>
      <c r="B6530" t="inlineStr">
        <is>
          <t>New Jersey initial claims</t>
        </is>
      </c>
      <c r="C6530" s="24" t="inlineStr">
        <is>
          <t>freq=weekly; transform=yoy_ma4; class=A; geo=state:NJ</t>
        </is>
      </c>
    </row>
    <row r="6531">
      <c r="A6531" s="26" t="inlineStr">
        <is>
          <t>period</t>
        </is>
      </c>
      <c r="B6531" s="26" t="inlineStr">
        <is>
          <t>value</t>
        </is>
      </c>
    </row>
    <row r="6594">
      <c r="A6594" s="25" t="inlineStr">
        <is>
          <t>NMICLAIMS</t>
        </is>
      </c>
      <c r="B6594" t="inlineStr">
        <is>
          <t>New Mexico initial claims</t>
        </is>
      </c>
      <c r="C6594" s="24" t="inlineStr">
        <is>
          <t>freq=weekly; transform=yoy_ma4; class=A; geo=state:NM</t>
        </is>
      </c>
    </row>
    <row r="6595">
      <c r="A6595" s="26" t="inlineStr">
        <is>
          <t>period</t>
        </is>
      </c>
      <c r="B6595" s="26" t="inlineStr">
        <is>
          <t>value</t>
        </is>
      </c>
    </row>
    <row r="6658">
      <c r="A6658" s="25" t="inlineStr">
        <is>
          <t>NVICLAIMS</t>
        </is>
      </c>
      <c r="B6658" t="inlineStr">
        <is>
          <t>Nevada initial claims</t>
        </is>
      </c>
      <c r="C6658" s="24" t="inlineStr">
        <is>
          <t>freq=weekly; transform=yoy_ma4; class=A; geo=state:NV</t>
        </is>
      </c>
    </row>
    <row r="6659">
      <c r="A6659" s="26" t="inlineStr">
        <is>
          <t>period</t>
        </is>
      </c>
      <c r="B6659" s="26" t="inlineStr">
        <is>
          <t>value</t>
        </is>
      </c>
    </row>
    <row r="6722">
      <c r="A6722" s="25" t="inlineStr">
        <is>
          <t>NYICLAIMS</t>
        </is>
      </c>
      <c r="B6722" t="inlineStr">
        <is>
          <t>New York initial claims</t>
        </is>
      </c>
      <c r="C6722" s="24" t="inlineStr">
        <is>
          <t>freq=weekly; transform=yoy_ma4; class=A; geo=state:NY</t>
        </is>
      </c>
    </row>
    <row r="6723">
      <c r="A6723" s="26" t="inlineStr">
        <is>
          <t>period</t>
        </is>
      </c>
      <c r="B6723" s="26" t="inlineStr">
        <is>
          <t>value</t>
        </is>
      </c>
    </row>
    <row r="6786">
      <c r="A6786" s="25" t="inlineStr">
        <is>
          <t>OHICLAIMS</t>
        </is>
      </c>
      <c r="B6786" t="inlineStr">
        <is>
          <t>Ohio initial claims</t>
        </is>
      </c>
      <c r="C6786" s="24" t="inlineStr">
        <is>
          <t>freq=weekly; transform=yoy_ma4; class=A; geo=state:OH</t>
        </is>
      </c>
    </row>
    <row r="6787">
      <c r="A6787" s="26" t="inlineStr">
        <is>
          <t>period</t>
        </is>
      </c>
      <c r="B6787" s="26" t="inlineStr">
        <is>
          <t>value</t>
        </is>
      </c>
    </row>
    <row r="6850">
      <c r="A6850" s="25" t="inlineStr">
        <is>
          <t>OKICLAIMS</t>
        </is>
      </c>
      <c r="B6850" t="inlineStr">
        <is>
          <t>Oklahoma initial claims</t>
        </is>
      </c>
      <c r="C6850" s="24" t="inlineStr">
        <is>
          <t>freq=weekly; transform=yoy_ma4; class=A; geo=state:OK</t>
        </is>
      </c>
    </row>
    <row r="6851">
      <c r="A6851" s="26" t="inlineStr">
        <is>
          <t>period</t>
        </is>
      </c>
      <c r="B6851" s="26" t="inlineStr">
        <is>
          <t>value</t>
        </is>
      </c>
    </row>
    <row r="6914">
      <c r="A6914" s="25" t="inlineStr">
        <is>
          <t>ORICLAIMS</t>
        </is>
      </c>
      <c r="B6914" t="inlineStr">
        <is>
          <t>Oregon initial claims</t>
        </is>
      </c>
      <c r="C6914" s="24" t="inlineStr">
        <is>
          <t>freq=weekly; transform=yoy_ma4; class=A; geo=state:OR</t>
        </is>
      </c>
    </row>
    <row r="6915">
      <c r="A6915" s="26" t="inlineStr">
        <is>
          <t>period</t>
        </is>
      </c>
      <c r="B6915" s="26" t="inlineStr">
        <is>
          <t>value</t>
        </is>
      </c>
    </row>
    <row r="6978">
      <c r="A6978" s="25" t="inlineStr">
        <is>
          <t>PAICLAIMS</t>
        </is>
      </c>
      <c r="B6978" t="inlineStr">
        <is>
          <t>Pennsylvania initial claims</t>
        </is>
      </c>
      <c r="C6978" s="24" t="inlineStr">
        <is>
          <t>freq=weekly; transform=yoy_ma4; class=A; geo=state:PA</t>
        </is>
      </c>
    </row>
    <row r="6979">
      <c r="A6979" s="26" t="inlineStr">
        <is>
          <t>period</t>
        </is>
      </c>
      <c r="B6979" s="26" t="inlineStr">
        <is>
          <t>value</t>
        </is>
      </c>
    </row>
    <row r="7042">
      <c r="A7042" s="25" t="inlineStr">
        <is>
          <t>RIICLAIMS</t>
        </is>
      </c>
      <c r="B7042" t="inlineStr">
        <is>
          <t>Rhode Island initial claims</t>
        </is>
      </c>
      <c r="C7042" s="24" t="inlineStr">
        <is>
          <t>freq=weekly; transform=yoy_ma4; class=A; geo=state:RI</t>
        </is>
      </c>
    </row>
    <row r="7043">
      <c r="A7043" s="26" t="inlineStr">
        <is>
          <t>period</t>
        </is>
      </c>
      <c r="B7043" s="26" t="inlineStr">
        <is>
          <t>value</t>
        </is>
      </c>
    </row>
    <row r="7106">
      <c r="A7106" s="25" t="inlineStr">
        <is>
          <t>SCICLAIMS</t>
        </is>
      </c>
      <c r="B7106" t="inlineStr">
        <is>
          <t>South Carolina initial claims</t>
        </is>
      </c>
      <c r="C7106" s="24" t="inlineStr">
        <is>
          <t>freq=weekly; transform=yoy_ma4; class=A; geo=state:SC</t>
        </is>
      </c>
    </row>
    <row r="7107">
      <c r="A7107" s="26" t="inlineStr">
        <is>
          <t>period</t>
        </is>
      </c>
      <c r="B7107" s="26" t="inlineStr">
        <is>
          <t>value</t>
        </is>
      </c>
    </row>
    <row r="7170">
      <c r="A7170" s="25" t="inlineStr">
        <is>
          <t>SDICLAIMS</t>
        </is>
      </c>
      <c r="B7170" t="inlineStr">
        <is>
          <t>South Dakota initial claims</t>
        </is>
      </c>
      <c r="C7170" s="24" t="inlineStr">
        <is>
          <t>freq=weekly; transform=yoy_ma4; class=A; geo=state:SD</t>
        </is>
      </c>
    </row>
    <row r="7171">
      <c r="A7171" s="26" t="inlineStr">
        <is>
          <t>period</t>
        </is>
      </c>
      <c r="B7171" s="26" t="inlineStr">
        <is>
          <t>value</t>
        </is>
      </c>
    </row>
    <row r="7234">
      <c r="A7234" s="25" t="inlineStr">
        <is>
          <t>TNICLAIMS</t>
        </is>
      </c>
      <c r="B7234" t="inlineStr">
        <is>
          <t>Tennessee initial claims</t>
        </is>
      </c>
      <c r="C7234" s="24" t="inlineStr">
        <is>
          <t>freq=weekly; transform=yoy_ma4; class=A; geo=state:TN</t>
        </is>
      </c>
    </row>
    <row r="7235">
      <c r="A7235" s="26" t="inlineStr">
        <is>
          <t>period</t>
        </is>
      </c>
      <c r="B7235" s="26" t="inlineStr">
        <is>
          <t>value</t>
        </is>
      </c>
    </row>
    <row r="7298">
      <c r="A7298" s="25" t="inlineStr">
        <is>
          <t>TXICLAIMS</t>
        </is>
      </c>
      <c r="B7298" t="inlineStr">
        <is>
          <t>Texas initial claims</t>
        </is>
      </c>
      <c r="C7298" s="24" t="inlineStr">
        <is>
          <t>freq=weekly; transform=yoy_ma4; class=A; geo=state:TX</t>
        </is>
      </c>
    </row>
    <row r="7299">
      <c r="A7299" s="26" t="inlineStr">
        <is>
          <t>period</t>
        </is>
      </c>
      <c r="B7299" s="26" t="inlineStr">
        <is>
          <t>value</t>
        </is>
      </c>
    </row>
    <row r="7362">
      <c r="A7362" s="25" t="inlineStr">
        <is>
          <t>UTICLAIMS</t>
        </is>
      </c>
      <c r="B7362" t="inlineStr">
        <is>
          <t>Utah initial claims</t>
        </is>
      </c>
      <c r="C7362" s="24" t="inlineStr">
        <is>
          <t>freq=weekly; transform=yoy_ma4; class=A; geo=state:UT</t>
        </is>
      </c>
    </row>
    <row r="7363">
      <c r="A7363" s="26" t="inlineStr">
        <is>
          <t>period</t>
        </is>
      </c>
      <c r="B7363" s="26" t="inlineStr">
        <is>
          <t>value</t>
        </is>
      </c>
    </row>
    <row r="7426">
      <c r="A7426" s="25" t="inlineStr">
        <is>
          <t>VAICLAIMS</t>
        </is>
      </c>
      <c r="B7426" t="inlineStr">
        <is>
          <t>Virginia initial claims</t>
        </is>
      </c>
      <c r="C7426" s="24" t="inlineStr">
        <is>
          <t>freq=weekly; transform=yoy_ma4; class=A; geo=state:VA</t>
        </is>
      </c>
    </row>
    <row r="7427">
      <c r="A7427" s="26" t="inlineStr">
        <is>
          <t>period</t>
        </is>
      </c>
      <c r="B7427" s="26" t="inlineStr">
        <is>
          <t>value</t>
        </is>
      </c>
    </row>
    <row r="7490">
      <c r="A7490" s="25" t="inlineStr">
        <is>
          <t>VTICLAIMS</t>
        </is>
      </c>
      <c r="B7490" t="inlineStr">
        <is>
          <t>Vermont initial claims</t>
        </is>
      </c>
      <c r="C7490" s="24" t="inlineStr">
        <is>
          <t>freq=weekly; transform=yoy_ma4; class=A; geo=state:VT</t>
        </is>
      </c>
    </row>
    <row r="7491">
      <c r="A7491" s="26" t="inlineStr">
        <is>
          <t>period</t>
        </is>
      </c>
      <c r="B7491" s="26" t="inlineStr">
        <is>
          <t>value</t>
        </is>
      </c>
    </row>
    <row r="7554">
      <c r="A7554" s="25" t="inlineStr">
        <is>
          <t>WAICLAIMS</t>
        </is>
      </c>
      <c r="B7554" t="inlineStr">
        <is>
          <t>Washington initial claims</t>
        </is>
      </c>
      <c r="C7554" s="24" t="inlineStr">
        <is>
          <t>freq=weekly; transform=yoy_ma4; class=A; geo=state:WA</t>
        </is>
      </c>
    </row>
    <row r="7555">
      <c r="A7555" s="26" t="inlineStr">
        <is>
          <t>period</t>
        </is>
      </c>
      <c r="B7555" s="26" t="inlineStr">
        <is>
          <t>value</t>
        </is>
      </c>
    </row>
    <row r="7618">
      <c r="A7618" s="25" t="inlineStr">
        <is>
          <t>WIICLAIMS</t>
        </is>
      </c>
      <c r="B7618" t="inlineStr">
        <is>
          <t>Wisconsin initial claims</t>
        </is>
      </c>
      <c r="C7618" s="24" t="inlineStr">
        <is>
          <t>freq=weekly; transform=yoy_ma4; class=A; geo=state:WI</t>
        </is>
      </c>
    </row>
    <row r="7619">
      <c r="A7619" s="26" t="inlineStr">
        <is>
          <t>period</t>
        </is>
      </c>
      <c r="B7619" s="26" t="inlineStr">
        <is>
          <t>value</t>
        </is>
      </c>
    </row>
    <row r="7682">
      <c r="A7682" s="25" t="inlineStr">
        <is>
          <t>WVICLAIMS</t>
        </is>
      </c>
      <c r="B7682" t="inlineStr">
        <is>
          <t>West Virginia initial claims</t>
        </is>
      </c>
      <c r="C7682" s="24" t="inlineStr">
        <is>
          <t>freq=weekly; transform=yoy_ma4; class=A; geo=state:WV</t>
        </is>
      </c>
    </row>
    <row r="7683">
      <c r="A7683" s="26" t="inlineStr">
        <is>
          <t>period</t>
        </is>
      </c>
      <c r="B7683" s="26" t="inlineStr">
        <is>
          <t>value</t>
        </is>
      </c>
    </row>
    <row r="7746">
      <c r="A7746" s="25" t="inlineStr">
        <is>
          <t>WYICLAIMS</t>
        </is>
      </c>
      <c r="B7746" t="inlineStr">
        <is>
          <t>Wyoming initial claims</t>
        </is>
      </c>
      <c r="C7746" s="24" t="inlineStr">
        <is>
          <t>freq=weekly; transform=yoy_ma4; class=A; geo=state:WY</t>
        </is>
      </c>
    </row>
    <row r="7747">
      <c r="A7747" s="26" t="inlineStr">
        <is>
          <t>period</t>
        </is>
      </c>
      <c r="B7747" s="26" t="inlineStr">
        <is>
          <t>value</t>
        </is>
      </c>
    </row>
    <row r="7810">
      <c r="A7810" s="25" t="inlineStr">
        <is>
          <t>AKPHCI</t>
        </is>
      </c>
      <c r="B7810" t="inlineStr">
        <is>
          <t>Alaska coincident index</t>
        </is>
      </c>
      <c r="C7810" s="24" t="inlineStr">
        <is>
          <t>freq=monthly; transform=chg_3p; class=A; geo=state:AK</t>
        </is>
      </c>
    </row>
    <row r="7811">
      <c r="A7811" s="26" t="inlineStr">
        <is>
          <t>period</t>
        </is>
      </c>
      <c r="B7811" s="26" t="inlineStr">
        <is>
          <t>value</t>
        </is>
      </c>
    </row>
    <row r="7874">
      <c r="A7874" s="25" t="inlineStr">
        <is>
          <t>ALPHCI</t>
        </is>
      </c>
      <c r="B7874" t="inlineStr">
        <is>
          <t>Alabama coincident index</t>
        </is>
      </c>
      <c r="C7874" s="24" t="inlineStr">
        <is>
          <t>freq=monthly; transform=chg_3p; class=A; geo=state:AL</t>
        </is>
      </c>
    </row>
    <row r="7875">
      <c r="A7875" s="26" t="inlineStr">
        <is>
          <t>period</t>
        </is>
      </c>
      <c r="B7875" s="26" t="inlineStr">
        <is>
          <t>value</t>
        </is>
      </c>
    </row>
    <row r="7938">
      <c r="A7938" s="25" t="inlineStr">
        <is>
          <t>ARPHCI</t>
        </is>
      </c>
      <c r="B7938" t="inlineStr">
        <is>
          <t>Arkansas coincident index</t>
        </is>
      </c>
      <c r="C7938" s="24" t="inlineStr">
        <is>
          <t>freq=monthly; transform=chg_3p; class=A; geo=state:AR</t>
        </is>
      </c>
    </row>
    <row r="7939">
      <c r="A7939" s="26" t="inlineStr">
        <is>
          <t>period</t>
        </is>
      </c>
      <c r="B7939" s="26" t="inlineStr">
        <is>
          <t>value</t>
        </is>
      </c>
    </row>
    <row r="8002">
      <c r="A8002" s="25" t="inlineStr">
        <is>
          <t>AZPHCI</t>
        </is>
      </c>
      <c r="B8002" t="inlineStr">
        <is>
          <t>Arizona coincident index</t>
        </is>
      </c>
      <c r="C8002" s="24" t="inlineStr">
        <is>
          <t>freq=monthly; transform=chg_3p; class=A; geo=state:AZ</t>
        </is>
      </c>
    </row>
    <row r="8003">
      <c r="A8003" s="26" t="inlineStr">
        <is>
          <t>period</t>
        </is>
      </c>
      <c r="B8003" s="26" t="inlineStr">
        <is>
          <t>value</t>
        </is>
      </c>
    </row>
    <row r="8066">
      <c r="A8066" s="25" t="inlineStr">
        <is>
          <t>CAPHCI</t>
        </is>
      </c>
      <c r="B8066" t="inlineStr">
        <is>
          <t>California coincident index</t>
        </is>
      </c>
      <c r="C8066" s="24" t="inlineStr">
        <is>
          <t>freq=monthly; transform=chg_3p; class=A; geo=state:CA</t>
        </is>
      </c>
    </row>
    <row r="8067">
      <c r="A8067" s="26" t="inlineStr">
        <is>
          <t>period</t>
        </is>
      </c>
      <c r="B8067" s="26" t="inlineStr">
        <is>
          <t>value</t>
        </is>
      </c>
    </row>
    <row r="8130">
      <c r="A8130" s="25" t="inlineStr">
        <is>
          <t>COPHCI</t>
        </is>
      </c>
      <c r="B8130" t="inlineStr">
        <is>
          <t>Colorado coincident index</t>
        </is>
      </c>
      <c r="C8130" s="24" t="inlineStr">
        <is>
          <t>freq=monthly; transform=chg_3p; class=A; geo=state:CO</t>
        </is>
      </c>
    </row>
    <row r="8131">
      <c r="A8131" s="26" t="inlineStr">
        <is>
          <t>period</t>
        </is>
      </c>
      <c r="B8131" s="26" t="inlineStr">
        <is>
          <t>value</t>
        </is>
      </c>
    </row>
    <row r="8194">
      <c r="A8194" s="25" t="inlineStr">
        <is>
          <t>CTPHCI</t>
        </is>
      </c>
      <c r="B8194" t="inlineStr">
        <is>
          <t>Connecticut coincident index</t>
        </is>
      </c>
      <c r="C8194" s="24" t="inlineStr">
        <is>
          <t>freq=monthly; transform=chg_3p; class=A; geo=state:CT</t>
        </is>
      </c>
    </row>
    <row r="8195">
      <c r="A8195" s="26" t="inlineStr">
        <is>
          <t>period</t>
        </is>
      </c>
      <c r="B8195" s="26" t="inlineStr">
        <is>
          <t>value</t>
        </is>
      </c>
    </row>
    <row r="8258">
      <c r="A8258" s="25" t="inlineStr">
        <is>
          <t>DEPHCI</t>
        </is>
      </c>
      <c r="B8258" t="inlineStr">
        <is>
          <t>Delaware coincident index</t>
        </is>
      </c>
      <c r="C8258" s="24" t="inlineStr">
        <is>
          <t>freq=monthly; transform=chg_3p; class=A; geo=state:DE</t>
        </is>
      </c>
    </row>
    <row r="8259">
      <c r="A8259" s="26" t="inlineStr">
        <is>
          <t>period</t>
        </is>
      </c>
      <c r="B8259" s="26" t="inlineStr">
        <is>
          <t>value</t>
        </is>
      </c>
    </row>
    <row r="8322">
      <c r="A8322" s="25" t="inlineStr">
        <is>
          <t>FLPHCI</t>
        </is>
      </c>
      <c r="B8322" t="inlineStr">
        <is>
          <t>Florida coincident index</t>
        </is>
      </c>
      <c r="C8322" s="24" t="inlineStr">
        <is>
          <t>freq=monthly; transform=chg_3p; class=A; geo=state:FL</t>
        </is>
      </c>
    </row>
    <row r="8323">
      <c r="A8323" s="26" t="inlineStr">
        <is>
          <t>period</t>
        </is>
      </c>
      <c r="B8323" s="26" t="inlineStr">
        <is>
          <t>value</t>
        </is>
      </c>
    </row>
    <row r="8386">
      <c r="A8386" s="25" t="inlineStr">
        <is>
          <t>GAPHCI</t>
        </is>
      </c>
      <c r="B8386" t="inlineStr">
        <is>
          <t>Georgia coincident index</t>
        </is>
      </c>
      <c r="C8386" s="24" t="inlineStr">
        <is>
          <t>freq=monthly; transform=chg_3p; class=A; geo=state:GA</t>
        </is>
      </c>
    </row>
    <row r="8387">
      <c r="A8387" s="26" t="inlineStr">
        <is>
          <t>period</t>
        </is>
      </c>
      <c r="B8387" s="26" t="inlineStr">
        <is>
          <t>value</t>
        </is>
      </c>
    </row>
    <row r="8450">
      <c r="A8450" s="25" t="inlineStr">
        <is>
          <t>HIPHCI</t>
        </is>
      </c>
      <c r="B8450" t="inlineStr">
        <is>
          <t>Hawaii coincident index</t>
        </is>
      </c>
      <c r="C8450" s="24" t="inlineStr">
        <is>
          <t>freq=monthly; transform=chg_3p; class=A; geo=state:HI</t>
        </is>
      </c>
    </row>
    <row r="8451">
      <c r="A8451" s="26" t="inlineStr">
        <is>
          <t>period</t>
        </is>
      </c>
      <c r="B8451" s="26" t="inlineStr">
        <is>
          <t>value</t>
        </is>
      </c>
    </row>
    <row r="8514">
      <c r="A8514" s="25" t="inlineStr">
        <is>
          <t>IAPHCI</t>
        </is>
      </c>
      <c r="B8514" t="inlineStr">
        <is>
          <t>Iowa coincident index</t>
        </is>
      </c>
      <c r="C8514" s="24" t="inlineStr">
        <is>
          <t>freq=monthly; transform=chg_3p; class=A; geo=state:IA</t>
        </is>
      </c>
    </row>
    <row r="8515">
      <c r="A8515" s="26" t="inlineStr">
        <is>
          <t>period</t>
        </is>
      </c>
      <c r="B8515" s="26" t="inlineStr">
        <is>
          <t>value</t>
        </is>
      </c>
    </row>
    <row r="8578">
      <c r="A8578" s="25" t="inlineStr">
        <is>
          <t>IDPHCI</t>
        </is>
      </c>
      <c r="B8578" t="inlineStr">
        <is>
          <t>Idaho coincident index</t>
        </is>
      </c>
      <c r="C8578" s="24" t="inlineStr">
        <is>
          <t>freq=monthly; transform=chg_3p; class=A; geo=state:ID</t>
        </is>
      </c>
    </row>
    <row r="8579">
      <c r="A8579" s="26" t="inlineStr">
        <is>
          <t>period</t>
        </is>
      </c>
      <c r="B8579" s="26" t="inlineStr">
        <is>
          <t>value</t>
        </is>
      </c>
    </row>
    <row r="8642">
      <c r="A8642" s="25" t="inlineStr">
        <is>
          <t>ILPHCI</t>
        </is>
      </c>
      <c r="B8642" t="inlineStr">
        <is>
          <t>Illinois coincident index</t>
        </is>
      </c>
      <c r="C8642" s="24" t="inlineStr">
        <is>
          <t>freq=monthly; transform=chg_3p; class=A; geo=state:IL</t>
        </is>
      </c>
    </row>
    <row r="8643">
      <c r="A8643" s="26" t="inlineStr">
        <is>
          <t>period</t>
        </is>
      </c>
      <c r="B8643" s="26" t="inlineStr">
        <is>
          <t>value</t>
        </is>
      </c>
    </row>
    <row r="8706">
      <c r="A8706" s="25" t="inlineStr">
        <is>
          <t>INPHCI</t>
        </is>
      </c>
      <c r="B8706" t="inlineStr">
        <is>
          <t>Indiana coincident index</t>
        </is>
      </c>
      <c r="C8706" s="24" t="inlineStr">
        <is>
          <t>freq=monthly; transform=chg_3p; class=A; geo=state:IN</t>
        </is>
      </c>
    </row>
    <row r="8707">
      <c r="A8707" s="26" t="inlineStr">
        <is>
          <t>period</t>
        </is>
      </c>
      <c r="B8707" s="26" t="inlineStr">
        <is>
          <t>value</t>
        </is>
      </c>
    </row>
    <row r="8770">
      <c r="A8770" s="25" t="inlineStr">
        <is>
          <t>KSPHCI</t>
        </is>
      </c>
      <c r="B8770" t="inlineStr">
        <is>
          <t>Kansas coincident index</t>
        </is>
      </c>
      <c r="C8770" s="24" t="inlineStr">
        <is>
          <t>freq=monthly; transform=chg_3p; class=A; geo=state:KS</t>
        </is>
      </c>
    </row>
    <row r="8771">
      <c r="A8771" s="26" t="inlineStr">
        <is>
          <t>period</t>
        </is>
      </c>
      <c r="B8771" s="26" t="inlineStr">
        <is>
          <t>value</t>
        </is>
      </c>
    </row>
    <row r="8834">
      <c r="A8834" s="25" t="inlineStr">
        <is>
          <t>KYPHCI</t>
        </is>
      </c>
      <c r="B8834" t="inlineStr">
        <is>
          <t>Kentucky coincident index</t>
        </is>
      </c>
      <c r="C8834" s="24" t="inlineStr">
        <is>
          <t>freq=monthly; transform=chg_3p; class=A; geo=state:KY</t>
        </is>
      </c>
    </row>
    <row r="8835">
      <c r="A8835" s="26" t="inlineStr">
        <is>
          <t>period</t>
        </is>
      </c>
      <c r="B8835" s="26" t="inlineStr">
        <is>
          <t>value</t>
        </is>
      </c>
    </row>
    <row r="8898">
      <c r="A8898" s="25" t="inlineStr">
        <is>
          <t>LAPHCI</t>
        </is>
      </c>
      <c r="B8898" t="inlineStr">
        <is>
          <t>Louisiana coincident index</t>
        </is>
      </c>
      <c r="C8898" s="24" t="inlineStr">
        <is>
          <t>freq=monthly; transform=chg_3p; class=A; geo=state:LA</t>
        </is>
      </c>
    </row>
    <row r="8899">
      <c r="A8899" s="26" t="inlineStr">
        <is>
          <t>period</t>
        </is>
      </c>
      <c r="B8899" s="26" t="inlineStr">
        <is>
          <t>value</t>
        </is>
      </c>
    </row>
    <row r="8962">
      <c r="A8962" s="25" t="inlineStr">
        <is>
          <t>MAPHCI</t>
        </is>
      </c>
      <c r="B8962" t="inlineStr">
        <is>
          <t>Massachusetts coincident index</t>
        </is>
      </c>
      <c r="C8962" s="24" t="inlineStr">
        <is>
          <t>freq=monthly; transform=chg_3p; class=A; geo=state:MA</t>
        </is>
      </c>
    </row>
    <row r="8963">
      <c r="A8963" s="26" t="inlineStr">
        <is>
          <t>period</t>
        </is>
      </c>
      <c r="B8963" s="26" t="inlineStr">
        <is>
          <t>value</t>
        </is>
      </c>
    </row>
    <row r="9026">
      <c r="A9026" s="25" t="inlineStr">
        <is>
          <t>MDPHCI</t>
        </is>
      </c>
      <c r="B9026" t="inlineStr">
        <is>
          <t>Maryland coincident index</t>
        </is>
      </c>
      <c r="C9026" s="24" t="inlineStr">
        <is>
          <t>freq=monthly; transform=chg_3p; class=A; geo=state:MD</t>
        </is>
      </c>
    </row>
    <row r="9027">
      <c r="A9027" s="26" t="inlineStr">
        <is>
          <t>period</t>
        </is>
      </c>
      <c r="B9027" s="26" t="inlineStr">
        <is>
          <t>value</t>
        </is>
      </c>
    </row>
    <row r="9090">
      <c r="A9090" s="25" t="inlineStr">
        <is>
          <t>MEPHCI</t>
        </is>
      </c>
      <c r="B9090" t="inlineStr">
        <is>
          <t>Maine coincident index</t>
        </is>
      </c>
      <c r="C9090" s="24" t="inlineStr">
        <is>
          <t>freq=monthly; transform=chg_3p; class=A; geo=state:ME</t>
        </is>
      </c>
    </row>
    <row r="9091">
      <c r="A9091" s="26" t="inlineStr">
        <is>
          <t>period</t>
        </is>
      </c>
      <c r="B9091" s="26" t="inlineStr">
        <is>
          <t>value</t>
        </is>
      </c>
    </row>
    <row r="9154">
      <c r="A9154" s="25" t="inlineStr">
        <is>
          <t>MIPHCI</t>
        </is>
      </c>
      <c r="B9154" t="inlineStr">
        <is>
          <t>Michigan coincident index</t>
        </is>
      </c>
      <c r="C9154" s="24" t="inlineStr">
        <is>
          <t>freq=monthly; transform=chg_3p; class=A; geo=state:MI</t>
        </is>
      </c>
    </row>
    <row r="9155">
      <c r="A9155" s="26" t="inlineStr">
        <is>
          <t>period</t>
        </is>
      </c>
      <c r="B9155" s="26" t="inlineStr">
        <is>
          <t>value</t>
        </is>
      </c>
    </row>
    <row r="9218">
      <c r="A9218" s="25" t="inlineStr">
        <is>
          <t>MNPHCI</t>
        </is>
      </c>
      <c r="B9218" t="inlineStr">
        <is>
          <t>Minnesota coincident index</t>
        </is>
      </c>
      <c r="C9218" s="24" t="inlineStr">
        <is>
          <t>freq=monthly; transform=chg_3p; class=A; geo=state:MN</t>
        </is>
      </c>
    </row>
    <row r="9219">
      <c r="A9219" s="26" t="inlineStr">
        <is>
          <t>period</t>
        </is>
      </c>
      <c r="B9219" s="26" t="inlineStr">
        <is>
          <t>value</t>
        </is>
      </c>
    </row>
    <row r="9282">
      <c r="A9282" s="25" t="inlineStr">
        <is>
          <t>MOPHCI</t>
        </is>
      </c>
      <c r="B9282" t="inlineStr">
        <is>
          <t>Missouri coincident index</t>
        </is>
      </c>
      <c r="C9282" s="24" t="inlineStr">
        <is>
          <t>freq=monthly; transform=chg_3p; class=A; geo=state:MO</t>
        </is>
      </c>
    </row>
    <row r="9283">
      <c r="A9283" s="26" t="inlineStr">
        <is>
          <t>period</t>
        </is>
      </c>
      <c r="B9283" s="26" t="inlineStr">
        <is>
          <t>value</t>
        </is>
      </c>
    </row>
    <row r="9346">
      <c r="A9346" s="25" t="inlineStr">
        <is>
          <t>MSPHCI</t>
        </is>
      </c>
      <c r="B9346" t="inlineStr">
        <is>
          <t>Mississippi coincident index</t>
        </is>
      </c>
      <c r="C9346" s="24" t="inlineStr">
        <is>
          <t>freq=monthly; transform=chg_3p; class=A; geo=state:MS</t>
        </is>
      </c>
    </row>
    <row r="9347">
      <c r="A9347" s="26" t="inlineStr">
        <is>
          <t>period</t>
        </is>
      </c>
      <c r="B9347" s="26" t="inlineStr">
        <is>
          <t>value</t>
        </is>
      </c>
    </row>
    <row r="9410">
      <c r="A9410" s="25" t="inlineStr">
        <is>
          <t>MTPHCI</t>
        </is>
      </c>
      <c r="B9410" t="inlineStr">
        <is>
          <t>Montana coincident index</t>
        </is>
      </c>
      <c r="C9410" s="24" t="inlineStr">
        <is>
          <t>freq=monthly; transform=chg_3p; class=A; geo=state:MT</t>
        </is>
      </c>
    </row>
    <row r="9411">
      <c r="A9411" s="26" t="inlineStr">
        <is>
          <t>period</t>
        </is>
      </c>
      <c r="B9411" s="26" t="inlineStr">
        <is>
          <t>value</t>
        </is>
      </c>
    </row>
    <row r="9474">
      <c r="A9474" s="25" t="inlineStr">
        <is>
          <t>NCPHCI</t>
        </is>
      </c>
      <c r="B9474" t="inlineStr">
        <is>
          <t>North Carolina coincident index</t>
        </is>
      </c>
      <c r="C9474" s="24" t="inlineStr">
        <is>
          <t>freq=monthly; transform=chg_3p; class=A; geo=state:NC</t>
        </is>
      </c>
    </row>
    <row r="9475">
      <c r="A9475" s="26" t="inlineStr">
        <is>
          <t>period</t>
        </is>
      </c>
      <c r="B9475" s="26" t="inlineStr">
        <is>
          <t>value</t>
        </is>
      </c>
    </row>
    <row r="9538">
      <c r="A9538" s="25" t="inlineStr">
        <is>
          <t>NDPHCI</t>
        </is>
      </c>
      <c r="B9538" t="inlineStr">
        <is>
          <t>North Dakota coincident index</t>
        </is>
      </c>
      <c r="C9538" s="24" t="inlineStr">
        <is>
          <t>freq=monthly; transform=chg_3p; class=A; geo=state:ND</t>
        </is>
      </c>
    </row>
    <row r="9539">
      <c r="A9539" s="26" t="inlineStr">
        <is>
          <t>period</t>
        </is>
      </c>
      <c r="B9539" s="26" t="inlineStr">
        <is>
          <t>value</t>
        </is>
      </c>
    </row>
    <row r="9602">
      <c r="A9602" s="25" t="inlineStr">
        <is>
          <t>NEPHCI</t>
        </is>
      </c>
      <c r="B9602" t="inlineStr">
        <is>
          <t>Nebraska coincident index</t>
        </is>
      </c>
      <c r="C9602" s="24" t="inlineStr">
        <is>
          <t>freq=monthly; transform=chg_3p; class=A; geo=state:NE</t>
        </is>
      </c>
    </row>
    <row r="9603">
      <c r="A9603" s="26" t="inlineStr">
        <is>
          <t>period</t>
        </is>
      </c>
      <c r="B9603" s="26" t="inlineStr">
        <is>
          <t>value</t>
        </is>
      </c>
    </row>
    <row r="9666">
      <c r="A9666" s="25" t="inlineStr">
        <is>
          <t>NHPHCI</t>
        </is>
      </c>
      <c r="B9666" t="inlineStr">
        <is>
          <t>New Hampshire coincident index</t>
        </is>
      </c>
      <c r="C9666" s="24" t="inlineStr">
        <is>
          <t>freq=monthly; transform=chg_3p; class=A; geo=state:NH</t>
        </is>
      </c>
    </row>
    <row r="9667">
      <c r="A9667" s="26" t="inlineStr">
        <is>
          <t>period</t>
        </is>
      </c>
      <c r="B9667" s="26" t="inlineStr">
        <is>
          <t>value</t>
        </is>
      </c>
    </row>
    <row r="9730">
      <c r="A9730" s="25" t="inlineStr">
        <is>
          <t>NJPHCI</t>
        </is>
      </c>
      <c r="B9730" t="inlineStr">
        <is>
          <t>New Jersey coincident index</t>
        </is>
      </c>
      <c r="C9730" s="24" t="inlineStr">
        <is>
          <t>freq=monthly; transform=chg_3p; class=A; geo=state:NJ</t>
        </is>
      </c>
    </row>
    <row r="9731">
      <c r="A9731" s="26" t="inlineStr">
        <is>
          <t>period</t>
        </is>
      </c>
      <c r="B9731" s="26" t="inlineStr">
        <is>
          <t>value</t>
        </is>
      </c>
    </row>
    <row r="9794">
      <c r="A9794" s="25" t="inlineStr">
        <is>
          <t>NMPHCI</t>
        </is>
      </c>
      <c r="B9794" t="inlineStr">
        <is>
          <t>New Mexico coincident index</t>
        </is>
      </c>
      <c r="C9794" s="24" t="inlineStr">
        <is>
          <t>freq=monthly; transform=chg_3p; class=A; geo=state:NM</t>
        </is>
      </c>
    </row>
    <row r="9795">
      <c r="A9795" s="26" t="inlineStr">
        <is>
          <t>period</t>
        </is>
      </c>
      <c r="B9795" s="26" t="inlineStr">
        <is>
          <t>value</t>
        </is>
      </c>
    </row>
    <row r="9858">
      <c r="A9858" s="25" t="inlineStr">
        <is>
          <t>NVPHCI</t>
        </is>
      </c>
      <c r="B9858" t="inlineStr">
        <is>
          <t>Nevada coincident index</t>
        </is>
      </c>
      <c r="C9858" s="24" t="inlineStr">
        <is>
          <t>freq=monthly; transform=chg_3p; class=A; geo=state:NV</t>
        </is>
      </c>
    </row>
    <row r="9859">
      <c r="A9859" s="26" t="inlineStr">
        <is>
          <t>period</t>
        </is>
      </c>
      <c r="B9859" s="26" t="inlineStr">
        <is>
          <t>value</t>
        </is>
      </c>
    </row>
    <row r="9922">
      <c r="A9922" s="25" t="inlineStr">
        <is>
          <t>NYPHCI</t>
        </is>
      </c>
      <c r="B9922" t="inlineStr">
        <is>
          <t>New York coincident index</t>
        </is>
      </c>
      <c r="C9922" s="24" t="inlineStr">
        <is>
          <t>freq=monthly; transform=chg_3p; class=A; geo=state:NY</t>
        </is>
      </c>
    </row>
    <row r="9923">
      <c r="A9923" s="26" t="inlineStr">
        <is>
          <t>period</t>
        </is>
      </c>
      <c r="B9923" s="26" t="inlineStr">
        <is>
          <t>value</t>
        </is>
      </c>
    </row>
    <row r="9986">
      <c r="A9986" s="25" t="inlineStr">
        <is>
          <t>OHPHCI</t>
        </is>
      </c>
      <c r="B9986" t="inlineStr">
        <is>
          <t>Ohio coincident index</t>
        </is>
      </c>
      <c r="C9986" s="24" t="inlineStr">
        <is>
          <t>freq=monthly; transform=chg_3p; class=A; geo=state:OH</t>
        </is>
      </c>
    </row>
    <row r="9987">
      <c r="A9987" s="26" t="inlineStr">
        <is>
          <t>period</t>
        </is>
      </c>
      <c r="B9987" s="26" t="inlineStr">
        <is>
          <t>value</t>
        </is>
      </c>
    </row>
    <row r="10050">
      <c r="A10050" s="25" t="inlineStr">
        <is>
          <t>OKPHCI</t>
        </is>
      </c>
      <c r="B10050" t="inlineStr">
        <is>
          <t>Oklahoma coincident index</t>
        </is>
      </c>
      <c r="C10050" s="24" t="inlineStr">
        <is>
          <t>freq=monthly; transform=chg_3p; class=A; geo=state:OK</t>
        </is>
      </c>
    </row>
    <row r="10051">
      <c r="A10051" s="26" t="inlineStr">
        <is>
          <t>period</t>
        </is>
      </c>
      <c r="B10051" s="26" t="inlineStr">
        <is>
          <t>value</t>
        </is>
      </c>
    </row>
    <row r="10114">
      <c r="A10114" s="25" t="inlineStr">
        <is>
          <t>ORPHCI</t>
        </is>
      </c>
      <c r="B10114" t="inlineStr">
        <is>
          <t>Oregon coincident index</t>
        </is>
      </c>
      <c r="C10114" s="24" t="inlineStr">
        <is>
          <t>freq=monthly; transform=chg_3p; class=A; geo=state:OR</t>
        </is>
      </c>
    </row>
    <row r="10115">
      <c r="A10115" s="26" t="inlineStr">
        <is>
          <t>period</t>
        </is>
      </c>
      <c r="B10115" s="26" t="inlineStr">
        <is>
          <t>value</t>
        </is>
      </c>
    </row>
    <row r="10178">
      <c r="A10178" s="25" t="inlineStr">
        <is>
          <t>PAPHCI</t>
        </is>
      </c>
      <c r="B10178" t="inlineStr">
        <is>
          <t>Pennsylvania coincident index</t>
        </is>
      </c>
      <c r="C10178" s="24" t="inlineStr">
        <is>
          <t>freq=monthly; transform=chg_3p; class=A; geo=state:PA</t>
        </is>
      </c>
    </row>
    <row r="10179">
      <c r="A10179" s="26" t="inlineStr">
        <is>
          <t>period</t>
        </is>
      </c>
      <c r="B10179" s="26" t="inlineStr">
        <is>
          <t>value</t>
        </is>
      </c>
    </row>
    <row r="10242">
      <c r="A10242" s="25" t="inlineStr">
        <is>
          <t>RIPHCI</t>
        </is>
      </c>
      <c r="B10242" t="inlineStr">
        <is>
          <t>Rhode Island coincident index</t>
        </is>
      </c>
      <c r="C10242" s="24" t="inlineStr">
        <is>
          <t>freq=monthly; transform=chg_3p; class=A; geo=state:RI</t>
        </is>
      </c>
    </row>
    <row r="10243">
      <c r="A10243" s="26" t="inlineStr">
        <is>
          <t>period</t>
        </is>
      </c>
      <c r="B10243" s="26" t="inlineStr">
        <is>
          <t>value</t>
        </is>
      </c>
    </row>
    <row r="10306">
      <c r="A10306" s="25" t="inlineStr">
        <is>
          <t>SCPHCI</t>
        </is>
      </c>
      <c r="B10306" t="inlineStr">
        <is>
          <t>South Carolina coincident index</t>
        </is>
      </c>
      <c r="C10306" s="24" t="inlineStr">
        <is>
          <t>freq=monthly; transform=chg_3p; class=A; geo=state:SC</t>
        </is>
      </c>
    </row>
    <row r="10307">
      <c r="A10307" s="26" t="inlineStr">
        <is>
          <t>period</t>
        </is>
      </c>
      <c r="B10307" s="26" t="inlineStr">
        <is>
          <t>value</t>
        </is>
      </c>
    </row>
    <row r="10370">
      <c r="A10370" s="25" t="inlineStr">
        <is>
          <t>SDPHCI</t>
        </is>
      </c>
      <c r="B10370" t="inlineStr">
        <is>
          <t>South Dakota coincident index</t>
        </is>
      </c>
      <c r="C10370" s="24" t="inlineStr">
        <is>
          <t>freq=monthly; transform=chg_3p; class=A; geo=state:SD</t>
        </is>
      </c>
    </row>
    <row r="10371">
      <c r="A10371" s="26" t="inlineStr">
        <is>
          <t>period</t>
        </is>
      </c>
      <c r="B10371" s="26" t="inlineStr">
        <is>
          <t>value</t>
        </is>
      </c>
    </row>
    <row r="10434">
      <c r="A10434" s="25" t="inlineStr">
        <is>
          <t>TNPHCI</t>
        </is>
      </c>
      <c r="B10434" t="inlineStr">
        <is>
          <t>Tennessee coincident index</t>
        </is>
      </c>
      <c r="C10434" s="24" t="inlineStr">
        <is>
          <t>freq=monthly; transform=chg_3p; class=A; geo=state:TN</t>
        </is>
      </c>
    </row>
    <row r="10435">
      <c r="A10435" s="26" t="inlineStr">
        <is>
          <t>period</t>
        </is>
      </c>
      <c r="B10435" s="26" t="inlineStr">
        <is>
          <t>value</t>
        </is>
      </c>
    </row>
    <row r="10498">
      <c r="A10498" s="25" t="inlineStr">
        <is>
          <t>TXPHCI</t>
        </is>
      </c>
      <c r="B10498" t="inlineStr">
        <is>
          <t>Texas coincident index</t>
        </is>
      </c>
      <c r="C10498" s="24" t="inlineStr">
        <is>
          <t>freq=monthly; transform=chg_3p; class=A; geo=state:TX</t>
        </is>
      </c>
    </row>
    <row r="10499">
      <c r="A10499" s="26" t="inlineStr">
        <is>
          <t>period</t>
        </is>
      </c>
      <c r="B10499" s="26" t="inlineStr">
        <is>
          <t>value</t>
        </is>
      </c>
    </row>
    <row r="10562">
      <c r="A10562" s="25" t="inlineStr">
        <is>
          <t>UTPHCI</t>
        </is>
      </c>
      <c r="B10562" t="inlineStr">
        <is>
          <t>Utah coincident index</t>
        </is>
      </c>
      <c r="C10562" s="24" t="inlineStr">
        <is>
          <t>freq=monthly; transform=chg_3p; class=A; geo=state:UT</t>
        </is>
      </c>
    </row>
    <row r="10563">
      <c r="A10563" s="26" t="inlineStr">
        <is>
          <t>period</t>
        </is>
      </c>
      <c r="B10563" s="26" t="inlineStr">
        <is>
          <t>value</t>
        </is>
      </c>
    </row>
    <row r="10626">
      <c r="A10626" s="25" t="inlineStr">
        <is>
          <t>VAPHCI</t>
        </is>
      </c>
      <c r="B10626" t="inlineStr">
        <is>
          <t>Virginia coincident index</t>
        </is>
      </c>
      <c r="C10626" s="24" t="inlineStr">
        <is>
          <t>freq=monthly; transform=chg_3p; class=A; geo=state:VA</t>
        </is>
      </c>
    </row>
    <row r="10627">
      <c r="A10627" s="26" t="inlineStr">
        <is>
          <t>period</t>
        </is>
      </c>
      <c r="B10627" s="26" t="inlineStr">
        <is>
          <t>value</t>
        </is>
      </c>
    </row>
    <row r="10690">
      <c r="A10690" s="25" t="inlineStr">
        <is>
          <t>VTPHCI</t>
        </is>
      </c>
      <c r="B10690" t="inlineStr">
        <is>
          <t>Vermont coincident index</t>
        </is>
      </c>
      <c r="C10690" s="24" t="inlineStr">
        <is>
          <t>freq=monthly; transform=chg_3p; class=A; geo=state:VT</t>
        </is>
      </c>
    </row>
    <row r="10691">
      <c r="A10691" s="26" t="inlineStr">
        <is>
          <t>period</t>
        </is>
      </c>
      <c r="B10691" s="26" t="inlineStr">
        <is>
          <t>value</t>
        </is>
      </c>
    </row>
    <row r="10754">
      <c r="A10754" s="25" t="inlineStr">
        <is>
          <t>WAPHCI</t>
        </is>
      </c>
      <c r="B10754" t="inlineStr">
        <is>
          <t>Washington coincident index</t>
        </is>
      </c>
      <c r="C10754" s="24" t="inlineStr">
        <is>
          <t>freq=monthly; transform=chg_3p; class=A; geo=state:WA</t>
        </is>
      </c>
    </row>
    <row r="10755">
      <c r="A10755" s="26" t="inlineStr">
        <is>
          <t>period</t>
        </is>
      </c>
      <c r="B10755" s="26" t="inlineStr">
        <is>
          <t>value</t>
        </is>
      </c>
    </row>
    <row r="10818">
      <c r="A10818" s="25" t="inlineStr">
        <is>
          <t>WIPHCI</t>
        </is>
      </c>
      <c r="B10818" t="inlineStr">
        <is>
          <t>Wisconsin coincident index</t>
        </is>
      </c>
      <c r="C10818" s="24" t="inlineStr">
        <is>
          <t>freq=monthly; transform=chg_3p; class=A; geo=state:WI</t>
        </is>
      </c>
    </row>
    <row r="10819">
      <c r="A10819" s="26" t="inlineStr">
        <is>
          <t>period</t>
        </is>
      </c>
      <c r="B10819" s="26" t="inlineStr">
        <is>
          <t>value</t>
        </is>
      </c>
    </row>
    <row r="10882">
      <c r="A10882" s="25" t="inlineStr">
        <is>
          <t>WVPHCI</t>
        </is>
      </c>
      <c r="B10882" t="inlineStr">
        <is>
          <t>West Virginia coincident index</t>
        </is>
      </c>
      <c r="C10882" s="24" t="inlineStr">
        <is>
          <t>freq=monthly; transform=chg_3p; class=A; geo=state:WV</t>
        </is>
      </c>
    </row>
    <row r="10883">
      <c r="A10883" s="26" t="inlineStr">
        <is>
          <t>period</t>
        </is>
      </c>
      <c r="B10883" s="26" t="inlineStr">
        <is>
          <t>value</t>
        </is>
      </c>
    </row>
    <row r="10946">
      <c r="A10946" s="25" t="inlineStr">
        <is>
          <t>WYPHCI</t>
        </is>
      </c>
      <c r="B10946" t="inlineStr">
        <is>
          <t>Wyoming coincident index</t>
        </is>
      </c>
      <c r="C10946" s="24" t="inlineStr">
        <is>
          <t>freq=monthly; transform=chg_3p; class=A; geo=state:WY</t>
        </is>
      </c>
    </row>
    <row r="10947">
      <c r="A10947" s="26" t="inlineStr">
        <is>
          <t>period</t>
        </is>
      </c>
      <c r="B10947" s="26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S201"/>
  <sheetViews>
    <sheetView showGridLines="0" workbookViewId="0">
      <selection activeCell="A1" sqref="A1"/>
    </sheetView>
  </sheetViews>
  <sheetFormatPr baseColWidth="8" defaultRowHeight="15"/>
  <cols>
    <col width="26" customWidth="1" min="1" max="1"/>
    <col width="16" customWidth="1" min="2" max="2"/>
    <col width="16" customWidth="1" min="3" max="3"/>
  </cols>
  <sheetData>
    <row r="1">
      <c r="A1" s="25" t="inlineStr">
        <is>
          <t>Macro Early-Warning Monitor (FRED) -- CONFIG (the knob panel). Edit values here; no code change needed.</t>
        </is>
      </c>
    </row>
    <row r="3">
      <c r="A3" s="27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demo_mode</t>
        </is>
      </c>
      <c r="B5" t="inlineStr">
        <is>
          <t>FALSE</t>
        </is>
      </c>
      <c r="C5" t="inlineStr">
        <is>
          <t>TRUE = offline deterministic FredDemoProvider (no network/key), for trying the button and tests.</t>
        </is>
      </c>
    </row>
    <row r="6">
      <c r="A6" t="inlineStr">
        <is>
          <t>raw_slots</t>
        </is>
      </c>
      <c r="B6" t="inlineStr">
        <is>
          <t>60</t>
        </is>
      </c>
      <c r="C6" t="inlineStr">
        <is>
          <t>observations kept per series (newest-first). BUILT INTO the dashboard/Watchlist formulas -- changing it requires rebuilding the workbook (make_workbook.py); the runner refuses a mismatched layout. Weekly yoy_ma4 needs &gt;= 56.</t>
        </is>
      </c>
    </row>
    <row r="7">
      <c r="A7" t="inlineStr">
        <is>
          <t>fred_api_key</t>
        </is>
      </c>
      <c r="B7" t="inlineStr"/>
      <c r="C7" t="inlineStr">
        <is>
          <t>fallback cell for the FRED API key. The FRED_API_KEY env var is preferred; the key is never hardcoded in code and never echoed. Demo mode needs no key.</t>
        </is>
      </c>
    </row>
    <row r="8">
      <c r="A8" t="inlineStr">
        <is>
          <t>http_min_interval</t>
        </is>
      </c>
      <c r="B8" t="inlineStr">
        <is>
          <t>0.6</t>
        </is>
      </c>
      <c r="C8" t="inlineStr">
        <is>
          <t>seconds between live FRED requests (documented limit 120/min -&gt; 0.6s is compliant).</t>
        </is>
      </c>
    </row>
    <row r="9">
      <c r="A9" t="inlineStr">
        <is>
          <t>fred_max_retries</t>
        </is>
      </c>
      <c r="B9" t="inlineStr">
        <is>
          <t>4</t>
        </is>
      </c>
      <c r="C9" t="inlineStr">
        <is>
          <t>retries with backoff on HTTP 429 / transient errors.</t>
        </is>
      </c>
    </row>
    <row r="10">
      <c r="A10" t="inlineStr">
        <is>
          <t>stale_multiplier</t>
        </is>
      </c>
      <c r="B10" t="inlineStr">
        <is>
          <t>2.0</t>
        </is>
      </c>
      <c r="C10" t="inlineStr">
        <is>
          <t>a series is STALE when its last observation is older than this x its cadence (the SLIND lesson); stale rows are excluded from alert counts.</t>
        </is>
      </c>
    </row>
    <row r="11">
      <c r="A11" t="inlineStr">
        <is>
          <t>sahm_state_band</t>
        </is>
      </c>
      <c r="B11" t="n">
        <v>0.5</v>
      </c>
      <c r="C11" t="inlineStr">
        <is>
          <t>state watchlist alert band: UR sahm_gap &gt;= band = ALERT, &gt;= 0.6 x band = WATCH. Referenced by defined name from the Watchlist formulas AND read by the runner's digest.</t>
        </is>
      </c>
    </row>
    <row r="12">
      <c r="A12" t="inlineStr">
        <is>
          <t>secret_env</t>
        </is>
      </c>
      <c r="B12" t="inlineStr"/>
      <c r="C12" t="inlineStr">
        <is>
          <t>NAME of the env var holding a licensed (Class C) secret. Empty in v1 -- and note this template's watchlist admits ONLY Class A; a Class C swap requires its own review.</t>
        </is>
      </c>
    </row>
    <row r="14">
      <c r="A14" s="27" t="inlineStr">
        <is>
          <t>[THRESHOLDS]</t>
        </is>
      </c>
    </row>
    <row r="15">
      <c r="A15" t="inlineStr">
        <is>
          <t>id</t>
        </is>
      </c>
      <c r="B15" t="inlineStr">
        <is>
          <t>watch</t>
        </is>
      </c>
      <c r="C15" t="inlineStr">
        <is>
          <t>alert</t>
        </is>
      </c>
      <c r="D15" t="inlineStr">
        <is>
          <t>direction</t>
        </is>
      </c>
    </row>
    <row r="16">
      <c r="A16" t="inlineStr">
        <is>
          <t>T10Y3M</t>
        </is>
      </c>
      <c r="B16" t="n">
        <v>0</v>
      </c>
      <c r="C16" t="n">
        <v>-0.5</v>
      </c>
      <c r="D16" t="inlineStr">
        <is>
          <t>below</t>
        </is>
      </c>
    </row>
    <row r="17">
      <c r="A17" t="inlineStr">
        <is>
          <t>SAHMREALTIME</t>
        </is>
      </c>
      <c r="B17" t="n">
        <v>0.3</v>
      </c>
      <c r="C17" t="n">
        <v>0.5</v>
      </c>
      <c r="D17" t="inlineStr">
        <is>
          <t>above</t>
        </is>
      </c>
    </row>
    <row r="18">
      <c r="A18" t="inlineStr">
        <is>
          <t>ICSA</t>
        </is>
      </c>
      <c r="B18" t="n">
        <v>10</v>
      </c>
      <c r="C18" t="n">
        <v>25</v>
      </c>
      <c r="D18" t="inlineStr">
        <is>
          <t>above</t>
        </is>
      </c>
    </row>
    <row r="19">
      <c r="A19" t="inlineStr">
        <is>
          <t>BAMLH0A0HYM2</t>
        </is>
      </c>
      <c r="B19" t="n">
        <v>5</v>
      </c>
      <c r="C19" t="n">
        <v>8</v>
      </c>
      <c r="D19" t="inlineStr">
        <is>
          <t>above</t>
        </is>
      </c>
    </row>
    <row r="20">
      <c r="A20" t="inlineStr">
        <is>
          <t>NFCI</t>
        </is>
      </c>
      <c r="B20" t="n">
        <v>0</v>
      </c>
      <c r="C20" t="n">
        <v>0.5</v>
      </c>
      <c r="D20" t="inlineStr">
        <is>
          <t>above</t>
        </is>
      </c>
    </row>
    <row r="21">
      <c r="A21" t="inlineStr">
        <is>
          <t>STLFSI4</t>
        </is>
      </c>
      <c r="B21" t="n">
        <v>0</v>
      </c>
      <c r="C21" t="n">
        <v>1</v>
      </c>
      <c r="D21" t="inlineStr">
        <is>
          <t>above</t>
        </is>
      </c>
    </row>
    <row r="22">
      <c r="A22" t="inlineStr">
        <is>
          <t>DRTSCILM</t>
        </is>
      </c>
      <c r="B22" t="n">
        <v>20</v>
      </c>
      <c r="C22" t="n">
        <v>40</v>
      </c>
      <c r="D22" t="inlineStr">
        <is>
          <t>above</t>
        </is>
      </c>
    </row>
    <row r="23">
      <c r="A23" t="inlineStr">
        <is>
          <t>RECPROUSM156N</t>
        </is>
      </c>
      <c r="B23" t="n">
        <v>20</v>
      </c>
      <c r="C23" t="n">
        <v>50</v>
      </c>
      <c r="D23" t="inlineStr">
        <is>
          <t>above</t>
        </is>
      </c>
    </row>
    <row r="25">
      <c r="A25" s="27" t="inlineStr">
        <is>
          <t>[SERIES]</t>
        </is>
      </c>
    </row>
    <row r="26">
      <c r="A26" t="inlineStr">
        <is>
          <t>id</t>
        </is>
      </c>
      <c r="B26" t="inlineStr">
        <is>
          <t>title</t>
        </is>
      </c>
      <c r="C26" t="inlineStr">
        <is>
          <t>category</t>
        </is>
      </c>
      <c r="D26" t="inlineStr">
        <is>
          <t>lane</t>
        </is>
      </c>
      <c r="E26" t="inlineStr">
        <is>
          <t>metric_type</t>
        </is>
      </c>
      <c r="F26" t="inlineStr">
        <is>
          <t>frequency</t>
        </is>
      </c>
      <c r="G26" t="inlineStr">
        <is>
          <t>sa_nsa</t>
        </is>
      </c>
      <c r="H26" t="inlineStr">
        <is>
          <t>units</t>
        </is>
      </c>
      <c r="I26" t="inlineStr">
        <is>
          <t>level_rate_index</t>
        </is>
      </c>
      <c r="J26" t="inlineStr">
        <is>
          <t>geo_segment</t>
        </is>
      </c>
      <c r="K26" t="inlineStr">
        <is>
          <t>source_class</t>
        </is>
      </c>
      <c r="L26" t="inlineStr">
        <is>
          <t>dashboard_capable</t>
        </is>
      </c>
      <c r="M26" t="inlineStr">
        <is>
          <t>watchlist_capable</t>
        </is>
      </c>
      <c r="N26" t="inlineStr">
        <is>
          <t>source_url</t>
        </is>
      </c>
      <c r="O26" t="inlineStr">
        <is>
          <t>table_id</t>
        </is>
      </c>
      <c r="P26" t="inlineStr">
        <is>
          <t>sheet</t>
        </is>
      </c>
      <c r="Q26" t="inlineStr">
        <is>
          <t>series_label</t>
        </is>
      </c>
      <c r="R26" t="inlineStr">
        <is>
          <t>transform</t>
        </is>
      </c>
      <c r="S26" t="inlineStr">
        <is>
          <t>notes</t>
        </is>
      </c>
    </row>
    <row r="27">
      <c r="A27" t="inlineStr">
        <is>
          <t>T10Y3M</t>
        </is>
      </c>
      <c r="B27" t="inlineStr">
        <is>
          <t>10Y-3M Treasury spread</t>
        </is>
      </c>
      <c r="C27" t="inlineStr">
        <is>
          <t>curve</t>
        </is>
      </c>
      <c r="D27" t="inlineStr">
        <is>
          <t>dashboard</t>
        </is>
      </c>
      <c r="E27" t="inlineStr">
        <is>
          <t>curve_spread</t>
        </is>
      </c>
      <c r="F27" t="inlineStr">
        <is>
          <t>daily</t>
        </is>
      </c>
      <c r="G27" t="inlineStr">
        <is>
          <t>NSA</t>
        </is>
      </c>
      <c r="H27" t="inlineStr">
        <is>
          <t>pct_pts</t>
        </is>
      </c>
      <c r="I27" t="inlineStr">
        <is>
          <t>level</t>
        </is>
      </c>
      <c r="J27" t="inlineStr">
        <is>
          <t>national</t>
        </is>
      </c>
      <c r="K27" t="inlineStr">
        <is>
          <t>A</t>
        </is>
      </c>
      <c r="L27" t="inlineStr">
        <is>
          <t>TRUE</t>
        </is>
      </c>
      <c r="M27" t="inlineStr">
        <is>
          <t>FALSE</t>
        </is>
      </c>
      <c r="N27" t="inlineStr">
        <is>
          <t>https://fred.stlouisfed.org/series/T10Y3M</t>
        </is>
      </c>
      <c r="O27" t="inlineStr"/>
      <c r="P27" t="inlineStr"/>
      <c r="Q27" t="inlineStr"/>
      <c r="R27" t="inlineStr">
        <is>
          <t>level</t>
        </is>
      </c>
      <c r="S27" t="inlineStr">
        <is>
          <t>The headline inversion signal (H.15). Threshold direction=below: watch 0.0 / alert -0.5.</t>
        </is>
      </c>
    </row>
    <row r="28">
      <c r="A28" t="inlineStr">
        <is>
          <t>T10Y2Y</t>
        </is>
      </c>
      <c r="B28" t="inlineStr">
        <is>
          <t>10Y-2Y Treasury spread</t>
        </is>
      </c>
      <c r="C28" t="inlineStr">
        <is>
          <t>curve</t>
        </is>
      </c>
      <c r="D28" t="inlineStr">
        <is>
          <t>dashboard</t>
        </is>
      </c>
      <c r="E28" t="inlineStr">
        <is>
          <t>curve_spread</t>
        </is>
      </c>
      <c r="F28" t="inlineStr">
        <is>
          <t>daily</t>
        </is>
      </c>
      <c r="G28" t="inlineStr">
        <is>
          <t>NSA</t>
        </is>
      </c>
      <c r="H28" t="inlineStr">
        <is>
          <t>pct_pts</t>
        </is>
      </c>
      <c r="I28" t="inlineStr">
        <is>
          <t>level</t>
        </is>
      </c>
      <c r="J28" t="inlineStr">
        <is>
          <t>national</t>
        </is>
      </c>
      <c r="K28" t="inlineStr">
        <is>
          <t>A</t>
        </is>
      </c>
      <c r="L28" t="inlineStr">
        <is>
          <t>TRUE</t>
        </is>
      </c>
      <c r="M28" t="inlineStr">
        <is>
          <t>FALSE</t>
        </is>
      </c>
      <c r="N28" t="inlineStr">
        <is>
          <t>https://fred.stlouisfed.org/series/T10Y2Y</t>
        </is>
      </c>
      <c r="O28" t="inlineStr"/>
      <c r="P28" t="inlineStr"/>
      <c r="Q28" t="inlineStr"/>
      <c r="R28" t="inlineStr">
        <is>
          <t>level</t>
        </is>
      </c>
      <c r="S28" t="inlineStr"/>
    </row>
    <row r="29">
      <c r="A29" t="inlineStr">
        <is>
          <t>T10Y3MM</t>
        </is>
      </c>
      <c r="B29" t="inlineStr">
        <is>
          <t>10Y-3M spread (monthly)</t>
        </is>
      </c>
      <c r="C29" t="inlineStr">
        <is>
          <t>curve</t>
        </is>
      </c>
      <c r="D29" t="inlineStr">
        <is>
          <t>dashboard</t>
        </is>
      </c>
      <c r="E29" t="inlineStr">
        <is>
          <t>curve_spread</t>
        </is>
      </c>
      <c r="F29" t="inlineStr">
        <is>
          <t>monthly</t>
        </is>
      </c>
      <c r="G29" t="inlineStr">
        <is>
          <t>NSA</t>
        </is>
      </c>
      <c r="H29" t="inlineStr">
        <is>
          <t>pct_pts</t>
        </is>
      </c>
      <c r="I29" t="inlineStr">
        <is>
          <t>level</t>
        </is>
      </c>
      <c r="J29" t="inlineStr">
        <is>
          <t>national</t>
        </is>
      </c>
      <c r="K29" t="inlineStr">
        <is>
          <t>A</t>
        </is>
      </c>
      <c r="L29" t="inlineStr">
        <is>
          <t>TRUE</t>
        </is>
      </c>
      <c r="M29" t="inlineStr">
        <is>
          <t>FALSE</t>
        </is>
      </c>
      <c r="N29" t="inlineStr">
        <is>
          <t>https://fred.stlouisfed.org/series/T10Y3MM</t>
        </is>
      </c>
      <c r="O29" t="inlineStr"/>
      <c r="P29" t="inlineStr"/>
      <c r="Q29" t="inlineStr"/>
      <c r="R29" t="inlineStr">
        <is>
          <t>level</t>
        </is>
      </c>
      <c r="S29" t="inlineStr">
        <is>
          <t>Monthly counterpart for composite math.</t>
        </is>
      </c>
    </row>
    <row r="30">
      <c r="A30" t="inlineStr">
        <is>
          <t>SAHMREALTIME</t>
        </is>
      </c>
      <c r="B30" t="inlineStr">
        <is>
          <t>Sahm rule (real-time)</t>
        </is>
      </c>
      <c r="C30" t="inlineStr">
        <is>
          <t>labor</t>
        </is>
      </c>
      <c r="D30" t="inlineStr">
        <is>
          <t>dashboard</t>
        </is>
      </c>
      <c r="E30" t="inlineStr">
        <is>
          <t>sahm</t>
        </is>
      </c>
      <c r="F30" t="inlineStr">
        <is>
          <t>monthly</t>
        </is>
      </c>
      <c r="G30" t="inlineStr">
        <is>
          <t>SA</t>
        </is>
      </c>
      <c r="H30" t="inlineStr">
        <is>
          <t>pct_pts</t>
        </is>
      </c>
      <c r="I30" t="inlineStr">
        <is>
          <t>level</t>
        </is>
      </c>
      <c r="J30" t="inlineStr">
        <is>
          <t>national</t>
        </is>
      </c>
      <c r="K30" t="inlineStr">
        <is>
          <t>A</t>
        </is>
      </c>
      <c r="L30" t="inlineStr">
        <is>
          <t>TRUE</t>
        </is>
      </c>
      <c r="M30" t="inlineStr">
        <is>
          <t>FALSE</t>
        </is>
      </c>
      <c r="N30" t="inlineStr">
        <is>
          <t>https://fred.stlouisfed.org/series/SAHMREALTIME</t>
        </is>
      </c>
      <c r="O30" t="inlineStr"/>
      <c r="P30" t="inlineStr"/>
      <c r="Q30" t="inlineStr"/>
      <c r="R30" t="inlineStr">
        <is>
          <t>level</t>
        </is>
      </c>
      <c r="S30" t="inlineStr">
        <is>
          <t>The canonical trigger: 3m-avg U-3 rising &gt;= 0.50pp above its 12-month low, built from real-time vintages.</t>
        </is>
      </c>
    </row>
    <row r="31">
      <c r="A31" t="inlineStr">
        <is>
          <t>SAHMCURRENT</t>
        </is>
      </c>
      <c r="B31" t="inlineStr">
        <is>
          <t>Sahm rule (current data)</t>
        </is>
      </c>
      <c r="C31" t="inlineStr">
        <is>
          <t>labor</t>
        </is>
      </c>
      <c r="D31" t="inlineStr">
        <is>
          <t>dashboard</t>
        </is>
      </c>
      <c r="E31" t="inlineStr">
        <is>
          <t>sahm</t>
        </is>
      </c>
      <c r="F31" t="inlineStr">
        <is>
          <t>monthly</t>
        </is>
      </c>
      <c r="G31" t="inlineStr">
        <is>
          <t>SA</t>
        </is>
      </c>
      <c r="H31" t="inlineStr">
        <is>
          <t>pct_pts</t>
        </is>
      </c>
      <c r="I31" t="inlineStr">
        <is>
          <t>level</t>
        </is>
      </c>
      <c r="J31" t="inlineStr">
        <is>
          <t>national</t>
        </is>
      </c>
      <c r="K31" t="inlineStr">
        <is>
          <t>A</t>
        </is>
      </c>
      <c r="L31" t="inlineStr">
        <is>
          <t>TRUE</t>
        </is>
      </c>
      <c r="M31" t="inlineStr">
        <is>
          <t>FALSE</t>
        </is>
      </c>
      <c r="N31" t="inlineStr">
        <is>
          <t>https://fred.stlouisfed.org/series/SAHMCURRENT</t>
        </is>
      </c>
      <c r="O31" t="inlineStr"/>
      <c r="P31" t="inlineStr"/>
      <c r="Q31" t="inlineStr"/>
      <c r="R31" t="inlineStr">
        <is>
          <t>level</t>
        </is>
      </c>
      <c r="S31" t="inlineStr">
        <is>
          <t>Context only: history mutates with BLS revisions.</t>
        </is>
      </c>
    </row>
    <row r="32">
      <c r="A32" t="inlineStr">
        <is>
          <t>ICSA</t>
        </is>
      </c>
      <c r="B32" t="inlineStr">
        <is>
          <t>Initial claims</t>
        </is>
      </c>
      <c r="C32" t="inlineStr">
        <is>
          <t>labor</t>
        </is>
      </c>
      <c r="D32" t="inlineStr">
        <is>
          <t>dashboard</t>
        </is>
      </c>
      <c r="E32" t="inlineStr">
        <is>
          <t>claims</t>
        </is>
      </c>
      <c r="F32" t="inlineStr">
        <is>
          <t>weekly</t>
        </is>
      </c>
      <c r="G32" t="inlineStr">
        <is>
          <t>SA</t>
        </is>
      </c>
      <c r="H32" t="inlineStr">
        <is>
          <t>count</t>
        </is>
      </c>
      <c r="I32" t="inlineStr">
        <is>
          <t>level</t>
        </is>
      </c>
      <c r="J32" t="inlineStr">
        <is>
          <t>national</t>
        </is>
      </c>
      <c r="K32" t="inlineStr">
        <is>
          <t>A</t>
        </is>
      </c>
      <c r="L32" t="inlineStr">
        <is>
          <t>TRUE</t>
        </is>
      </c>
      <c r="M32" t="inlineStr">
        <is>
          <t>FALSE</t>
        </is>
      </c>
      <c r="N32" t="inlineStr">
        <is>
          <t>https://fred.stlouisfed.org/series/ICSA</t>
        </is>
      </c>
      <c r="O32" t="inlineStr"/>
      <c r="P32" t="inlineStr"/>
      <c r="Q32" t="inlineStr"/>
      <c r="R32" t="inlineStr">
        <is>
          <t>yoy_ma4</t>
        </is>
      </c>
      <c r="S32" t="inlineStr">
        <is>
          <t>Thursday release; alert on the YoY of the 4-week MA, never raw weekly deltas.</t>
        </is>
      </c>
    </row>
    <row r="33">
      <c r="A33" t="inlineStr">
        <is>
          <t>IC4WSA</t>
        </is>
      </c>
      <c r="B33" t="inlineStr">
        <is>
          <t>Initial claims, 4-week MA</t>
        </is>
      </c>
      <c r="C33" t="inlineStr">
        <is>
          <t>labor</t>
        </is>
      </c>
      <c r="D33" t="inlineStr">
        <is>
          <t>dashboard</t>
        </is>
      </c>
      <c r="E33" t="inlineStr">
        <is>
          <t>claims</t>
        </is>
      </c>
      <c r="F33" t="inlineStr">
        <is>
          <t>weekly</t>
        </is>
      </c>
      <c r="G33" t="inlineStr">
        <is>
          <t>SA</t>
        </is>
      </c>
      <c r="H33" t="inlineStr">
        <is>
          <t>count</t>
        </is>
      </c>
      <c r="I33" t="inlineStr">
        <is>
          <t>level</t>
        </is>
      </c>
      <c r="J33" t="inlineStr">
        <is>
          <t>national</t>
        </is>
      </c>
      <c r="K33" t="inlineStr">
        <is>
          <t>A</t>
        </is>
      </c>
      <c r="L33" t="inlineStr">
        <is>
          <t>TRUE</t>
        </is>
      </c>
      <c r="M33" t="inlineStr">
        <is>
          <t>FALSE</t>
        </is>
      </c>
      <c r="N33" t="inlineStr">
        <is>
          <t>https://fred.stlouisfed.org/series/IC4WSA</t>
        </is>
      </c>
      <c r="O33" t="inlineStr"/>
      <c r="P33" t="inlineStr"/>
      <c r="Q33" t="inlineStr"/>
      <c r="R33" t="inlineStr">
        <is>
          <t>level</t>
        </is>
      </c>
      <c r="S33" t="inlineStr">
        <is>
          <t>Already a 4-week MA -- shown as the smoothed level.</t>
        </is>
      </c>
    </row>
    <row r="34">
      <c r="A34" t="inlineStr">
        <is>
          <t>CCSA</t>
        </is>
      </c>
      <c r="B34" t="inlineStr">
        <is>
          <t>Continued claims</t>
        </is>
      </c>
      <c r="C34" t="inlineStr">
        <is>
          <t>labor</t>
        </is>
      </c>
      <c r="D34" t="inlineStr">
        <is>
          <t>dashboard</t>
        </is>
      </c>
      <c r="E34" t="inlineStr">
        <is>
          <t>claims</t>
        </is>
      </c>
      <c r="F34" t="inlineStr">
        <is>
          <t>weekly</t>
        </is>
      </c>
      <c r="G34" t="inlineStr">
        <is>
          <t>SA</t>
        </is>
      </c>
      <c r="H34" t="inlineStr">
        <is>
          <t>count</t>
        </is>
      </c>
      <c r="I34" t="inlineStr">
        <is>
          <t>level</t>
        </is>
      </c>
      <c r="J34" t="inlineStr">
        <is>
          <t>national</t>
        </is>
      </c>
      <c r="K34" t="inlineStr">
        <is>
          <t>A</t>
        </is>
      </c>
      <c r="L34" t="inlineStr">
        <is>
          <t>TRUE</t>
        </is>
      </c>
      <c r="M34" t="inlineStr">
        <is>
          <t>FALSE</t>
        </is>
      </c>
      <c r="N34" t="inlineStr">
        <is>
          <t>https://fred.stlouisfed.org/series/CCSA</t>
        </is>
      </c>
      <c r="O34" t="inlineStr"/>
      <c r="P34" t="inlineStr"/>
      <c r="Q34" t="inlineStr"/>
      <c r="R34" t="inlineStr">
        <is>
          <t>yoy_ma4</t>
        </is>
      </c>
      <c r="S34" t="inlineStr">
        <is>
          <t>One week behind ICSA.</t>
        </is>
      </c>
    </row>
    <row r="35">
      <c r="A35" t="inlineStr">
        <is>
          <t>AWHMAN</t>
        </is>
      </c>
      <c r="B35" t="inlineStr">
        <is>
          <t>Mfg avg weekly hours</t>
        </is>
      </c>
      <c r="C35" t="inlineStr">
        <is>
          <t>labor</t>
        </is>
      </c>
      <c r="D35" t="inlineStr">
        <is>
          <t>dashboard</t>
        </is>
      </c>
      <c r="E35" t="inlineStr">
        <is>
          <t>hours</t>
        </is>
      </c>
      <c r="F35" t="inlineStr">
        <is>
          <t>monthly</t>
        </is>
      </c>
      <c r="G35" t="inlineStr">
        <is>
          <t>SA</t>
        </is>
      </c>
      <c r="H35" t="inlineStr">
        <is>
          <t>hours</t>
        </is>
      </c>
      <c r="I35" t="inlineStr">
        <is>
          <t>level</t>
        </is>
      </c>
      <c r="J35" t="inlineStr">
        <is>
          <t>national</t>
        </is>
      </c>
      <c r="K35" t="inlineStr">
        <is>
          <t>A</t>
        </is>
      </c>
      <c r="L35" t="inlineStr">
        <is>
          <t>TRUE</t>
        </is>
      </c>
      <c r="M35" t="inlineStr">
        <is>
          <t>FALSE</t>
        </is>
      </c>
      <c r="N35" t="inlineStr">
        <is>
          <t>https://fred.stlouisfed.org/series/AWHMAN</t>
        </is>
      </c>
      <c r="O35" t="inlineStr"/>
      <c r="P35" t="inlineStr"/>
      <c r="Q35" t="inlineStr"/>
      <c r="R35" t="inlineStr">
        <is>
          <t>level</t>
        </is>
      </c>
      <c r="S35" t="inlineStr">
        <is>
          <t>Classic leading composite input (hours cut before heads).</t>
        </is>
      </c>
    </row>
    <row r="36">
      <c r="A36" t="inlineStr">
        <is>
          <t>BAMLH0A0HYM2</t>
        </is>
      </c>
      <c r="B36" t="inlineStr">
        <is>
          <t>HY OAS (ICE BofA)</t>
        </is>
      </c>
      <c r="C36" t="inlineStr">
        <is>
          <t>spreads</t>
        </is>
      </c>
      <c r="D36" t="inlineStr">
        <is>
          <t>dashboard</t>
        </is>
      </c>
      <c r="E36" t="inlineStr">
        <is>
          <t>oas</t>
        </is>
      </c>
      <c r="F36" t="inlineStr">
        <is>
          <t>daily</t>
        </is>
      </c>
      <c r="G36" t="inlineStr">
        <is>
          <t>NSA</t>
        </is>
      </c>
      <c r="H36" t="inlineStr">
        <is>
          <t>pct</t>
        </is>
      </c>
      <c r="I36" t="inlineStr">
        <is>
          <t>level</t>
        </is>
      </c>
      <c r="J36" t="inlineStr">
        <is>
          <t>national</t>
        </is>
      </c>
      <c r="K36" t="inlineStr">
        <is>
          <t>A</t>
        </is>
      </c>
      <c r="L36" t="inlineStr">
        <is>
          <t>TRUE</t>
        </is>
      </c>
      <c r="M36" t="inlineStr">
        <is>
          <t>FALSE</t>
        </is>
      </c>
      <c r="N36" t="inlineStr">
        <is>
          <t>https://fred.stlouisfed.org/series/BAMLH0A0HYM2</t>
        </is>
      </c>
      <c r="O36" t="inlineStr"/>
      <c r="P36" t="inlineStr"/>
      <c r="Q36" t="inlineStr"/>
      <c r="R36" t="inlineStr">
        <is>
          <t>level</t>
        </is>
      </c>
      <c r="S36" t="inlineStr">
        <is>
          <t>(c) Ice Data Indices -- display-only; FRED serves ~3yr window from Apr 2026; thresholds are static references, not computed percentiles</t>
        </is>
      </c>
    </row>
    <row r="37">
      <c r="A37" t="inlineStr">
        <is>
          <t>BAMLC0A0CM</t>
        </is>
      </c>
      <c r="B37" t="inlineStr">
        <is>
          <t>IG OAS (ICE BofA)</t>
        </is>
      </c>
      <c r="C37" t="inlineStr">
        <is>
          <t>spreads</t>
        </is>
      </c>
      <c r="D37" t="inlineStr">
        <is>
          <t>dashboard</t>
        </is>
      </c>
      <c r="E37" t="inlineStr">
        <is>
          <t>oas</t>
        </is>
      </c>
      <c r="F37" t="inlineStr">
        <is>
          <t>daily</t>
        </is>
      </c>
      <c r="G37" t="inlineStr">
        <is>
          <t>NSA</t>
        </is>
      </c>
      <c r="H37" t="inlineStr">
        <is>
          <t>pct</t>
        </is>
      </c>
      <c r="I37" t="inlineStr">
        <is>
          <t>level</t>
        </is>
      </c>
      <c r="J37" t="inlineStr">
        <is>
          <t>national</t>
        </is>
      </c>
      <c r="K37" t="inlineStr">
        <is>
          <t>A</t>
        </is>
      </c>
      <c r="L37" t="inlineStr">
        <is>
          <t>TRUE</t>
        </is>
      </c>
      <c r="M37" t="inlineStr">
        <is>
          <t>FALSE</t>
        </is>
      </c>
      <c r="N37" t="inlineStr">
        <is>
          <t>https://fred.stlouisfed.org/series/BAMLC0A0CM</t>
        </is>
      </c>
      <c r="O37" t="inlineStr"/>
      <c r="P37" t="inlineStr"/>
      <c r="Q37" t="inlineStr"/>
      <c r="R37" t="inlineStr">
        <is>
          <t>level</t>
        </is>
      </c>
      <c r="S37" t="inlineStr">
        <is>
          <t>(c) Ice Data Indices -- display-only; FRED serves ~3yr window from Apr 2026; thresholds are static references, not computed percentiles</t>
        </is>
      </c>
    </row>
    <row r="38">
      <c r="A38" t="inlineStr">
        <is>
          <t>NFCI</t>
        </is>
      </c>
      <c r="B38" t="inlineStr">
        <is>
          <t>Chicago Fed NFCI</t>
        </is>
      </c>
      <c r="C38" t="inlineStr">
        <is>
          <t>conditions</t>
        </is>
      </c>
      <c r="D38" t="inlineStr">
        <is>
          <t>dashboard</t>
        </is>
      </c>
      <c r="E38" t="inlineStr">
        <is>
          <t>fin_conditions</t>
        </is>
      </c>
      <c r="F38" t="inlineStr">
        <is>
          <t>weekly</t>
        </is>
      </c>
      <c r="G38" t="inlineStr">
        <is>
          <t>NSA</t>
        </is>
      </c>
      <c r="H38" t="inlineStr">
        <is>
          <t>index</t>
        </is>
      </c>
      <c r="I38" t="inlineStr">
        <is>
          <t>index</t>
        </is>
      </c>
      <c r="J38" t="inlineStr">
        <is>
          <t>national</t>
        </is>
      </c>
      <c r="K38" t="inlineStr">
        <is>
          <t>A</t>
        </is>
      </c>
      <c r="L38" t="inlineStr">
        <is>
          <t>TRUE</t>
        </is>
      </c>
      <c r="M38" t="inlineStr">
        <is>
          <t>FALSE</t>
        </is>
      </c>
      <c r="N38" t="inlineStr">
        <is>
          <t>https://fred.stlouisfed.org/series/NFCI</t>
        </is>
      </c>
      <c r="O38" t="inlineStr"/>
      <c r="P38" t="inlineStr"/>
      <c r="Q38" t="inlineStr"/>
      <c r="R38" t="inlineStr">
        <is>
          <t>level</t>
        </is>
      </c>
      <c r="S38" t="inlineStr">
        <is>
          <t>Mean-0/sd-1 back to 1971; positive = tighter than average.</t>
        </is>
      </c>
    </row>
    <row r="39">
      <c r="A39" t="inlineStr">
        <is>
          <t>ANFCI</t>
        </is>
      </c>
      <c r="B39" t="inlineStr">
        <is>
          <t>Chicago Fed adjusted NFCI</t>
        </is>
      </c>
      <c r="C39" t="inlineStr">
        <is>
          <t>conditions</t>
        </is>
      </c>
      <c r="D39" t="inlineStr">
        <is>
          <t>dashboard</t>
        </is>
      </c>
      <c r="E39" t="inlineStr">
        <is>
          <t>fin_conditions</t>
        </is>
      </c>
      <c r="F39" t="inlineStr">
        <is>
          <t>weekly</t>
        </is>
      </c>
      <c r="G39" t="inlineStr">
        <is>
          <t>NSA</t>
        </is>
      </c>
      <c r="H39" t="inlineStr">
        <is>
          <t>index</t>
        </is>
      </c>
      <c r="I39" t="inlineStr">
        <is>
          <t>index</t>
        </is>
      </c>
      <c r="J39" t="inlineStr">
        <is>
          <t>national</t>
        </is>
      </c>
      <c r="K39" t="inlineStr">
        <is>
          <t>A</t>
        </is>
      </c>
      <c r="L39" t="inlineStr">
        <is>
          <t>TRUE</t>
        </is>
      </c>
      <c r="M39" t="inlineStr">
        <is>
          <t>FALSE</t>
        </is>
      </c>
      <c r="N39" t="inlineStr">
        <is>
          <t>https://fred.stlouisfed.org/series/ANFCI</t>
        </is>
      </c>
      <c r="O39" t="inlineStr"/>
      <c r="P39" t="inlineStr"/>
      <c r="Q39" t="inlineStr"/>
      <c r="R39" t="inlineStr">
        <is>
          <t>level</t>
        </is>
      </c>
      <c r="S39" t="inlineStr"/>
    </row>
    <row r="40">
      <c r="A40" t="inlineStr">
        <is>
          <t>STLFSI4</t>
        </is>
      </c>
      <c r="B40" t="inlineStr">
        <is>
          <t>St. Louis Fed stress index</t>
        </is>
      </c>
      <c r="C40" t="inlineStr">
        <is>
          <t>conditions</t>
        </is>
      </c>
      <c r="D40" t="inlineStr">
        <is>
          <t>dashboard</t>
        </is>
      </c>
      <c r="E40" t="inlineStr">
        <is>
          <t>fin_conditions</t>
        </is>
      </c>
      <c r="F40" t="inlineStr">
        <is>
          <t>weekly</t>
        </is>
      </c>
      <c r="G40" t="inlineStr">
        <is>
          <t>NSA</t>
        </is>
      </c>
      <c r="H40" t="inlineStr">
        <is>
          <t>index</t>
        </is>
      </c>
      <c r="I40" t="inlineStr">
        <is>
          <t>index</t>
        </is>
      </c>
      <c r="J40" t="inlineStr">
        <is>
          <t>national</t>
        </is>
      </c>
      <c r="K40" t="inlineStr">
        <is>
          <t>A</t>
        </is>
      </c>
      <c r="L40" t="inlineStr">
        <is>
          <t>TRUE</t>
        </is>
      </c>
      <c r="M40" t="inlineStr">
        <is>
          <t>FALSE</t>
        </is>
      </c>
      <c r="N40" t="inlineStr">
        <is>
          <t>https://fred.stlouisfed.org/series/STLFSI4</t>
        </is>
      </c>
      <c r="O40" t="inlineStr"/>
      <c r="P40" t="inlineStr"/>
      <c r="Q40" t="inlineStr"/>
      <c r="R40" t="inlineStr">
        <is>
          <t>level</t>
        </is>
      </c>
      <c r="S40" t="inlineStr">
        <is>
          <t>4th vintage -- STLFSI/2/3 all carry (DISCONTINUED).</t>
        </is>
      </c>
    </row>
    <row r="41">
      <c r="A41" t="inlineStr">
        <is>
          <t>KCFSI</t>
        </is>
      </c>
      <c r="B41" t="inlineStr">
        <is>
          <t>Kansas City Fed stress index</t>
        </is>
      </c>
      <c r="C41" t="inlineStr">
        <is>
          <t>conditions</t>
        </is>
      </c>
      <c r="D41" t="inlineStr">
        <is>
          <t>dashboard</t>
        </is>
      </c>
      <c r="E41" t="inlineStr">
        <is>
          <t>fin_conditions</t>
        </is>
      </c>
      <c r="F41" t="inlineStr">
        <is>
          <t>monthly</t>
        </is>
      </c>
      <c r="G41" t="inlineStr">
        <is>
          <t>NSA</t>
        </is>
      </c>
      <c r="H41" t="inlineStr">
        <is>
          <t>index</t>
        </is>
      </c>
      <c r="I41" t="inlineStr">
        <is>
          <t>index</t>
        </is>
      </c>
      <c r="J41" t="inlineStr">
        <is>
          <t>national</t>
        </is>
      </c>
      <c r="K41" t="inlineStr">
        <is>
          <t>A</t>
        </is>
      </c>
      <c r="L41" t="inlineStr">
        <is>
          <t>TRUE</t>
        </is>
      </c>
      <c r="M41" t="inlineStr">
        <is>
          <t>FALSE</t>
        </is>
      </c>
      <c r="N41" t="inlineStr">
        <is>
          <t>https://fred.stlouisfed.org/series/KCFSI</t>
        </is>
      </c>
      <c r="O41" t="inlineStr"/>
      <c r="P41" t="inlineStr"/>
      <c r="Q41" t="inlineStr"/>
      <c r="R41" t="inlineStr">
        <is>
          <t>level</t>
        </is>
      </c>
      <c r="S41" t="inlineStr">
        <is>
          <t>Monthly complement to the weekly stress gauges.</t>
        </is>
      </c>
    </row>
    <row r="42">
      <c r="A42" t="inlineStr">
        <is>
          <t>DRTSCILM</t>
        </is>
      </c>
      <c r="B42" t="inlineStr">
        <is>
          <t>SLOOS: C&amp;I tightening (large/mid)</t>
        </is>
      </c>
      <c r="C42" t="inlineStr">
        <is>
          <t>sloos</t>
        </is>
      </c>
      <c r="D42" t="inlineStr">
        <is>
          <t>dashboard</t>
        </is>
      </c>
      <c r="E42" t="inlineStr">
        <is>
          <t>sloos</t>
        </is>
      </c>
      <c r="F42" t="inlineStr">
        <is>
          <t>quarterly</t>
        </is>
      </c>
      <c r="G42" t="inlineStr">
        <is>
          <t>NSA</t>
        </is>
      </c>
      <c r="H42" t="inlineStr">
        <is>
          <t>pct</t>
        </is>
      </c>
      <c r="I42" t="inlineStr">
        <is>
          <t>rate</t>
        </is>
      </c>
      <c r="J42" t="inlineStr">
        <is>
          <t>national</t>
        </is>
      </c>
      <c r="K42" t="inlineStr">
        <is>
          <t>A</t>
        </is>
      </c>
      <c r="L42" t="inlineStr">
        <is>
          <t>TRUE</t>
        </is>
      </c>
      <c r="M42" t="inlineStr">
        <is>
          <t>FALSE</t>
        </is>
      </c>
      <c r="N42" t="inlineStr">
        <is>
          <t>https://fred.stlouisfed.org/series/DRTSCILM</t>
        </is>
      </c>
      <c r="O42" t="inlineStr"/>
      <c r="P42" t="inlineStr"/>
      <c r="Q42" t="inlineStr"/>
      <c r="R42" t="inlineStr">
        <is>
          <t>level</t>
        </is>
      </c>
      <c r="S42" t="inlineStr">
        <is>
          <t>Net pct of banks tightening -- the underwriting cycle.</t>
        </is>
      </c>
    </row>
    <row r="43">
      <c r="A43" t="inlineStr">
        <is>
          <t>PERMIT</t>
        </is>
      </c>
      <c r="B43" t="inlineStr">
        <is>
          <t>Building permits</t>
        </is>
      </c>
      <c r="C43" t="inlineStr">
        <is>
          <t>housing</t>
        </is>
      </c>
      <c r="D43" t="inlineStr">
        <is>
          <t>dashboard</t>
        </is>
      </c>
      <c r="E43" t="inlineStr">
        <is>
          <t>housing</t>
        </is>
      </c>
      <c r="F43" t="inlineStr">
        <is>
          <t>monthly</t>
        </is>
      </c>
      <c r="G43" t="inlineStr">
        <is>
          <t>SA</t>
        </is>
      </c>
      <c r="H43" t="inlineStr">
        <is>
          <t>thous_saar</t>
        </is>
      </c>
      <c r="I43" t="inlineStr">
        <is>
          <t>level</t>
        </is>
      </c>
      <c r="J43" t="inlineStr">
        <is>
          <t>national</t>
        </is>
      </c>
      <c r="K43" t="inlineStr">
        <is>
          <t>A</t>
        </is>
      </c>
      <c r="L43" t="inlineStr">
        <is>
          <t>TRUE</t>
        </is>
      </c>
      <c r="M43" t="inlineStr">
        <is>
          <t>FALSE</t>
        </is>
      </c>
      <c r="N43" t="inlineStr">
        <is>
          <t>https://fred.stlouisfed.org/series/PERMIT</t>
        </is>
      </c>
      <c r="O43" t="inlineStr"/>
      <c r="P43" t="inlineStr"/>
      <c r="Q43" t="inlineStr"/>
      <c r="R43" t="inlineStr">
        <is>
          <t>yoy_ma3</t>
        </is>
      </c>
      <c r="S43" t="inlineStr">
        <is>
          <t>Latest 1-2 prints are preliminary -- alert on the 3m-smoothed YoY.</t>
        </is>
      </c>
    </row>
    <row r="44">
      <c r="A44" t="inlineStr">
        <is>
          <t>HOUST</t>
        </is>
      </c>
      <c r="B44" t="inlineStr">
        <is>
          <t>Housing starts</t>
        </is>
      </c>
      <c r="C44" t="inlineStr">
        <is>
          <t>housing</t>
        </is>
      </c>
      <c r="D44" t="inlineStr">
        <is>
          <t>dashboard</t>
        </is>
      </c>
      <c r="E44" t="inlineStr">
        <is>
          <t>housing</t>
        </is>
      </c>
      <c r="F44" t="inlineStr">
        <is>
          <t>monthly</t>
        </is>
      </c>
      <c r="G44" t="inlineStr">
        <is>
          <t>SA</t>
        </is>
      </c>
      <c r="H44" t="inlineStr">
        <is>
          <t>thous_saar</t>
        </is>
      </c>
      <c r="I44" t="inlineStr">
        <is>
          <t>level</t>
        </is>
      </c>
      <c r="J44" t="inlineStr">
        <is>
          <t>national</t>
        </is>
      </c>
      <c r="K44" t="inlineStr">
        <is>
          <t>A</t>
        </is>
      </c>
      <c r="L44" t="inlineStr">
        <is>
          <t>TRUE</t>
        </is>
      </c>
      <c r="M44" t="inlineStr">
        <is>
          <t>FALSE</t>
        </is>
      </c>
      <c r="N44" t="inlineStr">
        <is>
          <t>https://fred.stlouisfed.org/series/HOUST</t>
        </is>
      </c>
      <c r="O44" t="inlineStr"/>
      <c r="P44" t="inlineStr"/>
      <c r="Q44" t="inlineStr"/>
      <c r="R44" t="inlineStr">
        <is>
          <t>yoy_ma3</t>
        </is>
      </c>
      <c r="S44" t="inlineStr">
        <is>
          <t>Preliminary prints; 3m-smoothed YoY.</t>
        </is>
      </c>
    </row>
    <row r="45">
      <c r="A45" t="inlineStr">
        <is>
          <t>UMCSENT</t>
        </is>
      </c>
      <c r="B45" t="inlineStr">
        <is>
          <t>UMich consumer sentiment</t>
        </is>
      </c>
      <c r="C45" t="inlineStr">
        <is>
          <t>sentiment</t>
        </is>
      </c>
      <c r="D45" t="inlineStr">
        <is>
          <t>dashboard</t>
        </is>
      </c>
      <c r="E45" t="inlineStr">
        <is>
          <t>sentiment</t>
        </is>
      </c>
      <c r="F45" t="inlineStr">
        <is>
          <t>monthly</t>
        </is>
      </c>
      <c r="G45" t="inlineStr">
        <is>
          <t>NSA</t>
        </is>
      </c>
      <c r="H45" t="inlineStr">
        <is>
          <t>index</t>
        </is>
      </c>
      <c r="I45" t="inlineStr">
        <is>
          <t>index</t>
        </is>
      </c>
      <c r="J45" t="inlineStr">
        <is>
          <t>national</t>
        </is>
      </c>
      <c r="K45" t="inlineStr">
        <is>
          <t>A</t>
        </is>
      </c>
      <c r="L45" t="inlineStr">
        <is>
          <t>TRUE</t>
        </is>
      </c>
      <c r="M45" t="inlineStr">
        <is>
          <t>FALSE</t>
        </is>
      </c>
      <c r="N45" t="inlineStr">
        <is>
          <t>https://fred.stlouisfed.org/series/UMCSENT</t>
        </is>
      </c>
      <c r="O45" t="inlineStr"/>
      <c r="P45" t="inlineStr"/>
      <c r="Q45" t="inlineStr"/>
      <c r="R45" t="inlineStr">
        <is>
          <t>yoy_pct</t>
        </is>
      </c>
      <c r="S45" t="inlineStr">
        <is>
          <t>source-mandated 1-month delay -- as of prior month; (c) University of Michigan</t>
        </is>
      </c>
    </row>
    <row r="46">
      <c r="A46" t="inlineStr">
        <is>
          <t>NEWORDER</t>
        </is>
      </c>
      <c r="B46" t="inlineStr">
        <is>
          <t>Core capex orders</t>
        </is>
      </c>
      <c r="C46" t="inlineStr">
        <is>
          <t>sentiment</t>
        </is>
      </c>
      <c r="D46" t="inlineStr">
        <is>
          <t>dashboard</t>
        </is>
      </c>
      <c r="E46" t="inlineStr">
        <is>
          <t>orders</t>
        </is>
      </c>
      <c r="F46" t="inlineStr">
        <is>
          <t>monthly</t>
        </is>
      </c>
      <c r="G46" t="inlineStr">
        <is>
          <t>SA</t>
        </is>
      </c>
      <c r="H46" t="inlineStr">
        <is>
          <t>USD_mn</t>
        </is>
      </c>
      <c r="I46" t="inlineStr">
        <is>
          <t>level</t>
        </is>
      </c>
      <c r="J46" t="inlineStr">
        <is>
          <t>national</t>
        </is>
      </c>
      <c r="K46" t="inlineStr">
        <is>
          <t>A</t>
        </is>
      </c>
      <c r="L46" t="inlineStr">
        <is>
          <t>TRUE</t>
        </is>
      </c>
      <c r="M46" t="inlineStr">
        <is>
          <t>FALSE</t>
        </is>
      </c>
      <c r="N46" t="inlineStr">
        <is>
          <t>https://fred.stlouisfed.org/series/NEWORDER</t>
        </is>
      </c>
      <c r="O46" t="inlineStr"/>
      <c r="P46" t="inlineStr"/>
      <c r="Q46" t="inlineStr"/>
      <c r="R46" t="inlineStr">
        <is>
          <t>yoy_pct</t>
        </is>
      </c>
      <c r="S46" t="inlineStr">
        <is>
          <t>Nominal, not deflated (LEI deflates it; the FRED copy is not).</t>
        </is>
      </c>
    </row>
    <row r="47">
      <c r="A47" t="inlineStr">
        <is>
          <t>RECPROUSM156N</t>
        </is>
      </c>
      <c r="B47" t="inlineStr">
        <is>
          <t>Recession probability (smoothed)</t>
        </is>
      </c>
      <c r="C47" t="inlineStr">
        <is>
          <t>confirm</t>
        </is>
      </c>
      <c r="D47" t="inlineStr">
        <is>
          <t>dashboard</t>
        </is>
      </c>
      <c r="E47" t="inlineStr">
        <is>
          <t>recession_prob</t>
        </is>
      </c>
      <c r="F47" t="inlineStr">
        <is>
          <t>monthly</t>
        </is>
      </c>
      <c r="G47" t="inlineStr">
        <is>
          <t>NSA</t>
        </is>
      </c>
      <c r="H47" t="inlineStr">
        <is>
          <t>pct</t>
        </is>
      </c>
      <c r="I47" t="inlineStr">
        <is>
          <t>rate</t>
        </is>
      </c>
      <c r="J47" t="inlineStr">
        <is>
          <t>national</t>
        </is>
      </c>
      <c r="K47" t="inlineStr">
        <is>
          <t>A</t>
        </is>
      </c>
      <c r="L47" t="inlineStr">
        <is>
          <t>TRUE</t>
        </is>
      </c>
      <c r="M47" t="inlineStr">
        <is>
          <t>FALSE</t>
        </is>
      </c>
      <c r="N47" t="inlineStr">
        <is>
          <t>https://fred.stlouisfed.org/series/RECPROUSM156N</t>
        </is>
      </c>
      <c r="O47" t="inlineStr"/>
      <c r="P47" t="inlineStr"/>
      <c r="Q47" t="inlineStr"/>
      <c r="R47" t="inlineStr">
        <is>
          <t>level</t>
        </is>
      </c>
      <c r="S47" t="inlineStr">
        <is>
          <t>Publishes 2-3 months behind -- confirmatory only, never early-warning.</t>
        </is>
      </c>
    </row>
    <row r="48">
      <c r="A48" t="inlineStr">
        <is>
          <t>AKUR</t>
        </is>
      </c>
      <c r="B48" t="inlineStr">
        <is>
          <t>Alaska unemployment rate</t>
        </is>
      </c>
      <c r="C48" t="inlineStr">
        <is>
          <t>state</t>
        </is>
      </c>
      <c r="D48" t="inlineStr">
        <is>
          <t>watchlist</t>
        </is>
      </c>
      <c r="E48" t="inlineStr">
        <is>
          <t>unemp_rate</t>
        </is>
      </c>
      <c r="F48" t="inlineStr">
        <is>
          <t>monthly</t>
        </is>
      </c>
      <c r="G48" t="inlineStr">
        <is>
          <t>SA</t>
        </is>
      </c>
      <c r="H48" t="inlineStr">
        <is>
          <t>pct</t>
        </is>
      </c>
      <c r="I48" t="inlineStr">
        <is>
          <t>rate</t>
        </is>
      </c>
      <c r="J48" t="inlineStr">
        <is>
          <t>state:AK</t>
        </is>
      </c>
      <c r="K48" t="inlineStr">
        <is>
          <t>A</t>
        </is>
      </c>
      <c r="L48" t="inlineStr">
        <is>
          <t>FALSE</t>
        </is>
      </c>
      <c r="M48" t="inlineStr">
        <is>
          <t>TRUE</t>
        </is>
      </c>
      <c r="N48" t="inlineStr">
        <is>
          <t>https://fred.stlouisfed.org/series/AKUR</t>
        </is>
      </c>
      <c r="O48" t="inlineStr"/>
      <c r="P48" t="inlineStr"/>
      <c r="Q48" t="inlineStr"/>
      <c r="R48" t="inlineStr">
        <is>
          <t>sahm_gap</t>
        </is>
      </c>
      <c r="S48" t="inlineStr">
        <is>
          <t>Sahm-STYLE state gap: mean(latest 3) - min(12 before). Oct-2025 observation missing (survey never collected).</t>
        </is>
      </c>
    </row>
    <row r="49">
      <c r="A49" t="inlineStr">
        <is>
          <t>ALUR</t>
        </is>
      </c>
      <c r="B49" t="inlineStr">
        <is>
          <t>Alabama unemployment rate</t>
        </is>
      </c>
      <c r="C49" t="inlineStr">
        <is>
          <t>state</t>
        </is>
      </c>
      <c r="D49" t="inlineStr">
        <is>
          <t>watchlist</t>
        </is>
      </c>
      <c r="E49" t="inlineStr">
        <is>
          <t>unemp_rate</t>
        </is>
      </c>
      <c r="F49" t="inlineStr">
        <is>
          <t>monthly</t>
        </is>
      </c>
      <c r="G49" t="inlineStr">
        <is>
          <t>SA</t>
        </is>
      </c>
      <c r="H49" t="inlineStr">
        <is>
          <t>pct</t>
        </is>
      </c>
      <c r="I49" t="inlineStr">
        <is>
          <t>rate</t>
        </is>
      </c>
      <c r="J49" t="inlineStr">
        <is>
          <t>state:AL</t>
        </is>
      </c>
      <c r="K49" t="inlineStr">
        <is>
          <t>A</t>
        </is>
      </c>
      <c r="L49" t="inlineStr">
        <is>
          <t>FALSE</t>
        </is>
      </c>
      <c r="M49" t="inlineStr">
        <is>
          <t>TRUE</t>
        </is>
      </c>
      <c r="N49" t="inlineStr">
        <is>
          <t>https://fred.stlouisfed.org/series/ALUR</t>
        </is>
      </c>
      <c r="O49" t="inlineStr"/>
      <c r="P49" t="inlineStr"/>
      <c r="Q49" t="inlineStr"/>
      <c r="R49" t="inlineStr">
        <is>
          <t>sahm_gap</t>
        </is>
      </c>
      <c r="S49" t="inlineStr">
        <is>
          <t>Sahm-STYLE state gap: mean(latest 3) - min(12 before). Oct-2025 observation missing (survey never collected).</t>
        </is>
      </c>
    </row>
    <row r="50">
      <c r="A50" t="inlineStr">
        <is>
          <t>ARUR</t>
        </is>
      </c>
      <c r="B50" t="inlineStr">
        <is>
          <t>Arkansas unemployment rate</t>
        </is>
      </c>
      <c r="C50" t="inlineStr">
        <is>
          <t>state</t>
        </is>
      </c>
      <c r="D50" t="inlineStr">
        <is>
          <t>watchlist</t>
        </is>
      </c>
      <c r="E50" t="inlineStr">
        <is>
          <t>unemp_rate</t>
        </is>
      </c>
      <c r="F50" t="inlineStr">
        <is>
          <t>monthly</t>
        </is>
      </c>
      <c r="G50" t="inlineStr">
        <is>
          <t>SA</t>
        </is>
      </c>
      <c r="H50" t="inlineStr">
        <is>
          <t>pct</t>
        </is>
      </c>
      <c r="I50" t="inlineStr">
        <is>
          <t>rate</t>
        </is>
      </c>
      <c r="J50" t="inlineStr">
        <is>
          <t>state:AR</t>
        </is>
      </c>
      <c r="K50" t="inlineStr">
        <is>
          <t>A</t>
        </is>
      </c>
      <c r="L50" t="inlineStr">
        <is>
          <t>FALSE</t>
        </is>
      </c>
      <c r="M50" t="inlineStr">
        <is>
          <t>TRUE</t>
        </is>
      </c>
      <c r="N50" t="inlineStr">
        <is>
          <t>https://fred.stlouisfed.org/series/ARUR</t>
        </is>
      </c>
      <c r="O50" t="inlineStr"/>
      <c r="P50" t="inlineStr"/>
      <c r="Q50" t="inlineStr"/>
      <c r="R50" t="inlineStr">
        <is>
          <t>sahm_gap</t>
        </is>
      </c>
      <c r="S50" t="inlineStr">
        <is>
          <t>Sahm-STYLE state gap: mean(latest 3) - min(12 before). Oct-2025 observation missing (survey never collected).</t>
        </is>
      </c>
    </row>
    <row r="51">
      <c r="A51" t="inlineStr">
        <is>
          <t>AZUR</t>
        </is>
      </c>
      <c r="B51" t="inlineStr">
        <is>
          <t>Arizona unemployment rate</t>
        </is>
      </c>
      <c r="C51" t="inlineStr">
        <is>
          <t>state</t>
        </is>
      </c>
      <c r="D51" t="inlineStr">
        <is>
          <t>watchlist</t>
        </is>
      </c>
      <c r="E51" t="inlineStr">
        <is>
          <t>unemp_rate</t>
        </is>
      </c>
      <c r="F51" t="inlineStr">
        <is>
          <t>monthly</t>
        </is>
      </c>
      <c r="G51" t="inlineStr">
        <is>
          <t>SA</t>
        </is>
      </c>
      <c r="H51" t="inlineStr">
        <is>
          <t>pct</t>
        </is>
      </c>
      <c r="I51" t="inlineStr">
        <is>
          <t>rate</t>
        </is>
      </c>
      <c r="J51" t="inlineStr">
        <is>
          <t>state:AZ</t>
        </is>
      </c>
      <c r="K51" t="inlineStr">
        <is>
          <t>A</t>
        </is>
      </c>
      <c r="L51" t="inlineStr">
        <is>
          <t>FALSE</t>
        </is>
      </c>
      <c r="M51" t="inlineStr">
        <is>
          <t>TRUE</t>
        </is>
      </c>
      <c r="N51" t="inlineStr">
        <is>
          <t>https://fred.stlouisfed.org/series/AZUR</t>
        </is>
      </c>
      <c r="O51" t="inlineStr"/>
      <c r="P51" t="inlineStr"/>
      <c r="Q51" t="inlineStr"/>
      <c r="R51" t="inlineStr">
        <is>
          <t>sahm_gap</t>
        </is>
      </c>
      <c r="S51" t="inlineStr">
        <is>
          <t>Sahm-STYLE state gap: mean(latest 3) - min(12 before). Oct-2025 observation missing (survey never collected).</t>
        </is>
      </c>
    </row>
    <row r="52">
      <c r="A52" t="inlineStr">
        <is>
          <t>CAUR</t>
        </is>
      </c>
      <c r="B52" t="inlineStr">
        <is>
          <t>California unemployment rate</t>
        </is>
      </c>
      <c r="C52" t="inlineStr">
        <is>
          <t>state</t>
        </is>
      </c>
      <c r="D52" t="inlineStr">
        <is>
          <t>watchlist</t>
        </is>
      </c>
      <c r="E52" t="inlineStr">
        <is>
          <t>unemp_rate</t>
        </is>
      </c>
      <c r="F52" t="inlineStr">
        <is>
          <t>monthly</t>
        </is>
      </c>
      <c r="G52" t="inlineStr">
        <is>
          <t>SA</t>
        </is>
      </c>
      <c r="H52" t="inlineStr">
        <is>
          <t>pct</t>
        </is>
      </c>
      <c r="I52" t="inlineStr">
        <is>
          <t>rate</t>
        </is>
      </c>
      <c r="J52" t="inlineStr">
        <is>
          <t>state:CA</t>
        </is>
      </c>
      <c r="K52" t="inlineStr">
        <is>
          <t>A</t>
        </is>
      </c>
      <c r="L52" t="inlineStr">
        <is>
          <t>FALSE</t>
        </is>
      </c>
      <c r="M52" t="inlineStr">
        <is>
          <t>TRUE</t>
        </is>
      </c>
      <c r="N52" t="inlineStr">
        <is>
          <t>https://fred.stlouisfed.org/series/CAUR</t>
        </is>
      </c>
      <c r="O52" t="inlineStr"/>
      <c r="P52" t="inlineStr"/>
      <c r="Q52" t="inlineStr"/>
      <c r="R52" t="inlineStr">
        <is>
          <t>sahm_gap</t>
        </is>
      </c>
      <c r="S52" t="inlineStr">
        <is>
          <t>Sahm-STYLE state gap: mean(latest 3) - min(12 before). Oct-2025 observation missing (survey never collected).</t>
        </is>
      </c>
    </row>
    <row r="53">
      <c r="A53" t="inlineStr">
        <is>
          <t>COUR</t>
        </is>
      </c>
      <c r="B53" t="inlineStr">
        <is>
          <t>Colorado unemployment rate</t>
        </is>
      </c>
      <c r="C53" t="inlineStr">
        <is>
          <t>state</t>
        </is>
      </c>
      <c r="D53" t="inlineStr">
        <is>
          <t>watchlist</t>
        </is>
      </c>
      <c r="E53" t="inlineStr">
        <is>
          <t>unemp_rate</t>
        </is>
      </c>
      <c r="F53" t="inlineStr">
        <is>
          <t>monthly</t>
        </is>
      </c>
      <c r="G53" t="inlineStr">
        <is>
          <t>SA</t>
        </is>
      </c>
      <c r="H53" t="inlineStr">
        <is>
          <t>pct</t>
        </is>
      </c>
      <c r="I53" t="inlineStr">
        <is>
          <t>rate</t>
        </is>
      </c>
      <c r="J53" t="inlineStr">
        <is>
          <t>state:CO</t>
        </is>
      </c>
      <c r="K53" t="inlineStr">
        <is>
          <t>A</t>
        </is>
      </c>
      <c r="L53" t="inlineStr">
        <is>
          <t>FALSE</t>
        </is>
      </c>
      <c r="M53" t="inlineStr">
        <is>
          <t>TRUE</t>
        </is>
      </c>
      <c r="N53" t="inlineStr">
        <is>
          <t>https://fred.stlouisfed.org/series/COUR</t>
        </is>
      </c>
      <c r="O53" t="inlineStr"/>
      <c r="P53" t="inlineStr"/>
      <c r="Q53" t="inlineStr"/>
      <c r="R53" t="inlineStr">
        <is>
          <t>sahm_gap</t>
        </is>
      </c>
      <c r="S53" t="inlineStr">
        <is>
          <t>Sahm-STYLE state gap: mean(latest 3) - min(12 before). Oct-2025 observation missing (survey never collected).</t>
        </is>
      </c>
    </row>
    <row r="54">
      <c r="A54" t="inlineStr">
        <is>
          <t>CTUR</t>
        </is>
      </c>
      <c r="B54" t="inlineStr">
        <is>
          <t>Connecticut unemployment rate</t>
        </is>
      </c>
      <c r="C54" t="inlineStr">
        <is>
          <t>state</t>
        </is>
      </c>
      <c r="D54" t="inlineStr">
        <is>
          <t>watchlist</t>
        </is>
      </c>
      <c r="E54" t="inlineStr">
        <is>
          <t>unemp_rate</t>
        </is>
      </c>
      <c r="F54" t="inlineStr">
        <is>
          <t>monthly</t>
        </is>
      </c>
      <c r="G54" t="inlineStr">
        <is>
          <t>SA</t>
        </is>
      </c>
      <c r="H54" t="inlineStr">
        <is>
          <t>pct</t>
        </is>
      </c>
      <c r="I54" t="inlineStr">
        <is>
          <t>rate</t>
        </is>
      </c>
      <c r="J54" t="inlineStr">
        <is>
          <t>state:CT</t>
        </is>
      </c>
      <c r="K54" t="inlineStr">
        <is>
          <t>A</t>
        </is>
      </c>
      <c r="L54" t="inlineStr">
        <is>
          <t>FALSE</t>
        </is>
      </c>
      <c r="M54" t="inlineStr">
        <is>
          <t>TRUE</t>
        </is>
      </c>
      <c r="N54" t="inlineStr">
        <is>
          <t>https://fred.stlouisfed.org/series/CTUR</t>
        </is>
      </c>
      <c r="O54" t="inlineStr"/>
      <c r="P54" t="inlineStr"/>
      <c r="Q54" t="inlineStr"/>
      <c r="R54" t="inlineStr">
        <is>
          <t>sahm_gap</t>
        </is>
      </c>
      <c r="S54" t="inlineStr">
        <is>
          <t>Sahm-STYLE state gap: mean(latest 3) - min(12 before). Oct-2025 observation missing (survey never collected).</t>
        </is>
      </c>
    </row>
    <row r="55">
      <c r="A55" t="inlineStr">
        <is>
          <t>DCUR</t>
        </is>
      </c>
      <c r="B55" t="inlineStr">
        <is>
          <t>District of Columbia unemployment rate</t>
        </is>
      </c>
      <c r="C55" t="inlineStr">
        <is>
          <t>state</t>
        </is>
      </c>
      <c r="D55" t="inlineStr">
        <is>
          <t>watchlist</t>
        </is>
      </c>
      <c r="E55" t="inlineStr">
        <is>
          <t>unemp_rate</t>
        </is>
      </c>
      <c r="F55" t="inlineStr">
        <is>
          <t>monthly</t>
        </is>
      </c>
      <c r="G55" t="inlineStr">
        <is>
          <t>SA</t>
        </is>
      </c>
      <c r="H55" t="inlineStr">
        <is>
          <t>pct</t>
        </is>
      </c>
      <c r="I55" t="inlineStr">
        <is>
          <t>rate</t>
        </is>
      </c>
      <c r="J55" t="inlineStr">
        <is>
          <t>state:DC</t>
        </is>
      </c>
      <c r="K55" t="inlineStr">
        <is>
          <t>A</t>
        </is>
      </c>
      <c r="L55" t="inlineStr">
        <is>
          <t>FALSE</t>
        </is>
      </c>
      <c r="M55" t="inlineStr">
        <is>
          <t>TRUE</t>
        </is>
      </c>
      <c r="N55" t="inlineStr">
        <is>
          <t>https://fred.stlouisfed.org/series/DCUR</t>
        </is>
      </c>
      <c r="O55" t="inlineStr"/>
      <c r="P55" t="inlineStr"/>
      <c r="Q55" t="inlineStr"/>
      <c r="R55" t="inlineStr">
        <is>
          <t>sahm_gap</t>
        </is>
      </c>
      <c r="S55" t="inlineStr">
        <is>
          <t>Sahm-STYLE state gap: mean(latest 3) - min(12 before). Oct-2025 observation missing (survey never collected).</t>
        </is>
      </c>
    </row>
    <row r="56">
      <c r="A56" t="inlineStr">
        <is>
          <t>DEUR</t>
        </is>
      </c>
      <c r="B56" t="inlineStr">
        <is>
          <t>Delaware unemployment rate</t>
        </is>
      </c>
      <c r="C56" t="inlineStr">
        <is>
          <t>state</t>
        </is>
      </c>
      <c r="D56" t="inlineStr">
        <is>
          <t>watchlist</t>
        </is>
      </c>
      <c r="E56" t="inlineStr">
        <is>
          <t>unemp_rate</t>
        </is>
      </c>
      <c r="F56" t="inlineStr">
        <is>
          <t>monthly</t>
        </is>
      </c>
      <c r="G56" t="inlineStr">
        <is>
          <t>SA</t>
        </is>
      </c>
      <c r="H56" t="inlineStr">
        <is>
          <t>pct</t>
        </is>
      </c>
      <c r="I56" t="inlineStr">
        <is>
          <t>rate</t>
        </is>
      </c>
      <c r="J56" t="inlineStr">
        <is>
          <t>state:DE</t>
        </is>
      </c>
      <c r="K56" t="inlineStr">
        <is>
          <t>A</t>
        </is>
      </c>
      <c r="L56" t="inlineStr">
        <is>
          <t>FALSE</t>
        </is>
      </c>
      <c r="M56" t="inlineStr">
        <is>
          <t>TRUE</t>
        </is>
      </c>
      <c r="N56" t="inlineStr">
        <is>
          <t>https://fred.stlouisfed.org/series/DEUR</t>
        </is>
      </c>
      <c r="O56" t="inlineStr"/>
      <c r="P56" t="inlineStr"/>
      <c r="Q56" t="inlineStr"/>
      <c r="R56" t="inlineStr">
        <is>
          <t>sahm_gap</t>
        </is>
      </c>
      <c r="S56" t="inlineStr">
        <is>
          <t>Sahm-STYLE state gap: mean(latest 3) - min(12 before). Oct-2025 observation missing (survey never collected).</t>
        </is>
      </c>
    </row>
    <row r="57">
      <c r="A57" t="inlineStr">
        <is>
          <t>FLUR</t>
        </is>
      </c>
      <c r="B57" t="inlineStr">
        <is>
          <t>Florida unemployment rate</t>
        </is>
      </c>
      <c r="C57" t="inlineStr">
        <is>
          <t>state</t>
        </is>
      </c>
      <c r="D57" t="inlineStr">
        <is>
          <t>watchlist</t>
        </is>
      </c>
      <c r="E57" t="inlineStr">
        <is>
          <t>unemp_rate</t>
        </is>
      </c>
      <c r="F57" t="inlineStr">
        <is>
          <t>monthly</t>
        </is>
      </c>
      <c r="G57" t="inlineStr">
        <is>
          <t>SA</t>
        </is>
      </c>
      <c r="H57" t="inlineStr">
        <is>
          <t>pct</t>
        </is>
      </c>
      <c r="I57" t="inlineStr">
        <is>
          <t>rate</t>
        </is>
      </c>
      <c r="J57" t="inlineStr">
        <is>
          <t>state:FL</t>
        </is>
      </c>
      <c r="K57" t="inlineStr">
        <is>
          <t>A</t>
        </is>
      </c>
      <c r="L57" t="inlineStr">
        <is>
          <t>FALSE</t>
        </is>
      </c>
      <c r="M57" t="inlineStr">
        <is>
          <t>TRUE</t>
        </is>
      </c>
      <c r="N57" t="inlineStr">
        <is>
          <t>https://fred.stlouisfed.org/series/FLUR</t>
        </is>
      </c>
      <c r="O57" t="inlineStr"/>
      <c r="P57" t="inlineStr"/>
      <c r="Q57" t="inlineStr"/>
      <c r="R57" t="inlineStr">
        <is>
          <t>sahm_gap</t>
        </is>
      </c>
      <c r="S57" t="inlineStr">
        <is>
          <t>Sahm-STYLE state gap: mean(latest 3) - min(12 before). Oct-2025 observation missing (survey never collected).</t>
        </is>
      </c>
    </row>
    <row r="58">
      <c r="A58" t="inlineStr">
        <is>
          <t>GAUR</t>
        </is>
      </c>
      <c r="B58" t="inlineStr">
        <is>
          <t>Georgia unemployment rate</t>
        </is>
      </c>
      <c r="C58" t="inlineStr">
        <is>
          <t>state</t>
        </is>
      </c>
      <c r="D58" t="inlineStr">
        <is>
          <t>watchlist</t>
        </is>
      </c>
      <c r="E58" t="inlineStr">
        <is>
          <t>unemp_rate</t>
        </is>
      </c>
      <c r="F58" t="inlineStr">
        <is>
          <t>monthly</t>
        </is>
      </c>
      <c r="G58" t="inlineStr">
        <is>
          <t>SA</t>
        </is>
      </c>
      <c r="H58" t="inlineStr">
        <is>
          <t>pct</t>
        </is>
      </c>
      <c r="I58" t="inlineStr">
        <is>
          <t>rate</t>
        </is>
      </c>
      <c r="J58" t="inlineStr">
        <is>
          <t>state:GA</t>
        </is>
      </c>
      <c r="K58" t="inlineStr">
        <is>
          <t>A</t>
        </is>
      </c>
      <c r="L58" t="inlineStr">
        <is>
          <t>FALSE</t>
        </is>
      </c>
      <c r="M58" t="inlineStr">
        <is>
          <t>TRUE</t>
        </is>
      </c>
      <c r="N58" t="inlineStr">
        <is>
          <t>https://fred.stlouisfed.org/series/GAUR</t>
        </is>
      </c>
      <c r="O58" t="inlineStr"/>
      <c r="P58" t="inlineStr"/>
      <c r="Q58" t="inlineStr"/>
      <c r="R58" t="inlineStr">
        <is>
          <t>sahm_gap</t>
        </is>
      </c>
      <c r="S58" t="inlineStr">
        <is>
          <t>Sahm-STYLE state gap: mean(latest 3) - min(12 before). Oct-2025 observation missing (survey never collected).</t>
        </is>
      </c>
    </row>
    <row r="59">
      <c r="A59" t="inlineStr">
        <is>
          <t>HIUR</t>
        </is>
      </c>
      <c r="B59" t="inlineStr">
        <is>
          <t>Hawaii unemployment rate</t>
        </is>
      </c>
      <c r="C59" t="inlineStr">
        <is>
          <t>state</t>
        </is>
      </c>
      <c r="D59" t="inlineStr">
        <is>
          <t>watchlist</t>
        </is>
      </c>
      <c r="E59" t="inlineStr">
        <is>
          <t>unemp_rate</t>
        </is>
      </c>
      <c r="F59" t="inlineStr">
        <is>
          <t>monthly</t>
        </is>
      </c>
      <c r="G59" t="inlineStr">
        <is>
          <t>SA</t>
        </is>
      </c>
      <c r="H59" t="inlineStr">
        <is>
          <t>pct</t>
        </is>
      </c>
      <c r="I59" t="inlineStr">
        <is>
          <t>rate</t>
        </is>
      </c>
      <c r="J59" t="inlineStr">
        <is>
          <t>state:HI</t>
        </is>
      </c>
      <c r="K59" t="inlineStr">
        <is>
          <t>A</t>
        </is>
      </c>
      <c r="L59" t="inlineStr">
        <is>
          <t>FALSE</t>
        </is>
      </c>
      <c r="M59" t="inlineStr">
        <is>
          <t>TRUE</t>
        </is>
      </c>
      <c r="N59" t="inlineStr">
        <is>
          <t>https://fred.stlouisfed.org/series/HIUR</t>
        </is>
      </c>
      <c r="O59" t="inlineStr"/>
      <c r="P59" t="inlineStr"/>
      <c r="Q59" t="inlineStr"/>
      <c r="R59" t="inlineStr">
        <is>
          <t>sahm_gap</t>
        </is>
      </c>
      <c r="S59" t="inlineStr">
        <is>
          <t>Sahm-STYLE state gap: mean(latest 3) - min(12 before). Oct-2025 observation missing (survey never collected).</t>
        </is>
      </c>
    </row>
    <row r="60">
      <c r="A60" t="inlineStr">
        <is>
          <t>IAUR</t>
        </is>
      </c>
      <c r="B60" t="inlineStr">
        <is>
          <t>Iowa unemployment rate</t>
        </is>
      </c>
      <c r="C60" t="inlineStr">
        <is>
          <t>state</t>
        </is>
      </c>
      <c r="D60" t="inlineStr">
        <is>
          <t>watchlist</t>
        </is>
      </c>
      <c r="E60" t="inlineStr">
        <is>
          <t>unemp_rate</t>
        </is>
      </c>
      <c r="F60" t="inlineStr">
        <is>
          <t>monthly</t>
        </is>
      </c>
      <c r="G60" t="inlineStr">
        <is>
          <t>SA</t>
        </is>
      </c>
      <c r="H60" t="inlineStr">
        <is>
          <t>pct</t>
        </is>
      </c>
      <c r="I60" t="inlineStr">
        <is>
          <t>rate</t>
        </is>
      </c>
      <c r="J60" t="inlineStr">
        <is>
          <t>state:IA</t>
        </is>
      </c>
      <c r="K60" t="inlineStr">
        <is>
          <t>A</t>
        </is>
      </c>
      <c r="L60" t="inlineStr">
        <is>
          <t>FALSE</t>
        </is>
      </c>
      <c r="M60" t="inlineStr">
        <is>
          <t>TRUE</t>
        </is>
      </c>
      <c r="N60" t="inlineStr">
        <is>
          <t>https://fred.stlouisfed.org/series/IAUR</t>
        </is>
      </c>
      <c r="O60" t="inlineStr"/>
      <c r="P60" t="inlineStr"/>
      <c r="Q60" t="inlineStr"/>
      <c r="R60" t="inlineStr">
        <is>
          <t>sahm_gap</t>
        </is>
      </c>
      <c r="S60" t="inlineStr">
        <is>
          <t>Sahm-STYLE state gap: mean(latest 3) - min(12 before). Oct-2025 observation missing (survey never collected).</t>
        </is>
      </c>
    </row>
    <row r="61">
      <c r="A61" t="inlineStr">
        <is>
          <t>IDUR</t>
        </is>
      </c>
      <c r="B61" t="inlineStr">
        <is>
          <t>Idaho unemployment rate</t>
        </is>
      </c>
      <c r="C61" t="inlineStr">
        <is>
          <t>state</t>
        </is>
      </c>
      <c r="D61" t="inlineStr">
        <is>
          <t>watchlist</t>
        </is>
      </c>
      <c r="E61" t="inlineStr">
        <is>
          <t>unemp_rate</t>
        </is>
      </c>
      <c r="F61" t="inlineStr">
        <is>
          <t>monthly</t>
        </is>
      </c>
      <c r="G61" t="inlineStr">
        <is>
          <t>SA</t>
        </is>
      </c>
      <c r="H61" t="inlineStr">
        <is>
          <t>pct</t>
        </is>
      </c>
      <c r="I61" t="inlineStr">
        <is>
          <t>rate</t>
        </is>
      </c>
      <c r="J61" t="inlineStr">
        <is>
          <t>state:ID</t>
        </is>
      </c>
      <c r="K61" t="inlineStr">
        <is>
          <t>A</t>
        </is>
      </c>
      <c r="L61" t="inlineStr">
        <is>
          <t>FALSE</t>
        </is>
      </c>
      <c r="M61" t="inlineStr">
        <is>
          <t>TRUE</t>
        </is>
      </c>
      <c r="N61" t="inlineStr">
        <is>
          <t>https://fred.stlouisfed.org/series/IDUR</t>
        </is>
      </c>
      <c r="O61" t="inlineStr"/>
      <c r="P61" t="inlineStr"/>
      <c r="Q61" t="inlineStr"/>
      <c r="R61" t="inlineStr">
        <is>
          <t>sahm_gap</t>
        </is>
      </c>
      <c r="S61" t="inlineStr">
        <is>
          <t>Sahm-STYLE state gap: mean(latest 3) - min(12 before). Oct-2025 observation missing (survey never collected).</t>
        </is>
      </c>
    </row>
    <row r="62">
      <c r="A62" t="inlineStr">
        <is>
          <t>ILUR</t>
        </is>
      </c>
      <c r="B62" t="inlineStr">
        <is>
          <t>Illinois unemployment rate</t>
        </is>
      </c>
      <c r="C62" t="inlineStr">
        <is>
          <t>state</t>
        </is>
      </c>
      <c r="D62" t="inlineStr">
        <is>
          <t>watchlist</t>
        </is>
      </c>
      <c r="E62" t="inlineStr">
        <is>
          <t>unemp_rate</t>
        </is>
      </c>
      <c r="F62" t="inlineStr">
        <is>
          <t>monthly</t>
        </is>
      </c>
      <c r="G62" t="inlineStr">
        <is>
          <t>SA</t>
        </is>
      </c>
      <c r="H62" t="inlineStr">
        <is>
          <t>pct</t>
        </is>
      </c>
      <c r="I62" t="inlineStr">
        <is>
          <t>rate</t>
        </is>
      </c>
      <c r="J62" t="inlineStr">
        <is>
          <t>state:IL</t>
        </is>
      </c>
      <c r="K62" t="inlineStr">
        <is>
          <t>A</t>
        </is>
      </c>
      <c r="L62" t="inlineStr">
        <is>
          <t>FALSE</t>
        </is>
      </c>
      <c r="M62" t="inlineStr">
        <is>
          <t>TRUE</t>
        </is>
      </c>
      <c r="N62" t="inlineStr">
        <is>
          <t>https://fred.stlouisfed.org/series/ILUR</t>
        </is>
      </c>
      <c r="O62" t="inlineStr"/>
      <c r="P62" t="inlineStr"/>
      <c r="Q62" t="inlineStr"/>
      <c r="R62" t="inlineStr">
        <is>
          <t>sahm_gap</t>
        </is>
      </c>
      <c r="S62" t="inlineStr">
        <is>
          <t>Sahm-STYLE state gap: mean(latest 3) - min(12 before). Oct-2025 observation missing (survey never collected).</t>
        </is>
      </c>
    </row>
    <row r="63">
      <c r="A63" t="inlineStr">
        <is>
          <t>INUR</t>
        </is>
      </c>
      <c r="B63" t="inlineStr">
        <is>
          <t>Indiana unemployment rate</t>
        </is>
      </c>
      <c r="C63" t="inlineStr">
        <is>
          <t>state</t>
        </is>
      </c>
      <c r="D63" t="inlineStr">
        <is>
          <t>watchlist</t>
        </is>
      </c>
      <c r="E63" t="inlineStr">
        <is>
          <t>unemp_rate</t>
        </is>
      </c>
      <c r="F63" t="inlineStr">
        <is>
          <t>monthly</t>
        </is>
      </c>
      <c r="G63" t="inlineStr">
        <is>
          <t>SA</t>
        </is>
      </c>
      <c r="H63" t="inlineStr">
        <is>
          <t>pct</t>
        </is>
      </c>
      <c r="I63" t="inlineStr">
        <is>
          <t>rate</t>
        </is>
      </c>
      <c r="J63" t="inlineStr">
        <is>
          <t>state:IN</t>
        </is>
      </c>
      <c r="K63" t="inlineStr">
        <is>
          <t>A</t>
        </is>
      </c>
      <c r="L63" t="inlineStr">
        <is>
          <t>FALSE</t>
        </is>
      </c>
      <c r="M63" t="inlineStr">
        <is>
          <t>TRUE</t>
        </is>
      </c>
      <c r="N63" t="inlineStr">
        <is>
          <t>https://fred.stlouisfed.org/series/INUR</t>
        </is>
      </c>
      <c r="O63" t="inlineStr"/>
      <c r="P63" t="inlineStr"/>
      <c r="Q63" t="inlineStr"/>
      <c r="R63" t="inlineStr">
        <is>
          <t>sahm_gap</t>
        </is>
      </c>
      <c r="S63" t="inlineStr">
        <is>
          <t>Sahm-STYLE state gap: mean(latest 3) - min(12 before). Oct-2025 observation missing (survey never collected).</t>
        </is>
      </c>
    </row>
    <row r="64">
      <c r="A64" t="inlineStr">
        <is>
          <t>KSUR</t>
        </is>
      </c>
      <c r="B64" t="inlineStr">
        <is>
          <t>Kansas unemployment rate</t>
        </is>
      </c>
      <c r="C64" t="inlineStr">
        <is>
          <t>state</t>
        </is>
      </c>
      <c r="D64" t="inlineStr">
        <is>
          <t>watchlist</t>
        </is>
      </c>
      <c r="E64" t="inlineStr">
        <is>
          <t>unemp_rate</t>
        </is>
      </c>
      <c r="F64" t="inlineStr">
        <is>
          <t>monthly</t>
        </is>
      </c>
      <c r="G64" t="inlineStr">
        <is>
          <t>SA</t>
        </is>
      </c>
      <c r="H64" t="inlineStr">
        <is>
          <t>pct</t>
        </is>
      </c>
      <c r="I64" t="inlineStr">
        <is>
          <t>rate</t>
        </is>
      </c>
      <c r="J64" t="inlineStr">
        <is>
          <t>state:KS</t>
        </is>
      </c>
      <c r="K64" t="inlineStr">
        <is>
          <t>A</t>
        </is>
      </c>
      <c r="L64" t="inlineStr">
        <is>
          <t>FALSE</t>
        </is>
      </c>
      <c r="M64" t="inlineStr">
        <is>
          <t>TRUE</t>
        </is>
      </c>
      <c r="N64" t="inlineStr">
        <is>
          <t>https://fred.stlouisfed.org/series/KSUR</t>
        </is>
      </c>
      <c r="O64" t="inlineStr"/>
      <c r="P64" t="inlineStr"/>
      <c r="Q64" t="inlineStr"/>
      <c r="R64" t="inlineStr">
        <is>
          <t>sahm_gap</t>
        </is>
      </c>
      <c r="S64" t="inlineStr">
        <is>
          <t>Sahm-STYLE state gap: mean(latest 3) - min(12 before). Oct-2025 observation missing (survey never collected).</t>
        </is>
      </c>
    </row>
    <row r="65">
      <c r="A65" t="inlineStr">
        <is>
          <t>KYUR</t>
        </is>
      </c>
      <c r="B65" t="inlineStr">
        <is>
          <t>Kentucky unemployment rate</t>
        </is>
      </c>
      <c r="C65" t="inlineStr">
        <is>
          <t>state</t>
        </is>
      </c>
      <c r="D65" t="inlineStr">
        <is>
          <t>watchlist</t>
        </is>
      </c>
      <c r="E65" t="inlineStr">
        <is>
          <t>unemp_rate</t>
        </is>
      </c>
      <c r="F65" t="inlineStr">
        <is>
          <t>monthly</t>
        </is>
      </c>
      <c r="G65" t="inlineStr">
        <is>
          <t>SA</t>
        </is>
      </c>
      <c r="H65" t="inlineStr">
        <is>
          <t>pct</t>
        </is>
      </c>
      <c r="I65" t="inlineStr">
        <is>
          <t>rate</t>
        </is>
      </c>
      <c r="J65" t="inlineStr">
        <is>
          <t>state:KY</t>
        </is>
      </c>
      <c r="K65" t="inlineStr">
        <is>
          <t>A</t>
        </is>
      </c>
      <c r="L65" t="inlineStr">
        <is>
          <t>FALSE</t>
        </is>
      </c>
      <c r="M65" t="inlineStr">
        <is>
          <t>TRUE</t>
        </is>
      </c>
      <c r="N65" t="inlineStr">
        <is>
          <t>https://fred.stlouisfed.org/series/KYUR</t>
        </is>
      </c>
      <c r="O65" t="inlineStr"/>
      <c r="P65" t="inlineStr"/>
      <c r="Q65" t="inlineStr"/>
      <c r="R65" t="inlineStr">
        <is>
          <t>sahm_gap</t>
        </is>
      </c>
      <c r="S65" t="inlineStr">
        <is>
          <t>Sahm-STYLE state gap: mean(latest 3) - min(12 before). Oct-2025 observation missing (survey never collected).</t>
        </is>
      </c>
    </row>
    <row r="66">
      <c r="A66" t="inlineStr">
        <is>
          <t>LAUR</t>
        </is>
      </c>
      <c r="B66" t="inlineStr">
        <is>
          <t>Louisiana unemployment rate</t>
        </is>
      </c>
      <c r="C66" t="inlineStr">
        <is>
          <t>state</t>
        </is>
      </c>
      <c r="D66" t="inlineStr">
        <is>
          <t>watchlist</t>
        </is>
      </c>
      <c r="E66" t="inlineStr">
        <is>
          <t>unemp_rate</t>
        </is>
      </c>
      <c r="F66" t="inlineStr">
        <is>
          <t>monthly</t>
        </is>
      </c>
      <c r="G66" t="inlineStr">
        <is>
          <t>SA</t>
        </is>
      </c>
      <c r="H66" t="inlineStr">
        <is>
          <t>pct</t>
        </is>
      </c>
      <c r="I66" t="inlineStr">
        <is>
          <t>rate</t>
        </is>
      </c>
      <c r="J66" t="inlineStr">
        <is>
          <t>state:LA</t>
        </is>
      </c>
      <c r="K66" t="inlineStr">
        <is>
          <t>A</t>
        </is>
      </c>
      <c r="L66" t="inlineStr">
        <is>
          <t>FALSE</t>
        </is>
      </c>
      <c r="M66" t="inlineStr">
        <is>
          <t>TRUE</t>
        </is>
      </c>
      <c r="N66" t="inlineStr">
        <is>
          <t>https://fred.stlouisfed.org/series/LAUR</t>
        </is>
      </c>
      <c r="O66" t="inlineStr"/>
      <c r="P66" t="inlineStr"/>
      <c r="Q66" t="inlineStr"/>
      <c r="R66" t="inlineStr">
        <is>
          <t>sahm_gap</t>
        </is>
      </c>
      <c r="S66" t="inlineStr">
        <is>
          <t>Sahm-STYLE state gap: mean(latest 3) - min(12 before). Oct-2025 observation missing (survey never collected).</t>
        </is>
      </c>
    </row>
    <row r="67">
      <c r="A67" t="inlineStr">
        <is>
          <t>MAUR</t>
        </is>
      </c>
      <c r="B67" t="inlineStr">
        <is>
          <t>Massachusetts unemployment rate</t>
        </is>
      </c>
      <c r="C67" t="inlineStr">
        <is>
          <t>state</t>
        </is>
      </c>
      <c r="D67" t="inlineStr">
        <is>
          <t>watchlist</t>
        </is>
      </c>
      <c r="E67" t="inlineStr">
        <is>
          <t>unemp_rate</t>
        </is>
      </c>
      <c r="F67" t="inlineStr">
        <is>
          <t>monthly</t>
        </is>
      </c>
      <c r="G67" t="inlineStr">
        <is>
          <t>SA</t>
        </is>
      </c>
      <c r="H67" t="inlineStr">
        <is>
          <t>pct</t>
        </is>
      </c>
      <c r="I67" t="inlineStr">
        <is>
          <t>rate</t>
        </is>
      </c>
      <c r="J67" t="inlineStr">
        <is>
          <t>state:MA</t>
        </is>
      </c>
      <c r="K67" t="inlineStr">
        <is>
          <t>A</t>
        </is>
      </c>
      <c r="L67" t="inlineStr">
        <is>
          <t>FALSE</t>
        </is>
      </c>
      <c r="M67" t="inlineStr">
        <is>
          <t>TRUE</t>
        </is>
      </c>
      <c r="N67" t="inlineStr">
        <is>
          <t>https://fred.stlouisfed.org/series/MAUR</t>
        </is>
      </c>
      <c r="O67" t="inlineStr"/>
      <c r="P67" t="inlineStr"/>
      <c r="Q67" t="inlineStr"/>
      <c r="R67" t="inlineStr">
        <is>
          <t>sahm_gap</t>
        </is>
      </c>
      <c r="S67" t="inlineStr">
        <is>
          <t>Sahm-STYLE state gap: mean(latest 3) - min(12 before). Oct-2025 observation missing (survey never collected).</t>
        </is>
      </c>
    </row>
    <row r="68">
      <c r="A68" t="inlineStr">
        <is>
          <t>MDUR</t>
        </is>
      </c>
      <c r="B68" t="inlineStr">
        <is>
          <t>Maryland unemployment rate</t>
        </is>
      </c>
      <c r="C68" t="inlineStr">
        <is>
          <t>state</t>
        </is>
      </c>
      <c r="D68" t="inlineStr">
        <is>
          <t>watchlist</t>
        </is>
      </c>
      <c r="E68" t="inlineStr">
        <is>
          <t>unemp_rate</t>
        </is>
      </c>
      <c r="F68" t="inlineStr">
        <is>
          <t>monthly</t>
        </is>
      </c>
      <c r="G68" t="inlineStr">
        <is>
          <t>SA</t>
        </is>
      </c>
      <c r="H68" t="inlineStr">
        <is>
          <t>pct</t>
        </is>
      </c>
      <c r="I68" t="inlineStr">
        <is>
          <t>rate</t>
        </is>
      </c>
      <c r="J68" t="inlineStr">
        <is>
          <t>state:MD</t>
        </is>
      </c>
      <c r="K68" t="inlineStr">
        <is>
          <t>A</t>
        </is>
      </c>
      <c r="L68" t="inlineStr">
        <is>
          <t>FALSE</t>
        </is>
      </c>
      <c r="M68" t="inlineStr">
        <is>
          <t>TRUE</t>
        </is>
      </c>
      <c r="N68" t="inlineStr">
        <is>
          <t>https://fred.stlouisfed.org/series/MDUR</t>
        </is>
      </c>
      <c r="O68" t="inlineStr"/>
      <c r="P68" t="inlineStr"/>
      <c r="Q68" t="inlineStr"/>
      <c r="R68" t="inlineStr">
        <is>
          <t>sahm_gap</t>
        </is>
      </c>
      <c r="S68" t="inlineStr">
        <is>
          <t>Sahm-STYLE state gap: mean(latest 3) - min(12 before). Oct-2025 observation missing (survey never collected).</t>
        </is>
      </c>
    </row>
    <row r="69">
      <c r="A69" t="inlineStr">
        <is>
          <t>MEUR</t>
        </is>
      </c>
      <c r="B69" t="inlineStr">
        <is>
          <t>Maine unemployment rate</t>
        </is>
      </c>
      <c r="C69" t="inlineStr">
        <is>
          <t>state</t>
        </is>
      </c>
      <c r="D69" t="inlineStr">
        <is>
          <t>watchlist</t>
        </is>
      </c>
      <c r="E69" t="inlineStr">
        <is>
          <t>unemp_rate</t>
        </is>
      </c>
      <c r="F69" t="inlineStr">
        <is>
          <t>monthly</t>
        </is>
      </c>
      <c r="G69" t="inlineStr">
        <is>
          <t>SA</t>
        </is>
      </c>
      <c r="H69" t="inlineStr">
        <is>
          <t>pct</t>
        </is>
      </c>
      <c r="I69" t="inlineStr">
        <is>
          <t>rate</t>
        </is>
      </c>
      <c r="J69" t="inlineStr">
        <is>
          <t>state:ME</t>
        </is>
      </c>
      <c r="K69" t="inlineStr">
        <is>
          <t>A</t>
        </is>
      </c>
      <c r="L69" t="inlineStr">
        <is>
          <t>FALSE</t>
        </is>
      </c>
      <c r="M69" t="inlineStr">
        <is>
          <t>TRUE</t>
        </is>
      </c>
      <c r="N69" t="inlineStr">
        <is>
          <t>https://fred.stlouisfed.org/series/MEUR</t>
        </is>
      </c>
      <c r="O69" t="inlineStr"/>
      <c r="P69" t="inlineStr"/>
      <c r="Q69" t="inlineStr"/>
      <c r="R69" t="inlineStr">
        <is>
          <t>sahm_gap</t>
        </is>
      </c>
      <c r="S69" t="inlineStr">
        <is>
          <t>Sahm-STYLE state gap: mean(latest 3) - min(12 before). Oct-2025 observation missing (survey never collected).</t>
        </is>
      </c>
    </row>
    <row r="70">
      <c r="A70" t="inlineStr">
        <is>
          <t>MIUR</t>
        </is>
      </c>
      <c r="B70" t="inlineStr">
        <is>
          <t>Michigan unemployment rate</t>
        </is>
      </c>
      <c r="C70" t="inlineStr">
        <is>
          <t>state</t>
        </is>
      </c>
      <c r="D70" t="inlineStr">
        <is>
          <t>watchlist</t>
        </is>
      </c>
      <c r="E70" t="inlineStr">
        <is>
          <t>unemp_rate</t>
        </is>
      </c>
      <c r="F70" t="inlineStr">
        <is>
          <t>monthly</t>
        </is>
      </c>
      <c r="G70" t="inlineStr">
        <is>
          <t>SA</t>
        </is>
      </c>
      <c r="H70" t="inlineStr">
        <is>
          <t>pct</t>
        </is>
      </c>
      <c r="I70" t="inlineStr">
        <is>
          <t>rate</t>
        </is>
      </c>
      <c r="J70" t="inlineStr">
        <is>
          <t>state:MI</t>
        </is>
      </c>
      <c r="K70" t="inlineStr">
        <is>
          <t>A</t>
        </is>
      </c>
      <c r="L70" t="inlineStr">
        <is>
          <t>FALSE</t>
        </is>
      </c>
      <c r="M70" t="inlineStr">
        <is>
          <t>TRUE</t>
        </is>
      </c>
      <c r="N70" t="inlineStr">
        <is>
          <t>https://fred.stlouisfed.org/series/MIUR</t>
        </is>
      </c>
      <c r="O70" t="inlineStr"/>
      <c r="P70" t="inlineStr"/>
      <c r="Q70" t="inlineStr"/>
      <c r="R70" t="inlineStr">
        <is>
          <t>sahm_gap</t>
        </is>
      </c>
      <c r="S70" t="inlineStr">
        <is>
          <t>Sahm-STYLE state gap: mean(latest 3) - min(12 before). Oct-2025 observation missing (survey never collected).</t>
        </is>
      </c>
    </row>
    <row r="71">
      <c r="A71" t="inlineStr">
        <is>
          <t>MNUR</t>
        </is>
      </c>
      <c r="B71" t="inlineStr">
        <is>
          <t>Minnesota unemployment rate</t>
        </is>
      </c>
      <c r="C71" t="inlineStr">
        <is>
          <t>state</t>
        </is>
      </c>
      <c r="D71" t="inlineStr">
        <is>
          <t>watchlist</t>
        </is>
      </c>
      <c r="E71" t="inlineStr">
        <is>
          <t>unemp_rate</t>
        </is>
      </c>
      <c r="F71" t="inlineStr">
        <is>
          <t>monthly</t>
        </is>
      </c>
      <c r="G71" t="inlineStr">
        <is>
          <t>SA</t>
        </is>
      </c>
      <c r="H71" t="inlineStr">
        <is>
          <t>pct</t>
        </is>
      </c>
      <c r="I71" t="inlineStr">
        <is>
          <t>rate</t>
        </is>
      </c>
      <c r="J71" t="inlineStr">
        <is>
          <t>state:MN</t>
        </is>
      </c>
      <c r="K71" t="inlineStr">
        <is>
          <t>A</t>
        </is>
      </c>
      <c r="L71" t="inlineStr">
        <is>
          <t>FALSE</t>
        </is>
      </c>
      <c r="M71" t="inlineStr">
        <is>
          <t>TRUE</t>
        </is>
      </c>
      <c r="N71" t="inlineStr">
        <is>
          <t>https://fred.stlouisfed.org/series/MNUR</t>
        </is>
      </c>
      <c r="O71" t="inlineStr"/>
      <c r="P71" t="inlineStr"/>
      <c r="Q71" t="inlineStr"/>
      <c r="R71" t="inlineStr">
        <is>
          <t>sahm_gap</t>
        </is>
      </c>
      <c r="S71" t="inlineStr">
        <is>
          <t>Sahm-STYLE state gap: mean(latest 3) - min(12 before). Oct-2025 observation missing (survey never collected).</t>
        </is>
      </c>
    </row>
    <row r="72">
      <c r="A72" t="inlineStr">
        <is>
          <t>MOUR</t>
        </is>
      </c>
      <c r="B72" t="inlineStr">
        <is>
          <t>Missouri unemployment rate</t>
        </is>
      </c>
      <c r="C72" t="inlineStr">
        <is>
          <t>state</t>
        </is>
      </c>
      <c r="D72" t="inlineStr">
        <is>
          <t>watchlist</t>
        </is>
      </c>
      <c r="E72" t="inlineStr">
        <is>
          <t>unemp_rate</t>
        </is>
      </c>
      <c r="F72" t="inlineStr">
        <is>
          <t>monthly</t>
        </is>
      </c>
      <c r="G72" t="inlineStr">
        <is>
          <t>SA</t>
        </is>
      </c>
      <c r="H72" t="inlineStr">
        <is>
          <t>pct</t>
        </is>
      </c>
      <c r="I72" t="inlineStr">
        <is>
          <t>rate</t>
        </is>
      </c>
      <c r="J72" t="inlineStr">
        <is>
          <t>state:MO</t>
        </is>
      </c>
      <c r="K72" t="inlineStr">
        <is>
          <t>A</t>
        </is>
      </c>
      <c r="L72" t="inlineStr">
        <is>
          <t>FALSE</t>
        </is>
      </c>
      <c r="M72" t="inlineStr">
        <is>
          <t>TRUE</t>
        </is>
      </c>
      <c r="N72" t="inlineStr">
        <is>
          <t>https://fred.stlouisfed.org/series/MOUR</t>
        </is>
      </c>
      <c r="O72" t="inlineStr"/>
      <c r="P72" t="inlineStr"/>
      <c r="Q72" t="inlineStr"/>
      <c r="R72" t="inlineStr">
        <is>
          <t>sahm_gap</t>
        </is>
      </c>
      <c r="S72" t="inlineStr">
        <is>
          <t>Sahm-STYLE state gap: mean(latest 3) - min(12 before). Oct-2025 observation missing (survey never collected).</t>
        </is>
      </c>
    </row>
    <row r="73">
      <c r="A73" t="inlineStr">
        <is>
          <t>MSUR</t>
        </is>
      </c>
      <c r="B73" t="inlineStr">
        <is>
          <t>Mississippi unemployment rate</t>
        </is>
      </c>
      <c r="C73" t="inlineStr">
        <is>
          <t>state</t>
        </is>
      </c>
      <c r="D73" t="inlineStr">
        <is>
          <t>watchlist</t>
        </is>
      </c>
      <c r="E73" t="inlineStr">
        <is>
          <t>unemp_rate</t>
        </is>
      </c>
      <c r="F73" t="inlineStr">
        <is>
          <t>monthly</t>
        </is>
      </c>
      <c r="G73" t="inlineStr">
        <is>
          <t>SA</t>
        </is>
      </c>
      <c r="H73" t="inlineStr">
        <is>
          <t>pct</t>
        </is>
      </c>
      <c r="I73" t="inlineStr">
        <is>
          <t>rate</t>
        </is>
      </c>
      <c r="J73" t="inlineStr">
        <is>
          <t>state:MS</t>
        </is>
      </c>
      <c r="K73" t="inlineStr">
        <is>
          <t>A</t>
        </is>
      </c>
      <c r="L73" t="inlineStr">
        <is>
          <t>FALSE</t>
        </is>
      </c>
      <c r="M73" t="inlineStr">
        <is>
          <t>TRUE</t>
        </is>
      </c>
      <c r="N73" t="inlineStr">
        <is>
          <t>https://fred.stlouisfed.org/series/MSUR</t>
        </is>
      </c>
      <c r="O73" t="inlineStr"/>
      <c r="P73" t="inlineStr"/>
      <c r="Q73" t="inlineStr"/>
      <c r="R73" t="inlineStr">
        <is>
          <t>sahm_gap</t>
        </is>
      </c>
      <c r="S73" t="inlineStr">
        <is>
          <t>Sahm-STYLE state gap: mean(latest 3) - min(12 before). Oct-2025 observation missing (survey never collected).</t>
        </is>
      </c>
    </row>
    <row r="74">
      <c r="A74" t="inlineStr">
        <is>
          <t>MTUR</t>
        </is>
      </c>
      <c r="B74" t="inlineStr">
        <is>
          <t>Montana unemployment rate</t>
        </is>
      </c>
      <c r="C74" t="inlineStr">
        <is>
          <t>state</t>
        </is>
      </c>
      <c r="D74" t="inlineStr">
        <is>
          <t>watchlist</t>
        </is>
      </c>
      <c r="E74" t="inlineStr">
        <is>
          <t>unemp_rate</t>
        </is>
      </c>
      <c r="F74" t="inlineStr">
        <is>
          <t>monthly</t>
        </is>
      </c>
      <c r="G74" t="inlineStr">
        <is>
          <t>SA</t>
        </is>
      </c>
      <c r="H74" t="inlineStr">
        <is>
          <t>pct</t>
        </is>
      </c>
      <c r="I74" t="inlineStr">
        <is>
          <t>rate</t>
        </is>
      </c>
      <c r="J74" t="inlineStr">
        <is>
          <t>state:MT</t>
        </is>
      </c>
      <c r="K74" t="inlineStr">
        <is>
          <t>A</t>
        </is>
      </c>
      <c r="L74" t="inlineStr">
        <is>
          <t>FALSE</t>
        </is>
      </c>
      <c r="M74" t="inlineStr">
        <is>
          <t>TRUE</t>
        </is>
      </c>
      <c r="N74" t="inlineStr">
        <is>
          <t>https://fred.stlouisfed.org/series/MTUR</t>
        </is>
      </c>
      <c r="O74" t="inlineStr"/>
      <c r="P74" t="inlineStr"/>
      <c r="Q74" t="inlineStr"/>
      <c r="R74" t="inlineStr">
        <is>
          <t>sahm_gap</t>
        </is>
      </c>
      <c r="S74" t="inlineStr">
        <is>
          <t>Sahm-STYLE state gap: mean(latest 3) - min(12 before). Oct-2025 observation missing (survey never collected).</t>
        </is>
      </c>
    </row>
    <row r="75">
      <c r="A75" t="inlineStr">
        <is>
          <t>NCUR</t>
        </is>
      </c>
      <c r="B75" t="inlineStr">
        <is>
          <t>North Carolina unemployment rate</t>
        </is>
      </c>
      <c r="C75" t="inlineStr">
        <is>
          <t>state</t>
        </is>
      </c>
      <c r="D75" t="inlineStr">
        <is>
          <t>watchlist</t>
        </is>
      </c>
      <c r="E75" t="inlineStr">
        <is>
          <t>unemp_rate</t>
        </is>
      </c>
      <c r="F75" t="inlineStr">
        <is>
          <t>monthly</t>
        </is>
      </c>
      <c r="G75" t="inlineStr">
        <is>
          <t>SA</t>
        </is>
      </c>
      <c r="H75" t="inlineStr">
        <is>
          <t>pct</t>
        </is>
      </c>
      <c r="I75" t="inlineStr">
        <is>
          <t>rate</t>
        </is>
      </c>
      <c r="J75" t="inlineStr">
        <is>
          <t>state:NC</t>
        </is>
      </c>
      <c r="K75" t="inlineStr">
        <is>
          <t>A</t>
        </is>
      </c>
      <c r="L75" t="inlineStr">
        <is>
          <t>FALSE</t>
        </is>
      </c>
      <c r="M75" t="inlineStr">
        <is>
          <t>TRUE</t>
        </is>
      </c>
      <c r="N75" t="inlineStr">
        <is>
          <t>https://fred.stlouisfed.org/series/NCUR</t>
        </is>
      </c>
      <c r="O75" t="inlineStr"/>
      <c r="P75" t="inlineStr"/>
      <c r="Q75" t="inlineStr"/>
      <c r="R75" t="inlineStr">
        <is>
          <t>sahm_gap</t>
        </is>
      </c>
      <c r="S75" t="inlineStr">
        <is>
          <t>Sahm-STYLE state gap: mean(latest 3) - min(12 before). Oct-2025 observation missing (survey never collected).</t>
        </is>
      </c>
    </row>
    <row r="76">
      <c r="A76" t="inlineStr">
        <is>
          <t>NDUR</t>
        </is>
      </c>
      <c r="B76" t="inlineStr">
        <is>
          <t>North Dakota unemployment rate</t>
        </is>
      </c>
      <c r="C76" t="inlineStr">
        <is>
          <t>state</t>
        </is>
      </c>
      <c r="D76" t="inlineStr">
        <is>
          <t>watchlist</t>
        </is>
      </c>
      <c r="E76" t="inlineStr">
        <is>
          <t>unemp_rate</t>
        </is>
      </c>
      <c r="F76" t="inlineStr">
        <is>
          <t>monthly</t>
        </is>
      </c>
      <c r="G76" t="inlineStr">
        <is>
          <t>SA</t>
        </is>
      </c>
      <c r="H76" t="inlineStr">
        <is>
          <t>pct</t>
        </is>
      </c>
      <c r="I76" t="inlineStr">
        <is>
          <t>rate</t>
        </is>
      </c>
      <c r="J76" t="inlineStr">
        <is>
          <t>state:ND</t>
        </is>
      </c>
      <c r="K76" t="inlineStr">
        <is>
          <t>A</t>
        </is>
      </c>
      <c r="L76" t="inlineStr">
        <is>
          <t>FALSE</t>
        </is>
      </c>
      <c r="M76" t="inlineStr">
        <is>
          <t>TRUE</t>
        </is>
      </c>
      <c r="N76" t="inlineStr">
        <is>
          <t>https://fred.stlouisfed.org/series/NDUR</t>
        </is>
      </c>
      <c r="O76" t="inlineStr"/>
      <c r="P76" t="inlineStr"/>
      <c r="Q76" t="inlineStr"/>
      <c r="R76" t="inlineStr">
        <is>
          <t>sahm_gap</t>
        </is>
      </c>
      <c r="S76" t="inlineStr">
        <is>
          <t>Sahm-STYLE state gap: mean(latest 3) - min(12 before). Oct-2025 observation missing (survey never collected).</t>
        </is>
      </c>
    </row>
    <row r="77">
      <c r="A77" t="inlineStr">
        <is>
          <t>NEUR</t>
        </is>
      </c>
      <c r="B77" t="inlineStr">
        <is>
          <t>Nebraska unemployment rate</t>
        </is>
      </c>
      <c r="C77" t="inlineStr">
        <is>
          <t>state</t>
        </is>
      </c>
      <c r="D77" t="inlineStr">
        <is>
          <t>watchlist</t>
        </is>
      </c>
      <c r="E77" t="inlineStr">
        <is>
          <t>unemp_rate</t>
        </is>
      </c>
      <c r="F77" t="inlineStr">
        <is>
          <t>monthly</t>
        </is>
      </c>
      <c r="G77" t="inlineStr">
        <is>
          <t>SA</t>
        </is>
      </c>
      <c r="H77" t="inlineStr">
        <is>
          <t>pct</t>
        </is>
      </c>
      <c r="I77" t="inlineStr">
        <is>
          <t>rate</t>
        </is>
      </c>
      <c r="J77" t="inlineStr">
        <is>
          <t>state:NE</t>
        </is>
      </c>
      <c r="K77" t="inlineStr">
        <is>
          <t>A</t>
        </is>
      </c>
      <c r="L77" t="inlineStr">
        <is>
          <t>FALSE</t>
        </is>
      </c>
      <c r="M77" t="inlineStr">
        <is>
          <t>TRUE</t>
        </is>
      </c>
      <c r="N77" t="inlineStr">
        <is>
          <t>https://fred.stlouisfed.org/series/NEUR</t>
        </is>
      </c>
      <c r="O77" t="inlineStr"/>
      <c r="P77" t="inlineStr"/>
      <c r="Q77" t="inlineStr"/>
      <c r="R77" t="inlineStr">
        <is>
          <t>sahm_gap</t>
        </is>
      </c>
      <c r="S77" t="inlineStr">
        <is>
          <t>Sahm-STYLE state gap: mean(latest 3) - min(12 before). Oct-2025 observation missing (survey never collected).</t>
        </is>
      </c>
    </row>
    <row r="78">
      <c r="A78" t="inlineStr">
        <is>
          <t>NHUR</t>
        </is>
      </c>
      <c r="B78" t="inlineStr">
        <is>
          <t>New Hampshire unemployment rate</t>
        </is>
      </c>
      <c r="C78" t="inlineStr">
        <is>
          <t>state</t>
        </is>
      </c>
      <c r="D78" t="inlineStr">
        <is>
          <t>watchlist</t>
        </is>
      </c>
      <c r="E78" t="inlineStr">
        <is>
          <t>unemp_rate</t>
        </is>
      </c>
      <c r="F78" t="inlineStr">
        <is>
          <t>monthly</t>
        </is>
      </c>
      <c r="G78" t="inlineStr">
        <is>
          <t>SA</t>
        </is>
      </c>
      <c r="H78" t="inlineStr">
        <is>
          <t>pct</t>
        </is>
      </c>
      <c r="I78" t="inlineStr">
        <is>
          <t>rate</t>
        </is>
      </c>
      <c r="J78" t="inlineStr">
        <is>
          <t>state:NH</t>
        </is>
      </c>
      <c r="K78" t="inlineStr">
        <is>
          <t>A</t>
        </is>
      </c>
      <c r="L78" t="inlineStr">
        <is>
          <t>FALSE</t>
        </is>
      </c>
      <c r="M78" t="inlineStr">
        <is>
          <t>TRUE</t>
        </is>
      </c>
      <c r="N78" t="inlineStr">
        <is>
          <t>https://fred.stlouisfed.org/series/NHUR</t>
        </is>
      </c>
      <c r="O78" t="inlineStr"/>
      <c r="P78" t="inlineStr"/>
      <c r="Q78" t="inlineStr"/>
      <c r="R78" t="inlineStr">
        <is>
          <t>sahm_gap</t>
        </is>
      </c>
      <c r="S78" t="inlineStr">
        <is>
          <t>Sahm-STYLE state gap: mean(latest 3) - min(12 before). Oct-2025 observation missing (survey never collected).</t>
        </is>
      </c>
    </row>
    <row r="79">
      <c r="A79" t="inlineStr">
        <is>
          <t>NJUR</t>
        </is>
      </c>
      <c r="B79" t="inlineStr">
        <is>
          <t>New Jersey unemployment rate</t>
        </is>
      </c>
      <c r="C79" t="inlineStr">
        <is>
          <t>state</t>
        </is>
      </c>
      <c r="D79" t="inlineStr">
        <is>
          <t>watchlist</t>
        </is>
      </c>
      <c r="E79" t="inlineStr">
        <is>
          <t>unemp_rate</t>
        </is>
      </c>
      <c r="F79" t="inlineStr">
        <is>
          <t>monthly</t>
        </is>
      </c>
      <c r="G79" t="inlineStr">
        <is>
          <t>SA</t>
        </is>
      </c>
      <c r="H79" t="inlineStr">
        <is>
          <t>pct</t>
        </is>
      </c>
      <c r="I79" t="inlineStr">
        <is>
          <t>rate</t>
        </is>
      </c>
      <c r="J79" t="inlineStr">
        <is>
          <t>state:NJ</t>
        </is>
      </c>
      <c r="K79" t="inlineStr">
        <is>
          <t>A</t>
        </is>
      </c>
      <c r="L79" t="inlineStr">
        <is>
          <t>FALSE</t>
        </is>
      </c>
      <c r="M79" t="inlineStr">
        <is>
          <t>TRUE</t>
        </is>
      </c>
      <c r="N79" t="inlineStr">
        <is>
          <t>https://fred.stlouisfed.org/series/NJUR</t>
        </is>
      </c>
      <c r="O79" t="inlineStr"/>
      <c r="P79" t="inlineStr"/>
      <c r="Q79" t="inlineStr"/>
      <c r="R79" t="inlineStr">
        <is>
          <t>sahm_gap</t>
        </is>
      </c>
      <c r="S79" t="inlineStr">
        <is>
          <t>Sahm-STYLE state gap: mean(latest 3) - min(12 before). Oct-2025 observation missing (survey never collected).</t>
        </is>
      </c>
    </row>
    <row r="80">
      <c r="A80" t="inlineStr">
        <is>
          <t>NMUR</t>
        </is>
      </c>
      <c r="B80" t="inlineStr">
        <is>
          <t>New Mexico unemployment rate</t>
        </is>
      </c>
      <c r="C80" t="inlineStr">
        <is>
          <t>state</t>
        </is>
      </c>
      <c r="D80" t="inlineStr">
        <is>
          <t>watchlist</t>
        </is>
      </c>
      <c r="E80" t="inlineStr">
        <is>
          <t>unemp_rate</t>
        </is>
      </c>
      <c r="F80" t="inlineStr">
        <is>
          <t>monthly</t>
        </is>
      </c>
      <c r="G80" t="inlineStr">
        <is>
          <t>SA</t>
        </is>
      </c>
      <c r="H80" t="inlineStr">
        <is>
          <t>pct</t>
        </is>
      </c>
      <c r="I80" t="inlineStr">
        <is>
          <t>rate</t>
        </is>
      </c>
      <c r="J80" t="inlineStr">
        <is>
          <t>state:NM</t>
        </is>
      </c>
      <c r="K80" t="inlineStr">
        <is>
          <t>A</t>
        </is>
      </c>
      <c r="L80" t="inlineStr">
        <is>
          <t>FALSE</t>
        </is>
      </c>
      <c r="M80" t="inlineStr">
        <is>
          <t>TRUE</t>
        </is>
      </c>
      <c r="N80" t="inlineStr">
        <is>
          <t>https://fred.stlouisfed.org/series/NMUR</t>
        </is>
      </c>
      <c r="O80" t="inlineStr"/>
      <c r="P80" t="inlineStr"/>
      <c r="Q80" t="inlineStr"/>
      <c r="R80" t="inlineStr">
        <is>
          <t>sahm_gap</t>
        </is>
      </c>
      <c r="S80" t="inlineStr">
        <is>
          <t>Sahm-STYLE state gap: mean(latest 3) - min(12 before). Oct-2025 observation missing (survey never collected).</t>
        </is>
      </c>
    </row>
    <row r="81">
      <c r="A81" t="inlineStr">
        <is>
          <t>NVUR</t>
        </is>
      </c>
      <c r="B81" t="inlineStr">
        <is>
          <t>Nevada unemployment rate</t>
        </is>
      </c>
      <c r="C81" t="inlineStr">
        <is>
          <t>state</t>
        </is>
      </c>
      <c r="D81" t="inlineStr">
        <is>
          <t>watchlist</t>
        </is>
      </c>
      <c r="E81" t="inlineStr">
        <is>
          <t>unemp_rate</t>
        </is>
      </c>
      <c r="F81" t="inlineStr">
        <is>
          <t>monthly</t>
        </is>
      </c>
      <c r="G81" t="inlineStr">
        <is>
          <t>SA</t>
        </is>
      </c>
      <c r="H81" t="inlineStr">
        <is>
          <t>pct</t>
        </is>
      </c>
      <c r="I81" t="inlineStr">
        <is>
          <t>rate</t>
        </is>
      </c>
      <c r="J81" t="inlineStr">
        <is>
          <t>state:NV</t>
        </is>
      </c>
      <c r="K81" t="inlineStr">
        <is>
          <t>A</t>
        </is>
      </c>
      <c r="L81" t="inlineStr">
        <is>
          <t>FALSE</t>
        </is>
      </c>
      <c r="M81" t="inlineStr">
        <is>
          <t>TRUE</t>
        </is>
      </c>
      <c r="N81" t="inlineStr">
        <is>
          <t>https://fred.stlouisfed.org/series/NVUR</t>
        </is>
      </c>
      <c r="O81" t="inlineStr"/>
      <c r="P81" t="inlineStr"/>
      <c r="Q81" t="inlineStr"/>
      <c r="R81" t="inlineStr">
        <is>
          <t>sahm_gap</t>
        </is>
      </c>
      <c r="S81" t="inlineStr">
        <is>
          <t>Sahm-STYLE state gap: mean(latest 3) - min(12 before). Oct-2025 observation missing (survey never collected).</t>
        </is>
      </c>
    </row>
    <row r="82">
      <c r="A82" t="inlineStr">
        <is>
          <t>NYUR</t>
        </is>
      </c>
      <c r="B82" t="inlineStr">
        <is>
          <t>New York unemployment rate</t>
        </is>
      </c>
      <c r="C82" t="inlineStr">
        <is>
          <t>state</t>
        </is>
      </c>
      <c r="D82" t="inlineStr">
        <is>
          <t>watchlist</t>
        </is>
      </c>
      <c r="E82" t="inlineStr">
        <is>
          <t>unemp_rate</t>
        </is>
      </c>
      <c r="F82" t="inlineStr">
        <is>
          <t>monthly</t>
        </is>
      </c>
      <c r="G82" t="inlineStr">
        <is>
          <t>SA</t>
        </is>
      </c>
      <c r="H82" t="inlineStr">
        <is>
          <t>pct</t>
        </is>
      </c>
      <c r="I82" t="inlineStr">
        <is>
          <t>rate</t>
        </is>
      </c>
      <c r="J82" t="inlineStr">
        <is>
          <t>state:NY</t>
        </is>
      </c>
      <c r="K82" t="inlineStr">
        <is>
          <t>A</t>
        </is>
      </c>
      <c r="L82" t="inlineStr">
        <is>
          <t>FALSE</t>
        </is>
      </c>
      <c r="M82" t="inlineStr">
        <is>
          <t>TRUE</t>
        </is>
      </c>
      <c r="N82" t="inlineStr">
        <is>
          <t>https://fred.stlouisfed.org/series/NYUR</t>
        </is>
      </c>
      <c r="O82" t="inlineStr"/>
      <c r="P82" t="inlineStr"/>
      <c r="Q82" t="inlineStr"/>
      <c r="R82" t="inlineStr">
        <is>
          <t>sahm_gap</t>
        </is>
      </c>
      <c r="S82" t="inlineStr">
        <is>
          <t>Sahm-STYLE state gap: mean(latest 3) - min(12 before). Oct-2025 observation missing (survey never collected).</t>
        </is>
      </c>
    </row>
    <row r="83">
      <c r="A83" t="inlineStr">
        <is>
          <t>OHUR</t>
        </is>
      </c>
      <c r="B83" t="inlineStr">
        <is>
          <t>Ohio unemployment rate</t>
        </is>
      </c>
      <c r="C83" t="inlineStr">
        <is>
          <t>state</t>
        </is>
      </c>
      <c r="D83" t="inlineStr">
        <is>
          <t>watchlist</t>
        </is>
      </c>
      <c r="E83" t="inlineStr">
        <is>
          <t>unemp_rate</t>
        </is>
      </c>
      <c r="F83" t="inlineStr">
        <is>
          <t>monthly</t>
        </is>
      </c>
      <c r="G83" t="inlineStr">
        <is>
          <t>SA</t>
        </is>
      </c>
      <c r="H83" t="inlineStr">
        <is>
          <t>pct</t>
        </is>
      </c>
      <c r="I83" t="inlineStr">
        <is>
          <t>rate</t>
        </is>
      </c>
      <c r="J83" t="inlineStr">
        <is>
          <t>state:OH</t>
        </is>
      </c>
      <c r="K83" t="inlineStr">
        <is>
          <t>A</t>
        </is>
      </c>
      <c r="L83" t="inlineStr">
        <is>
          <t>FALSE</t>
        </is>
      </c>
      <c r="M83" t="inlineStr">
        <is>
          <t>TRUE</t>
        </is>
      </c>
      <c r="N83" t="inlineStr">
        <is>
          <t>https://fred.stlouisfed.org/series/OHUR</t>
        </is>
      </c>
      <c r="O83" t="inlineStr"/>
      <c r="P83" t="inlineStr"/>
      <c r="Q83" t="inlineStr"/>
      <c r="R83" t="inlineStr">
        <is>
          <t>sahm_gap</t>
        </is>
      </c>
      <c r="S83" t="inlineStr">
        <is>
          <t>Sahm-STYLE state gap: mean(latest 3) - min(12 before). Oct-2025 observation missing (survey never collected).</t>
        </is>
      </c>
    </row>
    <row r="84">
      <c r="A84" t="inlineStr">
        <is>
          <t>OKUR</t>
        </is>
      </c>
      <c r="B84" t="inlineStr">
        <is>
          <t>Oklahoma unemployment rate</t>
        </is>
      </c>
      <c r="C84" t="inlineStr">
        <is>
          <t>state</t>
        </is>
      </c>
      <c r="D84" t="inlineStr">
        <is>
          <t>watchlist</t>
        </is>
      </c>
      <c r="E84" t="inlineStr">
        <is>
          <t>unemp_rate</t>
        </is>
      </c>
      <c r="F84" t="inlineStr">
        <is>
          <t>monthly</t>
        </is>
      </c>
      <c r="G84" t="inlineStr">
        <is>
          <t>SA</t>
        </is>
      </c>
      <c r="H84" t="inlineStr">
        <is>
          <t>pct</t>
        </is>
      </c>
      <c r="I84" t="inlineStr">
        <is>
          <t>rate</t>
        </is>
      </c>
      <c r="J84" t="inlineStr">
        <is>
          <t>state:OK</t>
        </is>
      </c>
      <c r="K84" t="inlineStr">
        <is>
          <t>A</t>
        </is>
      </c>
      <c r="L84" t="inlineStr">
        <is>
          <t>FALSE</t>
        </is>
      </c>
      <c r="M84" t="inlineStr">
        <is>
          <t>TRUE</t>
        </is>
      </c>
      <c r="N84" t="inlineStr">
        <is>
          <t>https://fred.stlouisfed.org/series/OKUR</t>
        </is>
      </c>
      <c r="O84" t="inlineStr"/>
      <c r="P84" t="inlineStr"/>
      <c r="Q84" t="inlineStr"/>
      <c r="R84" t="inlineStr">
        <is>
          <t>sahm_gap</t>
        </is>
      </c>
      <c r="S84" t="inlineStr">
        <is>
          <t>Sahm-STYLE state gap: mean(latest 3) - min(12 before). Oct-2025 observation missing (survey never collected).</t>
        </is>
      </c>
    </row>
    <row r="85">
      <c r="A85" t="inlineStr">
        <is>
          <t>ORUR</t>
        </is>
      </c>
      <c r="B85" t="inlineStr">
        <is>
          <t>Oregon unemployment rate</t>
        </is>
      </c>
      <c r="C85" t="inlineStr">
        <is>
          <t>state</t>
        </is>
      </c>
      <c r="D85" t="inlineStr">
        <is>
          <t>watchlist</t>
        </is>
      </c>
      <c r="E85" t="inlineStr">
        <is>
          <t>unemp_rate</t>
        </is>
      </c>
      <c r="F85" t="inlineStr">
        <is>
          <t>monthly</t>
        </is>
      </c>
      <c r="G85" t="inlineStr">
        <is>
          <t>SA</t>
        </is>
      </c>
      <c r="H85" t="inlineStr">
        <is>
          <t>pct</t>
        </is>
      </c>
      <c r="I85" t="inlineStr">
        <is>
          <t>rate</t>
        </is>
      </c>
      <c r="J85" t="inlineStr">
        <is>
          <t>state:OR</t>
        </is>
      </c>
      <c r="K85" t="inlineStr">
        <is>
          <t>A</t>
        </is>
      </c>
      <c r="L85" t="inlineStr">
        <is>
          <t>FALSE</t>
        </is>
      </c>
      <c r="M85" t="inlineStr">
        <is>
          <t>TRUE</t>
        </is>
      </c>
      <c r="N85" t="inlineStr">
        <is>
          <t>https://fred.stlouisfed.org/series/ORUR</t>
        </is>
      </c>
      <c r="O85" t="inlineStr"/>
      <c r="P85" t="inlineStr"/>
      <c r="Q85" t="inlineStr"/>
      <c r="R85" t="inlineStr">
        <is>
          <t>sahm_gap</t>
        </is>
      </c>
      <c r="S85" t="inlineStr">
        <is>
          <t>Sahm-STYLE state gap: mean(latest 3) - min(12 before). Oct-2025 observation missing (survey never collected).</t>
        </is>
      </c>
    </row>
    <row r="86">
      <c r="A86" t="inlineStr">
        <is>
          <t>PAUR</t>
        </is>
      </c>
      <c r="B86" t="inlineStr">
        <is>
          <t>Pennsylvania unemployment rate</t>
        </is>
      </c>
      <c r="C86" t="inlineStr">
        <is>
          <t>state</t>
        </is>
      </c>
      <c r="D86" t="inlineStr">
        <is>
          <t>watchlist</t>
        </is>
      </c>
      <c r="E86" t="inlineStr">
        <is>
          <t>unemp_rate</t>
        </is>
      </c>
      <c r="F86" t="inlineStr">
        <is>
          <t>monthly</t>
        </is>
      </c>
      <c r="G86" t="inlineStr">
        <is>
          <t>SA</t>
        </is>
      </c>
      <c r="H86" t="inlineStr">
        <is>
          <t>pct</t>
        </is>
      </c>
      <c r="I86" t="inlineStr">
        <is>
          <t>rate</t>
        </is>
      </c>
      <c r="J86" t="inlineStr">
        <is>
          <t>state:PA</t>
        </is>
      </c>
      <c r="K86" t="inlineStr">
        <is>
          <t>A</t>
        </is>
      </c>
      <c r="L86" t="inlineStr">
        <is>
          <t>FALSE</t>
        </is>
      </c>
      <c r="M86" t="inlineStr">
        <is>
          <t>TRUE</t>
        </is>
      </c>
      <c r="N86" t="inlineStr">
        <is>
          <t>https://fred.stlouisfed.org/series/PAUR</t>
        </is>
      </c>
      <c r="O86" t="inlineStr"/>
      <c r="P86" t="inlineStr"/>
      <c r="Q86" t="inlineStr"/>
      <c r="R86" t="inlineStr">
        <is>
          <t>sahm_gap</t>
        </is>
      </c>
      <c r="S86" t="inlineStr">
        <is>
          <t>Sahm-STYLE state gap: mean(latest 3) - min(12 before). Oct-2025 observation missing (survey never collected).</t>
        </is>
      </c>
    </row>
    <row r="87">
      <c r="A87" t="inlineStr">
        <is>
          <t>RIUR</t>
        </is>
      </c>
      <c r="B87" t="inlineStr">
        <is>
          <t>Rhode Island unemployment rate</t>
        </is>
      </c>
      <c r="C87" t="inlineStr">
        <is>
          <t>state</t>
        </is>
      </c>
      <c r="D87" t="inlineStr">
        <is>
          <t>watchlist</t>
        </is>
      </c>
      <c r="E87" t="inlineStr">
        <is>
          <t>unemp_rate</t>
        </is>
      </c>
      <c r="F87" t="inlineStr">
        <is>
          <t>monthly</t>
        </is>
      </c>
      <c r="G87" t="inlineStr">
        <is>
          <t>SA</t>
        </is>
      </c>
      <c r="H87" t="inlineStr">
        <is>
          <t>pct</t>
        </is>
      </c>
      <c r="I87" t="inlineStr">
        <is>
          <t>rate</t>
        </is>
      </c>
      <c r="J87" t="inlineStr">
        <is>
          <t>state:RI</t>
        </is>
      </c>
      <c r="K87" t="inlineStr">
        <is>
          <t>A</t>
        </is>
      </c>
      <c r="L87" t="inlineStr">
        <is>
          <t>FALSE</t>
        </is>
      </c>
      <c r="M87" t="inlineStr">
        <is>
          <t>TRUE</t>
        </is>
      </c>
      <c r="N87" t="inlineStr">
        <is>
          <t>https://fred.stlouisfed.org/series/RIUR</t>
        </is>
      </c>
      <c r="O87" t="inlineStr"/>
      <c r="P87" t="inlineStr"/>
      <c r="Q87" t="inlineStr"/>
      <c r="R87" t="inlineStr">
        <is>
          <t>sahm_gap</t>
        </is>
      </c>
      <c r="S87" t="inlineStr">
        <is>
          <t>Sahm-STYLE state gap: mean(latest 3) - min(12 before). Oct-2025 observation missing (survey never collected).</t>
        </is>
      </c>
    </row>
    <row r="88">
      <c r="A88" t="inlineStr">
        <is>
          <t>SCUR</t>
        </is>
      </c>
      <c r="B88" t="inlineStr">
        <is>
          <t>South Carolina unemployment rate</t>
        </is>
      </c>
      <c r="C88" t="inlineStr">
        <is>
          <t>state</t>
        </is>
      </c>
      <c r="D88" t="inlineStr">
        <is>
          <t>watchlist</t>
        </is>
      </c>
      <c r="E88" t="inlineStr">
        <is>
          <t>unemp_rate</t>
        </is>
      </c>
      <c r="F88" t="inlineStr">
        <is>
          <t>monthly</t>
        </is>
      </c>
      <c r="G88" t="inlineStr">
        <is>
          <t>SA</t>
        </is>
      </c>
      <c r="H88" t="inlineStr">
        <is>
          <t>pct</t>
        </is>
      </c>
      <c r="I88" t="inlineStr">
        <is>
          <t>rate</t>
        </is>
      </c>
      <c r="J88" t="inlineStr">
        <is>
          <t>state:SC</t>
        </is>
      </c>
      <c r="K88" t="inlineStr">
        <is>
          <t>A</t>
        </is>
      </c>
      <c r="L88" t="inlineStr">
        <is>
          <t>FALSE</t>
        </is>
      </c>
      <c r="M88" t="inlineStr">
        <is>
          <t>TRUE</t>
        </is>
      </c>
      <c r="N88" t="inlineStr">
        <is>
          <t>https://fred.stlouisfed.org/series/SCUR</t>
        </is>
      </c>
      <c r="O88" t="inlineStr"/>
      <c r="P88" t="inlineStr"/>
      <c r="Q88" t="inlineStr"/>
      <c r="R88" t="inlineStr">
        <is>
          <t>sahm_gap</t>
        </is>
      </c>
      <c r="S88" t="inlineStr">
        <is>
          <t>Sahm-STYLE state gap: mean(latest 3) - min(12 before). Oct-2025 observation missing (survey never collected).</t>
        </is>
      </c>
    </row>
    <row r="89">
      <c r="A89" t="inlineStr">
        <is>
          <t>SDUR</t>
        </is>
      </c>
      <c r="B89" t="inlineStr">
        <is>
          <t>South Dakota unemployment rate</t>
        </is>
      </c>
      <c r="C89" t="inlineStr">
        <is>
          <t>state</t>
        </is>
      </c>
      <c r="D89" t="inlineStr">
        <is>
          <t>watchlist</t>
        </is>
      </c>
      <c r="E89" t="inlineStr">
        <is>
          <t>unemp_rate</t>
        </is>
      </c>
      <c r="F89" t="inlineStr">
        <is>
          <t>monthly</t>
        </is>
      </c>
      <c r="G89" t="inlineStr">
        <is>
          <t>SA</t>
        </is>
      </c>
      <c r="H89" t="inlineStr">
        <is>
          <t>pct</t>
        </is>
      </c>
      <c r="I89" t="inlineStr">
        <is>
          <t>rate</t>
        </is>
      </c>
      <c r="J89" t="inlineStr">
        <is>
          <t>state:SD</t>
        </is>
      </c>
      <c r="K89" t="inlineStr">
        <is>
          <t>A</t>
        </is>
      </c>
      <c r="L89" t="inlineStr">
        <is>
          <t>FALSE</t>
        </is>
      </c>
      <c r="M89" t="inlineStr">
        <is>
          <t>TRUE</t>
        </is>
      </c>
      <c r="N89" t="inlineStr">
        <is>
          <t>https://fred.stlouisfed.org/series/SDUR</t>
        </is>
      </c>
      <c r="O89" t="inlineStr"/>
      <c r="P89" t="inlineStr"/>
      <c r="Q89" t="inlineStr"/>
      <c r="R89" t="inlineStr">
        <is>
          <t>sahm_gap</t>
        </is>
      </c>
      <c r="S89" t="inlineStr">
        <is>
          <t>Sahm-STYLE state gap: mean(latest 3) - min(12 before). Oct-2025 observation missing (survey never collected).</t>
        </is>
      </c>
    </row>
    <row r="90">
      <c r="A90" t="inlineStr">
        <is>
          <t>TNUR</t>
        </is>
      </c>
      <c r="B90" t="inlineStr">
        <is>
          <t>Tennessee unemployment rate</t>
        </is>
      </c>
      <c r="C90" t="inlineStr">
        <is>
          <t>state</t>
        </is>
      </c>
      <c r="D90" t="inlineStr">
        <is>
          <t>watchlist</t>
        </is>
      </c>
      <c r="E90" t="inlineStr">
        <is>
          <t>unemp_rate</t>
        </is>
      </c>
      <c r="F90" t="inlineStr">
        <is>
          <t>monthly</t>
        </is>
      </c>
      <c r="G90" t="inlineStr">
        <is>
          <t>SA</t>
        </is>
      </c>
      <c r="H90" t="inlineStr">
        <is>
          <t>pct</t>
        </is>
      </c>
      <c r="I90" t="inlineStr">
        <is>
          <t>rate</t>
        </is>
      </c>
      <c r="J90" t="inlineStr">
        <is>
          <t>state:TN</t>
        </is>
      </c>
      <c r="K90" t="inlineStr">
        <is>
          <t>A</t>
        </is>
      </c>
      <c r="L90" t="inlineStr">
        <is>
          <t>FALSE</t>
        </is>
      </c>
      <c r="M90" t="inlineStr">
        <is>
          <t>TRUE</t>
        </is>
      </c>
      <c r="N90" t="inlineStr">
        <is>
          <t>https://fred.stlouisfed.org/series/TNUR</t>
        </is>
      </c>
      <c r="O90" t="inlineStr"/>
      <c r="P90" t="inlineStr"/>
      <c r="Q90" t="inlineStr"/>
      <c r="R90" t="inlineStr">
        <is>
          <t>sahm_gap</t>
        </is>
      </c>
      <c r="S90" t="inlineStr">
        <is>
          <t>Sahm-STYLE state gap: mean(latest 3) - min(12 before). Oct-2025 observation missing (survey never collected).</t>
        </is>
      </c>
    </row>
    <row r="91">
      <c r="A91" t="inlineStr">
        <is>
          <t>TXUR</t>
        </is>
      </c>
      <c r="B91" t="inlineStr">
        <is>
          <t>Texas unemployment rate</t>
        </is>
      </c>
      <c r="C91" t="inlineStr">
        <is>
          <t>state</t>
        </is>
      </c>
      <c r="D91" t="inlineStr">
        <is>
          <t>watchlist</t>
        </is>
      </c>
      <c r="E91" t="inlineStr">
        <is>
          <t>unemp_rate</t>
        </is>
      </c>
      <c r="F91" t="inlineStr">
        <is>
          <t>monthly</t>
        </is>
      </c>
      <c r="G91" t="inlineStr">
        <is>
          <t>SA</t>
        </is>
      </c>
      <c r="H91" t="inlineStr">
        <is>
          <t>pct</t>
        </is>
      </c>
      <c r="I91" t="inlineStr">
        <is>
          <t>rate</t>
        </is>
      </c>
      <c r="J91" t="inlineStr">
        <is>
          <t>state:TX</t>
        </is>
      </c>
      <c r="K91" t="inlineStr">
        <is>
          <t>A</t>
        </is>
      </c>
      <c r="L91" t="inlineStr">
        <is>
          <t>FALSE</t>
        </is>
      </c>
      <c r="M91" t="inlineStr">
        <is>
          <t>TRUE</t>
        </is>
      </c>
      <c r="N91" t="inlineStr">
        <is>
          <t>https://fred.stlouisfed.org/series/TXUR</t>
        </is>
      </c>
      <c r="O91" t="inlineStr"/>
      <c r="P91" t="inlineStr"/>
      <c r="Q91" t="inlineStr"/>
      <c r="R91" t="inlineStr">
        <is>
          <t>sahm_gap</t>
        </is>
      </c>
      <c r="S91" t="inlineStr">
        <is>
          <t>Sahm-STYLE state gap: mean(latest 3) - min(12 before). Oct-2025 observation missing (survey never collected).</t>
        </is>
      </c>
    </row>
    <row r="92">
      <c r="A92" t="inlineStr">
        <is>
          <t>UTUR</t>
        </is>
      </c>
      <c r="B92" t="inlineStr">
        <is>
          <t>Utah unemployment rate</t>
        </is>
      </c>
      <c r="C92" t="inlineStr">
        <is>
          <t>state</t>
        </is>
      </c>
      <c r="D92" t="inlineStr">
        <is>
          <t>watchlist</t>
        </is>
      </c>
      <c r="E92" t="inlineStr">
        <is>
          <t>unemp_rate</t>
        </is>
      </c>
      <c r="F92" t="inlineStr">
        <is>
          <t>monthly</t>
        </is>
      </c>
      <c r="G92" t="inlineStr">
        <is>
          <t>SA</t>
        </is>
      </c>
      <c r="H92" t="inlineStr">
        <is>
          <t>pct</t>
        </is>
      </c>
      <c r="I92" t="inlineStr">
        <is>
          <t>rate</t>
        </is>
      </c>
      <c r="J92" t="inlineStr">
        <is>
          <t>state:UT</t>
        </is>
      </c>
      <c r="K92" t="inlineStr">
        <is>
          <t>A</t>
        </is>
      </c>
      <c r="L92" t="inlineStr">
        <is>
          <t>FALSE</t>
        </is>
      </c>
      <c r="M92" t="inlineStr">
        <is>
          <t>TRUE</t>
        </is>
      </c>
      <c r="N92" t="inlineStr">
        <is>
          <t>https://fred.stlouisfed.org/series/UTUR</t>
        </is>
      </c>
      <c r="O92" t="inlineStr"/>
      <c r="P92" t="inlineStr"/>
      <c r="Q92" t="inlineStr"/>
      <c r="R92" t="inlineStr">
        <is>
          <t>sahm_gap</t>
        </is>
      </c>
      <c r="S92" t="inlineStr">
        <is>
          <t>Sahm-STYLE state gap: mean(latest 3) - min(12 before). Oct-2025 observation missing (survey never collected).</t>
        </is>
      </c>
    </row>
    <row r="93">
      <c r="A93" t="inlineStr">
        <is>
          <t>VAUR</t>
        </is>
      </c>
      <c r="B93" t="inlineStr">
        <is>
          <t>Virginia unemployment rate</t>
        </is>
      </c>
      <c r="C93" t="inlineStr">
        <is>
          <t>state</t>
        </is>
      </c>
      <c r="D93" t="inlineStr">
        <is>
          <t>watchlist</t>
        </is>
      </c>
      <c r="E93" t="inlineStr">
        <is>
          <t>unemp_rate</t>
        </is>
      </c>
      <c r="F93" t="inlineStr">
        <is>
          <t>monthly</t>
        </is>
      </c>
      <c r="G93" t="inlineStr">
        <is>
          <t>SA</t>
        </is>
      </c>
      <c r="H93" t="inlineStr">
        <is>
          <t>pct</t>
        </is>
      </c>
      <c r="I93" t="inlineStr">
        <is>
          <t>rate</t>
        </is>
      </c>
      <c r="J93" t="inlineStr">
        <is>
          <t>state:VA</t>
        </is>
      </c>
      <c r="K93" t="inlineStr">
        <is>
          <t>A</t>
        </is>
      </c>
      <c r="L93" t="inlineStr">
        <is>
          <t>FALSE</t>
        </is>
      </c>
      <c r="M93" t="inlineStr">
        <is>
          <t>TRUE</t>
        </is>
      </c>
      <c r="N93" t="inlineStr">
        <is>
          <t>https://fred.stlouisfed.org/series/VAUR</t>
        </is>
      </c>
      <c r="O93" t="inlineStr"/>
      <c r="P93" t="inlineStr"/>
      <c r="Q93" t="inlineStr"/>
      <c r="R93" t="inlineStr">
        <is>
          <t>sahm_gap</t>
        </is>
      </c>
      <c r="S93" t="inlineStr">
        <is>
          <t>Sahm-STYLE state gap: mean(latest 3) - min(12 before). Oct-2025 observation missing (survey never collected).</t>
        </is>
      </c>
    </row>
    <row r="94">
      <c r="A94" t="inlineStr">
        <is>
          <t>VTUR</t>
        </is>
      </c>
      <c r="B94" t="inlineStr">
        <is>
          <t>Vermont unemployment rate</t>
        </is>
      </c>
      <c r="C94" t="inlineStr">
        <is>
          <t>state</t>
        </is>
      </c>
      <c r="D94" t="inlineStr">
        <is>
          <t>watchlist</t>
        </is>
      </c>
      <c r="E94" t="inlineStr">
        <is>
          <t>unemp_rate</t>
        </is>
      </c>
      <c r="F94" t="inlineStr">
        <is>
          <t>monthly</t>
        </is>
      </c>
      <c r="G94" t="inlineStr">
        <is>
          <t>SA</t>
        </is>
      </c>
      <c r="H94" t="inlineStr">
        <is>
          <t>pct</t>
        </is>
      </c>
      <c r="I94" t="inlineStr">
        <is>
          <t>rate</t>
        </is>
      </c>
      <c r="J94" t="inlineStr">
        <is>
          <t>state:VT</t>
        </is>
      </c>
      <c r="K94" t="inlineStr">
        <is>
          <t>A</t>
        </is>
      </c>
      <c r="L94" t="inlineStr">
        <is>
          <t>FALSE</t>
        </is>
      </c>
      <c r="M94" t="inlineStr">
        <is>
          <t>TRUE</t>
        </is>
      </c>
      <c r="N94" t="inlineStr">
        <is>
          <t>https://fred.stlouisfed.org/series/VTUR</t>
        </is>
      </c>
      <c r="O94" t="inlineStr"/>
      <c r="P94" t="inlineStr"/>
      <c r="Q94" t="inlineStr"/>
      <c r="R94" t="inlineStr">
        <is>
          <t>sahm_gap</t>
        </is>
      </c>
      <c r="S94" t="inlineStr">
        <is>
          <t>Sahm-STYLE state gap: mean(latest 3) - min(12 before). Oct-2025 observation missing (survey never collected).</t>
        </is>
      </c>
    </row>
    <row r="95">
      <c r="A95" t="inlineStr">
        <is>
          <t>WAUR</t>
        </is>
      </c>
      <c r="B95" t="inlineStr">
        <is>
          <t>Washington unemployment rate</t>
        </is>
      </c>
      <c r="C95" t="inlineStr">
        <is>
          <t>state</t>
        </is>
      </c>
      <c r="D95" t="inlineStr">
        <is>
          <t>watchlist</t>
        </is>
      </c>
      <c r="E95" t="inlineStr">
        <is>
          <t>unemp_rate</t>
        </is>
      </c>
      <c r="F95" t="inlineStr">
        <is>
          <t>monthly</t>
        </is>
      </c>
      <c r="G95" t="inlineStr">
        <is>
          <t>SA</t>
        </is>
      </c>
      <c r="H95" t="inlineStr">
        <is>
          <t>pct</t>
        </is>
      </c>
      <c r="I95" t="inlineStr">
        <is>
          <t>rate</t>
        </is>
      </c>
      <c r="J95" t="inlineStr">
        <is>
          <t>state:WA</t>
        </is>
      </c>
      <c r="K95" t="inlineStr">
        <is>
          <t>A</t>
        </is>
      </c>
      <c r="L95" t="inlineStr">
        <is>
          <t>FALSE</t>
        </is>
      </c>
      <c r="M95" t="inlineStr">
        <is>
          <t>TRUE</t>
        </is>
      </c>
      <c r="N95" t="inlineStr">
        <is>
          <t>https://fred.stlouisfed.org/series/WAUR</t>
        </is>
      </c>
      <c r="O95" t="inlineStr"/>
      <c r="P95" t="inlineStr"/>
      <c r="Q95" t="inlineStr"/>
      <c r="R95" t="inlineStr">
        <is>
          <t>sahm_gap</t>
        </is>
      </c>
      <c r="S95" t="inlineStr">
        <is>
          <t>Sahm-STYLE state gap: mean(latest 3) - min(12 before). Oct-2025 observation missing (survey never collected).</t>
        </is>
      </c>
    </row>
    <row r="96">
      <c r="A96" t="inlineStr">
        <is>
          <t>WIUR</t>
        </is>
      </c>
      <c r="B96" t="inlineStr">
        <is>
          <t>Wisconsin unemployment rate</t>
        </is>
      </c>
      <c r="C96" t="inlineStr">
        <is>
          <t>state</t>
        </is>
      </c>
      <c r="D96" t="inlineStr">
        <is>
          <t>watchlist</t>
        </is>
      </c>
      <c r="E96" t="inlineStr">
        <is>
          <t>unemp_rate</t>
        </is>
      </c>
      <c r="F96" t="inlineStr">
        <is>
          <t>monthly</t>
        </is>
      </c>
      <c r="G96" t="inlineStr">
        <is>
          <t>SA</t>
        </is>
      </c>
      <c r="H96" t="inlineStr">
        <is>
          <t>pct</t>
        </is>
      </c>
      <c r="I96" t="inlineStr">
        <is>
          <t>rate</t>
        </is>
      </c>
      <c r="J96" t="inlineStr">
        <is>
          <t>state:WI</t>
        </is>
      </c>
      <c r="K96" t="inlineStr">
        <is>
          <t>A</t>
        </is>
      </c>
      <c r="L96" t="inlineStr">
        <is>
          <t>FALSE</t>
        </is>
      </c>
      <c r="M96" t="inlineStr">
        <is>
          <t>TRUE</t>
        </is>
      </c>
      <c r="N96" t="inlineStr">
        <is>
          <t>https://fred.stlouisfed.org/series/WIUR</t>
        </is>
      </c>
      <c r="O96" t="inlineStr"/>
      <c r="P96" t="inlineStr"/>
      <c r="Q96" t="inlineStr"/>
      <c r="R96" t="inlineStr">
        <is>
          <t>sahm_gap</t>
        </is>
      </c>
      <c r="S96" t="inlineStr">
        <is>
          <t>Sahm-STYLE state gap: mean(latest 3) - min(12 before). Oct-2025 observation missing (survey never collected).</t>
        </is>
      </c>
    </row>
    <row r="97">
      <c r="A97" t="inlineStr">
        <is>
          <t>WVUR</t>
        </is>
      </c>
      <c r="B97" t="inlineStr">
        <is>
          <t>West Virginia unemployment rate</t>
        </is>
      </c>
      <c r="C97" t="inlineStr">
        <is>
          <t>state</t>
        </is>
      </c>
      <c r="D97" t="inlineStr">
        <is>
          <t>watchlist</t>
        </is>
      </c>
      <c r="E97" t="inlineStr">
        <is>
          <t>unemp_rate</t>
        </is>
      </c>
      <c r="F97" t="inlineStr">
        <is>
          <t>monthly</t>
        </is>
      </c>
      <c r="G97" t="inlineStr">
        <is>
          <t>SA</t>
        </is>
      </c>
      <c r="H97" t="inlineStr">
        <is>
          <t>pct</t>
        </is>
      </c>
      <c r="I97" t="inlineStr">
        <is>
          <t>rate</t>
        </is>
      </c>
      <c r="J97" t="inlineStr">
        <is>
          <t>state:WV</t>
        </is>
      </c>
      <c r="K97" t="inlineStr">
        <is>
          <t>A</t>
        </is>
      </c>
      <c r="L97" t="inlineStr">
        <is>
          <t>FALSE</t>
        </is>
      </c>
      <c r="M97" t="inlineStr">
        <is>
          <t>TRUE</t>
        </is>
      </c>
      <c r="N97" t="inlineStr">
        <is>
          <t>https://fred.stlouisfed.org/series/WVUR</t>
        </is>
      </c>
      <c r="O97" t="inlineStr"/>
      <c r="P97" t="inlineStr"/>
      <c r="Q97" t="inlineStr"/>
      <c r="R97" t="inlineStr">
        <is>
          <t>sahm_gap</t>
        </is>
      </c>
      <c r="S97" t="inlineStr">
        <is>
          <t>Sahm-STYLE state gap: mean(latest 3) - min(12 before). Oct-2025 observation missing (survey never collected).</t>
        </is>
      </c>
    </row>
    <row r="98">
      <c r="A98" t="inlineStr">
        <is>
          <t>WYUR</t>
        </is>
      </c>
      <c r="B98" t="inlineStr">
        <is>
          <t>Wyoming unemployment rate</t>
        </is>
      </c>
      <c r="C98" t="inlineStr">
        <is>
          <t>state</t>
        </is>
      </c>
      <c r="D98" t="inlineStr">
        <is>
          <t>watchlist</t>
        </is>
      </c>
      <c r="E98" t="inlineStr">
        <is>
          <t>unemp_rate</t>
        </is>
      </c>
      <c r="F98" t="inlineStr">
        <is>
          <t>monthly</t>
        </is>
      </c>
      <c r="G98" t="inlineStr">
        <is>
          <t>SA</t>
        </is>
      </c>
      <c r="H98" t="inlineStr">
        <is>
          <t>pct</t>
        </is>
      </c>
      <c r="I98" t="inlineStr">
        <is>
          <t>rate</t>
        </is>
      </c>
      <c r="J98" t="inlineStr">
        <is>
          <t>state:WY</t>
        </is>
      </c>
      <c r="K98" t="inlineStr">
        <is>
          <t>A</t>
        </is>
      </c>
      <c r="L98" t="inlineStr">
        <is>
          <t>FALSE</t>
        </is>
      </c>
      <c r="M98" t="inlineStr">
        <is>
          <t>TRUE</t>
        </is>
      </c>
      <c r="N98" t="inlineStr">
        <is>
          <t>https://fred.stlouisfed.org/series/WYUR</t>
        </is>
      </c>
      <c r="O98" t="inlineStr"/>
      <c r="P98" t="inlineStr"/>
      <c r="Q98" t="inlineStr"/>
      <c r="R98" t="inlineStr">
        <is>
          <t>sahm_gap</t>
        </is>
      </c>
      <c r="S98" t="inlineStr">
        <is>
          <t>Sahm-STYLE state gap: mean(latest 3) - min(12 before). Oct-2025 observation missing (survey never collected).</t>
        </is>
      </c>
    </row>
    <row r="99">
      <c r="A99" t="inlineStr">
        <is>
          <t>AKICLAIMS</t>
        </is>
      </c>
      <c r="B99" t="inlineStr">
        <is>
          <t>Alaska initial claims</t>
        </is>
      </c>
      <c r="C99" t="inlineStr">
        <is>
          <t>state</t>
        </is>
      </c>
      <c r="D99" t="inlineStr">
        <is>
          <t>watchlist</t>
        </is>
      </c>
      <c r="E99" t="inlineStr">
        <is>
          <t>claims</t>
        </is>
      </c>
      <c r="F99" t="inlineStr">
        <is>
          <t>weekly</t>
        </is>
      </c>
      <c r="G99" t="inlineStr">
        <is>
          <t>NSA</t>
        </is>
      </c>
      <c r="H99" t="inlineStr">
        <is>
          <t>count</t>
        </is>
      </c>
      <c r="I99" t="inlineStr">
        <is>
          <t>level</t>
        </is>
      </c>
      <c r="J99" t="inlineStr">
        <is>
          <t>state:AK</t>
        </is>
      </c>
      <c r="K99" t="inlineStr">
        <is>
          <t>A</t>
        </is>
      </c>
      <c r="L99" t="inlineStr">
        <is>
          <t>FALSE</t>
        </is>
      </c>
      <c r="M99" t="inlineStr">
        <is>
          <t>TRUE</t>
        </is>
      </c>
      <c r="N99" t="inlineStr">
        <is>
          <t>https://fred.stlouisfed.org/series/AKICLAIMS</t>
        </is>
      </c>
      <c r="O99" t="inlineStr"/>
      <c r="P99" t="inlineStr"/>
      <c r="Q99" t="inlineStr"/>
      <c r="R99" t="inlineStr">
        <is>
          <t>yoy_ma4</t>
        </is>
      </c>
      <c r="S99" t="inlineStr">
        <is>
          <t>NSA-only -- alert on YoY of the 4-week MA, never raw deltas.</t>
        </is>
      </c>
    </row>
    <row r="100">
      <c r="A100" t="inlineStr">
        <is>
          <t>ALICLAIMS</t>
        </is>
      </c>
      <c r="B100" t="inlineStr">
        <is>
          <t>Alabama initial claims</t>
        </is>
      </c>
      <c r="C100" t="inlineStr">
        <is>
          <t>state</t>
        </is>
      </c>
      <c r="D100" t="inlineStr">
        <is>
          <t>watchlist</t>
        </is>
      </c>
      <c r="E100" t="inlineStr">
        <is>
          <t>claims</t>
        </is>
      </c>
      <c r="F100" t="inlineStr">
        <is>
          <t>weekly</t>
        </is>
      </c>
      <c r="G100" t="inlineStr">
        <is>
          <t>NSA</t>
        </is>
      </c>
      <c r="H100" t="inlineStr">
        <is>
          <t>count</t>
        </is>
      </c>
      <c r="I100" t="inlineStr">
        <is>
          <t>level</t>
        </is>
      </c>
      <c r="J100" t="inlineStr">
        <is>
          <t>state:AL</t>
        </is>
      </c>
      <c r="K100" t="inlineStr">
        <is>
          <t>A</t>
        </is>
      </c>
      <c r="L100" t="inlineStr">
        <is>
          <t>FALSE</t>
        </is>
      </c>
      <c r="M100" t="inlineStr">
        <is>
          <t>TRUE</t>
        </is>
      </c>
      <c r="N100" t="inlineStr">
        <is>
          <t>https://fred.stlouisfed.org/series/ALICLAIMS</t>
        </is>
      </c>
      <c r="O100" t="inlineStr"/>
      <c r="P100" t="inlineStr"/>
      <c r="Q100" t="inlineStr"/>
      <c r="R100" t="inlineStr">
        <is>
          <t>yoy_ma4</t>
        </is>
      </c>
      <c r="S100" t="inlineStr">
        <is>
          <t>NSA-only -- alert on YoY of the 4-week MA, never raw deltas.</t>
        </is>
      </c>
    </row>
    <row r="101">
      <c r="A101" t="inlineStr">
        <is>
          <t>ARICLAIMS</t>
        </is>
      </c>
      <c r="B101" t="inlineStr">
        <is>
          <t>Arkansas initial claims</t>
        </is>
      </c>
      <c r="C101" t="inlineStr">
        <is>
          <t>state</t>
        </is>
      </c>
      <c r="D101" t="inlineStr">
        <is>
          <t>watchlist</t>
        </is>
      </c>
      <c r="E101" t="inlineStr">
        <is>
          <t>claims</t>
        </is>
      </c>
      <c r="F101" t="inlineStr">
        <is>
          <t>weekly</t>
        </is>
      </c>
      <c r="G101" t="inlineStr">
        <is>
          <t>NSA</t>
        </is>
      </c>
      <c r="H101" t="inlineStr">
        <is>
          <t>count</t>
        </is>
      </c>
      <c r="I101" t="inlineStr">
        <is>
          <t>level</t>
        </is>
      </c>
      <c r="J101" t="inlineStr">
        <is>
          <t>state:AR</t>
        </is>
      </c>
      <c r="K101" t="inlineStr">
        <is>
          <t>A</t>
        </is>
      </c>
      <c r="L101" t="inlineStr">
        <is>
          <t>FALSE</t>
        </is>
      </c>
      <c r="M101" t="inlineStr">
        <is>
          <t>TRUE</t>
        </is>
      </c>
      <c r="N101" t="inlineStr">
        <is>
          <t>https://fred.stlouisfed.org/series/ARICLAIMS</t>
        </is>
      </c>
      <c r="O101" t="inlineStr"/>
      <c r="P101" t="inlineStr"/>
      <c r="Q101" t="inlineStr"/>
      <c r="R101" t="inlineStr">
        <is>
          <t>yoy_ma4</t>
        </is>
      </c>
      <c r="S101" t="inlineStr">
        <is>
          <t>NSA-only -- alert on YoY of the 4-week MA, never raw deltas.</t>
        </is>
      </c>
    </row>
    <row r="102">
      <c r="A102" t="inlineStr">
        <is>
          <t>AZICLAIMS</t>
        </is>
      </c>
      <c r="B102" t="inlineStr">
        <is>
          <t>Arizona initial claims</t>
        </is>
      </c>
      <c r="C102" t="inlineStr">
        <is>
          <t>state</t>
        </is>
      </c>
      <c r="D102" t="inlineStr">
        <is>
          <t>watchlist</t>
        </is>
      </c>
      <c r="E102" t="inlineStr">
        <is>
          <t>claims</t>
        </is>
      </c>
      <c r="F102" t="inlineStr">
        <is>
          <t>weekly</t>
        </is>
      </c>
      <c r="G102" t="inlineStr">
        <is>
          <t>NSA</t>
        </is>
      </c>
      <c r="H102" t="inlineStr">
        <is>
          <t>count</t>
        </is>
      </c>
      <c r="I102" t="inlineStr">
        <is>
          <t>level</t>
        </is>
      </c>
      <c r="J102" t="inlineStr">
        <is>
          <t>state:AZ</t>
        </is>
      </c>
      <c r="K102" t="inlineStr">
        <is>
          <t>A</t>
        </is>
      </c>
      <c r="L102" t="inlineStr">
        <is>
          <t>FALSE</t>
        </is>
      </c>
      <c r="M102" t="inlineStr">
        <is>
          <t>TRUE</t>
        </is>
      </c>
      <c r="N102" t="inlineStr">
        <is>
          <t>https://fred.stlouisfed.org/series/AZICLAIMS</t>
        </is>
      </c>
      <c r="O102" t="inlineStr"/>
      <c r="P102" t="inlineStr"/>
      <c r="Q102" t="inlineStr"/>
      <c r="R102" t="inlineStr">
        <is>
          <t>yoy_ma4</t>
        </is>
      </c>
      <c r="S102" t="inlineStr">
        <is>
          <t>NSA-only -- alert on YoY of the 4-week MA, never raw deltas.</t>
        </is>
      </c>
    </row>
    <row r="103">
      <c r="A103" t="inlineStr">
        <is>
          <t>CAICLAIMS</t>
        </is>
      </c>
      <c r="B103" t="inlineStr">
        <is>
          <t>California initial claims</t>
        </is>
      </c>
      <c r="C103" t="inlineStr">
        <is>
          <t>state</t>
        </is>
      </c>
      <c r="D103" t="inlineStr">
        <is>
          <t>watchlist</t>
        </is>
      </c>
      <c r="E103" t="inlineStr">
        <is>
          <t>claims</t>
        </is>
      </c>
      <c r="F103" t="inlineStr">
        <is>
          <t>weekly</t>
        </is>
      </c>
      <c r="G103" t="inlineStr">
        <is>
          <t>NSA</t>
        </is>
      </c>
      <c r="H103" t="inlineStr">
        <is>
          <t>count</t>
        </is>
      </c>
      <c r="I103" t="inlineStr">
        <is>
          <t>level</t>
        </is>
      </c>
      <c r="J103" t="inlineStr">
        <is>
          <t>state:CA</t>
        </is>
      </c>
      <c r="K103" t="inlineStr">
        <is>
          <t>A</t>
        </is>
      </c>
      <c r="L103" t="inlineStr">
        <is>
          <t>FALSE</t>
        </is>
      </c>
      <c r="M103" t="inlineStr">
        <is>
          <t>TRUE</t>
        </is>
      </c>
      <c r="N103" t="inlineStr">
        <is>
          <t>https://fred.stlouisfed.org/series/CAICLAIMS</t>
        </is>
      </c>
      <c r="O103" t="inlineStr"/>
      <c r="P103" t="inlineStr"/>
      <c r="Q103" t="inlineStr"/>
      <c r="R103" t="inlineStr">
        <is>
          <t>yoy_ma4</t>
        </is>
      </c>
      <c r="S103" t="inlineStr">
        <is>
          <t>NSA-only -- alert on YoY of the 4-week MA, never raw deltas.</t>
        </is>
      </c>
    </row>
    <row r="104">
      <c r="A104" t="inlineStr">
        <is>
          <t>COICLAIMS</t>
        </is>
      </c>
      <c r="B104" t="inlineStr">
        <is>
          <t>Colorado initial claims</t>
        </is>
      </c>
      <c r="C104" t="inlineStr">
        <is>
          <t>state</t>
        </is>
      </c>
      <c r="D104" t="inlineStr">
        <is>
          <t>watchlist</t>
        </is>
      </c>
      <c r="E104" t="inlineStr">
        <is>
          <t>claims</t>
        </is>
      </c>
      <c r="F104" t="inlineStr">
        <is>
          <t>weekly</t>
        </is>
      </c>
      <c r="G104" t="inlineStr">
        <is>
          <t>NSA</t>
        </is>
      </c>
      <c r="H104" t="inlineStr">
        <is>
          <t>count</t>
        </is>
      </c>
      <c r="I104" t="inlineStr">
        <is>
          <t>level</t>
        </is>
      </c>
      <c r="J104" t="inlineStr">
        <is>
          <t>state:CO</t>
        </is>
      </c>
      <c r="K104" t="inlineStr">
        <is>
          <t>A</t>
        </is>
      </c>
      <c r="L104" t="inlineStr">
        <is>
          <t>FALSE</t>
        </is>
      </c>
      <c r="M104" t="inlineStr">
        <is>
          <t>TRUE</t>
        </is>
      </c>
      <c r="N104" t="inlineStr">
        <is>
          <t>https://fred.stlouisfed.org/series/COICLAIMS</t>
        </is>
      </c>
      <c r="O104" t="inlineStr"/>
      <c r="P104" t="inlineStr"/>
      <c r="Q104" t="inlineStr"/>
      <c r="R104" t="inlineStr">
        <is>
          <t>yoy_ma4</t>
        </is>
      </c>
      <c r="S104" t="inlineStr">
        <is>
          <t>NSA-only -- alert on YoY of the 4-week MA, never raw deltas.</t>
        </is>
      </c>
    </row>
    <row r="105">
      <c r="A105" t="inlineStr">
        <is>
          <t>CTICLAIMS</t>
        </is>
      </c>
      <c r="B105" t="inlineStr">
        <is>
          <t>Connecticut initial claims</t>
        </is>
      </c>
      <c r="C105" t="inlineStr">
        <is>
          <t>state</t>
        </is>
      </c>
      <c r="D105" t="inlineStr">
        <is>
          <t>watchlist</t>
        </is>
      </c>
      <c r="E105" t="inlineStr">
        <is>
          <t>claims</t>
        </is>
      </c>
      <c r="F105" t="inlineStr">
        <is>
          <t>weekly</t>
        </is>
      </c>
      <c r="G105" t="inlineStr">
        <is>
          <t>NSA</t>
        </is>
      </c>
      <c r="H105" t="inlineStr">
        <is>
          <t>count</t>
        </is>
      </c>
      <c r="I105" t="inlineStr">
        <is>
          <t>level</t>
        </is>
      </c>
      <c r="J105" t="inlineStr">
        <is>
          <t>state:CT</t>
        </is>
      </c>
      <c r="K105" t="inlineStr">
        <is>
          <t>A</t>
        </is>
      </c>
      <c r="L105" t="inlineStr">
        <is>
          <t>FALSE</t>
        </is>
      </c>
      <c r="M105" t="inlineStr">
        <is>
          <t>TRUE</t>
        </is>
      </c>
      <c r="N105" t="inlineStr">
        <is>
          <t>https://fred.stlouisfed.org/series/CTICLAIMS</t>
        </is>
      </c>
      <c r="O105" t="inlineStr"/>
      <c r="P105" t="inlineStr"/>
      <c r="Q105" t="inlineStr"/>
      <c r="R105" t="inlineStr">
        <is>
          <t>yoy_ma4</t>
        </is>
      </c>
      <c r="S105" t="inlineStr">
        <is>
          <t>NSA-only -- alert on YoY of the 4-week MA, never raw deltas.</t>
        </is>
      </c>
    </row>
    <row r="106">
      <c r="A106" t="inlineStr">
        <is>
          <t>DEICLAIMS</t>
        </is>
      </c>
      <c r="B106" t="inlineStr">
        <is>
          <t>Delaware initial claims</t>
        </is>
      </c>
      <c r="C106" t="inlineStr">
        <is>
          <t>state</t>
        </is>
      </c>
      <c r="D106" t="inlineStr">
        <is>
          <t>watchlist</t>
        </is>
      </c>
      <c r="E106" t="inlineStr">
        <is>
          <t>claims</t>
        </is>
      </c>
      <c r="F106" t="inlineStr">
        <is>
          <t>weekly</t>
        </is>
      </c>
      <c r="G106" t="inlineStr">
        <is>
          <t>NSA</t>
        </is>
      </c>
      <c r="H106" t="inlineStr">
        <is>
          <t>count</t>
        </is>
      </c>
      <c r="I106" t="inlineStr">
        <is>
          <t>level</t>
        </is>
      </c>
      <c r="J106" t="inlineStr">
        <is>
          <t>state:DE</t>
        </is>
      </c>
      <c r="K106" t="inlineStr">
        <is>
          <t>A</t>
        </is>
      </c>
      <c r="L106" t="inlineStr">
        <is>
          <t>FALSE</t>
        </is>
      </c>
      <c r="M106" t="inlineStr">
        <is>
          <t>TRUE</t>
        </is>
      </c>
      <c r="N106" t="inlineStr">
        <is>
          <t>https://fred.stlouisfed.org/series/DEICLAIMS</t>
        </is>
      </c>
      <c r="O106" t="inlineStr"/>
      <c r="P106" t="inlineStr"/>
      <c r="Q106" t="inlineStr"/>
      <c r="R106" t="inlineStr">
        <is>
          <t>yoy_ma4</t>
        </is>
      </c>
      <c r="S106" t="inlineStr">
        <is>
          <t>NSA-only -- alert on YoY of the 4-week MA, never raw deltas.</t>
        </is>
      </c>
    </row>
    <row r="107">
      <c r="A107" t="inlineStr">
        <is>
          <t>FLICLAIMS</t>
        </is>
      </c>
      <c r="B107" t="inlineStr">
        <is>
          <t>Florida initial claims</t>
        </is>
      </c>
      <c r="C107" t="inlineStr">
        <is>
          <t>state</t>
        </is>
      </c>
      <c r="D107" t="inlineStr">
        <is>
          <t>watchlist</t>
        </is>
      </c>
      <c r="E107" t="inlineStr">
        <is>
          <t>claims</t>
        </is>
      </c>
      <c r="F107" t="inlineStr">
        <is>
          <t>weekly</t>
        </is>
      </c>
      <c r="G107" t="inlineStr">
        <is>
          <t>NSA</t>
        </is>
      </c>
      <c r="H107" t="inlineStr">
        <is>
          <t>count</t>
        </is>
      </c>
      <c r="I107" t="inlineStr">
        <is>
          <t>level</t>
        </is>
      </c>
      <c r="J107" t="inlineStr">
        <is>
          <t>state:FL</t>
        </is>
      </c>
      <c r="K107" t="inlineStr">
        <is>
          <t>A</t>
        </is>
      </c>
      <c r="L107" t="inlineStr">
        <is>
          <t>FALSE</t>
        </is>
      </c>
      <c r="M107" t="inlineStr">
        <is>
          <t>TRUE</t>
        </is>
      </c>
      <c r="N107" t="inlineStr">
        <is>
          <t>https://fred.stlouisfed.org/series/FLICLAIMS</t>
        </is>
      </c>
      <c r="O107" t="inlineStr"/>
      <c r="P107" t="inlineStr"/>
      <c r="Q107" t="inlineStr"/>
      <c r="R107" t="inlineStr">
        <is>
          <t>yoy_ma4</t>
        </is>
      </c>
      <c r="S107" t="inlineStr">
        <is>
          <t>NSA-only -- alert on YoY of the 4-week MA, never raw deltas.</t>
        </is>
      </c>
    </row>
    <row r="108">
      <c r="A108" t="inlineStr">
        <is>
          <t>GAICLAIMS</t>
        </is>
      </c>
      <c r="B108" t="inlineStr">
        <is>
          <t>Georgia initial claims</t>
        </is>
      </c>
      <c r="C108" t="inlineStr">
        <is>
          <t>state</t>
        </is>
      </c>
      <c r="D108" t="inlineStr">
        <is>
          <t>watchlist</t>
        </is>
      </c>
      <c r="E108" t="inlineStr">
        <is>
          <t>claims</t>
        </is>
      </c>
      <c r="F108" t="inlineStr">
        <is>
          <t>weekly</t>
        </is>
      </c>
      <c r="G108" t="inlineStr">
        <is>
          <t>NSA</t>
        </is>
      </c>
      <c r="H108" t="inlineStr">
        <is>
          <t>count</t>
        </is>
      </c>
      <c r="I108" t="inlineStr">
        <is>
          <t>level</t>
        </is>
      </c>
      <c r="J108" t="inlineStr">
        <is>
          <t>state:GA</t>
        </is>
      </c>
      <c r="K108" t="inlineStr">
        <is>
          <t>A</t>
        </is>
      </c>
      <c r="L108" t="inlineStr">
        <is>
          <t>FALSE</t>
        </is>
      </c>
      <c r="M108" t="inlineStr">
        <is>
          <t>TRUE</t>
        </is>
      </c>
      <c r="N108" t="inlineStr">
        <is>
          <t>https://fred.stlouisfed.org/series/GAICLAIMS</t>
        </is>
      </c>
      <c r="O108" t="inlineStr"/>
      <c r="P108" t="inlineStr"/>
      <c r="Q108" t="inlineStr"/>
      <c r="R108" t="inlineStr">
        <is>
          <t>yoy_ma4</t>
        </is>
      </c>
      <c r="S108" t="inlineStr">
        <is>
          <t>NSA-only -- alert on YoY of the 4-week MA, never raw deltas.</t>
        </is>
      </c>
    </row>
    <row r="109">
      <c r="A109" t="inlineStr">
        <is>
          <t>HIICLAIMS</t>
        </is>
      </c>
      <c r="B109" t="inlineStr">
        <is>
          <t>Hawaii initial claims</t>
        </is>
      </c>
      <c r="C109" t="inlineStr">
        <is>
          <t>state</t>
        </is>
      </c>
      <c r="D109" t="inlineStr">
        <is>
          <t>watchlist</t>
        </is>
      </c>
      <c r="E109" t="inlineStr">
        <is>
          <t>claims</t>
        </is>
      </c>
      <c r="F109" t="inlineStr">
        <is>
          <t>weekly</t>
        </is>
      </c>
      <c r="G109" t="inlineStr">
        <is>
          <t>NSA</t>
        </is>
      </c>
      <c r="H109" t="inlineStr">
        <is>
          <t>count</t>
        </is>
      </c>
      <c r="I109" t="inlineStr">
        <is>
          <t>level</t>
        </is>
      </c>
      <c r="J109" t="inlineStr">
        <is>
          <t>state:HI</t>
        </is>
      </c>
      <c r="K109" t="inlineStr">
        <is>
          <t>A</t>
        </is>
      </c>
      <c r="L109" t="inlineStr">
        <is>
          <t>FALSE</t>
        </is>
      </c>
      <c r="M109" t="inlineStr">
        <is>
          <t>TRUE</t>
        </is>
      </c>
      <c r="N109" t="inlineStr">
        <is>
          <t>https://fred.stlouisfed.org/series/HIICLAIMS</t>
        </is>
      </c>
      <c r="O109" t="inlineStr"/>
      <c r="P109" t="inlineStr"/>
      <c r="Q109" t="inlineStr"/>
      <c r="R109" t="inlineStr">
        <is>
          <t>yoy_ma4</t>
        </is>
      </c>
      <c r="S109" t="inlineStr">
        <is>
          <t>NSA-only -- alert on YoY of the 4-week MA, never raw deltas.</t>
        </is>
      </c>
    </row>
    <row r="110">
      <c r="A110" t="inlineStr">
        <is>
          <t>IAICLAIMS</t>
        </is>
      </c>
      <c r="B110" t="inlineStr">
        <is>
          <t>Iowa initial claims</t>
        </is>
      </c>
      <c r="C110" t="inlineStr">
        <is>
          <t>state</t>
        </is>
      </c>
      <c r="D110" t="inlineStr">
        <is>
          <t>watchlist</t>
        </is>
      </c>
      <c r="E110" t="inlineStr">
        <is>
          <t>claims</t>
        </is>
      </c>
      <c r="F110" t="inlineStr">
        <is>
          <t>weekly</t>
        </is>
      </c>
      <c r="G110" t="inlineStr">
        <is>
          <t>NSA</t>
        </is>
      </c>
      <c r="H110" t="inlineStr">
        <is>
          <t>count</t>
        </is>
      </c>
      <c r="I110" t="inlineStr">
        <is>
          <t>level</t>
        </is>
      </c>
      <c r="J110" t="inlineStr">
        <is>
          <t>state:IA</t>
        </is>
      </c>
      <c r="K110" t="inlineStr">
        <is>
          <t>A</t>
        </is>
      </c>
      <c r="L110" t="inlineStr">
        <is>
          <t>FALSE</t>
        </is>
      </c>
      <c r="M110" t="inlineStr">
        <is>
          <t>TRUE</t>
        </is>
      </c>
      <c r="N110" t="inlineStr">
        <is>
          <t>https://fred.stlouisfed.org/series/IAICLAIMS</t>
        </is>
      </c>
      <c r="O110" t="inlineStr"/>
      <c r="P110" t="inlineStr"/>
      <c r="Q110" t="inlineStr"/>
      <c r="R110" t="inlineStr">
        <is>
          <t>yoy_ma4</t>
        </is>
      </c>
      <c r="S110" t="inlineStr">
        <is>
          <t>NSA-only -- alert on YoY of the 4-week MA, never raw deltas.</t>
        </is>
      </c>
    </row>
    <row r="111">
      <c r="A111" t="inlineStr">
        <is>
          <t>IDICLAIMS</t>
        </is>
      </c>
      <c r="B111" t="inlineStr">
        <is>
          <t>Idaho initial claims</t>
        </is>
      </c>
      <c r="C111" t="inlineStr">
        <is>
          <t>state</t>
        </is>
      </c>
      <c r="D111" t="inlineStr">
        <is>
          <t>watchlist</t>
        </is>
      </c>
      <c r="E111" t="inlineStr">
        <is>
          <t>claims</t>
        </is>
      </c>
      <c r="F111" t="inlineStr">
        <is>
          <t>weekly</t>
        </is>
      </c>
      <c r="G111" t="inlineStr">
        <is>
          <t>NSA</t>
        </is>
      </c>
      <c r="H111" t="inlineStr">
        <is>
          <t>count</t>
        </is>
      </c>
      <c r="I111" t="inlineStr">
        <is>
          <t>level</t>
        </is>
      </c>
      <c r="J111" t="inlineStr">
        <is>
          <t>state:ID</t>
        </is>
      </c>
      <c r="K111" t="inlineStr">
        <is>
          <t>A</t>
        </is>
      </c>
      <c r="L111" t="inlineStr">
        <is>
          <t>FALSE</t>
        </is>
      </c>
      <c r="M111" t="inlineStr">
        <is>
          <t>TRUE</t>
        </is>
      </c>
      <c r="N111" t="inlineStr">
        <is>
          <t>https://fred.stlouisfed.org/series/IDICLAIMS</t>
        </is>
      </c>
      <c r="O111" t="inlineStr"/>
      <c r="P111" t="inlineStr"/>
      <c r="Q111" t="inlineStr"/>
      <c r="R111" t="inlineStr">
        <is>
          <t>yoy_ma4</t>
        </is>
      </c>
      <c r="S111" t="inlineStr">
        <is>
          <t>NSA-only -- alert on YoY of the 4-week MA, never raw deltas.</t>
        </is>
      </c>
    </row>
    <row r="112">
      <c r="A112" t="inlineStr">
        <is>
          <t>ILICLAIMS</t>
        </is>
      </c>
      <c r="B112" t="inlineStr">
        <is>
          <t>Illinois initial claims</t>
        </is>
      </c>
      <c r="C112" t="inlineStr">
        <is>
          <t>state</t>
        </is>
      </c>
      <c r="D112" t="inlineStr">
        <is>
          <t>watchlist</t>
        </is>
      </c>
      <c r="E112" t="inlineStr">
        <is>
          <t>claims</t>
        </is>
      </c>
      <c r="F112" t="inlineStr">
        <is>
          <t>weekly</t>
        </is>
      </c>
      <c r="G112" t="inlineStr">
        <is>
          <t>NSA</t>
        </is>
      </c>
      <c r="H112" t="inlineStr">
        <is>
          <t>count</t>
        </is>
      </c>
      <c r="I112" t="inlineStr">
        <is>
          <t>level</t>
        </is>
      </c>
      <c r="J112" t="inlineStr">
        <is>
          <t>state:IL</t>
        </is>
      </c>
      <c r="K112" t="inlineStr">
        <is>
          <t>A</t>
        </is>
      </c>
      <c r="L112" t="inlineStr">
        <is>
          <t>FALSE</t>
        </is>
      </c>
      <c r="M112" t="inlineStr">
        <is>
          <t>TRUE</t>
        </is>
      </c>
      <c r="N112" t="inlineStr">
        <is>
          <t>https://fred.stlouisfed.org/series/ILICLAIMS</t>
        </is>
      </c>
      <c r="O112" t="inlineStr"/>
      <c r="P112" t="inlineStr"/>
      <c r="Q112" t="inlineStr"/>
      <c r="R112" t="inlineStr">
        <is>
          <t>yoy_ma4</t>
        </is>
      </c>
      <c r="S112" t="inlineStr">
        <is>
          <t>NSA-only -- alert on YoY of the 4-week MA, never raw deltas.</t>
        </is>
      </c>
    </row>
    <row r="113">
      <c r="A113" t="inlineStr">
        <is>
          <t>INICLAIMS</t>
        </is>
      </c>
      <c r="B113" t="inlineStr">
        <is>
          <t>Indiana initial claims</t>
        </is>
      </c>
      <c r="C113" t="inlineStr">
        <is>
          <t>state</t>
        </is>
      </c>
      <c r="D113" t="inlineStr">
        <is>
          <t>watchlist</t>
        </is>
      </c>
      <c r="E113" t="inlineStr">
        <is>
          <t>claims</t>
        </is>
      </c>
      <c r="F113" t="inlineStr">
        <is>
          <t>weekly</t>
        </is>
      </c>
      <c r="G113" t="inlineStr">
        <is>
          <t>NSA</t>
        </is>
      </c>
      <c r="H113" t="inlineStr">
        <is>
          <t>count</t>
        </is>
      </c>
      <c r="I113" t="inlineStr">
        <is>
          <t>level</t>
        </is>
      </c>
      <c r="J113" t="inlineStr">
        <is>
          <t>state:IN</t>
        </is>
      </c>
      <c r="K113" t="inlineStr">
        <is>
          <t>A</t>
        </is>
      </c>
      <c r="L113" t="inlineStr">
        <is>
          <t>FALSE</t>
        </is>
      </c>
      <c r="M113" t="inlineStr">
        <is>
          <t>TRUE</t>
        </is>
      </c>
      <c r="N113" t="inlineStr">
        <is>
          <t>https://fred.stlouisfed.org/series/INICLAIMS</t>
        </is>
      </c>
      <c r="O113" t="inlineStr"/>
      <c r="P113" t="inlineStr"/>
      <c r="Q113" t="inlineStr"/>
      <c r="R113" t="inlineStr">
        <is>
          <t>yoy_ma4</t>
        </is>
      </c>
      <c r="S113" t="inlineStr">
        <is>
          <t>NSA-only -- alert on YoY of the 4-week MA, never raw deltas.</t>
        </is>
      </c>
    </row>
    <row r="114">
      <c r="A114" t="inlineStr">
        <is>
          <t>KSICLAIMS</t>
        </is>
      </c>
      <c r="B114" t="inlineStr">
        <is>
          <t>Kansas initial claims</t>
        </is>
      </c>
      <c r="C114" t="inlineStr">
        <is>
          <t>state</t>
        </is>
      </c>
      <c r="D114" t="inlineStr">
        <is>
          <t>watchlist</t>
        </is>
      </c>
      <c r="E114" t="inlineStr">
        <is>
          <t>claims</t>
        </is>
      </c>
      <c r="F114" t="inlineStr">
        <is>
          <t>weekly</t>
        </is>
      </c>
      <c r="G114" t="inlineStr">
        <is>
          <t>NSA</t>
        </is>
      </c>
      <c r="H114" t="inlineStr">
        <is>
          <t>count</t>
        </is>
      </c>
      <c r="I114" t="inlineStr">
        <is>
          <t>level</t>
        </is>
      </c>
      <c r="J114" t="inlineStr">
        <is>
          <t>state:KS</t>
        </is>
      </c>
      <c r="K114" t="inlineStr">
        <is>
          <t>A</t>
        </is>
      </c>
      <c r="L114" t="inlineStr">
        <is>
          <t>FALSE</t>
        </is>
      </c>
      <c r="M114" t="inlineStr">
        <is>
          <t>TRUE</t>
        </is>
      </c>
      <c r="N114" t="inlineStr">
        <is>
          <t>https://fred.stlouisfed.org/series/KSICLAIMS</t>
        </is>
      </c>
      <c r="O114" t="inlineStr"/>
      <c r="P114" t="inlineStr"/>
      <c r="Q114" t="inlineStr"/>
      <c r="R114" t="inlineStr">
        <is>
          <t>yoy_ma4</t>
        </is>
      </c>
      <c r="S114" t="inlineStr">
        <is>
          <t>NSA-only -- alert on YoY of the 4-week MA, never raw deltas.</t>
        </is>
      </c>
    </row>
    <row r="115">
      <c r="A115" t="inlineStr">
        <is>
          <t>KYICLAIMS</t>
        </is>
      </c>
      <c r="B115" t="inlineStr">
        <is>
          <t>Kentucky initial claims</t>
        </is>
      </c>
      <c r="C115" t="inlineStr">
        <is>
          <t>state</t>
        </is>
      </c>
      <c r="D115" t="inlineStr">
        <is>
          <t>watchlist</t>
        </is>
      </c>
      <c r="E115" t="inlineStr">
        <is>
          <t>claims</t>
        </is>
      </c>
      <c r="F115" t="inlineStr">
        <is>
          <t>weekly</t>
        </is>
      </c>
      <c r="G115" t="inlineStr">
        <is>
          <t>NSA</t>
        </is>
      </c>
      <c r="H115" t="inlineStr">
        <is>
          <t>count</t>
        </is>
      </c>
      <c r="I115" t="inlineStr">
        <is>
          <t>level</t>
        </is>
      </c>
      <c r="J115" t="inlineStr">
        <is>
          <t>state:KY</t>
        </is>
      </c>
      <c r="K115" t="inlineStr">
        <is>
          <t>A</t>
        </is>
      </c>
      <c r="L115" t="inlineStr">
        <is>
          <t>FALSE</t>
        </is>
      </c>
      <c r="M115" t="inlineStr">
        <is>
          <t>TRUE</t>
        </is>
      </c>
      <c r="N115" t="inlineStr">
        <is>
          <t>https://fred.stlouisfed.org/series/KYICLAIMS</t>
        </is>
      </c>
      <c r="O115" t="inlineStr"/>
      <c r="P115" t="inlineStr"/>
      <c r="Q115" t="inlineStr"/>
      <c r="R115" t="inlineStr">
        <is>
          <t>yoy_ma4</t>
        </is>
      </c>
      <c r="S115" t="inlineStr">
        <is>
          <t>NSA-only -- alert on YoY of the 4-week MA, never raw deltas.</t>
        </is>
      </c>
    </row>
    <row r="116">
      <c r="A116" t="inlineStr">
        <is>
          <t>LAICLAIMS</t>
        </is>
      </c>
      <c r="B116" t="inlineStr">
        <is>
          <t>Louisiana initial claims</t>
        </is>
      </c>
      <c r="C116" t="inlineStr">
        <is>
          <t>state</t>
        </is>
      </c>
      <c r="D116" t="inlineStr">
        <is>
          <t>watchlist</t>
        </is>
      </c>
      <c r="E116" t="inlineStr">
        <is>
          <t>claims</t>
        </is>
      </c>
      <c r="F116" t="inlineStr">
        <is>
          <t>weekly</t>
        </is>
      </c>
      <c r="G116" t="inlineStr">
        <is>
          <t>NSA</t>
        </is>
      </c>
      <c r="H116" t="inlineStr">
        <is>
          <t>count</t>
        </is>
      </c>
      <c r="I116" t="inlineStr">
        <is>
          <t>level</t>
        </is>
      </c>
      <c r="J116" t="inlineStr">
        <is>
          <t>state:LA</t>
        </is>
      </c>
      <c r="K116" t="inlineStr">
        <is>
          <t>A</t>
        </is>
      </c>
      <c r="L116" t="inlineStr">
        <is>
          <t>FALSE</t>
        </is>
      </c>
      <c r="M116" t="inlineStr">
        <is>
          <t>TRUE</t>
        </is>
      </c>
      <c r="N116" t="inlineStr">
        <is>
          <t>https://fred.stlouisfed.org/series/LAICLAIMS</t>
        </is>
      </c>
      <c r="O116" t="inlineStr"/>
      <c r="P116" t="inlineStr"/>
      <c r="Q116" t="inlineStr"/>
      <c r="R116" t="inlineStr">
        <is>
          <t>yoy_ma4</t>
        </is>
      </c>
      <c r="S116" t="inlineStr">
        <is>
          <t>NSA-only -- alert on YoY of the 4-week MA, never raw deltas.</t>
        </is>
      </c>
    </row>
    <row r="117">
      <c r="A117" t="inlineStr">
        <is>
          <t>MAICLAIMS</t>
        </is>
      </c>
      <c r="B117" t="inlineStr">
        <is>
          <t>Massachusetts initial claims</t>
        </is>
      </c>
      <c r="C117" t="inlineStr">
        <is>
          <t>state</t>
        </is>
      </c>
      <c r="D117" t="inlineStr">
        <is>
          <t>watchlist</t>
        </is>
      </c>
      <c r="E117" t="inlineStr">
        <is>
          <t>claims</t>
        </is>
      </c>
      <c r="F117" t="inlineStr">
        <is>
          <t>weekly</t>
        </is>
      </c>
      <c r="G117" t="inlineStr">
        <is>
          <t>NSA</t>
        </is>
      </c>
      <c r="H117" t="inlineStr">
        <is>
          <t>count</t>
        </is>
      </c>
      <c r="I117" t="inlineStr">
        <is>
          <t>level</t>
        </is>
      </c>
      <c r="J117" t="inlineStr">
        <is>
          <t>state:MA</t>
        </is>
      </c>
      <c r="K117" t="inlineStr">
        <is>
          <t>A</t>
        </is>
      </c>
      <c r="L117" t="inlineStr">
        <is>
          <t>FALSE</t>
        </is>
      </c>
      <c r="M117" t="inlineStr">
        <is>
          <t>TRUE</t>
        </is>
      </c>
      <c r="N117" t="inlineStr">
        <is>
          <t>https://fred.stlouisfed.org/series/MAICLAIMS</t>
        </is>
      </c>
      <c r="O117" t="inlineStr"/>
      <c r="P117" t="inlineStr"/>
      <c r="Q117" t="inlineStr"/>
      <c r="R117" t="inlineStr">
        <is>
          <t>yoy_ma4</t>
        </is>
      </c>
      <c r="S117" t="inlineStr">
        <is>
          <t>NSA-only -- alert on YoY of the 4-week MA, never raw deltas.</t>
        </is>
      </c>
    </row>
    <row r="118">
      <c r="A118" t="inlineStr">
        <is>
          <t>MDICLAIMS</t>
        </is>
      </c>
      <c r="B118" t="inlineStr">
        <is>
          <t>Maryland initial claims</t>
        </is>
      </c>
      <c r="C118" t="inlineStr">
        <is>
          <t>state</t>
        </is>
      </c>
      <c r="D118" t="inlineStr">
        <is>
          <t>watchlist</t>
        </is>
      </c>
      <c r="E118" t="inlineStr">
        <is>
          <t>claims</t>
        </is>
      </c>
      <c r="F118" t="inlineStr">
        <is>
          <t>weekly</t>
        </is>
      </c>
      <c r="G118" t="inlineStr">
        <is>
          <t>NSA</t>
        </is>
      </c>
      <c r="H118" t="inlineStr">
        <is>
          <t>count</t>
        </is>
      </c>
      <c r="I118" t="inlineStr">
        <is>
          <t>level</t>
        </is>
      </c>
      <c r="J118" t="inlineStr">
        <is>
          <t>state:MD</t>
        </is>
      </c>
      <c r="K118" t="inlineStr">
        <is>
          <t>A</t>
        </is>
      </c>
      <c r="L118" t="inlineStr">
        <is>
          <t>FALSE</t>
        </is>
      </c>
      <c r="M118" t="inlineStr">
        <is>
          <t>TRUE</t>
        </is>
      </c>
      <c r="N118" t="inlineStr">
        <is>
          <t>https://fred.stlouisfed.org/series/MDICLAIMS</t>
        </is>
      </c>
      <c r="O118" t="inlineStr"/>
      <c r="P118" t="inlineStr"/>
      <c r="Q118" t="inlineStr"/>
      <c r="R118" t="inlineStr">
        <is>
          <t>yoy_ma4</t>
        </is>
      </c>
      <c r="S118" t="inlineStr">
        <is>
          <t>NSA-only -- alert on YoY of the 4-week MA, never raw deltas.</t>
        </is>
      </c>
    </row>
    <row r="119">
      <c r="A119" t="inlineStr">
        <is>
          <t>MEICLAIMS</t>
        </is>
      </c>
      <c r="B119" t="inlineStr">
        <is>
          <t>Maine initial claims</t>
        </is>
      </c>
      <c r="C119" t="inlineStr">
        <is>
          <t>state</t>
        </is>
      </c>
      <c r="D119" t="inlineStr">
        <is>
          <t>watchlist</t>
        </is>
      </c>
      <c r="E119" t="inlineStr">
        <is>
          <t>claims</t>
        </is>
      </c>
      <c r="F119" t="inlineStr">
        <is>
          <t>weekly</t>
        </is>
      </c>
      <c r="G119" t="inlineStr">
        <is>
          <t>NSA</t>
        </is>
      </c>
      <c r="H119" t="inlineStr">
        <is>
          <t>count</t>
        </is>
      </c>
      <c r="I119" t="inlineStr">
        <is>
          <t>level</t>
        </is>
      </c>
      <c r="J119" t="inlineStr">
        <is>
          <t>state:ME</t>
        </is>
      </c>
      <c r="K119" t="inlineStr">
        <is>
          <t>A</t>
        </is>
      </c>
      <c r="L119" t="inlineStr">
        <is>
          <t>FALSE</t>
        </is>
      </c>
      <c r="M119" t="inlineStr">
        <is>
          <t>TRUE</t>
        </is>
      </c>
      <c r="N119" t="inlineStr">
        <is>
          <t>https://fred.stlouisfed.org/series/MEICLAIMS</t>
        </is>
      </c>
      <c r="O119" t="inlineStr"/>
      <c r="P119" t="inlineStr"/>
      <c r="Q119" t="inlineStr"/>
      <c r="R119" t="inlineStr">
        <is>
          <t>yoy_ma4</t>
        </is>
      </c>
      <c r="S119" t="inlineStr">
        <is>
          <t>NSA-only -- alert on YoY of the 4-week MA, never raw deltas.</t>
        </is>
      </c>
    </row>
    <row r="120">
      <c r="A120" t="inlineStr">
        <is>
          <t>MIICLAIMS</t>
        </is>
      </c>
      <c r="B120" t="inlineStr">
        <is>
          <t>Michigan initial claims</t>
        </is>
      </c>
      <c r="C120" t="inlineStr">
        <is>
          <t>state</t>
        </is>
      </c>
      <c r="D120" t="inlineStr">
        <is>
          <t>watchlist</t>
        </is>
      </c>
      <c r="E120" t="inlineStr">
        <is>
          <t>claims</t>
        </is>
      </c>
      <c r="F120" t="inlineStr">
        <is>
          <t>weekly</t>
        </is>
      </c>
      <c r="G120" t="inlineStr">
        <is>
          <t>NSA</t>
        </is>
      </c>
      <c r="H120" t="inlineStr">
        <is>
          <t>count</t>
        </is>
      </c>
      <c r="I120" t="inlineStr">
        <is>
          <t>level</t>
        </is>
      </c>
      <c r="J120" t="inlineStr">
        <is>
          <t>state:MI</t>
        </is>
      </c>
      <c r="K120" t="inlineStr">
        <is>
          <t>A</t>
        </is>
      </c>
      <c r="L120" t="inlineStr">
        <is>
          <t>FALSE</t>
        </is>
      </c>
      <c r="M120" t="inlineStr">
        <is>
          <t>TRUE</t>
        </is>
      </c>
      <c r="N120" t="inlineStr">
        <is>
          <t>https://fred.stlouisfed.org/series/MIICLAIMS</t>
        </is>
      </c>
      <c r="O120" t="inlineStr"/>
      <c r="P120" t="inlineStr"/>
      <c r="Q120" t="inlineStr"/>
      <c r="R120" t="inlineStr">
        <is>
          <t>yoy_ma4</t>
        </is>
      </c>
      <c r="S120" t="inlineStr">
        <is>
          <t>NSA-only -- alert on YoY of the 4-week MA, never raw deltas.</t>
        </is>
      </c>
    </row>
    <row r="121">
      <c r="A121" t="inlineStr">
        <is>
          <t>MNICLAIMS</t>
        </is>
      </c>
      <c r="B121" t="inlineStr">
        <is>
          <t>Minnesota initial claims</t>
        </is>
      </c>
      <c r="C121" t="inlineStr">
        <is>
          <t>state</t>
        </is>
      </c>
      <c r="D121" t="inlineStr">
        <is>
          <t>watchlist</t>
        </is>
      </c>
      <c r="E121" t="inlineStr">
        <is>
          <t>claims</t>
        </is>
      </c>
      <c r="F121" t="inlineStr">
        <is>
          <t>weekly</t>
        </is>
      </c>
      <c r="G121" t="inlineStr">
        <is>
          <t>NSA</t>
        </is>
      </c>
      <c r="H121" t="inlineStr">
        <is>
          <t>count</t>
        </is>
      </c>
      <c r="I121" t="inlineStr">
        <is>
          <t>level</t>
        </is>
      </c>
      <c r="J121" t="inlineStr">
        <is>
          <t>state:MN</t>
        </is>
      </c>
      <c r="K121" t="inlineStr">
        <is>
          <t>A</t>
        </is>
      </c>
      <c r="L121" t="inlineStr">
        <is>
          <t>FALSE</t>
        </is>
      </c>
      <c r="M121" t="inlineStr">
        <is>
          <t>TRUE</t>
        </is>
      </c>
      <c r="N121" t="inlineStr">
        <is>
          <t>https://fred.stlouisfed.org/series/MNICLAIMS</t>
        </is>
      </c>
      <c r="O121" t="inlineStr"/>
      <c r="P121" t="inlineStr"/>
      <c r="Q121" t="inlineStr"/>
      <c r="R121" t="inlineStr">
        <is>
          <t>yoy_ma4</t>
        </is>
      </c>
      <c r="S121" t="inlineStr">
        <is>
          <t>NSA-only -- alert on YoY of the 4-week MA, never raw deltas.</t>
        </is>
      </c>
    </row>
    <row r="122">
      <c r="A122" t="inlineStr">
        <is>
          <t>MOICLAIMS</t>
        </is>
      </c>
      <c r="B122" t="inlineStr">
        <is>
          <t>Missouri initial claims</t>
        </is>
      </c>
      <c r="C122" t="inlineStr">
        <is>
          <t>state</t>
        </is>
      </c>
      <c r="D122" t="inlineStr">
        <is>
          <t>watchlist</t>
        </is>
      </c>
      <c r="E122" t="inlineStr">
        <is>
          <t>claims</t>
        </is>
      </c>
      <c r="F122" t="inlineStr">
        <is>
          <t>weekly</t>
        </is>
      </c>
      <c r="G122" t="inlineStr">
        <is>
          <t>NSA</t>
        </is>
      </c>
      <c r="H122" t="inlineStr">
        <is>
          <t>count</t>
        </is>
      </c>
      <c r="I122" t="inlineStr">
        <is>
          <t>level</t>
        </is>
      </c>
      <c r="J122" t="inlineStr">
        <is>
          <t>state:MO</t>
        </is>
      </c>
      <c r="K122" t="inlineStr">
        <is>
          <t>A</t>
        </is>
      </c>
      <c r="L122" t="inlineStr">
        <is>
          <t>FALSE</t>
        </is>
      </c>
      <c r="M122" t="inlineStr">
        <is>
          <t>TRUE</t>
        </is>
      </c>
      <c r="N122" t="inlineStr">
        <is>
          <t>https://fred.stlouisfed.org/series/MOICLAIMS</t>
        </is>
      </c>
      <c r="O122" t="inlineStr"/>
      <c r="P122" t="inlineStr"/>
      <c r="Q122" t="inlineStr"/>
      <c r="R122" t="inlineStr">
        <is>
          <t>yoy_ma4</t>
        </is>
      </c>
      <c r="S122" t="inlineStr">
        <is>
          <t>NSA-only -- alert on YoY of the 4-week MA, never raw deltas.</t>
        </is>
      </c>
    </row>
    <row r="123">
      <c r="A123" t="inlineStr">
        <is>
          <t>MSICLAIMS</t>
        </is>
      </c>
      <c r="B123" t="inlineStr">
        <is>
          <t>Mississippi initial claims</t>
        </is>
      </c>
      <c r="C123" t="inlineStr">
        <is>
          <t>state</t>
        </is>
      </c>
      <c r="D123" t="inlineStr">
        <is>
          <t>watchlist</t>
        </is>
      </c>
      <c r="E123" t="inlineStr">
        <is>
          <t>claims</t>
        </is>
      </c>
      <c r="F123" t="inlineStr">
        <is>
          <t>weekly</t>
        </is>
      </c>
      <c r="G123" t="inlineStr">
        <is>
          <t>NSA</t>
        </is>
      </c>
      <c r="H123" t="inlineStr">
        <is>
          <t>count</t>
        </is>
      </c>
      <c r="I123" t="inlineStr">
        <is>
          <t>level</t>
        </is>
      </c>
      <c r="J123" t="inlineStr">
        <is>
          <t>state:MS</t>
        </is>
      </c>
      <c r="K123" t="inlineStr">
        <is>
          <t>A</t>
        </is>
      </c>
      <c r="L123" t="inlineStr">
        <is>
          <t>FALSE</t>
        </is>
      </c>
      <c r="M123" t="inlineStr">
        <is>
          <t>TRUE</t>
        </is>
      </c>
      <c r="N123" t="inlineStr">
        <is>
          <t>https://fred.stlouisfed.org/series/MSICLAIMS</t>
        </is>
      </c>
      <c r="O123" t="inlineStr"/>
      <c r="P123" t="inlineStr"/>
      <c r="Q123" t="inlineStr"/>
      <c r="R123" t="inlineStr">
        <is>
          <t>yoy_ma4</t>
        </is>
      </c>
      <c r="S123" t="inlineStr">
        <is>
          <t>NSA-only -- alert on YoY of the 4-week MA, never raw deltas.</t>
        </is>
      </c>
    </row>
    <row r="124">
      <c r="A124" t="inlineStr">
        <is>
          <t>MTICLAIMS</t>
        </is>
      </c>
      <c r="B124" t="inlineStr">
        <is>
          <t>Montana initial claims</t>
        </is>
      </c>
      <c r="C124" t="inlineStr">
        <is>
          <t>state</t>
        </is>
      </c>
      <c r="D124" t="inlineStr">
        <is>
          <t>watchlist</t>
        </is>
      </c>
      <c r="E124" t="inlineStr">
        <is>
          <t>claims</t>
        </is>
      </c>
      <c r="F124" t="inlineStr">
        <is>
          <t>weekly</t>
        </is>
      </c>
      <c r="G124" t="inlineStr">
        <is>
          <t>NSA</t>
        </is>
      </c>
      <c r="H124" t="inlineStr">
        <is>
          <t>count</t>
        </is>
      </c>
      <c r="I124" t="inlineStr">
        <is>
          <t>level</t>
        </is>
      </c>
      <c r="J124" t="inlineStr">
        <is>
          <t>state:MT</t>
        </is>
      </c>
      <c r="K124" t="inlineStr">
        <is>
          <t>A</t>
        </is>
      </c>
      <c r="L124" t="inlineStr">
        <is>
          <t>FALSE</t>
        </is>
      </c>
      <c r="M124" t="inlineStr">
        <is>
          <t>TRUE</t>
        </is>
      </c>
      <c r="N124" t="inlineStr">
        <is>
          <t>https://fred.stlouisfed.org/series/MTICLAIMS</t>
        </is>
      </c>
      <c r="O124" t="inlineStr"/>
      <c r="P124" t="inlineStr"/>
      <c r="Q124" t="inlineStr"/>
      <c r="R124" t="inlineStr">
        <is>
          <t>yoy_ma4</t>
        </is>
      </c>
      <c r="S124" t="inlineStr">
        <is>
          <t>NSA-only -- alert on YoY of the 4-week MA, never raw deltas.</t>
        </is>
      </c>
    </row>
    <row r="125">
      <c r="A125" t="inlineStr">
        <is>
          <t>NCICLAIMS</t>
        </is>
      </c>
      <c r="B125" t="inlineStr">
        <is>
          <t>North Carolina initial claims</t>
        </is>
      </c>
      <c r="C125" t="inlineStr">
        <is>
          <t>state</t>
        </is>
      </c>
      <c r="D125" t="inlineStr">
        <is>
          <t>watchlist</t>
        </is>
      </c>
      <c r="E125" t="inlineStr">
        <is>
          <t>claims</t>
        </is>
      </c>
      <c r="F125" t="inlineStr">
        <is>
          <t>weekly</t>
        </is>
      </c>
      <c r="G125" t="inlineStr">
        <is>
          <t>NSA</t>
        </is>
      </c>
      <c r="H125" t="inlineStr">
        <is>
          <t>count</t>
        </is>
      </c>
      <c r="I125" t="inlineStr">
        <is>
          <t>level</t>
        </is>
      </c>
      <c r="J125" t="inlineStr">
        <is>
          <t>state:NC</t>
        </is>
      </c>
      <c r="K125" t="inlineStr">
        <is>
          <t>A</t>
        </is>
      </c>
      <c r="L125" t="inlineStr">
        <is>
          <t>FALSE</t>
        </is>
      </c>
      <c r="M125" t="inlineStr">
        <is>
          <t>TRUE</t>
        </is>
      </c>
      <c r="N125" t="inlineStr">
        <is>
          <t>https://fred.stlouisfed.org/series/NCICLAIMS</t>
        </is>
      </c>
      <c r="O125" t="inlineStr"/>
      <c r="P125" t="inlineStr"/>
      <c r="Q125" t="inlineStr"/>
      <c r="R125" t="inlineStr">
        <is>
          <t>yoy_ma4</t>
        </is>
      </c>
      <c r="S125" t="inlineStr">
        <is>
          <t>NSA-only -- alert on YoY of the 4-week MA, never raw deltas.</t>
        </is>
      </c>
    </row>
    <row r="126">
      <c r="A126" t="inlineStr">
        <is>
          <t>NDICLAIMS</t>
        </is>
      </c>
      <c r="B126" t="inlineStr">
        <is>
          <t>North Dakota initial claims</t>
        </is>
      </c>
      <c r="C126" t="inlineStr">
        <is>
          <t>state</t>
        </is>
      </c>
      <c r="D126" t="inlineStr">
        <is>
          <t>watchlist</t>
        </is>
      </c>
      <c r="E126" t="inlineStr">
        <is>
          <t>claims</t>
        </is>
      </c>
      <c r="F126" t="inlineStr">
        <is>
          <t>weekly</t>
        </is>
      </c>
      <c r="G126" t="inlineStr">
        <is>
          <t>NSA</t>
        </is>
      </c>
      <c r="H126" t="inlineStr">
        <is>
          <t>count</t>
        </is>
      </c>
      <c r="I126" t="inlineStr">
        <is>
          <t>level</t>
        </is>
      </c>
      <c r="J126" t="inlineStr">
        <is>
          <t>state:ND</t>
        </is>
      </c>
      <c r="K126" t="inlineStr">
        <is>
          <t>A</t>
        </is>
      </c>
      <c r="L126" t="inlineStr">
        <is>
          <t>FALSE</t>
        </is>
      </c>
      <c r="M126" t="inlineStr">
        <is>
          <t>TRUE</t>
        </is>
      </c>
      <c r="N126" t="inlineStr">
        <is>
          <t>https://fred.stlouisfed.org/series/NDICLAIMS</t>
        </is>
      </c>
      <c r="O126" t="inlineStr"/>
      <c r="P126" t="inlineStr"/>
      <c r="Q126" t="inlineStr"/>
      <c r="R126" t="inlineStr">
        <is>
          <t>yoy_ma4</t>
        </is>
      </c>
      <c r="S126" t="inlineStr">
        <is>
          <t>NSA-only -- alert on YoY of the 4-week MA, never raw deltas.</t>
        </is>
      </c>
    </row>
    <row r="127">
      <c r="A127" t="inlineStr">
        <is>
          <t>NEICLAIMS</t>
        </is>
      </c>
      <c r="B127" t="inlineStr">
        <is>
          <t>Nebraska initial claims</t>
        </is>
      </c>
      <c r="C127" t="inlineStr">
        <is>
          <t>state</t>
        </is>
      </c>
      <c r="D127" t="inlineStr">
        <is>
          <t>watchlist</t>
        </is>
      </c>
      <c r="E127" t="inlineStr">
        <is>
          <t>claims</t>
        </is>
      </c>
      <c r="F127" t="inlineStr">
        <is>
          <t>weekly</t>
        </is>
      </c>
      <c r="G127" t="inlineStr">
        <is>
          <t>NSA</t>
        </is>
      </c>
      <c r="H127" t="inlineStr">
        <is>
          <t>count</t>
        </is>
      </c>
      <c r="I127" t="inlineStr">
        <is>
          <t>level</t>
        </is>
      </c>
      <c r="J127" t="inlineStr">
        <is>
          <t>state:NE</t>
        </is>
      </c>
      <c r="K127" t="inlineStr">
        <is>
          <t>A</t>
        </is>
      </c>
      <c r="L127" t="inlineStr">
        <is>
          <t>FALSE</t>
        </is>
      </c>
      <c r="M127" t="inlineStr">
        <is>
          <t>TRUE</t>
        </is>
      </c>
      <c r="N127" t="inlineStr">
        <is>
          <t>https://fred.stlouisfed.org/series/NEICLAIMS</t>
        </is>
      </c>
      <c r="O127" t="inlineStr"/>
      <c r="P127" t="inlineStr"/>
      <c r="Q127" t="inlineStr"/>
      <c r="R127" t="inlineStr">
        <is>
          <t>yoy_ma4</t>
        </is>
      </c>
      <c r="S127" t="inlineStr">
        <is>
          <t>NSA-only -- alert on YoY of the 4-week MA, never raw deltas.</t>
        </is>
      </c>
    </row>
    <row r="128">
      <c r="A128" t="inlineStr">
        <is>
          <t>NHICLAIMS</t>
        </is>
      </c>
      <c r="B128" t="inlineStr">
        <is>
          <t>New Hampshire initial claims</t>
        </is>
      </c>
      <c r="C128" t="inlineStr">
        <is>
          <t>state</t>
        </is>
      </c>
      <c r="D128" t="inlineStr">
        <is>
          <t>watchlist</t>
        </is>
      </c>
      <c r="E128" t="inlineStr">
        <is>
          <t>claims</t>
        </is>
      </c>
      <c r="F128" t="inlineStr">
        <is>
          <t>weekly</t>
        </is>
      </c>
      <c r="G128" t="inlineStr">
        <is>
          <t>NSA</t>
        </is>
      </c>
      <c r="H128" t="inlineStr">
        <is>
          <t>count</t>
        </is>
      </c>
      <c r="I128" t="inlineStr">
        <is>
          <t>level</t>
        </is>
      </c>
      <c r="J128" t="inlineStr">
        <is>
          <t>state:NH</t>
        </is>
      </c>
      <c r="K128" t="inlineStr">
        <is>
          <t>A</t>
        </is>
      </c>
      <c r="L128" t="inlineStr">
        <is>
          <t>FALSE</t>
        </is>
      </c>
      <c r="M128" t="inlineStr">
        <is>
          <t>TRUE</t>
        </is>
      </c>
      <c r="N128" t="inlineStr">
        <is>
          <t>https://fred.stlouisfed.org/series/NHICLAIMS</t>
        </is>
      </c>
      <c r="O128" t="inlineStr"/>
      <c r="P128" t="inlineStr"/>
      <c r="Q128" t="inlineStr"/>
      <c r="R128" t="inlineStr">
        <is>
          <t>yoy_ma4</t>
        </is>
      </c>
      <c r="S128" t="inlineStr">
        <is>
          <t>NSA-only -- alert on YoY of the 4-week MA, never raw deltas.</t>
        </is>
      </c>
    </row>
    <row r="129">
      <c r="A129" t="inlineStr">
        <is>
          <t>NJICLAIMS</t>
        </is>
      </c>
      <c r="B129" t="inlineStr">
        <is>
          <t>New Jersey initial claims</t>
        </is>
      </c>
      <c r="C129" t="inlineStr">
        <is>
          <t>state</t>
        </is>
      </c>
      <c r="D129" t="inlineStr">
        <is>
          <t>watchlist</t>
        </is>
      </c>
      <c r="E129" t="inlineStr">
        <is>
          <t>claims</t>
        </is>
      </c>
      <c r="F129" t="inlineStr">
        <is>
          <t>weekly</t>
        </is>
      </c>
      <c r="G129" t="inlineStr">
        <is>
          <t>NSA</t>
        </is>
      </c>
      <c r="H129" t="inlineStr">
        <is>
          <t>count</t>
        </is>
      </c>
      <c r="I129" t="inlineStr">
        <is>
          <t>level</t>
        </is>
      </c>
      <c r="J129" t="inlineStr">
        <is>
          <t>state:NJ</t>
        </is>
      </c>
      <c r="K129" t="inlineStr">
        <is>
          <t>A</t>
        </is>
      </c>
      <c r="L129" t="inlineStr">
        <is>
          <t>FALSE</t>
        </is>
      </c>
      <c r="M129" t="inlineStr">
        <is>
          <t>TRUE</t>
        </is>
      </c>
      <c r="N129" t="inlineStr">
        <is>
          <t>https://fred.stlouisfed.org/series/NJICLAIMS</t>
        </is>
      </c>
      <c r="O129" t="inlineStr"/>
      <c r="P129" t="inlineStr"/>
      <c r="Q129" t="inlineStr"/>
      <c r="R129" t="inlineStr">
        <is>
          <t>yoy_ma4</t>
        </is>
      </c>
      <c r="S129" t="inlineStr">
        <is>
          <t>NSA-only -- alert on YoY of the 4-week MA, never raw deltas.</t>
        </is>
      </c>
    </row>
    <row r="130">
      <c r="A130" t="inlineStr">
        <is>
          <t>NMICLAIMS</t>
        </is>
      </c>
      <c r="B130" t="inlineStr">
        <is>
          <t>New Mexico initial claims</t>
        </is>
      </c>
      <c r="C130" t="inlineStr">
        <is>
          <t>state</t>
        </is>
      </c>
      <c r="D130" t="inlineStr">
        <is>
          <t>watchlist</t>
        </is>
      </c>
      <c r="E130" t="inlineStr">
        <is>
          <t>claims</t>
        </is>
      </c>
      <c r="F130" t="inlineStr">
        <is>
          <t>weekly</t>
        </is>
      </c>
      <c r="G130" t="inlineStr">
        <is>
          <t>NSA</t>
        </is>
      </c>
      <c r="H130" t="inlineStr">
        <is>
          <t>count</t>
        </is>
      </c>
      <c r="I130" t="inlineStr">
        <is>
          <t>level</t>
        </is>
      </c>
      <c r="J130" t="inlineStr">
        <is>
          <t>state:NM</t>
        </is>
      </c>
      <c r="K130" t="inlineStr">
        <is>
          <t>A</t>
        </is>
      </c>
      <c r="L130" t="inlineStr">
        <is>
          <t>FALSE</t>
        </is>
      </c>
      <c r="M130" t="inlineStr">
        <is>
          <t>TRUE</t>
        </is>
      </c>
      <c r="N130" t="inlineStr">
        <is>
          <t>https://fred.stlouisfed.org/series/NMICLAIMS</t>
        </is>
      </c>
      <c r="O130" t="inlineStr"/>
      <c r="P130" t="inlineStr"/>
      <c r="Q130" t="inlineStr"/>
      <c r="R130" t="inlineStr">
        <is>
          <t>yoy_ma4</t>
        </is>
      </c>
      <c r="S130" t="inlineStr">
        <is>
          <t>NSA-only -- alert on YoY of the 4-week MA, never raw deltas.</t>
        </is>
      </c>
    </row>
    <row r="131">
      <c r="A131" t="inlineStr">
        <is>
          <t>NVICLAIMS</t>
        </is>
      </c>
      <c r="B131" t="inlineStr">
        <is>
          <t>Nevada initial claims</t>
        </is>
      </c>
      <c r="C131" t="inlineStr">
        <is>
          <t>state</t>
        </is>
      </c>
      <c r="D131" t="inlineStr">
        <is>
          <t>watchlist</t>
        </is>
      </c>
      <c r="E131" t="inlineStr">
        <is>
          <t>claims</t>
        </is>
      </c>
      <c r="F131" t="inlineStr">
        <is>
          <t>weekly</t>
        </is>
      </c>
      <c r="G131" t="inlineStr">
        <is>
          <t>NSA</t>
        </is>
      </c>
      <c r="H131" t="inlineStr">
        <is>
          <t>count</t>
        </is>
      </c>
      <c r="I131" t="inlineStr">
        <is>
          <t>level</t>
        </is>
      </c>
      <c r="J131" t="inlineStr">
        <is>
          <t>state:NV</t>
        </is>
      </c>
      <c r="K131" t="inlineStr">
        <is>
          <t>A</t>
        </is>
      </c>
      <c r="L131" t="inlineStr">
        <is>
          <t>FALSE</t>
        </is>
      </c>
      <c r="M131" t="inlineStr">
        <is>
          <t>TRUE</t>
        </is>
      </c>
      <c r="N131" t="inlineStr">
        <is>
          <t>https://fred.stlouisfed.org/series/NVICLAIMS</t>
        </is>
      </c>
      <c r="O131" t="inlineStr"/>
      <c r="P131" t="inlineStr"/>
      <c r="Q131" t="inlineStr"/>
      <c r="R131" t="inlineStr">
        <is>
          <t>yoy_ma4</t>
        </is>
      </c>
      <c r="S131" t="inlineStr">
        <is>
          <t>NSA-only -- alert on YoY of the 4-week MA, never raw deltas.</t>
        </is>
      </c>
    </row>
    <row r="132">
      <c r="A132" t="inlineStr">
        <is>
          <t>NYICLAIMS</t>
        </is>
      </c>
      <c r="B132" t="inlineStr">
        <is>
          <t>New York initial claims</t>
        </is>
      </c>
      <c r="C132" t="inlineStr">
        <is>
          <t>state</t>
        </is>
      </c>
      <c r="D132" t="inlineStr">
        <is>
          <t>watchlist</t>
        </is>
      </c>
      <c r="E132" t="inlineStr">
        <is>
          <t>claims</t>
        </is>
      </c>
      <c r="F132" t="inlineStr">
        <is>
          <t>weekly</t>
        </is>
      </c>
      <c r="G132" t="inlineStr">
        <is>
          <t>NSA</t>
        </is>
      </c>
      <c r="H132" t="inlineStr">
        <is>
          <t>count</t>
        </is>
      </c>
      <c r="I132" t="inlineStr">
        <is>
          <t>level</t>
        </is>
      </c>
      <c r="J132" t="inlineStr">
        <is>
          <t>state:NY</t>
        </is>
      </c>
      <c r="K132" t="inlineStr">
        <is>
          <t>A</t>
        </is>
      </c>
      <c r="L132" t="inlineStr">
        <is>
          <t>FALSE</t>
        </is>
      </c>
      <c r="M132" t="inlineStr">
        <is>
          <t>TRUE</t>
        </is>
      </c>
      <c r="N132" t="inlineStr">
        <is>
          <t>https://fred.stlouisfed.org/series/NYICLAIMS</t>
        </is>
      </c>
      <c r="O132" t="inlineStr"/>
      <c r="P132" t="inlineStr"/>
      <c r="Q132" t="inlineStr"/>
      <c r="R132" t="inlineStr">
        <is>
          <t>yoy_ma4</t>
        </is>
      </c>
      <c r="S132" t="inlineStr">
        <is>
          <t>NSA-only -- alert on YoY of the 4-week MA, never raw deltas.</t>
        </is>
      </c>
    </row>
    <row r="133">
      <c r="A133" t="inlineStr">
        <is>
          <t>OHICLAIMS</t>
        </is>
      </c>
      <c r="B133" t="inlineStr">
        <is>
          <t>Ohio initial claims</t>
        </is>
      </c>
      <c r="C133" t="inlineStr">
        <is>
          <t>state</t>
        </is>
      </c>
      <c r="D133" t="inlineStr">
        <is>
          <t>watchlist</t>
        </is>
      </c>
      <c r="E133" t="inlineStr">
        <is>
          <t>claims</t>
        </is>
      </c>
      <c r="F133" t="inlineStr">
        <is>
          <t>weekly</t>
        </is>
      </c>
      <c r="G133" t="inlineStr">
        <is>
          <t>NSA</t>
        </is>
      </c>
      <c r="H133" t="inlineStr">
        <is>
          <t>count</t>
        </is>
      </c>
      <c r="I133" t="inlineStr">
        <is>
          <t>level</t>
        </is>
      </c>
      <c r="J133" t="inlineStr">
        <is>
          <t>state:OH</t>
        </is>
      </c>
      <c r="K133" t="inlineStr">
        <is>
          <t>A</t>
        </is>
      </c>
      <c r="L133" t="inlineStr">
        <is>
          <t>FALSE</t>
        </is>
      </c>
      <c r="M133" t="inlineStr">
        <is>
          <t>TRUE</t>
        </is>
      </c>
      <c r="N133" t="inlineStr">
        <is>
          <t>https://fred.stlouisfed.org/series/OHICLAIMS</t>
        </is>
      </c>
      <c r="O133" t="inlineStr"/>
      <c r="P133" t="inlineStr"/>
      <c r="Q133" t="inlineStr"/>
      <c r="R133" t="inlineStr">
        <is>
          <t>yoy_ma4</t>
        </is>
      </c>
      <c r="S133" t="inlineStr">
        <is>
          <t>NSA-only -- alert on YoY of the 4-week MA, never raw deltas.</t>
        </is>
      </c>
    </row>
    <row r="134">
      <c r="A134" t="inlineStr">
        <is>
          <t>OKICLAIMS</t>
        </is>
      </c>
      <c r="B134" t="inlineStr">
        <is>
          <t>Oklahoma initial claims</t>
        </is>
      </c>
      <c r="C134" t="inlineStr">
        <is>
          <t>state</t>
        </is>
      </c>
      <c r="D134" t="inlineStr">
        <is>
          <t>watchlist</t>
        </is>
      </c>
      <c r="E134" t="inlineStr">
        <is>
          <t>claims</t>
        </is>
      </c>
      <c r="F134" t="inlineStr">
        <is>
          <t>weekly</t>
        </is>
      </c>
      <c r="G134" t="inlineStr">
        <is>
          <t>NSA</t>
        </is>
      </c>
      <c r="H134" t="inlineStr">
        <is>
          <t>count</t>
        </is>
      </c>
      <c r="I134" t="inlineStr">
        <is>
          <t>level</t>
        </is>
      </c>
      <c r="J134" t="inlineStr">
        <is>
          <t>state:OK</t>
        </is>
      </c>
      <c r="K134" t="inlineStr">
        <is>
          <t>A</t>
        </is>
      </c>
      <c r="L134" t="inlineStr">
        <is>
          <t>FALSE</t>
        </is>
      </c>
      <c r="M134" t="inlineStr">
        <is>
          <t>TRUE</t>
        </is>
      </c>
      <c r="N134" t="inlineStr">
        <is>
          <t>https://fred.stlouisfed.org/series/OKICLAIMS</t>
        </is>
      </c>
      <c r="O134" t="inlineStr"/>
      <c r="P134" t="inlineStr"/>
      <c r="Q134" t="inlineStr"/>
      <c r="R134" t="inlineStr">
        <is>
          <t>yoy_ma4</t>
        </is>
      </c>
      <c r="S134" t="inlineStr">
        <is>
          <t>NSA-only -- alert on YoY of the 4-week MA, never raw deltas.</t>
        </is>
      </c>
    </row>
    <row r="135">
      <c r="A135" t="inlineStr">
        <is>
          <t>ORICLAIMS</t>
        </is>
      </c>
      <c r="B135" t="inlineStr">
        <is>
          <t>Oregon initial claims</t>
        </is>
      </c>
      <c r="C135" t="inlineStr">
        <is>
          <t>state</t>
        </is>
      </c>
      <c r="D135" t="inlineStr">
        <is>
          <t>watchlist</t>
        </is>
      </c>
      <c r="E135" t="inlineStr">
        <is>
          <t>claims</t>
        </is>
      </c>
      <c r="F135" t="inlineStr">
        <is>
          <t>weekly</t>
        </is>
      </c>
      <c r="G135" t="inlineStr">
        <is>
          <t>NSA</t>
        </is>
      </c>
      <c r="H135" t="inlineStr">
        <is>
          <t>count</t>
        </is>
      </c>
      <c r="I135" t="inlineStr">
        <is>
          <t>level</t>
        </is>
      </c>
      <c r="J135" t="inlineStr">
        <is>
          <t>state:OR</t>
        </is>
      </c>
      <c r="K135" t="inlineStr">
        <is>
          <t>A</t>
        </is>
      </c>
      <c r="L135" t="inlineStr">
        <is>
          <t>FALSE</t>
        </is>
      </c>
      <c r="M135" t="inlineStr">
        <is>
          <t>TRUE</t>
        </is>
      </c>
      <c r="N135" t="inlineStr">
        <is>
          <t>https://fred.stlouisfed.org/series/ORICLAIMS</t>
        </is>
      </c>
      <c r="O135" t="inlineStr"/>
      <c r="P135" t="inlineStr"/>
      <c r="Q135" t="inlineStr"/>
      <c r="R135" t="inlineStr">
        <is>
          <t>yoy_ma4</t>
        </is>
      </c>
      <c r="S135" t="inlineStr">
        <is>
          <t>NSA-only -- alert on YoY of the 4-week MA, never raw deltas.</t>
        </is>
      </c>
    </row>
    <row r="136">
      <c r="A136" t="inlineStr">
        <is>
          <t>PAICLAIMS</t>
        </is>
      </c>
      <c r="B136" t="inlineStr">
        <is>
          <t>Pennsylvania initial claims</t>
        </is>
      </c>
      <c r="C136" t="inlineStr">
        <is>
          <t>state</t>
        </is>
      </c>
      <c r="D136" t="inlineStr">
        <is>
          <t>watchlist</t>
        </is>
      </c>
      <c r="E136" t="inlineStr">
        <is>
          <t>claims</t>
        </is>
      </c>
      <c r="F136" t="inlineStr">
        <is>
          <t>weekly</t>
        </is>
      </c>
      <c r="G136" t="inlineStr">
        <is>
          <t>NSA</t>
        </is>
      </c>
      <c r="H136" t="inlineStr">
        <is>
          <t>count</t>
        </is>
      </c>
      <c r="I136" t="inlineStr">
        <is>
          <t>level</t>
        </is>
      </c>
      <c r="J136" t="inlineStr">
        <is>
          <t>state:PA</t>
        </is>
      </c>
      <c r="K136" t="inlineStr">
        <is>
          <t>A</t>
        </is>
      </c>
      <c r="L136" t="inlineStr">
        <is>
          <t>FALSE</t>
        </is>
      </c>
      <c r="M136" t="inlineStr">
        <is>
          <t>TRUE</t>
        </is>
      </c>
      <c r="N136" t="inlineStr">
        <is>
          <t>https://fred.stlouisfed.org/series/PAICLAIMS</t>
        </is>
      </c>
      <c r="O136" t="inlineStr"/>
      <c r="P136" t="inlineStr"/>
      <c r="Q136" t="inlineStr"/>
      <c r="R136" t="inlineStr">
        <is>
          <t>yoy_ma4</t>
        </is>
      </c>
      <c r="S136" t="inlineStr">
        <is>
          <t>NSA-only -- alert on YoY of the 4-week MA, never raw deltas.</t>
        </is>
      </c>
    </row>
    <row r="137">
      <c r="A137" t="inlineStr">
        <is>
          <t>RIICLAIMS</t>
        </is>
      </c>
      <c r="B137" t="inlineStr">
        <is>
          <t>Rhode Island initial claims</t>
        </is>
      </c>
      <c r="C137" t="inlineStr">
        <is>
          <t>state</t>
        </is>
      </c>
      <c r="D137" t="inlineStr">
        <is>
          <t>watchlist</t>
        </is>
      </c>
      <c r="E137" t="inlineStr">
        <is>
          <t>claims</t>
        </is>
      </c>
      <c r="F137" t="inlineStr">
        <is>
          <t>weekly</t>
        </is>
      </c>
      <c r="G137" t="inlineStr">
        <is>
          <t>NSA</t>
        </is>
      </c>
      <c r="H137" t="inlineStr">
        <is>
          <t>count</t>
        </is>
      </c>
      <c r="I137" t="inlineStr">
        <is>
          <t>level</t>
        </is>
      </c>
      <c r="J137" t="inlineStr">
        <is>
          <t>state:RI</t>
        </is>
      </c>
      <c r="K137" t="inlineStr">
        <is>
          <t>A</t>
        </is>
      </c>
      <c r="L137" t="inlineStr">
        <is>
          <t>FALSE</t>
        </is>
      </c>
      <c r="M137" t="inlineStr">
        <is>
          <t>TRUE</t>
        </is>
      </c>
      <c r="N137" t="inlineStr">
        <is>
          <t>https://fred.stlouisfed.org/series/RIICLAIMS</t>
        </is>
      </c>
      <c r="O137" t="inlineStr"/>
      <c r="P137" t="inlineStr"/>
      <c r="Q137" t="inlineStr"/>
      <c r="R137" t="inlineStr">
        <is>
          <t>yoy_ma4</t>
        </is>
      </c>
      <c r="S137" t="inlineStr">
        <is>
          <t>NSA-only -- alert on YoY of the 4-week MA, never raw deltas.</t>
        </is>
      </c>
    </row>
    <row r="138">
      <c r="A138" t="inlineStr">
        <is>
          <t>SCICLAIMS</t>
        </is>
      </c>
      <c r="B138" t="inlineStr">
        <is>
          <t>South Carolina initial claims</t>
        </is>
      </c>
      <c r="C138" t="inlineStr">
        <is>
          <t>state</t>
        </is>
      </c>
      <c r="D138" t="inlineStr">
        <is>
          <t>watchlist</t>
        </is>
      </c>
      <c r="E138" t="inlineStr">
        <is>
          <t>claims</t>
        </is>
      </c>
      <c r="F138" t="inlineStr">
        <is>
          <t>weekly</t>
        </is>
      </c>
      <c r="G138" t="inlineStr">
        <is>
          <t>NSA</t>
        </is>
      </c>
      <c r="H138" t="inlineStr">
        <is>
          <t>count</t>
        </is>
      </c>
      <c r="I138" t="inlineStr">
        <is>
          <t>level</t>
        </is>
      </c>
      <c r="J138" t="inlineStr">
        <is>
          <t>state:SC</t>
        </is>
      </c>
      <c r="K138" t="inlineStr">
        <is>
          <t>A</t>
        </is>
      </c>
      <c r="L138" t="inlineStr">
        <is>
          <t>FALSE</t>
        </is>
      </c>
      <c r="M138" t="inlineStr">
        <is>
          <t>TRUE</t>
        </is>
      </c>
      <c r="N138" t="inlineStr">
        <is>
          <t>https://fred.stlouisfed.org/series/SCICLAIMS</t>
        </is>
      </c>
      <c r="O138" t="inlineStr"/>
      <c r="P138" t="inlineStr"/>
      <c r="Q138" t="inlineStr"/>
      <c r="R138" t="inlineStr">
        <is>
          <t>yoy_ma4</t>
        </is>
      </c>
      <c r="S138" t="inlineStr">
        <is>
          <t>NSA-only -- alert on YoY of the 4-week MA, never raw deltas.</t>
        </is>
      </c>
    </row>
    <row r="139">
      <c r="A139" t="inlineStr">
        <is>
          <t>SDICLAIMS</t>
        </is>
      </c>
      <c r="B139" t="inlineStr">
        <is>
          <t>South Dakota initial claims</t>
        </is>
      </c>
      <c r="C139" t="inlineStr">
        <is>
          <t>state</t>
        </is>
      </c>
      <c r="D139" t="inlineStr">
        <is>
          <t>watchlist</t>
        </is>
      </c>
      <c r="E139" t="inlineStr">
        <is>
          <t>claims</t>
        </is>
      </c>
      <c r="F139" t="inlineStr">
        <is>
          <t>weekly</t>
        </is>
      </c>
      <c r="G139" t="inlineStr">
        <is>
          <t>NSA</t>
        </is>
      </c>
      <c r="H139" t="inlineStr">
        <is>
          <t>count</t>
        </is>
      </c>
      <c r="I139" t="inlineStr">
        <is>
          <t>level</t>
        </is>
      </c>
      <c r="J139" t="inlineStr">
        <is>
          <t>state:SD</t>
        </is>
      </c>
      <c r="K139" t="inlineStr">
        <is>
          <t>A</t>
        </is>
      </c>
      <c r="L139" t="inlineStr">
        <is>
          <t>FALSE</t>
        </is>
      </c>
      <c r="M139" t="inlineStr">
        <is>
          <t>TRUE</t>
        </is>
      </c>
      <c r="N139" t="inlineStr">
        <is>
          <t>https://fred.stlouisfed.org/series/SDICLAIMS</t>
        </is>
      </c>
      <c r="O139" t="inlineStr"/>
      <c r="P139" t="inlineStr"/>
      <c r="Q139" t="inlineStr"/>
      <c r="R139" t="inlineStr">
        <is>
          <t>yoy_ma4</t>
        </is>
      </c>
      <c r="S139" t="inlineStr">
        <is>
          <t>NSA-only -- alert on YoY of the 4-week MA, never raw deltas.</t>
        </is>
      </c>
    </row>
    <row r="140">
      <c r="A140" t="inlineStr">
        <is>
          <t>TNICLAIMS</t>
        </is>
      </c>
      <c r="B140" t="inlineStr">
        <is>
          <t>Tennessee initial claims</t>
        </is>
      </c>
      <c r="C140" t="inlineStr">
        <is>
          <t>state</t>
        </is>
      </c>
      <c r="D140" t="inlineStr">
        <is>
          <t>watchlist</t>
        </is>
      </c>
      <c r="E140" t="inlineStr">
        <is>
          <t>claims</t>
        </is>
      </c>
      <c r="F140" t="inlineStr">
        <is>
          <t>weekly</t>
        </is>
      </c>
      <c r="G140" t="inlineStr">
        <is>
          <t>NSA</t>
        </is>
      </c>
      <c r="H140" t="inlineStr">
        <is>
          <t>count</t>
        </is>
      </c>
      <c r="I140" t="inlineStr">
        <is>
          <t>level</t>
        </is>
      </c>
      <c r="J140" t="inlineStr">
        <is>
          <t>state:TN</t>
        </is>
      </c>
      <c r="K140" t="inlineStr">
        <is>
          <t>A</t>
        </is>
      </c>
      <c r="L140" t="inlineStr">
        <is>
          <t>FALSE</t>
        </is>
      </c>
      <c r="M140" t="inlineStr">
        <is>
          <t>TRUE</t>
        </is>
      </c>
      <c r="N140" t="inlineStr">
        <is>
          <t>https://fred.stlouisfed.org/series/TNICLAIMS</t>
        </is>
      </c>
      <c r="O140" t="inlineStr"/>
      <c r="P140" t="inlineStr"/>
      <c r="Q140" t="inlineStr"/>
      <c r="R140" t="inlineStr">
        <is>
          <t>yoy_ma4</t>
        </is>
      </c>
      <c r="S140" t="inlineStr">
        <is>
          <t>NSA-only -- alert on YoY of the 4-week MA, never raw deltas.</t>
        </is>
      </c>
    </row>
    <row r="141">
      <c r="A141" t="inlineStr">
        <is>
          <t>TXICLAIMS</t>
        </is>
      </c>
      <c r="B141" t="inlineStr">
        <is>
          <t>Texas initial claims</t>
        </is>
      </c>
      <c r="C141" t="inlineStr">
        <is>
          <t>state</t>
        </is>
      </c>
      <c r="D141" t="inlineStr">
        <is>
          <t>watchlist</t>
        </is>
      </c>
      <c r="E141" t="inlineStr">
        <is>
          <t>claims</t>
        </is>
      </c>
      <c r="F141" t="inlineStr">
        <is>
          <t>weekly</t>
        </is>
      </c>
      <c r="G141" t="inlineStr">
        <is>
          <t>NSA</t>
        </is>
      </c>
      <c r="H141" t="inlineStr">
        <is>
          <t>count</t>
        </is>
      </c>
      <c r="I141" t="inlineStr">
        <is>
          <t>level</t>
        </is>
      </c>
      <c r="J141" t="inlineStr">
        <is>
          <t>state:TX</t>
        </is>
      </c>
      <c r="K141" t="inlineStr">
        <is>
          <t>A</t>
        </is>
      </c>
      <c r="L141" t="inlineStr">
        <is>
          <t>FALSE</t>
        </is>
      </c>
      <c r="M141" t="inlineStr">
        <is>
          <t>TRUE</t>
        </is>
      </c>
      <c r="N141" t="inlineStr">
        <is>
          <t>https://fred.stlouisfed.org/series/TXICLAIMS</t>
        </is>
      </c>
      <c r="O141" t="inlineStr"/>
      <c r="P141" t="inlineStr"/>
      <c r="Q141" t="inlineStr"/>
      <c r="R141" t="inlineStr">
        <is>
          <t>yoy_ma4</t>
        </is>
      </c>
      <c r="S141" t="inlineStr">
        <is>
          <t>NSA-only -- alert on YoY of the 4-week MA, never raw deltas.</t>
        </is>
      </c>
    </row>
    <row r="142">
      <c r="A142" t="inlineStr">
        <is>
          <t>UTICLAIMS</t>
        </is>
      </c>
      <c r="B142" t="inlineStr">
        <is>
          <t>Utah initial claims</t>
        </is>
      </c>
      <c r="C142" t="inlineStr">
        <is>
          <t>state</t>
        </is>
      </c>
      <c r="D142" t="inlineStr">
        <is>
          <t>watchlist</t>
        </is>
      </c>
      <c r="E142" t="inlineStr">
        <is>
          <t>claims</t>
        </is>
      </c>
      <c r="F142" t="inlineStr">
        <is>
          <t>weekly</t>
        </is>
      </c>
      <c r="G142" t="inlineStr">
        <is>
          <t>NSA</t>
        </is>
      </c>
      <c r="H142" t="inlineStr">
        <is>
          <t>count</t>
        </is>
      </c>
      <c r="I142" t="inlineStr">
        <is>
          <t>level</t>
        </is>
      </c>
      <c r="J142" t="inlineStr">
        <is>
          <t>state:UT</t>
        </is>
      </c>
      <c r="K142" t="inlineStr">
        <is>
          <t>A</t>
        </is>
      </c>
      <c r="L142" t="inlineStr">
        <is>
          <t>FALSE</t>
        </is>
      </c>
      <c r="M142" t="inlineStr">
        <is>
          <t>TRUE</t>
        </is>
      </c>
      <c r="N142" t="inlineStr">
        <is>
          <t>https://fred.stlouisfed.org/series/UTICLAIMS</t>
        </is>
      </c>
      <c r="O142" t="inlineStr"/>
      <c r="P142" t="inlineStr"/>
      <c r="Q142" t="inlineStr"/>
      <c r="R142" t="inlineStr">
        <is>
          <t>yoy_ma4</t>
        </is>
      </c>
      <c r="S142" t="inlineStr">
        <is>
          <t>NSA-only -- alert on YoY of the 4-week MA, never raw deltas.</t>
        </is>
      </c>
    </row>
    <row r="143">
      <c r="A143" t="inlineStr">
        <is>
          <t>VAICLAIMS</t>
        </is>
      </c>
      <c r="B143" t="inlineStr">
        <is>
          <t>Virginia initial claims</t>
        </is>
      </c>
      <c r="C143" t="inlineStr">
        <is>
          <t>state</t>
        </is>
      </c>
      <c r="D143" t="inlineStr">
        <is>
          <t>watchlist</t>
        </is>
      </c>
      <c r="E143" t="inlineStr">
        <is>
          <t>claims</t>
        </is>
      </c>
      <c r="F143" t="inlineStr">
        <is>
          <t>weekly</t>
        </is>
      </c>
      <c r="G143" t="inlineStr">
        <is>
          <t>NSA</t>
        </is>
      </c>
      <c r="H143" t="inlineStr">
        <is>
          <t>count</t>
        </is>
      </c>
      <c r="I143" t="inlineStr">
        <is>
          <t>level</t>
        </is>
      </c>
      <c r="J143" t="inlineStr">
        <is>
          <t>state:VA</t>
        </is>
      </c>
      <c r="K143" t="inlineStr">
        <is>
          <t>A</t>
        </is>
      </c>
      <c r="L143" t="inlineStr">
        <is>
          <t>FALSE</t>
        </is>
      </c>
      <c r="M143" t="inlineStr">
        <is>
          <t>TRUE</t>
        </is>
      </c>
      <c r="N143" t="inlineStr">
        <is>
          <t>https://fred.stlouisfed.org/series/VAICLAIMS</t>
        </is>
      </c>
      <c r="O143" t="inlineStr"/>
      <c r="P143" t="inlineStr"/>
      <c r="Q143" t="inlineStr"/>
      <c r="R143" t="inlineStr">
        <is>
          <t>yoy_ma4</t>
        </is>
      </c>
      <c r="S143" t="inlineStr">
        <is>
          <t>NSA-only -- alert on YoY of the 4-week MA, never raw deltas.</t>
        </is>
      </c>
    </row>
    <row r="144">
      <c r="A144" t="inlineStr">
        <is>
          <t>VTICLAIMS</t>
        </is>
      </c>
      <c r="B144" t="inlineStr">
        <is>
          <t>Vermont initial claims</t>
        </is>
      </c>
      <c r="C144" t="inlineStr">
        <is>
          <t>state</t>
        </is>
      </c>
      <c r="D144" t="inlineStr">
        <is>
          <t>watchlist</t>
        </is>
      </c>
      <c r="E144" t="inlineStr">
        <is>
          <t>claims</t>
        </is>
      </c>
      <c r="F144" t="inlineStr">
        <is>
          <t>weekly</t>
        </is>
      </c>
      <c r="G144" t="inlineStr">
        <is>
          <t>NSA</t>
        </is>
      </c>
      <c r="H144" t="inlineStr">
        <is>
          <t>count</t>
        </is>
      </c>
      <c r="I144" t="inlineStr">
        <is>
          <t>level</t>
        </is>
      </c>
      <c r="J144" t="inlineStr">
        <is>
          <t>state:VT</t>
        </is>
      </c>
      <c r="K144" t="inlineStr">
        <is>
          <t>A</t>
        </is>
      </c>
      <c r="L144" t="inlineStr">
        <is>
          <t>FALSE</t>
        </is>
      </c>
      <c r="M144" t="inlineStr">
        <is>
          <t>TRUE</t>
        </is>
      </c>
      <c r="N144" t="inlineStr">
        <is>
          <t>https://fred.stlouisfed.org/series/VTICLAIMS</t>
        </is>
      </c>
      <c r="O144" t="inlineStr"/>
      <c r="P144" t="inlineStr"/>
      <c r="Q144" t="inlineStr"/>
      <c r="R144" t="inlineStr">
        <is>
          <t>yoy_ma4</t>
        </is>
      </c>
      <c r="S144" t="inlineStr">
        <is>
          <t>NSA-only -- alert on YoY of the 4-week MA, never raw deltas.</t>
        </is>
      </c>
    </row>
    <row r="145">
      <c r="A145" t="inlineStr">
        <is>
          <t>WAICLAIMS</t>
        </is>
      </c>
      <c r="B145" t="inlineStr">
        <is>
          <t>Washington initial claims</t>
        </is>
      </c>
      <c r="C145" t="inlineStr">
        <is>
          <t>state</t>
        </is>
      </c>
      <c r="D145" t="inlineStr">
        <is>
          <t>watchlist</t>
        </is>
      </c>
      <c r="E145" t="inlineStr">
        <is>
          <t>claims</t>
        </is>
      </c>
      <c r="F145" t="inlineStr">
        <is>
          <t>weekly</t>
        </is>
      </c>
      <c r="G145" t="inlineStr">
        <is>
          <t>NSA</t>
        </is>
      </c>
      <c r="H145" t="inlineStr">
        <is>
          <t>count</t>
        </is>
      </c>
      <c r="I145" t="inlineStr">
        <is>
          <t>level</t>
        </is>
      </c>
      <c r="J145" t="inlineStr">
        <is>
          <t>state:WA</t>
        </is>
      </c>
      <c r="K145" t="inlineStr">
        <is>
          <t>A</t>
        </is>
      </c>
      <c r="L145" t="inlineStr">
        <is>
          <t>FALSE</t>
        </is>
      </c>
      <c r="M145" t="inlineStr">
        <is>
          <t>TRUE</t>
        </is>
      </c>
      <c r="N145" t="inlineStr">
        <is>
          <t>https://fred.stlouisfed.org/series/WAICLAIMS</t>
        </is>
      </c>
      <c r="O145" t="inlineStr"/>
      <c r="P145" t="inlineStr"/>
      <c r="Q145" t="inlineStr"/>
      <c r="R145" t="inlineStr">
        <is>
          <t>yoy_ma4</t>
        </is>
      </c>
      <c r="S145" t="inlineStr">
        <is>
          <t>NSA-only -- alert on YoY of the 4-week MA, never raw deltas.</t>
        </is>
      </c>
    </row>
    <row r="146">
      <c r="A146" t="inlineStr">
        <is>
          <t>WIICLAIMS</t>
        </is>
      </c>
      <c r="B146" t="inlineStr">
        <is>
          <t>Wisconsin initial claims</t>
        </is>
      </c>
      <c r="C146" t="inlineStr">
        <is>
          <t>state</t>
        </is>
      </c>
      <c r="D146" t="inlineStr">
        <is>
          <t>watchlist</t>
        </is>
      </c>
      <c r="E146" t="inlineStr">
        <is>
          <t>claims</t>
        </is>
      </c>
      <c r="F146" t="inlineStr">
        <is>
          <t>weekly</t>
        </is>
      </c>
      <c r="G146" t="inlineStr">
        <is>
          <t>NSA</t>
        </is>
      </c>
      <c r="H146" t="inlineStr">
        <is>
          <t>count</t>
        </is>
      </c>
      <c r="I146" t="inlineStr">
        <is>
          <t>level</t>
        </is>
      </c>
      <c r="J146" t="inlineStr">
        <is>
          <t>state:WI</t>
        </is>
      </c>
      <c r="K146" t="inlineStr">
        <is>
          <t>A</t>
        </is>
      </c>
      <c r="L146" t="inlineStr">
        <is>
          <t>FALSE</t>
        </is>
      </c>
      <c r="M146" t="inlineStr">
        <is>
          <t>TRUE</t>
        </is>
      </c>
      <c r="N146" t="inlineStr">
        <is>
          <t>https://fred.stlouisfed.org/series/WIICLAIMS</t>
        </is>
      </c>
      <c r="O146" t="inlineStr"/>
      <c r="P146" t="inlineStr"/>
      <c r="Q146" t="inlineStr"/>
      <c r="R146" t="inlineStr">
        <is>
          <t>yoy_ma4</t>
        </is>
      </c>
      <c r="S146" t="inlineStr">
        <is>
          <t>NSA-only -- alert on YoY of the 4-week MA, never raw deltas.</t>
        </is>
      </c>
    </row>
    <row r="147">
      <c r="A147" t="inlineStr">
        <is>
          <t>WVICLAIMS</t>
        </is>
      </c>
      <c r="B147" t="inlineStr">
        <is>
          <t>West Virginia initial claims</t>
        </is>
      </c>
      <c r="C147" t="inlineStr">
        <is>
          <t>state</t>
        </is>
      </c>
      <c r="D147" t="inlineStr">
        <is>
          <t>watchlist</t>
        </is>
      </c>
      <c r="E147" t="inlineStr">
        <is>
          <t>claims</t>
        </is>
      </c>
      <c r="F147" t="inlineStr">
        <is>
          <t>weekly</t>
        </is>
      </c>
      <c r="G147" t="inlineStr">
        <is>
          <t>NSA</t>
        </is>
      </c>
      <c r="H147" t="inlineStr">
        <is>
          <t>count</t>
        </is>
      </c>
      <c r="I147" t="inlineStr">
        <is>
          <t>level</t>
        </is>
      </c>
      <c r="J147" t="inlineStr">
        <is>
          <t>state:WV</t>
        </is>
      </c>
      <c r="K147" t="inlineStr">
        <is>
          <t>A</t>
        </is>
      </c>
      <c r="L147" t="inlineStr">
        <is>
          <t>FALSE</t>
        </is>
      </c>
      <c r="M147" t="inlineStr">
        <is>
          <t>TRUE</t>
        </is>
      </c>
      <c r="N147" t="inlineStr">
        <is>
          <t>https://fred.stlouisfed.org/series/WVICLAIMS</t>
        </is>
      </c>
      <c r="O147" t="inlineStr"/>
      <c r="P147" t="inlineStr"/>
      <c r="Q147" t="inlineStr"/>
      <c r="R147" t="inlineStr">
        <is>
          <t>yoy_ma4</t>
        </is>
      </c>
      <c r="S147" t="inlineStr">
        <is>
          <t>NSA-only -- alert on YoY of the 4-week MA, never raw deltas.</t>
        </is>
      </c>
    </row>
    <row r="148">
      <c r="A148" t="inlineStr">
        <is>
          <t>WYICLAIMS</t>
        </is>
      </c>
      <c r="B148" t="inlineStr">
        <is>
          <t>Wyoming initial claims</t>
        </is>
      </c>
      <c r="C148" t="inlineStr">
        <is>
          <t>state</t>
        </is>
      </c>
      <c r="D148" t="inlineStr">
        <is>
          <t>watchlist</t>
        </is>
      </c>
      <c r="E148" t="inlineStr">
        <is>
          <t>claims</t>
        </is>
      </c>
      <c r="F148" t="inlineStr">
        <is>
          <t>weekly</t>
        </is>
      </c>
      <c r="G148" t="inlineStr">
        <is>
          <t>NSA</t>
        </is>
      </c>
      <c r="H148" t="inlineStr">
        <is>
          <t>count</t>
        </is>
      </c>
      <c r="I148" t="inlineStr">
        <is>
          <t>level</t>
        </is>
      </c>
      <c r="J148" t="inlineStr">
        <is>
          <t>state:WY</t>
        </is>
      </c>
      <c r="K148" t="inlineStr">
        <is>
          <t>A</t>
        </is>
      </c>
      <c r="L148" t="inlineStr">
        <is>
          <t>FALSE</t>
        </is>
      </c>
      <c r="M148" t="inlineStr">
        <is>
          <t>TRUE</t>
        </is>
      </c>
      <c r="N148" t="inlineStr">
        <is>
          <t>https://fred.stlouisfed.org/series/WYICLAIMS</t>
        </is>
      </c>
      <c r="O148" t="inlineStr"/>
      <c r="P148" t="inlineStr"/>
      <c r="Q148" t="inlineStr"/>
      <c r="R148" t="inlineStr">
        <is>
          <t>yoy_ma4</t>
        </is>
      </c>
      <c r="S148" t="inlineStr">
        <is>
          <t>NSA-only -- alert on YoY of the 4-week MA, never raw deltas.</t>
        </is>
      </c>
    </row>
    <row r="149">
      <c r="A149" t="inlineStr">
        <is>
          <t>AKPHCI</t>
        </is>
      </c>
      <c r="B149" t="inlineStr">
        <is>
          <t>Alaska coincident index</t>
        </is>
      </c>
      <c r="C149" t="inlineStr">
        <is>
          <t>state</t>
        </is>
      </c>
      <c r="D149" t="inlineStr">
        <is>
          <t>watchlist</t>
        </is>
      </c>
      <c r="E149" t="inlineStr">
        <is>
          <t>coincident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</t>
        </is>
      </c>
      <c r="I149" t="inlineStr">
        <is>
          <t>index</t>
        </is>
      </c>
      <c r="J149" t="inlineStr">
        <is>
          <t>state:AK</t>
        </is>
      </c>
      <c r="K149" t="inlineStr">
        <is>
          <t>A</t>
        </is>
      </c>
      <c r="L149" t="inlineStr">
        <is>
          <t>FALSE</t>
        </is>
      </c>
      <c r="M149" t="inlineStr">
        <is>
          <t>TRUE</t>
        </is>
      </c>
      <c r="N149" t="inlineStr">
        <is>
          <t>https://fred.stlouisfed.org/series/AKPHCI</t>
        </is>
      </c>
      <c r="O149" t="inlineStr"/>
      <c r="P149" t="inlineStr"/>
      <c r="Q149" t="inlineStr"/>
      <c r="R149" t="inlineStr">
        <is>
          <t>chg_3p</t>
        </is>
      </c>
      <c r="S149" t="inlineStr">
        <is>
          <t>Annual benchmark re-estimation revises full history; no Oct-2025 observation (survey never collected).</t>
        </is>
      </c>
    </row>
    <row r="150">
      <c r="A150" t="inlineStr">
        <is>
          <t>ALPHCI</t>
        </is>
      </c>
      <c r="B150" t="inlineStr">
        <is>
          <t>Alabama coincident index</t>
        </is>
      </c>
      <c r="C150" t="inlineStr">
        <is>
          <t>state</t>
        </is>
      </c>
      <c r="D150" t="inlineStr">
        <is>
          <t>watchlist</t>
        </is>
      </c>
      <c r="E150" t="inlineStr">
        <is>
          <t>coincident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</t>
        </is>
      </c>
      <c r="I150" t="inlineStr">
        <is>
          <t>index</t>
        </is>
      </c>
      <c r="J150" t="inlineStr">
        <is>
          <t>state:AL</t>
        </is>
      </c>
      <c r="K150" t="inlineStr">
        <is>
          <t>A</t>
        </is>
      </c>
      <c r="L150" t="inlineStr">
        <is>
          <t>FALSE</t>
        </is>
      </c>
      <c r="M150" t="inlineStr">
        <is>
          <t>TRUE</t>
        </is>
      </c>
      <c r="N150" t="inlineStr">
        <is>
          <t>https://fred.stlouisfed.org/series/ALPHCI</t>
        </is>
      </c>
      <c r="O150" t="inlineStr"/>
      <c r="P150" t="inlineStr"/>
      <c r="Q150" t="inlineStr"/>
      <c r="R150" t="inlineStr">
        <is>
          <t>chg_3p</t>
        </is>
      </c>
      <c r="S150" t="inlineStr">
        <is>
          <t>Annual benchmark re-estimation revises full history; no Oct-2025 observation (survey never collected).</t>
        </is>
      </c>
    </row>
    <row r="151">
      <c r="A151" t="inlineStr">
        <is>
          <t>ARPHCI</t>
        </is>
      </c>
      <c r="B151" t="inlineStr">
        <is>
          <t>Arkansas coincident index</t>
        </is>
      </c>
      <c r="C151" t="inlineStr">
        <is>
          <t>state</t>
        </is>
      </c>
      <c r="D151" t="inlineStr">
        <is>
          <t>watchlist</t>
        </is>
      </c>
      <c r="E151" t="inlineStr">
        <is>
          <t>coincident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</t>
        </is>
      </c>
      <c r="I151" t="inlineStr">
        <is>
          <t>index</t>
        </is>
      </c>
      <c r="J151" t="inlineStr">
        <is>
          <t>state:AR</t>
        </is>
      </c>
      <c r="K151" t="inlineStr">
        <is>
          <t>A</t>
        </is>
      </c>
      <c r="L151" t="inlineStr">
        <is>
          <t>FALSE</t>
        </is>
      </c>
      <c r="M151" t="inlineStr">
        <is>
          <t>TRUE</t>
        </is>
      </c>
      <c r="N151" t="inlineStr">
        <is>
          <t>https://fred.stlouisfed.org/series/ARPHCI</t>
        </is>
      </c>
      <c r="O151" t="inlineStr"/>
      <c r="P151" t="inlineStr"/>
      <c r="Q151" t="inlineStr"/>
      <c r="R151" t="inlineStr">
        <is>
          <t>chg_3p</t>
        </is>
      </c>
      <c r="S151" t="inlineStr">
        <is>
          <t>Annual benchmark re-estimation revises full history; no Oct-2025 observation (survey never collected).</t>
        </is>
      </c>
    </row>
    <row r="152">
      <c r="A152" t="inlineStr">
        <is>
          <t>AZPHCI</t>
        </is>
      </c>
      <c r="B152" t="inlineStr">
        <is>
          <t>Arizona coincident index</t>
        </is>
      </c>
      <c r="C152" t="inlineStr">
        <is>
          <t>state</t>
        </is>
      </c>
      <c r="D152" t="inlineStr">
        <is>
          <t>watchlist</t>
        </is>
      </c>
      <c r="E152" t="inlineStr">
        <is>
          <t>coincident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</t>
        </is>
      </c>
      <c r="I152" t="inlineStr">
        <is>
          <t>index</t>
        </is>
      </c>
      <c r="J152" t="inlineStr">
        <is>
          <t>state:AZ</t>
        </is>
      </c>
      <c r="K152" t="inlineStr">
        <is>
          <t>A</t>
        </is>
      </c>
      <c r="L152" t="inlineStr">
        <is>
          <t>FALSE</t>
        </is>
      </c>
      <c r="M152" t="inlineStr">
        <is>
          <t>TRUE</t>
        </is>
      </c>
      <c r="N152" t="inlineStr">
        <is>
          <t>https://fred.stlouisfed.org/series/AZPHCI</t>
        </is>
      </c>
      <c r="O152" t="inlineStr"/>
      <c r="P152" t="inlineStr"/>
      <c r="Q152" t="inlineStr"/>
      <c r="R152" t="inlineStr">
        <is>
          <t>chg_3p</t>
        </is>
      </c>
      <c r="S152" t="inlineStr">
        <is>
          <t>Annual benchmark re-estimation revises full history; no Oct-2025 observation (survey never collected).</t>
        </is>
      </c>
    </row>
    <row r="153">
      <c r="A153" t="inlineStr">
        <is>
          <t>CAPHCI</t>
        </is>
      </c>
      <c r="B153" t="inlineStr">
        <is>
          <t>California coincident index</t>
        </is>
      </c>
      <c r="C153" t="inlineStr">
        <is>
          <t>state</t>
        </is>
      </c>
      <c r="D153" t="inlineStr">
        <is>
          <t>watchlist</t>
        </is>
      </c>
      <c r="E153" t="inlineStr">
        <is>
          <t>coincident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</t>
        </is>
      </c>
      <c r="I153" t="inlineStr">
        <is>
          <t>index</t>
        </is>
      </c>
      <c r="J153" t="inlineStr">
        <is>
          <t>state:CA</t>
        </is>
      </c>
      <c r="K153" t="inlineStr">
        <is>
          <t>A</t>
        </is>
      </c>
      <c r="L153" t="inlineStr">
        <is>
          <t>FALSE</t>
        </is>
      </c>
      <c r="M153" t="inlineStr">
        <is>
          <t>TRUE</t>
        </is>
      </c>
      <c r="N153" t="inlineStr">
        <is>
          <t>https://fred.stlouisfed.org/series/CAPHCI</t>
        </is>
      </c>
      <c r="O153" t="inlineStr"/>
      <c r="P153" t="inlineStr"/>
      <c r="Q153" t="inlineStr"/>
      <c r="R153" t="inlineStr">
        <is>
          <t>chg_3p</t>
        </is>
      </c>
      <c r="S153" t="inlineStr">
        <is>
          <t>Annual benchmark re-estimation revises full history; no Oct-2025 observation (survey never collected).</t>
        </is>
      </c>
    </row>
    <row r="154">
      <c r="A154" t="inlineStr">
        <is>
          <t>COPHCI</t>
        </is>
      </c>
      <c r="B154" t="inlineStr">
        <is>
          <t>Colorado coincident index</t>
        </is>
      </c>
      <c r="C154" t="inlineStr">
        <is>
          <t>state</t>
        </is>
      </c>
      <c r="D154" t="inlineStr">
        <is>
          <t>watchlist</t>
        </is>
      </c>
      <c r="E154" t="inlineStr">
        <is>
          <t>coincident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</t>
        </is>
      </c>
      <c r="I154" t="inlineStr">
        <is>
          <t>index</t>
        </is>
      </c>
      <c r="J154" t="inlineStr">
        <is>
          <t>state:CO</t>
        </is>
      </c>
      <c r="K154" t="inlineStr">
        <is>
          <t>A</t>
        </is>
      </c>
      <c r="L154" t="inlineStr">
        <is>
          <t>FALSE</t>
        </is>
      </c>
      <c r="M154" t="inlineStr">
        <is>
          <t>TRUE</t>
        </is>
      </c>
      <c r="N154" t="inlineStr">
        <is>
          <t>https://fred.stlouisfed.org/series/COPHCI</t>
        </is>
      </c>
      <c r="O154" t="inlineStr"/>
      <c r="P154" t="inlineStr"/>
      <c r="Q154" t="inlineStr"/>
      <c r="R154" t="inlineStr">
        <is>
          <t>chg_3p</t>
        </is>
      </c>
      <c r="S154" t="inlineStr">
        <is>
          <t>Annual benchmark re-estimation revises full history; no Oct-2025 observation (survey never collected).</t>
        </is>
      </c>
    </row>
    <row r="155">
      <c r="A155" t="inlineStr">
        <is>
          <t>CTPHCI</t>
        </is>
      </c>
      <c r="B155" t="inlineStr">
        <is>
          <t>Connecticut coincident index</t>
        </is>
      </c>
      <c r="C155" t="inlineStr">
        <is>
          <t>state</t>
        </is>
      </c>
      <c r="D155" t="inlineStr">
        <is>
          <t>watchlist</t>
        </is>
      </c>
      <c r="E155" t="inlineStr">
        <is>
          <t>coincident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</t>
        </is>
      </c>
      <c r="I155" t="inlineStr">
        <is>
          <t>index</t>
        </is>
      </c>
      <c r="J155" t="inlineStr">
        <is>
          <t>state:CT</t>
        </is>
      </c>
      <c r="K155" t="inlineStr">
        <is>
          <t>A</t>
        </is>
      </c>
      <c r="L155" t="inlineStr">
        <is>
          <t>FALSE</t>
        </is>
      </c>
      <c r="M155" t="inlineStr">
        <is>
          <t>TRUE</t>
        </is>
      </c>
      <c r="N155" t="inlineStr">
        <is>
          <t>https://fred.stlouisfed.org/series/CTPHCI</t>
        </is>
      </c>
      <c r="O155" t="inlineStr"/>
      <c r="P155" t="inlineStr"/>
      <c r="Q155" t="inlineStr"/>
      <c r="R155" t="inlineStr">
        <is>
          <t>chg_3p</t>
        </is>
      </c>
      <c r="S155" t="inlineStr">
        <is>
          <t>Annual benchmark re-estimation revises full history; no Oct-2025 observation (survey never collected).</t>
        </is>
      </c>
    </row>
    <row r="156">
      <c r="A156" t="inlineStr">
        <is>
          <t>DEPHCI</t>
        </is>
      </c>
      <c r="B156" t="inlineStr">
        <is>
          <t>Delaware coincident index</t>
        </is>
      </c>
      <c r="C156" t="inlineStr">
        <is>
          <t>state</t>
        </is>
      </c>
      <c r="D156" t="inlineStr">
        <is>
          <t>watchlist</t>
        </is>
      </c>
      <c r="E156" t="inlineStr">
        <is>
          <t>coincident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</t>
        </is>
      </c>
      <c r="I156" t="inlineStr">
        <is>
          <t>index</t>
        </is>
      </c>
      <c r="J156" t="inlineStr">
        <is>
          <t>state:DE</t>
        </is>
      </c>
      <c r="K156" t="inlineStr">
        <is>
          <t>A</t>
        </is>
      </c>
      <c r="L156" t="inlineStr">
        <is>
          <t>FALSE</t>
        </is>
      </c>
      <c r="M156" t="inlineStr">
        <is>
          <t>TRUE</t>
        </is>
      </c>
      <c r="N156" t="inlineStr">
        <is>
          <t>https://fred.stlouisfed.org/series/DEPHCI</t>
        </is>
      </c>
      <c r="O156" t="inlineStr"/>
      <c r="P156" t="inlineStr"/>
      <c r="Q156" t="inlineStr"/>
      <c r="R156" t="inlineStr">
        <is>
          <t>chg_3p</t>
        </is>
      </c>
      <c r="S156" t="inlineStr">
        <is>
          <t>Annual benchmark re-estimation revises full history; no Oct-2025 observation (survey never collected).</t>
        </is>
      </c>
    </row>
    <row r="157">
      <c r="A157" t="inlineStr">
        <is>
          <t>FLPHCI</t>
        </is>
      </c>
      <c r="B157" t="inlineStr">
        <is>
          <t>Florida coincident index</t>
        </is>
      </c>
      <c r="C157" t="inlineStr">
        <is>
          <t>state</t>
        </is>
      </c>
      <c r="D157" t="inlineStr">
        <is>
          <t>watchlist</t>
        </is>
      </c>
      <c r="E157" t="inlineStr">
        <is>
          <t>coincident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</t>
        </is>
      </c>
      <c r="I157" t="inlineStr">
        <is>
          <t>index</t>
        </is>
      </c>
      <c r="J157" t="inlineStr">
        <is>
          <t>state:FL</t>
        </is>
      </c>
      <c r="K157" t="inlineStr">
        <is>
          <t>A</t>
        </is>
      </c>
      <c r="L157" t="inlineStr">
        <is>
          <t>FALSE</t>
        </is>
      </c>
      <c r="M157" t="inlineStr">
        <is>
          <t>TRUE</t>
        </is>
      </c>
      <c r="N157" t="inlineStr">
        <is>
          <t>https://fred.stlouisfed.org/series/FLPHCI</t>
        </is>
      </c>
      <c r="O157" t="inlineStr"/>
      <c r="P157" t="inlineStr"/>
      <c r="Q157" t="inlineStr"/>
      <c r="R157" t="inlineStr">
        <is>
          <t>chg_3p</t>
        </is>
      </c>
      <c r="S157" t="inlineStr">
        <is>
          <t>Annual benchmark re-estimation revises full history; no Oct-2025 observation (survey never collected).</t>
        </is>
      </c>
    </row>
    <row r="158">
      <c r="A158" t="inlineStr">
        <is>
          <t>GAPHCI</t>
        </is>
      </c>
      <c r="B158" t="inlineStr">
        <is>
          <t>Georgia coincident index</t>
        </is>
      </c>
      <c r="C158" t="inlineStr">
        <is>
          <t>state</t>
        </is>
      </c>
      <c r="D158" t="inlineStr">
        <is>
          <t>watchlist</t>
        </is>
      </c>
      <c r="E158" t="inlineStr">
        <is>
          <t>coincident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</t>
        </is>
      </c>
      <c r="I158" t="inlineStr">
        <is>
          <t>index</t>
        </is>
      </c>
      <c r="J158" t="inlineStr">
        <is>
          <t>state:GA</t>
        </is>
      </c>
      <c r="K158" t="inlineStr">
        <is>
          <t>A</t>
        </is>
      </c>
      <c r="L158" t="inlineStr">
        <is>
          <t>FALSE</t>
        </is>
      </c>
      <c r="M158" t="inlineStr">
        <is>
          <t>TRUE</t>
        </is>
      </c>
      <c r="N158" t="inlineStr">
        <is>
          <t>https://fred.stlouisfed.org/series/GAPHCI</t>
        </is>
      </c>
      <c r="O158" t="inlineStr"/>
      <c r="P158" t="inlineStr"/>
      <c r="Q158" t="inlineStr"/>
      <c r="R158" t="inlineStr">
        <is>
          <t>chg_3p</t>
        </is>
      </c>
      <c r="S158" t="inlineStr">
        <is>
          <t>Annual benchmark re-estimation revises full history; no Oct-2025 observation (survey never collected).</t>
        </is>
      </c>
    </row>
    <row r="159">
      <c r="A159" t="inlineStr">
        <is>
          <t>HIPHCI</t>
        </is>
      </c>
      <c r="B159" t="inlineStr">
        <is>
          <t>Hawaii coincident index</t>
        </is>
      </c>
      <c r="C159" t="inlineStr">
        <is>
          <t>state</t>
        </is>
      </c>
      <c r="D159" t="inlineStr">
        <is>
          <t>watchlist</t>
        </is>
      </c>
      <c r="E159" t="inlineStr">
        <is>
          <t>coincident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</t>
        </is>
      </c>
      <c r="I159" t="inlineStr">
        <is>
          <t>index</t>
        </is>
      </c>
      <c r="J159" t="inlineStr">
        <is>
          <t>state:HI</t>
        </is>
      </c>
      <c r="K159" t="inlineStr">
        <is>
          <t>A</t>
        </is>
      </c>
      <c r="L159" t="inlineStr">
        <is>
          <t>FALSE</t>
        </is>
      </c>
      <c r="M159" t="inlineStr">
        <is>
          <t>TRUE</t>
        </is>
      </c>
      <c r="N159" t="inlineStr">
        <is>
          <t>https://fred.stlouisfed.org/series/HIPHCI</t>
        </is>
      </c>
      <c r="O159" t="inlineStr"/>
      <c r="P159" t="inlineStr"/>
      <c r="Q159" t="inlineStr"/>
      <c r="R159" t="inlineStr">
        <is>
          <t>chg_3p</t>
        </is>
      </c>
      <c r="S159" t="inlineStr">
        <is>
          <t>Annual benchmark re-estimation revises full history; no Oct-2025 observation (survey never collected).</t>
        </is>
      </c>
    </row>
    <row r="160">
      <c r="A160" t="inlineStr">
        <is>
          <t>IAPHCI</t>
        </is>
      </c>
      <c r="B160" t="inlineStr">
        <is>
          <t>Iowa coincident index</t>
        </is>
      </c>
      <c r="C160" t="inlineStr">
        <is>
          <t>state</t>
        </is>
      </c>
      <c r="D160" t="inlineStr">
        <is>
          <t>watchlist</t>
        </is>
      </c>
      <c r="E160" t="inlineStr">
        <is>
          <t>coincident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</t>
        </is>
      </c>
      <c r="I160" t="inlineStr">
        <is>
          <t>index</t>
        </is>
      </c>
      <c r="J160" t="inlineStr">
        <is>
          <t>state:IA</t>
        </is>
      </c>
      <c r="K160" t="inlineStr">
        <is>
          <t>A</t>
        </is>
      </c>
      <c r="L160" t="inlineStr">
        <is>
          <t>FALSE</t>
        </is>
      </c>
      <c r="M160" t="inlineStr">
        <is>
          <t>TRUE</t>
        </is>
      </c>
      <c r="N160" t="inlineStr">
        <is>
          <t>https://fred.stlouisfed.org/series/IAPHCI</t>
        </is>
      </c>
      <c r="O160" t="inlineStr"/>
      <c r="P160" t="inlineStr"/>
      <c r="Q160" t="inlineStr"/>
      <c r="R160" t="inlineStr">
        <is>
          <t>chg_3p</t>
        </is>
      </c>
      <c r="S160" t="inlineStr">
        <is>
          <t>Annual benchmark re-estimation revises full history; no Oct-2025 observation (survey never collected).</t>
        </is>
      </c>
    </row>
    <row r="161">
      <c r="A161" t="inlineStr">
        <is>
          <t>IDPHCI</t>
        </is>
      </c>
      <c r="B161" t="inlineStr">
        <is>
          <t>Idaho coincident index</t>
        </is>
      </c>
      <c r="C161" t="inlineStr">
        <is>
          <t>state</t>
        </is>
      </c>
      <c r="D161" t="inlineStr">
        <is>
          <t>watchlist</t>
        </is>
      </c>
      <c r="E161" t="inlineStr">
        <is>
          <t>coincident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</t>
        </is>
      </c>
      <c r="I161" t="inlineStr">
        <is>
          <t>index</t>
        </is>
      </c>
      <c r="J161" t="inlineStr">
        <is>
          <t>state:ID</t>
        </is>
      </c>
      <c r="K161" t="inlineStr">
        <is>
          <t>A</t>
        </is>
      </c>
      <c r="L161" t="inlineStr">
        <is>
          <t>FALSE</t>
        </is>
      </c>
      <c r="M161" t="inlineStr">
        <is>
          <t>TRUE</t>
        </is>
      </c>
      <c r="N161" t="inlineStr">
        <is>
          <t>https://fred.stlouisfed.org/series/IDPHCI</t>
        </is>
      </c>
      <c r="O161" t="inlineStr"/>
      <c r="P161" t="inlineStr"/>
      <c r="Q161" t="inlineStr"/>
      <c r="R161" t="inlineStr">
        <is>
          <t>chg_3p</t>
        </is>
      </c>
      <c r="S161" t="inlineStr">
        <is>
          <t>Annual benchmark re-estimation revises full history; no Oct-2025 observation (survey never collected).</t>
        </is>
      </c>
    </row>
    <row r="162">
      <c r="A162" t="inlineStr">
        <is>
          <t>ILPHCI</t>
        </is>
      </c>
      <c r="B162" t="inlineStr">
        <is>
          <t>Illinois coincident index</t>
        </is>
      </c>
      <c r="C162" t="inlineStr">
        <is>
          <t>state</t>
        </is>
      </c>
      <c r="D162" t="inlineStr">
        <is>
          <t>watchlist</t>
        </is>
      </c>
      <c r="E162" t="inlineStr">
        <is>
          <t>coincident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</t>
        </is>
      </c>
      <c r="I162" t="inlineStr">
        <is>
          <t>index</t>
        </is>
      </c>
      <c r="J162" t="inlineStr">
        <is>
          <t>state:IL</t>
        </is>
      </c>
      <c r="K162" t="inlineStr">
        <is>
          <t>A</t>
        </is>
      </c>
      <c r="L162" t="inlineStr">
        <is>
          <t>FALSE</t>
        </is>
      </c>
      <c r="M162" t="inlineStr">
        <is>
          <t>TRUE</t>
        </is>
      </c>
      <c r="N162" t="inlineStr">
        <is>
          <t>https://fred.stlouisfed.org/series/ILPHCI</t>
        </is>
      </c>
      <c r="O162" t="inlineStr"/>
      <c r="P162" t="inlineStr"/>
      <c r="Q162" t="inlineStr"/>
      <c r="R162" t="inlineStr">
        <is>
          <t>chg_3p</t>
        </is>
      </c>
      <c r="S162" t="inlineStr">
        <is>
          <t>Annual benchmark re-estimation revises full history; no Oct-2025 observation (survey never collected).</t>
        </is>
      </c>
    </row>
    <row r="163">
      <c r="A163" t="inlineStr">
        <is>
          <t>INPHCI</t>
        </is>
      </c>
      <c r="B163" t="inlineStr">
        <is>
          <t>Indiana coincident index</t>
        </is>
      </c>
      <c r="C163" t="inlineStr">
        <is>
          <t>state</t>
        </is>
      </c>
      <c r="D163" t="inlineStr">
        <is>
          <t>watchlist</t>
        </is>
      </c>
      <c r="E163" t="inlineStr">
        <is>
          <t>coincident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</t>
        </is>
      </c>
      <c r="I163" t="inlineStr">
        <is>
          <t>index</t>
        </is>
      </c>
      <c r="J163" t="inlineStr">
        <is>
          <t>state:IN</t>
        </is>
      </c>
      <c r="K163" t="inlineStr">
        <is>
          <t>A</t>
        </is>
      </c>
      <c r="L163" t="inlineStr">
        <is>
          <t>FALSE</t>
        </is>
      </c>
      <c r="M163" t="inlineStr">
        <is>
          <t>TRUE</t>
        </is>
      </c>
      <c r="N163" t="inlineStr">
        <is>
          <t>https://fred.stlouisfed.org/series/INPHCI</t>
        </is>
      </c>
      <c r="O163" t="inlineStr"/>
      <c r="P163" t="inlineStr"/>
      <c r="Q163" t="inlineStr"/>
      <c r="R163" t="inlineStr">
        <is>
          <t>chg_3p</t>
        </is>
      </c>
      <c r="S163" t="inlineStr">
        <is>
          <t>Annual benchmark re-estimation revises full history; no Oct-2025 observation (survey never collected).</t>
        </is>
      </c>
    </row>
    <row r="164">
      <c r="A164" t="inlineStr">
        <is>
          <t>KSPHCI</t>
        </is>
      </c>
      <c r="B164" t="inlineStr">
        <is>
          <t>Kansas coincident index</t>
        </is>
      </c>
      <c r="C164" t="inlineStr">
        <is>
          <t>state</t>
        </is>
      </c>
      <c r="D164" t="inlineStr">
        <is>
          <t>watchlist</t>
        </is>
      </c>
      <c r="E164" t="inlineStr">
        <is>
          <t>coincident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</t>
        </is>
      </c>
      <c r="I164" t="inlineStr">
        <is>
          <t>index</t>
        </is>
      </c>
      <c r="J164" t="inlineStr">
        <is>
          <t>state:KS</t>
        </is>
      </c>
      <c r="K164" t="inlineStr">
        <is>
          <t>A</t>
        </is>
      </c>
      <c r="L164" t="inlineStr">
        <is>
          <t>FALSE</t>
        </is>
      </c>
      <c r="M164" t="inlineStr">
        <is>
          <t>TRUE</t>
        </is>
      </c>
      <c r="N164" t="inlineStr">
        <is>
          <t>https://fred.stlouisfed.org/series/KSPHCI</t>
        </is>
      </c>
      <c r="O164" t="inlineStr"/>
      <c r="P164" t="inlineStr"/>
      <c r="Q164" t="inlineStr"/>
      <c r="R164" t="inlineStr">
        <is>
          <t>chg_3p</t>
        </is>
      </c>
      <c r="S164" t="inlineStr">
        <is>
          <t>Annual benchmark re-estimation revises full history; no Oct-2025 observation (survey never collected).</t>
        </is>
      </c>
    </row>
    <row r="165">
      <c r="A165" t="inlineStr">
        <is>
          <t>KYPHCI</t>
        </is>
      </c>
      <c r="B165" t="inlineStr">
        <is>
          <t>Kentucky coincident index</t>
        </is>
      </c>
      <c r="C165" t="inlineStr">
        <is>
          <t>state</t>
        </is>
      </c>
      <c r="D165" t="inlineStr">
        <is>
          <t>watchlist</t>
        </is>
      </c>
      <c r="E165" t="inlineStr">
        <is>
          <t>coincident</t>
        </is>
      </c>
      <c r="F165" t="inlineStr">
        <is>
          <t>monthly</t>
        </is>
      </c>
      <c r="G165" t="inlineStr">
        <is>
          <t>SA</t>
        </is>
      </c>
      <c r="H165" t="inlineStr">
        <is>
          <t>index</t>
        </is>
      </c>
      <c r="I165" t="inlineStr">
        <is>
          <t>index</t>
        </is>
      </c>
      <c r="J165" t="inlineStr">
        <is>
          <t>state:KY</t>
        </is>
      </c>
      <c r="K165" t="inlineStr">
        <is>
          <t>A</t>
        </is>
      </c>
      <c r="L165" t="inlineStr">
        <is>
          <t>FALSE</t>
        </is>
      </c>
      <c r="M165" t="inlineStr">
        <is>
          <t>TRUE</t>
        </is>
      </c>
      <c r="N165" t="inlineStr">
        <is>
          <t>https://fred.stlouisfed.org/series/KYPHCI</t>
        </is>
      </c>
      <c r="O165" t="inlineStr"/>
      <c r="P165" t="inlineStr"/>
      <c r="Q165" t="inlineStr"/>
      <c r="R165" t="inlineStr">
        <is>
          <t>chg_3p</t>
        </is>
      </c>
      <c r="S165" t="inlineStr">
        <is>
          <t>Annual benchmark re-estimation revises full history; no Oct-2025 observation (survey never collected).</t>
        </is>
      </c>
    </row>
    <row r="166">
      <c r="A166" t="inlineStr">
        <is>
          <t>LAPHCI</t>
        </is>
      </c>
      <c r="B166" t="inlineStr">
        <is>
          <t>Louisiana coincident index</t>
        </is>
      </c>
      <c r="C166" t="inlineStr">
        <is>
          <t>state</t>
        </is>
      </c>
      <c r="D166" t="inlineStr">
        <is>
          <t>watchlist</t>
        </is>
      </c>
      <c r="E166" t="inlineStr">
        <is>
          <t>coincident</t>
        </is>
      </c>
      <c r="F166" t="inlineStr">
        <is>
          <t>monthly</t>
        </is>
      </c>
      <c r="G166" t="inlineStr">
        <is>
          <t>SA</t>
        </is>
      </c>
      <c r="H166" t="inlineStr">
        <is>
          <t>index</t>
        </is>
      </c>
      <c r="I166" t="inlineStr">
        <is>
          <t>index</t>
        </is>
      </c>
      <c r="J166" t="inlineStr">
        <is>
          <t>state:LA</t>
        </is>
      </c>
      <c r="K166" t="inlineStr">
        <is>
          <t>A</t>
        </is>
      </c>
      <c r="L166" t="inlineStr">
        <is>
          <t>FALSE</t>
        </is>
      </c>
      <c r="M166" t="inlineStr">
        <is>
          <t>TRUE</t>
        </is>
      </c>
      <c r="N166" t="inlineStr">
        <is>
          <t>https://fred.stlouisfed.org/series/LAPHCI</t>
        </is>
      </c>
      <c r="O166" t="inlineStr"/>
      <c r="P166" t="inlineStr"/>
      <c r="Q166" t="inlineStr"/>
      <c r="R166" t="inlineStr">
        <is>
          <t>chg_3p</t>
        </is>
      </c>
      <c r="S166" t="inlineStr">
        <is>
          <t>Annual benchmark re-estimation revises full history; no Oct-2025 observation (survey never collected).</t>
        </is>
      </c>
    </row>
    <row r="167">
      <c r="A167" t="inlineStr">
        <is>
          <t>MAPHCI</t>
        </is>
      </c>
      <c r="B167" t="inlineStr">
        <is>
          <t>Massachusetts coincident index</t>
        </is>
      </c>
      <c r="C167" t="inlineStr">
        <is>
          <t>state</t>
        </is>
      </c>
      <c r="D167" t="inlineStr">
        <is>
          <t>watchlist</t>
        </is>
      </c>
      <c r="E167" t="inlineStr">
        <is>
          <t>coincident</t>
        </is>
      </c>
      <c r="F167" t="inlineStr">
        <is>
          <t>monthly</t>
        </is>
      </c>
      <c r="G167" t="inlineStr">
        <is>
          <t>SA</t>
        </is>
      </c>
      <c r="H167" t="inlineStr">
        <is>
          <t>index</t>
        </is>
      </c>
      <c r="I167" t="inlineStr">
        <is>
          <t>index</t>
        </is>
      </c>
      <c r="J167" t="inlineStr">
        <is>
          <t>state:MA</t>
        </is>
      </c>
      <c r="K167" t="inlineStr">
        <is>
          <t>A</t>
        </is>
      </c>
      <c r="L167" t="inlineStr">
        <is>
          <t>FALSE</t>
        </is>
      </c>
      <c r="M167" t="inlineStr">
        <is>
          <t>TRUE</t>
        </is>
      </c>
      <c r="N167" t="inlineStr">
        <is>
          <t>https://fred.stlouisfed.org/series/MAPHCI</t>
        </is>
      </c>
      <c r="O167" t="inlineStr"/>
      <c r="P167" t="inlineStr"/>
      <c r="Q167" t="inlineStr"/>
      <c r="R167" t="inlineStr">
        <is>
          <t>chg_3p</t>
        </is>
      </c>
      <c r="S167" t="inlineStr">
        <is>
          <t>Annual benchmark re-estimation revises full history; no Oct-2025 observation (survey never collected).</t>
        </is>
      </c>
    </row>
    <row r="168">
      <c r="A168" t="inlineStr">
        <is>
          <t>MDPHCI</t>
        </is>
      </c>
      <c r="B168" t="inlineStr">
        <is>
          <t>Maryland coincident index</t>
        </is>
      </c>
      <c r="C168" t="inlineStr">
        <is>
          <t>state</t>
        </is>
      </c>
      <c r="D168" t="inlineStr">
        <is>
          <t>watchlist</t>
        </is>
      </c>
      <c r="E168" t="inlineStr">
        <is>
          <t>coincident</t>
        </is>
      </c>
      <c r="F168" t="inlineStr">
        <is>
          <t>monthly</t>
        </is>
      </c>
      <c r="G168" t="inlineStr">
        <is>
          <t>SA</t>
        </is>
      </c>
      <c r="H168" t="inlineStr">
        <is>
          <t>index</t>
        </is>
      </c>
      <c r="I168" t="inlineStr">
        <is>
          <t>index</t>
        </is>
      </c>
      <c r="J168" t="inlineStr">
        <is>
          <t>state:MD</t>
        </is>
      </c>
      <c r="K168" t="inlineStr">
        <is>
          <t>A</t>
        </is>
      </c>
      <c r="L168" t="inlineStr">
        <is>
          <t>FALSE</t>
        </is>
      </c>
      <c r="M168" t="inlineStr">
        <is>
          <t>TRUE</t>
        </is>
      </c>
      <c r="N168" t="inlineStr">
        <is>
          <t>https://fred.stlouisfed.org/series/MDPHCI</t>
        </is>
      </c>
      <c r="O168" t="inlineStr"/>
      <c r="P168" t="inlineStr"/>
      <c r="Q168" t="inlineStr"/>
      <c r="R168" t="inlineStr">
        <is>
          <t>chg_3p</t>
        </is>
      </c>
      <c r="S168" t="inlineStr">
        <is>
          <t>Annual benchmark re-estimation revises full history; no Oct-2025 observation (survey never collected).</t>
        </is>
      </c>
    </row>
    <row r="169">
      <c r="A169" t="inlineStr">
        <is>
          <t>MEPHCI</t>
        </is>
      </c>
      <c r="B169" t="inlineStr">
        <is>
          <t>Maine coincident index</t>
        </is>
      </c>
      <c r="C169" t="inlineStr">
        <is>
          <t>state</t>
        </is>
      </c>
      <c r="D169" t="inlineStr">
        <is>
          <t>watchlist</t>
        </is>
      </c>
      <c r="E169" t="inlineStr">
        <is>
          <t>coincident</t>
        </is>
      </c>
      <c r="F169" t="inlineStr">
        <is>
          <t>monthly</t>
        </is>
      </c>
      <c r="G169" t="inlineStr">
        <is>
          <t>SA</t>
        </is>
      </c>
      <c r="H169" t="inlineStr">
        <is>
          <t>index</t>
        </is>
      </c>
      <c r="I169" t="inlineStr">
        <is>
          <t>index</t>
        </is>
      </c>
      <c r="J169" t="inlineStr">
        <is>
          <t>state:ME</t>
        </is>
      </c>
      <c r="K169" t="inlineStr">
        <is>
          <t>A</t>
        </is>
      </c>
      <c r="L169" t="inlineStr">
        <is>
          <t>FALSE</t>
        </is>
      </c>
      <c r="M169" t="inlineStr">
        <is>
          <t>TRUE</t>
        </is>
      </c>
      <c r="N169" t="inlineStr">
        <is>
          <t>https://fred.stlouisfed.org/series/MEPHCI</t>
        </is>
      </c>
      <c r="O169" t="inlineStr"/>
      <c r="P169" t="inlineStr"/>
      <c r="Q169" t="inlineStr"/>
      <c r="R169" t="inlineStr">
        <is>
          <t>chg_3p</t>
        </is>
      </c>
      <c r="S169" t="inlineStr">
        <is>
          <t>Annual benchmark re-estimation revises full history; no Oct-2025 observation (survey never collected).</t>
        </is>
      </c>
    </row>
    <row r="170">
      <c r="A170" t="inlineStr">
        <is>
          <t>MIPHCI</t>
        </is>
      </c>
      <c r="B170" t="inlineStr">
        <is>
          <t>Michigan coincident index</t>
        </is>
      </c>
      <c r="C170" t="inlineStr">
        <is>
          <t>state</t>
        </is>
      </c>
      <c r="D170" t="inlineStr">
        <is>
          <t>watchlist</t>
        </is>
      </c>
      <c r="E170" t="inlineStr">
        <is>
          <t>coincident</t>
        </is>
      </c>
      <c r="F170" t="inlineStr">
        <is>
          <t>monthly</t>
        </is>
      </c>
      <c r="G170" t="inlineStr">
        <is>
          <t>SA</t>
        </is>
      </c>
      <c r="H170" t="inlineStr">
        <is>
          <t>index</t>
        </is>
      </c>
      <c r="I170" t="inlineStr">
        <is>
          <t>index</t>
        </is>
      </c>
      <c r="J170" t="inlineStr">
        <is>
          <t>state:MI</t>
        </is>
      </c>
      <c r="K170" t="inlineStr">
        <is>
          <t>A</t>
        </is>
      </c>
      <c r="L170" t="inlineStr">
        <is>
          <t>FALSE</t>
        </is>
      </c>
      <c r="M170" t="inlineStr">
        <is>
          <t>TRUE</t>
        </is>
      </c>
      <c r="N170" t="inlineStr">
        <is>
          <t>https://fred.stlouisfed.org/series/MIPHCI</t>
        </is>
      </c>
      <c r="O170" t="inlineStr"/>
      <c r="P170" t="inlineStr"/>
      <c r="Q170" t="inlineStr"/>
      <c r="R170" t="inlineStr">
        <is>
          <t>chg_3p</t>
        </is>
      </c>
      <c r="S170" t="inlineStr">
        <is>
          <t>Annual benchmark re-estimation revises full history; no Oct-2025 observation (survey never collected).</t>
        </is>
      </c>
    </row>
    <row r="171">
      <c r="A171" t="inlineStr">
        <is>
          <t>MNPHCI</t>
        </is>
      </c>
      <c r="B171" t="inlineStr">
        <is>
          <t>Minnesota coincident index</t>
        </is>
      </c>
      <c r="C171" t="inlineStr">
        <is>
          <t>state</t>
        </is>
      </c>
      <c r="D171" t="inlineStr">
        <is>
          <t>watchlist</t>
        </is>
      </c>
      <c r="E171" t="inlineStr">
        <is>
          <t>coincident</t>
        </is>
      </c>
      <c r="F171" t="inlineStr">
        <is>
          <t>monthly</t>
        </is>
      </c>
      <c r="G171" t="inlineStr">
        <is>
          <t>SA</t>
        </is>
      </c>
      <c r="H171" t="inlineStr">
        <is>
          <t>index</t>
        </is>
      </c>
      <c r="I171" t="inlineStr">
        <is>
          <t>index</t>
        </is>
      </c>
      <c r="J171" t="inlineStr">
        <is>
          <t>state:MN</t>
        </is>
      </c>
      <c r="K171" t="inlineStr">
        <is>
          <t>A</t>
        </is>
      </c>
      <c r="L171" t="inlineStr">
        <is>
          <t>FALSE</t>
        </is>
      </c>
      <c r="M171" t="inlineStr">
        <is>
          <t>TRUE</t>
        </is>
      </c>
      <c r="N171" t="inlineStr">
        <is>
          <t>https://fred.stlouisfed.org/series/MNPHCI</t>
        </is>
      </c>
      <c r="O171" t="inlineStr"/>
      <c r="P171" t="inlineStr"/>
      <c r="Q171" t="inlineStr"/>
      <c r="R171" t="inlineStr">
        <is>
          <t>chg_3p</t>
        </is>
      </c>
      <c r="S171" t="inlineStr">
        <is>
          <t>Annual benchmark re-estimation revises full history; no Oct-2025 observation (survey never collected).</t>
        </is>
      </c>
    </row>
    <row r="172">
      <c r="A172" t="inlineStr">
        <is>
          <t>MOPHCI</t>
        </is>
      </c>
      <c r="B172" t="inlineStr">
        <is>
          <t>Missouri coincident index</t>
        </is>
      </c>
      <c r="C172" t="inlineStr">
        <is>
          <t>state</t>
        </is>
      </c>
      <c r="D172" t="inlineStr">
        <is>
          <t>watchlist</t>
        </is>
      </c>
      <c r="E172" t="inlineStr">
        <is>
          <t>coincident</t>
        </is>
      </c>
      <c r="F172" t="inlineStr">
        <is>
          <t>monthly</t>
        </is>
      </c>
      <c r="G172" t="inlineStr">
        <is>
          <t>SA</t>
        </is>
      </c>
      <c r="H172" t="inlineStr">
        <is>
          <t>index</t>
        </is>
      </c>
      <c r="I172" t="inlineStr">
        <is>
          <t>index</t>
        </is>
      </c>
      <c r="J172" t="inlineStr">
        <is>
          <t>state:MO</t>
        </is>
      </c>
      <c r="K172" t="inlineStr">
        <is>
          <t>A</t>
        </is>
      </c>
      <c r="L172" t="inlineStr">
        <is>
          <t>FALSE</t>
        </is>
      </c>
      <c r="M172" t="inlineStr">
        <is>
          <t>TRUE</t>
        </is>
      </c>
      <c r="N172" t="inlineStr">
        <is>
          <t>https://fred.stlouisfed.org/series/MOPHCI</t>
        </is>
      </c>
      <c r="O172" t="inlineStr"/>
      <c r="P172" t="inlineStr"/>
      <c r="Q172" t="inlineStr"/>
      <c r="R172" t="inlineStr">
        <is>
          <t>chg_3p</t>
        </is>
      </c>
      <c r="S172" t="inlineStr">
        <is>
          <t>Annual benchmark re-estimation revises full history; no Oct-2025 observation (survey never collected).</t>
        </is>
      </c>
    </row>
    <row r="173">
      <c r="A173" t="inlineStr">
        <is>
          <t>MSPHCI</t>
        </is>
      </c>
      <c r="B173" t="inlineStr">
        <is>
          <t>Mississippi coincident index</t>
        </is>
      </c>
      <c r="C173" t="inlineStr">
        <is>
          <t>state</t>
        </is>
      </c>
      <c r="D173" t="inlineStr">
        <is>
          <t>watchlist</t>
        </is>
      </c>
      <c r="E173" t="inlineStr">
        <is>
          <t>coincident</t>
        </is>
      </c>
      <c r="F173" t="inlineStr">
        <is>
          <t>monthly</t>
        </is>
      </c>
      <c r="G173" t="inlineStr">
        <is>
          <t>SA</t>
        </is>
      </c>
      <c r="H173" t="inlineStr">
        <is>
          <t>index</t>
        </is>
      </c>
      <c r="I173" t="inlineStr">
        <is>
          <t>index</t>
        </is>
      </c>
      <c r="J173" t="inlineStr">
        <is>
          <t>state:MS</t>
        </is>
      </c>
      <c r="K173" t="inlineStr">
        <is>
          <t>A</t>
        </is>
      </c>
      <c r="L173" t="inlineStr">
        <is>
          <t>FALSE</t>
        </is>
      </c>
      <c r="M173" t="inlineStr">
        <is>
          <t>TRUE</t>
        </is>
      </c>
      <c r="N173" t="inlineStr">
        <is>
          <t>https://fred.stlouisfed.org/series/MSPHCI</t>
        </is>
      </c>
      <c r="O173" t="inlineStr"/>
      <c r="P173" t="inlineStr"/>
      <c r="Q173" t="inlineStr"/>
      <c r="R173" t="inlineStr">
        <is>
          <t>chg_3p</t>
        </is>
      </c>
      <c r="S173" t="inlineStr">
        <is>
          <t>Annual benchmark re-estimation revises full history; no Oct-2025 observation (survey never collected).</t>
        </is>
      </c>
    </row>
    <row r="174">
      <c r="A174" t="inlineStr">
        <is>
          <t>MTPHCI</t>
        </is>
      </c>
      <c r="B174" t="inlineStr">
        <is>
          <t>Montana coincident index</t>
        </is>
      </c>
      <c r="C174" t="inlineStr">
        <is>
          <t>state</t>
        </is>
      </c>
      <c r="D174" t="inlineStr">
        <is>
          <t>watchlist</t>
        </is>
      </c>
      <c r="E174" t="inlineStr">
        <is>
          <t>coincident</t>
        </is>
      </c>
      <c r="F174" t="inlineStr">
        <is>
          <t>monthly</t>
        </is>
      </c>
      <c r="G174" t="inlineStr">
        <is>
          <t>SA</t>
        </is>
      </c>
      <c r="H174" t="inlineStr">
        <is>
          <t>index</t>
        </is>
      </c>
      <c r="I174" t="inlineStr">
        <is>
          <t>index</t>
        </is>
      </c>
      <c r="J174" t="inlineStr">
        <is>
          <t>state:MT</t>
        </is>
      </c>
      <c r="K174" t="inlineStr">
        <is>
          <t>A</t>
        </is>
      </c>
      <c r="L174" t="inlineStr">
        <is>
          <t>FALSE</t>
        </is>
      </c>
      <c r="M174" t="inlineStr">
        <is>
          <t>TRUE</t>
        </is>
      </c>
      <c r="N174" t="inlineStr">
        <is>
          <t>https://fred.stlouisfed.org/series/MTPHCI</t>
        </is>
      </c>
      <c r="O174" t="inlineStr"/>
      <c r="P174" t="inlineStr"/>
      <c r="Q174" t="inlineStr"/>
      <c r="R174" t="inlineStr">
        <is>
          <t>chg_3p</t>
        </is>
      </c>
      <c r="S174" t="inlineStr">
        <is>
          <t>Annual benchmark re-estimation revises full history; no Oct-2025 observation (survey never collected).</t>
        </is>
      </c>
    </row>
    <row r="175">
      <c r="A175" t="inlineStr">
        <is>
          <t>NCPHCI</t>
        </is>
      </c>
      <c r="B175" t="inlineStr">
        <is>
          <t>North Carolina coincident index</t>
        </is>
      </c>
      <c r="C175" t="inlineStr">
        <is>
          <t>state</t>
        </is>
      </c>
      <c r="D175" t="inlineStr">
        <is>
          <t>watchlist</t>
        </is>
      </c>
      <c r="E175" t="inlineStr">
        <is>
          <t>coincident</t>
        </is>
      </c>
      <c r="F175" t="inlineStr">
        <is>
          <t>monthly</t>
        </is>
      </c>
      <c r="G175" t="inlineStr">
        <is>
          <t>SA</t>
        </is>
      </c>
      <c r="H175" t="inlineStr">
        <is>
          <t>index</t>
        </is>
      </c>
      <c r="I175" t="inlineStr">
        <is>
          <t>index</t>
        </is>
      </c>
      <c r="J175" t="inlineStr">
        <is>
          <t>state:NC</t>
        </is>
      </c>
      <c r="K175" t="inlineStr">
        <is>
          <t>A</t>
        </is>
      </c>
      <c r="L175" t="inlineStr">
        <is>
          <t>FALSE</t>
        </is>
      </c>
      <c r="M175" t="inlineStr">
        <is>
          <t>TRUE</t>
        </is>
      </c>
      <c r="N175" t="inlineStr">
        <is>
          <t>https://fred.stlouisfed.org/series/NCPHCI</t>
        </is>
      </c>
      <c r="O175" t="inlineStr"/>
      <c r="P175" t="inlineStr"/>
      <c r="Q175" t="inlineStr"/>
      <c r="R175" t="inlineStr">
        <is>
          <t>chg_3p</t>
        </is>
      </c>
      <c r="S175" t="inlineStr">
        <is>
          <t>Annual benchmark re-estimation revises full history; no Oct-2025 observation (survey never collected).</t>
        </is>
      </c>
    </row>
    <row r="176">
      <c r="A176" t="inlineStr">
        <is>
          <t>NDPHCI</t>
        </is>
      </c>
      <c r="B176" t="inlineStr">
        <is>
          <t>North Dakota coincident index</t>
        </is>
      </c>
      <c r="C176" t="inlineStr">
        <is>
          <t>state</t>
        </is>
      </c>
      <c r="D176" t="inlineStr">
        <is>
          <t>watchlist</t>
        </is>
      </c>
      <c r="E176" t="inlineStr">
        <is>
          <t>coincident</t>
        </is>
      </c>
      <c r="F176" t="inlineStr">
        <is>
          <t>monthly</t>
        </is>
      </c>
      <c r="G176" t="inlineStr">
        <is>
          <t>SA</t>
        </is>
      </c>
      <c r="H176" t="inlineStr">
        <is>
          <t>index</t>
        </is>
      </c>
      <c r="I176" t="inlineStr">
        <is>
          <t>index</t>
        </is>
      </c>
      <c r="J176" t="inlineStr">
        <is>
          <t>state:ND</t>
        </is>
      </c>
      <c r="K176" t="inlineStr">
        <is>
          <t>A</t>
        </is>
      </c>
      <c r="L176" t="inlineStr">
        <is>
          <t>FALSE</t>
        </is>
      </c>
      <c r="M176" t="inlineStr">
        <is>
          <t>TRUE</t>
        </is>
      </c>
      <c r="N176" t="inlineStr">
        <is>
          <t>https://fred.stlouisfed.org/series/NDPHCI</t>
        </is>
      </c>
      <c r="O176" t="inlineStr"/>
      <c r="P176" t="inlineStr"/>
      <c r="Q176" t="inlineStr"/>
      <c r="R176" t="inlineStr">
        <is>
          <t>chg_3p</t>
        </is>
      </c>
      <c r="S176" t="inlineStr">
        <is>
          <t>Annual benchmark re-estimation revises full history; no Oct-2025 observation (survey never collected).</t>
        </is>
      </c>
    </row>
    <row r="177">
      <c r="A177" t="inlineStr">
        <is>
          <t>NEPHCI</t>
        </is>
      </c>
      <c r="B177" t="inlineStr">
        <is>
          <t>Nebraska coincident index</t>
        </is>
      </c>
      <c r="C177" t="inlineStr">
        <is>
          <t>state</t>
        </is>
      </c>
      <c r="D177" t="inlineStr">
        <is>
          <t>watchlist</t>
        </is>
      </c>
      <c r="E177" t="inlineStr">
        <is>
          <t>coincident</t>
        </is>
      </c>
      <c r="F177" t="inlineStr">
        <is>
          <t>monthly</t>
        </is>
      </c>
      <c r="G177" t="inlineStr">
        <is>
          <t>SA</t>
        </is>
      </c>
      <c r="H177" t="inlineStr">
        <is>
          <t>index</t>
        </is>
      </c>
      <c r="I177" t="inlineStr">
        <is>
          <t>index</t>
        </is>
      </c>
      <c r="J177" t="inlineStr">
        <is>
          <t>state:NE</t>
        </is>
      </c>
      <c r="K177" t="inlineStr">
        <is>
          <t>A</t>
        </is>
      </c>
      <c r="L177" t="inlineStr">
        <is>
          <t>FALSE</t>
        </is>
      </c>
      <c r="M177" t="inlineStr">
        <is>
          <t>TRUE</t>
        </is>
      </c>
      <c r="N177" t="inlineStr">
        <is>
          <t>https://fred.stlouisfed.org/series/NEPHCI</t>
        </is>
      </c>
      <c r="O177" t="inlineStr"/>
      <c r="P177" t="inlineStr"/>
      <c r="Q177" t="inlineStr"/>
      <c r="R177" t="inlineStr">
        <is>
          <t>chg_3p</t>
        </is>
      </c>
      <c r="S177" t="inlineStr">
        <is>
          <t>Annual benchmark re-estimation revises full history; no Oct-2025 observation (survey never collected).</t>
        </is>
      </c>
    </row>
    <row r="178">
      <c r="A178" t="inlineStr">
        <is>
          <t>NHPHCI</t>
        </is>
      </c>
      <c r="B178" t="inlineStr">
        <is>
          <t>New Hampshire coincident index</t>
        </is>
      </c>
      <c r="C178" t="inlineStr">
        <is>
          <t>state</t>
        </is>
      </c>
      <c r="D178" t="inlineStr">
        <is>
          <t>watchlist</t>
        </is>
      </c>
      <c r="E178" t="inlineStr">
        <is>
          <t>coincident</t>
        </is>
      </c>
      <c r="F178" t="inlineStr">
        <is>
          <t>monthly</t>
        </is>
      </c>
      <c r="G178" t="inlineStr">
        <is>
          <t>SA</t>
        </is>
      </c>
      <c r="H178" t="inlineStr">
        <is>
          <t>index</t>
        </is>
      </c>
      <c r="I178" t="inlineStr">
        <is>
          <t>index</t>
        </is>
      </c>
      <c r="J178" t="inlineStr">
        <is>
          <t>state:NH</t>
        </is>
      </c>
      <c r="K178" t="inlineStr">
        <is>
          <t>A</t>
        </is>
      </c>
      <c r="L178" t="inlineStr">
        <is>
          <t>FALSE</t>
        </is>
      </c>
      <c r="M178" t="inlineStr">
        <is>
          <t>TRUE</t>
        </is>
      </c>
      <c r="N178" t="inlineStr">
        <is>
          <t>https://fred.stlouisfed.org/series/NHPHCI</t>
        </is>
      </c>
      <c r="O178" t="inlineStr"/>
      <c r="P178" t="inlineStr"/>
      <c r="Q178" t="inlineStr"/>
      <c r="R178" t="inlineStr">
        <is>
          <t>chg_3p</t>
        </is>
      </c>
      <c r="S178" t="inlineStr">
        <is>
          <t>Annual benchmark re-estimation revises full history; no Oct-2025 observation (survey never collected).</t>
        </is>
      </c>
    </row>
    <row r="179">
      <c r="A179" t="inlineStr">
        <is>
          <t>NJPHCI</t>
        </is>
      </c>
      <c r="B179" t="inlineStr">
        <is>
          <t>New Jersey coincident index</t>
        </is>
      </c>
      <c r="C179" t="inlineStr">
        <is>
          <t>state</t>
        </is>
      </c>
      <c r="D179" t="inlineStr">
        <is>
          <t>watchlist</t>
        </is>
      </c>
      <c r="E179" t="inlineStr">
        <is>
          <t>coincident</t>
        </is>
      </c>
      <c r="F179" t="inlineStr">
        <is>
          <t>monthly</t>
        </is>
      </c>
      <c r="G179" t="inlineStr">
        <is>
          <t>SA</t>
        </is>
      </c>
      <c r="H179" t="inlineStr">
        <is>
          <t>index</t>
        </is>
      </c>
      <c r="I179" t="inlineStr">
        <is>
          <t>index</t>
        </is>
      </c>
      <c r="J179" t="inlineStr">
        <is>
          <t>state:NJ</t>
        </is>
      </c>
      <c r="K179" t="inlineStr">
        <is>
          <t>A</t>
        </is>
      </c>
      <c r="L179" t="inlineStr">
        <is>
          <t>FALSE</t>
        </is>
      </c>
      <c r="M179" t="inlineStr">
        <is>
          <t>TRUE</t>
        </is>
      </c>
      <c r="N179" t="inlineStr">
        <is>
          <t>https://fred.stlouisfed.org/series/NJPHCI</t>
        </is>
      </c>
      <c r="O179" t="inlineStr"/>
      <c r="P179" t="inlineStr"/>
      <c r="Q179" t="inlineStr"/>
      <c r="R179" t="inlineStr">
        <is>
          <t>chg_3p</t>
        </is>
      </c>
      <c r="S179" t="inlineStr">
        <is>
          <t>Annual benchmark re-estimation revises full history; no Oct-2025 observation (survey never collected).</t>
        </is>
      </c>
    </row>
    <row r="180">
      <c r="A180" t="inlineStr">
        <is>
          <t>NMPHCI</t>
        </is>
      </c>
      <c r="B180" t="inlineStr">
        <is>
          <t>New Mexico coincident index</t>
        </is>
      </c>
      <c r="C180" t="inlineStr">
        <is>
          <t>state</t>
        </is>
      </c>
      <c r="D180" t="inlineStr">
        <is>
          <t>watchlist</t>
        </is>
      </c>
      <c r="E180" t="inlineStr">
        <is>
          <t>coincident</t>
        </is>
      </c>
      <c r="F180" t="inlineStr">
        <is>
          <t>monthly</t>
        </is>
      </c>
      <c r="G180" t="inlineStr">
        <is>
          <t>SA</t>
        </is>
      </c>
      <c r="H180" t="inlineStr">
        <is>
          <t>index</t>
        </is>
      </c>
      <c r="I180" t="inlineStr">
        <is>
          <t>index</t>
        </is>
      </c>
      <c r="J180" t="inlineStr">
        <is>
          <t>state:NM</t>
        </is>
      </c>
      <c r="K180" t="inlineStr">
        <is>
          <t>A</t>
        </is>
      </c>
      <c r="L180" t="inlineStr">
        <is>
          <t>FALSE</t>
        </is>
      </c>
      <c r="M180" t="inlineStr">
        <is>
          <t>TRUE</t>
        </is>
      </c>
      <c r="N180" t="inlineStr">
        <is>
          <t>https://fred.stlouisfed.org/series/NMPHCI</t>
        </is>
      </c>
      <c r="O180" t="inlineStr"/>
      <c r="P180" t="inlineStr"/>
      <c r="Q180" t="inlineStr"/>
      <c r="R180" t="inlineStr">
        <is>
          <t>chg_3p</t>
        </is>
      </c>
      <c r="S180" t="inlineStr">
        <is>
          <t>Annual benchmark re-estimation revises full history; no Oct-2025 observation (survey never collected).</t>
        </is>
      </c>
    </row>
    <row r="181">
      <c r="A181" t="inlineStr">
        <is>
          <t>NVPHCI</t>
        </is>
      </c>
      <c r="B181" t="inlineStr">
        <is>
          <t>Nevada coincident index</t>
        </is>
      </c>
      <c r="C181" t="inlineStr">
        <is>
          <t>state</t>
        </is>
      </c>
      <c r="D181" t="inlineStr">
        <is>
          <t>watchlist</t>
        </is>
      </c>
      <c r="E181" t="inlineStr">
        <is>
          <t>coincident</t>
        </is>
      </c>
      <c r="F181" t="inlineStr">
        <is>
          <t>monthly</t>
        </is>
      </c>
      <c r="G181" t="inlineStr">
        <is>
          <t>SA</t>
        </is>
      </c>
      <c r="H181" t="inlineStr">
        <is>
          <t>index</t>
        </is>
      </c>
      <c r="I181" t="inlineStr">
        <is>
          <t>index</t>
        </is>
      </c>
      <c r="J181" t="inlineStr">
        <is>
          <t>state:NV</t>
        </is>
      </c>
      <c r="K181" t="inlineStr">
        <is>
          <t>A</t>
        </is>
      </c>
      <c r="L181" t="inlineStr">
        <is>
          <t>FALSE</t>
        </is>
      </c>
      <c r="M181" t="inlineStr">
        <is>
          <t>TRUE</t>
        </is>
      </c>
      <c r="N181" t="inlineStr">
        <is>
          <t>https://fred.stlouisfed.org/series/NVPHCI</t>
        </is>
      </c>
      <c r="O181" t="inlineStr"/>
      <c r="P181" t="inlineStr"/>
      <c r="Q181" t="inlineStr"/>
      <c r="R181" t="inlineStr">
        <is>
          <t>chg_3p</t>
        </is>
      </c>
      <c r="S181" t="inlineStr">
        <is>
          <t>Annual benchmark re-estimation revises full history; no Oct-2025 observation (survey never collected).</t>
        </is>
      </c>
    </row>
    <row r="182">
      <c r="A182" t="inlineStr">
        <is>
          <t>NYPHCI</t>
        </is>
      </c>
      <c r="B182" t="inlineStr">
        <is>
          <t>New York coincident index</t>
        </is>
      </c>
      <c r="C182" t="inlineStr">
        <is>
          <t>state</t>
        </is>
      </c>
      <c r="D182" t="inlineStr">
        <is>
          <t>watchlist</t>
        </is>
      </c>
      <c r="E182" t="inlineStr">
        <is>
          <t>coincident</t>
        </is>
      </c>
      <c r="F182" t="inlineStr">
        <is>
          <t>monthly</t>
        </is>
      </c>
      <c r="G182" t="inlineStr">
        <is>
          <t>SA</t>
        </is>
      </c>
      <c r="H182" t="inlineStr">
        <is>
          <t>index</t>
        </is>
      </c>
      <c r="I182" t="inlineStr">
        <is>
          <t>index</t>
        </is>
      </c>
      <c r="J182" t="inlineStr">
        <is>
          <t>state:NY</t>
        </is>
      </c>
      <c r="K182" t="inlineStr">
        <is>
          <t>A</t>
        </is>
      </c>
      <c r="L182" t="inlineStr">
        <is>
          <t>FALSE</t>
        </is>
      </c>
      <c r="M182" t="inlineStr">
        <is>
          <t>TRUE</t>
        </is>
      </c>
      <c r="N182" t="inlineStr">
        <is>
          <t>https://fred.stlouisfed.org/series/NYPHCI</t>
        </is>
      </c>
      <c r="O182" t="inlineStr"/>
      <c r="P182" t="inlineStr"/>
      <c r="Q182" t="inlineStr"/>
      <c r="R182" t="inlineStr">
        <is>
          <t>chg_3p</t>
        </is>
      </c>
      <c r="S182" t="inlineStr">
        <is>
          <t>Annual benchmark re-estimation revises full history; no Oct-2025 observation (survey never collected).</t>
        </is>
      </c>
    </row>
    <row r="183">
      <c r="A183" t="inlineStr">
        <is>
          <t>OHPHCI</t>
        </is>
      </c>
      <c r="B183" t="inlineStr">
        <is>
          <t>Ohio coincident index</t>
        </is>
      </c>
      <c r="C183" t="inlineStr">
        <is>
          <t>state</t>
        </is>
      </c>
      <c r="D183" t="inlineStr">
        <is>
          <t>watchlist</t>
        </is>
      </c>
      <c r="E183" t="inlineStr">
        <is>
          <t>coincident</t>
        </is>
      </c>
      <c r="F183" t="inlineStr">
        <is>
          <t>monthly</t>
        </is>
      </c>
      <c r="G183" t="inlineStr">
        <is>
          <t>SA</t>
        </is>
      </c>
      <c r="H183" t="inlineStr">
        <is>
          <t>index</t>
        </is>
      </c>
      <c r="I183" t="inlineStr">
        <is>
          <t>index</t>
        </is>
      </c>
      <c r="J183" t="inlineStr">
        <is>
          <t>state:OH</t>
        </is>
      </c>
      <c r="K183" t="inlineStr">
        <is>
          <t>A</t>
        </is>
      </c>
      <c r="L183" t="inlineStr">
        <is>
          <t>FALSE</t>
        </is>
      </c>
      <c r="M183" t="inlineStr">
        <is>
          <t>TRUE</t>
        </is>
      </c>
      <c r="N183" t="inlineStr">
        <is>
          <t>https://fred.stlouisfed.org/series/OHPHCI</t>
        </is>
      </c>
      <c r="O183" t="inlineStr"/>
      <c r="P183" t="inlineStr"/>
      <c r="Q183" t="inlineStr"/>
      <c r="R183" t="inlineStr">
        <is>
          <t>chg_3p</t>
        </is>
      </c>
      <c r="S183" t="inlineStr">
        <is>
          <t>Annual benchmark re-estimation revises full history; no Oct-2025 observation (survey never collected).</t>
        </is>
      </c>
    </row>
    <row r="184">
      <c r="A184" t="inlineStr">
        <is>
          <t>OKPHCI</t>
        </is>
      </c>
      <c r="B184" t="inlineStr">
        <is>
          <t>Oklahoma coincident index</t>
        </is>
      </c>
      <c r="C184" t="inlineStr">
        <is>
          <t>state</t>
        </is>
      </c>
      <c r="D184" t="inlineStr">
        <is>
          <t>watchlist</t>
        </is>
      </c>
      <c r="E184" t="inlineStr">
        <is>
          <t>coincident</t>
        </is>
      </c>
      <c r="F184" t="inlineStr">
        <is>
          <t>monthly</t>
        </is>
      </c>
      <c r="G184" t="inlineStr">
        <is>
          <t>SA</t>
        </is>
      </c>
      <c r="H184" t="inlineStr">
        <is>
          <t>index</t>
        </is>
      </c>
      <c r="I184" t="inlineStr">
        <is>
          <t>index</t>
        </is>
      </c>
      <c r="J184" t="inlineStr">
        <is>
          <t>state:OK</t>
        </is>
      </c>
      <c r="K184" t="inlineStr">
        <is>
          <t>A</t>
        </is>
      </c>
      <c r="L184" t="inlineStr">
        <is>
          <t>FALSE</t>
        </is>
      </c>
      <c r="M184" t="inlineStr">
        <is>
          <t>TRUE</t>
        </is>
      </c>
      <c r="N184" t="inlineStr">
        <is>
          <t>https://fred.stlouisfed.org/series/OKPHCI</t>
        </is>
      </c>
      <c r="O184" t="inlineStr"/>
      <c r="P184" t="inlineStr"/>
      <c r="Q184" t="inlineStr"/>
      <c r="R184" t="inlineStr">
        <is>
          <t>chg_3p</t>
        </is>
      </c>
      <c r="S184" t="inlineStr">
        <is>
          <t>Annual benchmark re-estimation revises full history; no Oct-2025 observation (survey never collected).</t>
        </is>
      </c>
    </row>
    <row r="185">
      <c r="A185" t="inlineStr">
        <is>
          <t>ORPHCI</t>
        </is>
      </c>
      <c r="B185" t="inlineStr">
        <is>
          <t>Oregon coincident index</t>
        </is>
      </c>
      <c r="C185" t="inlineStr">
        <is>
          <t>state</t>
        </is>
      </c>
      <c r="D185" t="inlineStr">
        <is>
          <t>watchlist</t>
        </is>
      </c>
      <c r="E185" t="inlineStr">
        <is>
          <t>coincident</t>
        </is>
      </c>
      <c r="F185" t="inlineStr">
        <is>
          <t>monthly</t>
        </is>
      </c>
      <c r="G185" t="inlineStr">
        <is>
          <t>SA</t>
        </is>
      </c>
      <c r="H185" t="inlineStr">
        <is>
          <t>index</t>
        </is>
      </c>
      <c r="I185" t="inlineStr">
        <is>
          <t>index</t>
        </is>
      </c>
      <c r="J185" t="inlineStr">
        <is>
          <t>state:OR</t>
        </is>
      </c>
      <c r="K185" t="inlineStr">
        <is>
          <t>A</t>
        </is>
      </c>
      <c r="L185" t="inlineStr">
        <is>
          <t>FALSE</t>
        </is>
      </c>
      <c r="M185" t="inlineStr">
        <is>
          <t>TRUE</t>
        </is>
      </c>
      <c r="N185" t="inlineStr">
        <is>
          <t>https://fred.stlouisfed.org/series/ORPHCI</t>
        </is>
      </c>
      <c r="O185" t="inlineStr"/>
      <c r="P185" t="inlineStr"/>
      <c r="Q185" t="inlineStr"/>
      <c r="R185" t="inlineStr">
        <is>
          <t>chg_3p</t>
        </is>
      </c>
      <c r="S185" t="inlineStr">
        <is>
          <t>Annual benchmark re-estimation revises full history; no Oct-2025 observation (survey never collected).</t>
        </is>
      </c>
    </row>
    <row r="186">
      <c r="A186" t="inlineStr">
        <is>
          <t>PAPHCI</t>
        </is>
      </c>
      <c r="B186" t="inlineStr">
        <is>
          <t>Pennsylvania coincident index</t>
        </is>
      </c>
      <c r="C186" t="inlineStr">
        <is>
          <t>state</t>
        </is>
      </c>
      <c r="D186" t="inlineStr">
        <is>
          <t>watchlist</t>
        </is>
      </c>
      <c r="E186" t="inlineStr">
        <is>
          <t>coincident</t>
        </is>
      </c>
      <c r="F186" t="inlineStr">
        <is>
          <t>monthly</t>
        </is>
      </c>
      <c r="G186" t="inlineStr">
        <is>
          <t>SA</t>
        </is>
      </c>
      <c r="H186" t="inlineStr">
        <is>
          <t>index</t>
        </is>
      </c>
      <c r="I186" t="inlineStr">
        <is>
          <t>index</t>
        </is>
      </c>
      <c r="J186" t="inlineStr">
        <is>
          <t>state:PA</t>
        </is>
      </c>
      <c r="K186" t="inlineStr">
        <is>
          <t>A</t>
        </is>
      </c>
      <c r="L186" t="inlineStr">
        <is>
          <t>FALSE</t>
        </is>
      </c>
      <c r="M186" t="inlineStr">
        <is>
          <t>TRUE</t>
        </is>
      </c>
      <c r="N186" t="inlineStr">
        <is>
          <t>https://fred.stlouisfed.org/series/PAPHCI</t>
        </is>
      </c>
      <c r="O186" t="inlineStr"/>
      <c r="P186" t="inlineStr"/>
      <c r="Q186" t="inlineStr"/>
      <c r="R186" t="inlineStr">
        <is>
          <t>chg_3p</t>
        </is>
      </c>
      <c r="S186" t="inlineStr">
        <is>
          <t>Annual benchmark re-estimation revises full history; no Oct-2025 observation (survey never collected).</t>
        </is>
      </c>
    </row>
    <row r="187">
      <c r="A187" t="inlineStr">
        <is>
          <t>RIPHCI</t>
        </is>
      </c>
      <c r="B187" t="inlineStr">
        <is>
          <t>Rhode Island coincident index</t>
        </is>
      </c>
      <c r="C187" t="inlineStr">
        <is>
          <t>state</t>
        </is>
      </c>
      <c r="D187" t="inlineStr">
        <is>
          <t>watchlist</t>
        </is>
      </c>
      <c r="E187" t="inlineStr">
        <is>
          <t>coincident</t>
        </is>
      </c>
      <c r="F187" t="inlineStr">
        <is>
          <t>monthly</t>
        </is>
      </c>
      <c r="G187" t="inlineStr">
        <is>
          <t>SA</t>
        </is>
      </c>
      <c r="H187" t="inlineStr">
        <is>
          <t>index</t>
        </is>
      </c>
      <c r="I187" t="inlineStr">
        <is>
          <t>index</t>
        </is>
      </c>
      <c r="J187" t="inlineStr">
        <is>
          <t>state:RI</t>
        </is>
      </c>
      <c r="K187" t="inlineStr">
        <is>
          <t>A</t>
        </is>
      </c>
      <c r="L187" t="inlineStr">
        <is>
          <t>FALSE</t>
        </is>
      </c>
      <c r="M187" t="inlineStr">
        <is>
          <t>TRUE</t>
        </is>
      </c>
      <c r="N187" t="inlineStr">
        <is>
          <t>https://fred.stlouisfed.org/series/RIPHCI</t>
        </is>
      </c>
      <c r="O187" t="inlineStr"/>
      <c r="P187" t="inlineStr"/>
      <c r="Q187" t="inlineStr"/>
      <c r="R187" t="inlineStr">
        <is>
          <t>chg_3p</t>
        </is>
      </c>
      <c r="S187" t="inlineStr">
        <is>
          <t>Annual benchmark re-estimation revises full history; no Oct-2025 observation (survey never collected).</t>
        </is>
      </c>
    </row>
    <row r="188">
      <c r="A188" t="inlineStr">
        <is>
          <t>SCPHCI</t>
        </is>
      </c>
      <c r="B188" t="inlineStr">
        <is>
          <t>South Carolina coincident index</t>
        </is>
      </c>
      <c r="C188" t="inlineStr">
        <is>
          <t>state</t>
        </is>
      </c>
      <c r="D188" t="inlineStr">
        <is>
          <t>watchlist</t>
        </is>
      </c>
      <c r="E188" t="inlineStr">
        <is>
          <t>coincident</t>
        </is>
      </c>
      <c r="F188" t="inlineStr">
        <is>
          <t>monthly</t>
        </is>
      </c>
      <c r="G188" t="inlineStr">
        <is>
          <t>SA</t>
        </is>
      </c>
      <c r="H188" t="inlineStr">
        <is>
          <t>index</t>
        </is>
      </c>
      <c r="I188" t="inlineStr">
        <is>
          <t>index</t>
        </is>
      </c>
      <c r="J188" t="inlineStr">
        <is>
          <t>state:SC</t>
        </is>
      </c>
      <c r="K188" t="inlineStr">
        <is>
          <t>A</t>
        </is>
      </c>
      <c r="L188" t="inlineStr">
        <is>
          <t>FALSE</t>
        </is>
      </c>
      <c r="M188" t="inlineStr">
        <is>
          <t>TRUE</t>
        </is>
      </c>
      <c r="N188" t="inlineStr">
        <is>
          <t>https://fred.stlouisfed.org/series/SCPHCI</t>
        </is>
      </c>
      <c r="O188" t="inlineStr"/>
      <c r="P188" t="inlineStr"/>
      <c r="Q188" t="inlineStr"/>
      <c r="R188" t="inlineStr">
        <is>
          <t>chg_3p</t>
        </is>
      </c>
      <c r="S188" t="inlineStr">
        <is>
          <t>Annual benchmark re-estimation revises full history; no Oct-2025 observation (survey never collected).</t>
        </is>
      </c>
    </row>
    <row r="189">
      <c r="A189" t="inlineStr">
        <is>
          <t>SDPHCI</t>
        </is>
      </c>
      <c r="B189" t="inlineStr">
        <is>
          <t>South Dakota coincident index</t>
        </is>
      </c>
      <c r="C189" t="inlineStr">
        <is>
          <t>state</t>
        </is>
      </c>
      <c r="D189" t="inlineStr">
        <is>
          <t>watchlist</t>
        </is>
      </c>
      <c r="E189" t="inlineStr">
        <is>
          <t>coincident</t>
        </is>
      </c>
      <c r="F189" t="inlineStr">
        <is>
          <t>monthly</t>
        </is>
      </c>
      <c r="G189" t="inlineStr">
        <is>
          <t>SA</t>
        </is>
      </c>
      <c r="H189" t="inlineStr">
        <is>
          <t>index</t>
        </is>
      </c>
      <c r="I189" t="inlineStr">
        <is>
          <t>index</t>
        </is>
      </c>
      <c r="J189" t="inlineStr">
        <is>
          <t>state:SD</t>
        </is>
      </c>
      <c r="K189" t="inlineStr">
        <is>
          <t>A</t>
        </is>
      </c>
      <c r="L189" t="inlineStr">
        <is>
          <t>FALSE</t>
        </is>
      </c>
      <c r="M189" t="inlineStr">
        <is>
          <t>TRUE</t>
        </is>
      </c>
      <c r="N189" t="inlineStr">
        <is>
          <t>https://fred.stlouisfed.org/series/SDPHCI</t>
        </is>
      </c>
      <c r="O189" t="inlineStr"/>
      <c r="P189" t="inlineStr"/>
      <c r="Q189" t="inlineStr"/>
      <c r="R189" t="inlineStr">
        <is>
          <t>chg_3p</t>
        </is>
      </c>
      <c r="S189" t="inlineStr">
        <is>
          <t>Annual benchmark re-estimation revises full history; no Oct-2025 observation (survey never collected).</t>
        </is>
      </c>
    </row>
    <row r="190">
      <c r="A190" t="inlineStr">
        <is>
          <t>TNPHCI</t>
        </is>
      </c>
      <c r="B190" t="inlineStr">
        <is>
          <t>Tennessee coincident index</t>
        </is>
      </c>
      <c r="C190" t="inlineStr">
        <is>
          <t>state</t>
        </is>
      </c>
      <c r="D190" t="inlineStr">
        <is>
          <t>watchlist</t>
        </is>
      </c>
      <c r="E190" t="inlineStr">
        <is>
          <t>coincident</t>
        </is>
      </c>
      <c r="F190" t="inlineStr">
        <is>
          <t>monthly</t>
        </is>
      </c>
      <c r="G190" t="inlineStr">
        <is>
          <t>SA</t>
        </is>
      </c>
      <c r="H190" t="inlineStr">
        <is>
          <t>index</t>
        </is>
      </c>
      <c r="I190" t="inlineStr">
        <is>
          <t>index</t>
        </is>
      </c>
      <c r="J190" t="inlineStr">
        <is>
          <t>state:TN</t>
        </is>
      </c>
      <c r="K190" t="inlineStr">
        <is>
          <t>A</t>
        </is>
      </c>
      <c r="L190" t="inlineStr">
        <is>
          <t>FALSE</t>
        </is>
      </c>
      <c r="M190" t="inlineStr">
        <is>
          <t>TRUE</t>
        </is>
      </c>
      <c r="N190" t="inlineStr">
        <is>
          <t>https://fred.stlouisfed.org/series/TNPHCI</t>
        </is>
      </c>
      <c r="O190" t="inlineStr"/>
      <c r="P190" t="inlineStr"/>
      <c r="Q190" t="inlineStr"/>
      <c r="R190" t="inlineStr">
        <is>
          <t>chg_3p</t>
        </is>
      </c>
      <c r="S190" t="inlineStr">
        <is>
          <t>Annual benchmark re-estimation revises full history; no Oct-2025 observation (survey never collected).</t>
        </is>
      </c>
    </row>
    <row r="191">
      <c r="A191" t="inlineStr">
        <is>
          <t>TXPHCI</t>
        </is>
      </c>
      <c r="B191" t="inlineStr">
        <is>
          <t>Texas coincident index</t>
        </is>
      </c>
      <c r="C191" t="inlineStr">
        <is>
          <t>state</t>
        </is>
      </c>
      <c r="D191" t="inlineStr">
        <is>
          <t>watchlist</t>
        </is>
      </c>
      <c r="E191" t="inlineStr">
        <is>
          <t>coincident</t>
        </is>
      </c>
      <c r="F191" t="inlineStr">
        <is>
          <t>monthly</t>
        </is>
      </c>
      <c r="G191" t="inlineStr">
        <is>
          <t>SA</t>
        </is>
      </c>
      <c r="H191" t="inlineStr">
        <is>
          <t>index</t>
        </is>
      </c>
      <c r="I191" t="inlineStr">
        <is>
          <t>index</t>
        </is>
      </c>
      <c r="J191" t="inlineStr">
        <is>
          <t>state:TX</t>
        </is>
      </c>
      <c r="K191" t="inlineStr">
        <is>
          <t>A</t>
        </is>
      </c>
      <c r="L191" t="inlineStr">
        <is>
          <t>FALSE</t>
        </is>
      </c>
      <c r="M191" t="inlineStr">
        <is>
          <t>TRUE</t>
        </is>
      </c>
      <c r="N191" t="inlineStr">
        <is>
          <t>https://fred.stlouisfed.org/series/TXPHCI</t>
        </is>
      </c>
      <c r="O191" t="inlineStr"/>
      <c r="P191" t="inlineStr"/>
      <c r="Q191" t="inlineStr"/>
      <c r="R191" t="inlineStr">
        <is>
          <t>chg_3p</t>
        </is>
      </c>
      <c r="S191" t="inlineStr">
        <is>
          <t>Annual benchmark re-estimation revises full history; no Oct-2025 observation (survey never collected).</t>
        </is>
      </c>
    </row>
    <row r="192">
      <c r="A192" t="inlineStr">
        <is>
          <t>UTPHCI</t>
        </is>
      </c>
      <c r="B192" t="inlineStr">
        <is>
          <t>Utah coincident index</t>
        </is>
      </c>
      <c r="C192" t="inlineStr">
        <is>
          <t>state</t>
        </is>
      </c>
      <c r="D192" t="inlineStr">
        <is>
          <t>watchlist</t>
        </is>
      </c>
      <c r="E192" t="inlineStr">
        <is>
          <t>coincident</t>
        </is>
      </c>
      <c r="F192" t="inlineStr">
        <is>
          <t>monthly</t>
        </is>
      </c>
      <c r="G192" t="inlineStr">
        <is>
          <t>SA</t>
        </is>
      </c>
      <c r="H192" t="inlineStr">
        <is>
          <t>index</t>
        </is>
      </c>
      <c r="I192" t="inlineStr">
        <is>
          <t>index</t>
        </is>
      </c>
      <c r="J192" t="inlineStr">
        <is>
          <t>state:UT</t>
        </is>
      </c>
      <c r="K192" t="inlineStr">
        <is>
          <t>A</t>
        </is>
      </c>
      <c r="L192" t="inlineStr">
        <is>
          <t>FALSE</t>
        </is>
      </c>
      <c r="M192" t="inlineStr">
        <is>
          <t>TRUE</t>
        </is>
      </c>
      <c r="N192" t="inlineStr">
        <is>
          <t>https://fred.stlouisfed.org/series/UTPHCI</t>
        </is>
      </c>
      <c r="O192" t="inlineStr"/>
      <c r="P192" t="inlineStr"/>
      <c r="Q192" t="inlineStr"/>
      <c r="R192" t="inlineStr">
        <is>
          <t>chg_3p</t>
        </is>
      </c>
      <c r="S192" t="inlineStr">
        <is>
          <t>Annual benchmark re-estimation revises full history; no Oct-2025 observation (survey never collected).</t>
        </is>
      </c>
    </row>
    <row r="193">
      <c r="A193" t="inlineStr">
        <is>
          <t>VAPHCI</t>
        </is>
      </c>
      <c r="B193" t="inlineStr">
        <is>
          <t>Virginia coincident index</t>
        </is>
      </c>
      <c r="C193" t="inlineStr">
        <is>
          <t>state</t>
        </is>
      </c>
      <c r="D193" t="inlineStr">
        <is>
          <t>watchlist</t>
        </is>
      </c>
      <c r="E193" t="inlineStr">
        <is>
          <t>coincident</t>
        </is>
      </c>
      <c r="F193" t="inlineStr">
        <is>
          <t>monthly</t>
        </is>
      </c>
      <c r="G193" t="inlineStr">
        <is>
          <t>SA</t>
        </is>
      </c>
      <c r="H193" t="inlineStr">
        <is>
          <t>index</t>
        </is>
      </c>
      <c r="I193" t="inlineStr">
        <is>
          <t>index</t>
        </is>
      </c>
      <c r="J193" t="inlineStr">
        <is>
          <t>state:VA</t>
        </is>
      </c>
      <c r="K193" t="inlineStr">
        <is>
          <t>A</t>
        </is>
      </c>
      <c r="L193" t="inlineStr">
        <is>
          <t>FALSE</t>
        </is>
      </c>
      <c r="M193" t="inlineStr">
        <is>
          <t>TRUE</t>
        </is>
      </c>
      <c r="N193" t="inlineStr">
        <is>
          <t>https://fred.stlouisfed.org/series/VAPHCI</t>
        </is>
      </c>
      <c r="O193" t="inlineStr"/>
      <c r="P193" t="inlineStr"/>
      <c r="Q193" t="inlineStr"/>
      <c r="R193" t="inlineStr">
        <is>
          <t>chg_3p</t>
        </is>
      </c>
      <c r="S193" t="inlineStr">
        <is>
          <t>Annual benchmark re-estimation revises full history; no Oct-2025 observation (survey never collected).</t>
        </is>
      </c>
    </row>
    <row r="194">
      <c r="A194" t="inlineStr">
        <is>
          <t>VTPHCI</t>
        </is>
      </c>
      <c r="B194" t="inlineStr">
        <is>
          <t>Vermont coincident index</t>
        </is>
      </c>
      <c r="C194" t="inlineStr">
        <is>
          <t>state</t>
        </is>
      </c>
      <c r="D194" t="inlineStr">
        <is>
          <t>watchlist</t>
        </is>
      </c>
      <c r="E194" t="inlineStr">
        <is>
          <t>coincident</t>
        </is>
      </c>
      <c r="F194" t="inlineStr">
        <is>
          <t>monthly</t>
        </is>
      </c>
      <c r="G194" t="inlineStr">
        <is>
          <t>SA</t>
        </is>
      </c>
      <c r="H194" t="inlineStr">
        <is>
          <t>index</t>
        </is>
      </c>
      <c r="I194" t="inlineStr">
        <is>
          <t>index</t>
        </is>
      </c>
      <c r="J194" t="inlineStr">
        <is>
          <t>state:VT</t>
        </is>
      </c>
      <c r="K194" t="inlineStr">
        <is>
          <t>A</t>
        </is>
      </c>
      <c r="L194" t="inlineStr">
        <is>
          <t>FALSE</t>
        </is>
      </c>
      <c r="M194" t="inlineStr">
        <is>
          <t>TRUE</t>
        </is>
      </c>
      <c r="N194" t="inlineStr">
        <is>
          <t>https://fred.stlouisfed.org/series/VTPHCI</t>
        </is>
      </c>
      <c r="O194" t="inlineStr"/>
      <c r="P194" t="inlineStr"/>
      <c r="Q194" t="inlineStr"/>
      <c r="R194" t="inlineStr">
        <is>
          <t>chg_3p</t>
        </is>
      </c>
      <c r="S194" t="inlineStr">
        <is>
          <t>Annual benchmark re-estimation revises full history; no Oct-2025 observation (survey never collected).</t>
        </is>
      </c>
    </row>
    <row r="195">
      <c r="A195" t="inlineStr">
        <is>
          <t>WAPHCI</t>
        </is>
      </c>
      <c r="B195" t="inlineStr">
        <is>
          <t>Washington coincident index</t>
        </is>
      </c>
      <c r="C195" t="inlineStr">
        <is>
          <t>state</t>
        </is>
      </c>
      <c r="D195" t="inlineStr">
        <is>
          <t>watchlist</t>
        </is>
      </c>
      <c r="E195" t="inlineStr">
        <is>
          <t>coincident</t>
        </is>
      </c>
      <c r="F195" t="inlineStr">
        <is>
          <t>monthly</t>
        </is>
      </c>
      <c r="G195" t="inlineStr">
        <is>
          <t>SA</t>
        </is>
      </c>
      <c r="H195" t="inlineStr">
        <is>
          <t>index</t>
        </is>
      </c>
      <c r="I195" t="inlineStr">
        <is>
          <t>index</t>
        </is>
      </c>
      <c r="J195" t="inlineStr">
        <is>
          <t>state:WA</t>
        </is>
      </c>
      <c r="K195" t="inlineStr">
        <is>
          <t>A</t>
        </is>
      </c>
      <c r="L195" t="inlineStr">
        <is>
          <t>FALSE</t>
        </is>
      </c>
      <c r="M195" t="inlineStr">
        <is>
          <t>TRUE</t>
        </is>
      </c>
      <c r="N195" t="inlineStr">
        <is>
          <t>https://fred.stlouisfed.org/series/WAPHCI</t>
        </is>
      </c>
      <c r="O195" t="inlineStr"/>
      <c r="P195" t="inlineStr"/>
      <c r="Q195" t="inlineStr"/>
      <c r="R195" t="inlineStr">
        <is>
          <t>chg_3p</t>
        </is>
      </c>
      <c r="S195" t="inlineStr">
        <is>
          <t>Annual benchmark re-estimation revises full history; no Oct-2025 observation (survey never collected).</t>
        </is>
      </c>
    </row>
    <row r="196">
      <c r="A196" t="inlineStr">
        <is>
          <t>WIPHCI</t>
        </is>
      </c>
      <c r="B196" t="inlineStr">
        <is>
          <t>Wisconsin coincident index</t>
        </is>
      </c>
      <c r="C196" t="inlineStr">
        <is>
          <t>state</t>
        </is>
      </c>
      <c r="D196" t="inlineStr">
        <is>
          <t>watchlist</t>
        </is>
      </c>
      <c r="E196" t="inlineStr">
        <is>
          <t>coincident</t>
        </is>
      </c>
      <c r="F196" t="inlineStr">
        <is>
          <t>monthly</t>
        </is>
      </c>
      <c r="G196" t="inlineStr">
        <is>
          <t>SA</t>
        </is>
      </c>
      <c r="H196" t="inlineStr">
        <is>
          <t>index</t>
        </is>
      </c>
      <c r="I196" t="inlineStr">
        <is>
          <t>index</t>
        </is>
      </c>
      <c r="J196" t="inlineStr">
        <is>
          <t>state:WI</t>
        </is>
      </c>
      <c r="K196" t="inlineStr">
        <is>
          <t>A</t>
        </is>
      </c>
      <c r="L196" t="inlineStr">
        <is>
          <t>FALSE</t>
        </is>
      </c>
      <c r="M196" t="inlineStr">
        <is>
          <t>TRUE</t>
        </is>
      </c>
      <c r="N196" t="inlineStr">
        <is>
          <t>https://fred.stlouisfed.org/series/WIPHCI</t>
        </is>
      </c>
      <c r="O196" t="inlineStr"/>
      <c r="P196" t="inlineStr"/>
      <c r="Q196" t="inlineStr"/>
      <c r="R196" t="inlineStr">
        <is>
          <t>chg_3p</t>
        </is>
      </c>
      <c r="S196" t="inlineStr">
        <is>
          <t>Annual benchmark re-estimation revises full history; no Oct-2025 observation (survey never collected).</t>
        </is>
      </c>
    </row>
    <row r="197">
      <c r="A197" t="inlineStr">
        <is>
          <t>WVPHCI</t>
        </is>
      </c>
      <c r="B197" t="inlineStr">
        <is>
          <t>West Virginia coincident index</t>
        </is>
      </c>
      <c r="C197" t="inlineStr">
        <is>
          <t>state</t>
        </is>
      </c>
      <c r="D197" t="inlineStr">
        <is>
          <t>watchlist</t>
        </is>
      </c>
      <c r="E197" t="inlineStr">
        <is>
          <t>coincident</t>
        </is>
      </c>
      <c r="F197" t="inlineStr">
        <is>
          <t>monthly</t>
        </is>
      </c>
      <c r="G197" t="inlineStr">
        <is>
          <t>SA</t>
        </is>
      </c>
      <c r="H197" t="inlineStr">
        <is>
          <t>index</t>
        </is>
      </c>
      <c r="I197" t="inlineStr">
        <is>
          <t>index</t>
        </is>
      </c>
      <c r="J197" t="inlineStr">
        <is>
          <t>state:WV</t>
        </is>
      </c>
      <c r="K197" t="inlineStr">
        <is>
          <t>A</t>
        </is>
      </c>
      <c r="L197" t="inlineStr">
        <is>
          <t>FALSE</t>
        </is>
      </c>
      <c r="M197" t="inlineStr">
        <is>
          <t>TRUE</t>
        </is>
      </c>
      <c r="N197" t="inlineStr">
        <is>
          <t>https://fred.stlouisfed.org/series/WVPHCI</t>
        </is>
      </c>
      <c r="O197" t="inlineStr"/>
      <c r="P197" t="inlineStr"/>
      <c r="Q197" t="inlineStr"/>
      <c r="R197" t="inlineStr">
        <is>
          <t>chg_3p</t>
        </is>
      </c>
      <c r="S197" t="inlineStr">
        <is>
          <t>Annual benchmark re-estimation revises full history; no Oct-2025 observation (survey never collected).</t>
        </is>
      </c>
    </row>
    <row r="198">
      <c r="A198" t="inlineStr">
        <is>
          <t>WYPHCI</t>
        </is>
      </c>
      <c r="B198" t="inlineStr">
        <is>
          <t>Wyoming coincident index</t>
        </is>
      </c>
      <c r="C198" t="inlineStr">
        <is>
          <t>state</t>
        </is>
      </c>
      <c r="D198" t="inlineStr">
        <is>
          <t>watchlist</t>
        </is>
      </c>
      <c r="E198" t="inlineStr">
        <is>
          <t>coincident</t>
        </is>
      </c>
      <c r="F198" t="inlineStr">
        <is>
          <t>monthly</t>
        </is>
      </c>
      <c r="G198" t="inlineStr">
        <is>
          <t>SA</t>
        </is>
      </c>
      <c r="H198" t="inlineStr">
        <is>
          <t>index</t>
        </is>
      </c>
      <c r="I198" t="inlineStr">
        <is>
          <t>index</t>
        </is>
      </c>
      <c r="J198" t="inlineStr">
        <is>
          <t>state:WY</t>
        </is>
      </c>
      <c r="K198" t="inlineStr">
        <is>
          <t>A</t>
        </is>
      </c>
      <c r="L198" t="inlineStr">
        <is>
          <t>FALSE</t>
        </is>
      </c>
      <c r="M198" t="inlineStr">
        <is>
          <t>TRUE</t>
        </is>
      </c>
      <c r="N198" t="inlineStr">
        <is>
          <t>https://fred.stlouisfed.org/series/WYPHCI</t>
        </is>
      </c>
      <c r="O198" t="inlineStr"/>
      <c r="P198" t="inlineStr"/>
      <c r="Q198" t="inlineStr"/>
      <c r="R198" t="inlineStr">
        <is>
          <t>chg_3p</t>
        </is>
      </c>
      <c r="S198" t="inlineStr">
        <is>
          <t>Annual benchmark re-estimation revises full history; no Oct-2025 observation (survey never collected).</t>
        </is>
      </c>
    </row>
    <row r="200">
      <c r="A200" t="inlineStr">
        <is>
          <t># To add a series: append a [SERIES] row. The watchlist lane admits ONLY genuinely state-keyed Class A rows (watchlist_capable=TRUE, source_class=A, geo_segment matching state:XX); national aggregates are refused, series-named. MSA/county promotion is a spec change.</t>
        </is>
      </c>
    </row>
    <row r="201">
      <c r="A201" t="inlineStr">
        <is>
          <t># EXCLUDED (dead/frozen -- never re-add as fetchable rows): TEDRATE, CFSI, {ST}SLIND/USSLIND (frozen at Feb 2020: the staleness lesson), Conference Board LEI (not on FRED).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976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8" t="inlineStr">
        <is>
          <t>#!/usr/bin/env python3</t>
        </is>
      </c>
    </row>
    <row r="2">
      <c r="A2" s="28" t="inlineStr">
        <is>
          <t>"""Macro Early-Warning Monitor -- runner (the data path).</t>
        </is>
      </c>
    </row>
    <row r="3">
      <c r="A3" s="28" t="inlineStr"/>
    </row>
    <row r="4">
      <c r="A4" s="28" t="inlineStr">
        <is>
          <t>Single source of truth for the data path; embedded verbatim into the workbook's</t>
        </is>
      </c>
    </row>
    <row r="5">
      <c r="A5" s="28" t="inlineStr">
        <is>
          <t>_code_py tab. The VBA ExtractFiles macro writes this back out as runner.py and</t>
        </is>
      </c>
    </row>
    <row r="6">
      <c r="A6" s="28" t="inlineStr">
        <is>
          <t>the user runs it from PowerShell against the CLOSED workbook (openpyxl backend).</t>
        </is>
      </c>
    </row>
    <row r="7">
      <c r="A7" s="28" t="inlineStr"/>
    </row>
    <row r="8">
      <c r="A8" s="28" t="inlineStr">
        <is>
          <t>Built to BUILD_SPEC_MACRO.md. Clean seams (BUILD SPEC 0.3 / 1a):</t>
        </is>
      </c>
    </row>
    <row r="9">
      <c r="A9" s="28" t="inlineStr"/>
    </row>
    <row r="10">
      <c r="A10" s="28" t="inlineStr">
        <is>
          <t xml:space="preserve">  * ADAPTER SEAM -- the only provider-specific code. Every adapter implements</t>
        </is>
      </c>
    </row>
    <row r="11">
      <c r="A11" s="28" t="inlineStr">
        <is>
          <t xml:space="preserve">    fetch_series(spec, secret) -&gt; list[NormalizedRow] with a FIXED normalized</t>
        </is>
      </c>
    </row>
    <row r="12">
      <c r="A12" s="28" t="inlineStr">
        <is>
          <t xml:space="preserve">    schema; nothing downstream calls provider-specific code. v1 ships two Class A</t>
        </is>
      </c>
    </row>
    <row r="13">
      <c r="A13" s="28" t="inlineStr">
        <is>
          <t xml:space="preserve">    providers (FredDemoProvider offline + FredProvider live urllib REST) and an</t>
        </is>
      </c>
    </row>
    <row r="14">
      <c r="A14" s="28" t="inlineStr">
        <is>
          <t xml:space="preserve">    in-process Class C OAuth stub for the seam contract; note this template's</t>
        </is>
      </c>
    </row>
    <row r="15">
      <c r="A15" s="28" t="inlineStr">
        <is>
          <t xml:space="preserve">    watchlist gate admits ONLY class "A" (spec sec 3 gate 2), so a Class C swap</t>
        </is>
      </c>
    </row>
    <row r="16">
      <c r="A16" s="28" t="inlineStr">
        <is>
          <t xml:space="preserve">    requires its own review before admission.</t>
        </is>
      </c>
    </row>
    <row r="17">
      <c r="A17" s="28" t="inlineStr">
        <is>
          <t xml:space="preserve">  * TRANSFORM REGISTRY -- deterministic named transforms (BUILD SPEC sec 3).</t>
        </is>
      </c>
    </row>
    <row r="18">
      <c r="A18" s="28" t="inlineStr">
        <is>
          <t xml:space="preserve">  * THRESHOLD ENGINE  -- config-driven OK/WATCH/ALERT (BUILD SPEC sec 3).</t>
        </is>
      </c>
    </row>
    <row r="19">
      <c r="A19" s="28" t="inlineStr">
        <is>
          <t xml:space="preserve">  * WATCHLIST VALIDATOR -- DEFAULT-DENY WHITELIST (BUILD SPEC 0.1 / sec 3):</t>
        </is>
      </c>
    </row>
    <row r="20">
      <c r="A20" s="28" t="inlineStr">
        <is>
          <t xml:space="preserve">    only genuinely state-keyed (geo_segment="state:XX") Class A series may feed</t>
        </is>
      </c>
    </row>
    <row r="21">
      <c r="A21" s="28" t="inlineStr">
        <is>
          <t xml:space="preserve">    the watchlist lane; national aggregates are refused, series-named.</t>
        </is>
      </c>
    </row>
    <row r="22">
      <c r="A22" s="28" t="inlineStr">
        <is>
          <t xml:space="preserve">  * STALENESS GUARD (BUILD SPEC 0.6, the SLIND lesson) -- fetch success is not</t>
        </is>
      </c>
    </row>
    <row r="23">
      <c r="A23" s="28" t="inlineStr">
        <is>
          <t xml:space="preserve">    data currency: a series whose last observation is older than</t>
        </is>
      </c>
    </row>
    <row r="24">
      <c r="A24" s="28" t="inlineStr">
        <is>
          <t xml:space="preserve">    stale_multiplier x its cadence is marked STALE and excluded from alert KPIs.</t>
        </is>
      </c>
    </row>
    <row r="25">
      <c r="A25" s="28" t="inlineStr"/>
    </row>
    <row r="26">
      <c r="A26" s="28" t="inlineStr">
        <is>
          <t>No AI/LLM anywhere; transforms are pure (BUILD SPEC 0.5). Pure ASCII (L3).</t>
        </is>
      </c>
    </row>
    <row r="27">
      <c r="A27" s="28" t="inlineStr">
        <is>
          <t>"""</t>
        </is>
      </c>
    </row>
    <row r="28">
      <c r="A28" s="28" t="inlineStr">
        <is>
          <t>from __future__ import annotations</t>
        </is>
      </c>
    </row>
    <row r="29">
      <c r="A29" s="28" t="inlineStr"/>
    </row>
    <row r="30">
      <c r="A30" s="28" t="inlineStr">
        <is>
          <t>import argparse</t>
        </is>
      </c>
    </row>
    <row r="31">
      <c r="A31" s="28" t="inlineStr">
        <is>
          <t>import json</t>
        </is>
      </c>
    </row>
    <row r="32">
      <c r="A32" s="28" t="inlineStr">
        <is>
          <t>import math</t>
        </is>
      </c>
    </row>
    <row r="33">
      <c r="A33" s="28" t="inlineStr">
        <is>
          <t>import os</t>
        </is>
      </c>
    </row>
    <row r="34">
      <c r="A34" s="28" t="inlineStr">
        <is>
          <t>import re</t>
        </is>
      </c>
    </row>
    <row r="35">
      <c r="A35" s="28" t="inlineStr">
        <is>
          <t>import sys</t>
        </is>
      </c>
    </row>
    <row r="36">
      <c r="A36" s="28" t="inlineStr">
        <is>
          <t>import time</t>
        </is>
      </c>
    </row>
    <row r="37">
      <c r="A37" s="28" t="inlineStr">
        <is>
          <t>from dataclasses import dataclass, field</t>
        </is>
      </c>
    </row>
    <row r="38">
      <c r="A38" s="28" t="inlineStr">
        <is>
          <t>from datetime import date, datetime</t>
        </is>
      </c>
    </row>
    <row r="39">
      <c r="A39" s="28" t="inlineStr">
        <is>
          <t>from typing import Dict, List, Optional, Sequence</t>
        </is>
      </c>
    </row>
    <row r="40">
      <c r="A40" s="28" t="inlineStr"/>
    </row>
    <row r="41">
      <c r="A41" s="28" t="inlineStr">
        <is>
          <t>import pandas as pd</t>
        </is>
      </c>
    </row>
    <row r="42">
      <c r="A42" s="28" t="inlineStr"/>
    </row>
    <row r="43">
      <c r="A43" s="28" t="inlineStr">
        <is>
          <t># Fixed raw-block geometry (newest observation first) so dashboard formulas have</t>
        </is>
      </c>
    </row>
    <row r="44">
      <c r="A44" s="28" t="inlineStr">
        <is>
          <t># stable anchors that never shift across refreshes.</t>
        </is>
      </c>
    </row>
    <row r="45">
      <c r="A45" s="28" t="inlineStr">
        <is>
          <t>RAW_TAB = "Raw_FRED"</t>
        </is>
      </c>
    </row>
    <row r="46">
      <c r="A46" s="28" t="inlineStr">
        <is>
          <t>RAW_SLOTS_DEFAULT = 60          # observation rows kept per series (newest-first)</t>
        </is>
      </c>
    </row>
    <row r="47">
      <c r="A47" s="28" t="inlineStr">
        <is>
          <t>RAW_HEADER_ROWS = 2</t>
        </is>
      </c>
    </row>
    <row r="48">
      <c r="A48" s="28" t="inlineStr">
        <is>
          <t>RAW_GAP_ROWS = 2</t>
        </is>
      </c>
    </row>
    <row r="49">
      <c r="A49" s="28" t="inlineStr">
        <is>
          <t>RAW_FIRST_ROW = 2</t>
        </is>
      </c>
    </row>
    <row r="50">
      <c r="A50" s="28" t="inlineStr">
        <is>
          <t>RAW_PERIOD_COL = 1             # column A</t>
        </is>
      </c>
    </row>
    <row r="51">
      <c r="A51" s="28" t="inlineStr">
        <is>
          <t>RAW_VALUE_COL = 2             # column B</t>
        </is>
      </c>
    </row>
    <row r="52">
      <c r="A52" s="28" t="inlineStr"/>
    </row>
    <row r="53">
      <c r="A53" s="28" t="inlineStr">
        <is>
          <t># Status panel column on each dashboard (free of any merged masthead cells).</t>
        </is>
      </c>
    </row>
    <row r="54">
      <c r="A54" s="28" t="inlineStr">
        <is>
          <t>STATUS_COL = 12               # column L</t>
        </is>
      </c>
    </row>
    <row r="55">
      <c r="A55" s="28" t="inlineStr"/>
    </row>
    <row r="56">
      <c r="A56" s="28" t="inlineStr">
        <is>
          <t>FREQ_PERIODS = {"quarterly": 4, "annual": 1, "monthly": 12, "weekly": 52,</t>
        </is>
      </c>
    </row>
    <row r="57">
      <c r="A57" s="28" t="inlineStr">
        <is>
          <t xml:space="preserve">                "daily": 261}</t>
        </is>
      </c>
    </row>
    <row r="58">
      <c r="A58" s="28" t="inlineStr"/>
    </row>
    <row r="59">
      <c r="A59" s="28" t="inlineStr">
        <is>
          <t># Staleness cadence in days (BUILD SPEC 0.6): generous month math -- a series</t>
        </is>
      </c>
    </row>
    <row r="60">
      <c r="A60" s="28" t="inlineStr">
        <is>
          <t># is stale when (asof - last_obs) exceeds stale_multiplier x these.</t>
        </is>
      </c>
    </row>
    <row r="61">
      <c r="A61" s="28" t="inlineStr">
        <is>
          <t>CADENCE_DAYS = {"daily": 1, "weekly": 7, "monthly": 31, "quarterly": 92,</t>
        </is>
      </c>
    </row>
    <row r="62">
      <c r="A62" s="28" t="inlineStr">
        <is>
          <t xml:space="preserve">                "annual": 366}</t>
        </is>
      </c>
    </row>
    <row r="63">
      <c r="A63" s="28" t="inlineStr"/>
    </row>
    <row r="64">
      <c r="A64" s="28" t="inlineStr">
        <is>
          <t># The watchlist join-key whitelist (BUILD SPEC sec 3, gate 3): default-deny.</t>
        </is>
      </c>
    </row>
    <row r="65">
      <c r="A65" s="28" t="inlineStr">
        <is>
          <t># Only a literal two-letter state key passes; national/us/msa/county/anything</t>
        </is>
      </c>
    </row>
    <row r="66">
      <c r="A66" s="28" t="inlineStr">
        <is>
          <t># else is refused (MSA/county promotion is a spec change, not a config edit).</t>
        </is>
      </c>
    </row>
    <row r="67">
      <c r="A67" s="28" t="inlineStr">
        <is>
          <t>WATCHLIST_GEO_PATTERN = r"^state:[A-Z]{2}$"</t>
        </is>
      </c>
    </row>
    <row r="68">
      <c r="A68" s="28" t="inlineStr"/>
    </row>
    <row r="69">
      <c r="A69" s="28" t="inlineStr">
        <is>
          <t>FRED_OBS_URL = "https://api.stlouisfed.org/fred/series/observations"</t>
        </is>
      </c>
    </row>
    <row r="70">
      <c r="A70" s="28" t="inlineStr"/>
    </row>
    <row r="71">
      <c r="A71" s="28" t="inlineStr"/>
    </row>
    <row r="72">
      <c r="A72" s="28" t="inlineStr">
        <is>
          <t>def _freq(frequency: str) -&gt; str:</t>
        </is>
      </c>
    </row>
    <row r="73">
      <c r="A73" s="28" t="inlineStr">
        <is>
          <t xml:space="preserve">    f = (frequency or "").strip().lower()</t>
        </is>
      </c>
    </row>
    <row r="74">
      <c r="A74" s="28" t="inlineStr">
        <is>
          <t xml:space="preserve">    if f.startswith("q"):</t>
        </is>
      </c>
    </row>
    <row r="75">
      <c r="A75" s="28" t="inlineStr">
        <is>
          <t xml:space="preserve">        return "quarterly"</t>
        </is>
      </c>
    </row>
    <row r="76">
      <c r="A76" s="28" t="inlineStr">
        <is>
          <t xml:space="preserve">    if f.startswith("a") or f.startswith("y"):</t>
        </is>
      </c>
    </row>
    <row r="77">
      <c r="A77" s="28" t="inlineStr">
        <is>
          <t xml:space="preserve">        return "annual"</t>
        </is>
      </c>
    </row>
    <row r="78">
      <c r="A78" s="28" t="inlineStr">
        <is>
          <t xml:space="preserve">    if f.startswith("m"):</t>
        </is>
      </c>
    </row>
    <row r="79">
      <c r="A79" s="28" t="inlineStr">
        <is>
          <t xml:space="preserve">        return "monthly"</t>
        </is>
      </c>
    </row>
    <row r="80">
      <c r="A80" s="28" t="inlineStr">
        <is>
          <t xml:space="preserve">    if f.startswith("w"):</t>
        </is>
      </c>
    </row>
    <row r="81">
      <c r="A81" s="28" t="inlineStr">
        <is>
          <t xml:space="preserve">        return "weekly"</t>
        </is>
      </c>
    </row>
    <row r="82">
      <c r="A82" s="28" t="inlineStr">
        <is>
          <t xml:space="preserve">    if f.startswith("d"):</t>
        </is>
      </c>
    </row>
    <row r="83">
      <c r="A83" s="28" t="inlineStr">
        <is>
          <t xml:space="preserve">        return "daily"</t>
        </is>
      </c>
    </row>
    <row r="84">
      <c r="A84" s="28" t="inlineStr">
        <is>
          <t xml:space="preserve">    return "monthly"</t>
        </is>
      </c>
    </row>
    <row r="85">
      <c r="A85" s="28" t="inlineStr"/>
    </row>
    <row r="86">
      <c r="A86" s="28" t="inlineStr"/>
    </row>
    <row r="87">
      <c r="A87" s="28" t="inlineStr">
        <is>
          <t>def periods_per_year(frequency: str) -&gt; int:</t>
        </is>
      </c>
    </row>
    <row r="88">
      <c r="A88" s="28" t="inlineStr">
        <is>
          <t xml:space="preserve">    return FREQ_PERIODS[_freq(frequency)]</t>
        </is>
      </c>
    </row>
    <row r="89">
      <c r="A89" s="28" t="inlineStr"/>
    </row>
    <row r="90">
      <c r="A90" s="28" t="inlineStr"/>
    </row>
    <row r="91">
      <c r="A91" s="28" t="inlineStr">
        <is>
          <t># ---------------------------------------------------------------------------</t>
        </is>
      </c>
    </row>
    <row r="92">
      <c r="A92" s="28" t="inlineStr">
        <is>
          <t># CONFIG MODEL (parsed from the `_config` tab; backend-agnostic)</t>
        </is>
      </c>
    </row>
    <row r="93">
      <c r="A93" s="28" t="inlineStr">
        <is>
          <t># ---------------------------------------------------------------------------</t>
        </is>
      </c>
    </row>
    <row r="94">
      <c r="A94" s="28" t="inlineStr">
        <is>
          <t>SERIES_HEADER = [</t>
        </is>
      </c>
    </row>
    <row r="95">
      <c r="A95" s="28" t="inlineStr">
        <is>
          <t xml:space="preserve">    "id", "title", "category", "lane", "metric_type", "frequency", "sa_nsa",</t>
        </is>
      </c>
    </row>
    <row r="96">
      <c r="A96" s="28" t="inlineStr">
        <is>
          <t xml:space="preserve">    "units", "level_rate_index", "geo_segment", "source_class",</t>
        </is>
      </c>
    </row>
    <row r="97">
      <c r="A97" s="28" t="inlineStr">
        <is>
          <t xml:space="preserve">    "dashboard_capable", "watchlist_capable", "source_url", "table_id", "sheet",</t>
        </is>
      </c>
    </row>
    <row r="98">
      <c r="A98" s="28" t="inlineStr">
        <is>
          <t xml:space="preserve">    "series_label", "transform", "notes",</t>
        </is>
      </c>
    </row>
    <row r="99">
      <c r="A99" s="28" t="inlineStr">
        <is>
          <t>]</t>
        </is>
      </c>
    </row>
    <row r="100">
      <c r="A100" s="28" t="inlineStr"/>
    </row>
    <row r="101">
      <c r="A101" s="28" t="inlineStr"/>
    </row>
    <row r="102">
      <c r="A102" s="28" t="inlineStr">
        <is>
          <t>@dataclass</t>
        </is>
      </c>
    </row>
    <row r="103">
      <c r="A103" s="28" t="inlineStr">
        <is>
          <t>class SeriesSpec:</t>
        </is>
      </c>
    </row>
    <row r="104">
      <c r="A104" s="28" t="inlineStr">
        <is>
          <t xml:space="preserve">    id: str</t>
        </is>
      </c>
    </row>
    <row r="105">
      <c r="A105" s="28" t="inlineStr">
        <is>
          <t xml:space="preserve">    title: str</t>
        </is>
      </c>
    </row>
    <row r="106">
      <c r="A106" s="28" t="inlineStr">
        <is>
          <t xml:space="preserve">    category: str</t>
        </is>
      </c>
    </row>
    <row r="107">
      <c r="A107" s="28" t="inlineStr">
        <is>
          <t xml:space="preserve">    lane: str</t>
        </is>
      </c>
    </row>
    <row r="108">
      <c r="A108" s="28" t="inlineStr">
        <is>
          <t xml:space="preserve">    metric_type: str</t>
        </is>
      </c>
    </row>
    <row r="109">
      <c r="A109" s="28" t="inlineStr">
        <is>
          <t xml:space="preserve">    frequency: str</t>
        </is>
      </c>
    </row>
    <row r="110">
      <c r="A110" s="28" t="inlineStr">
        <is>
          <t xml:space="preserve">    sa_nsa: str</t>
        </is>
      </c>
    </row>
    <row r="111">
      <c r="A111" s="28" t="inlineStr">
        <is>
          <t xml:space="preserve">    units: str</t>
        </is>
      </c>
    </row>
    <row r="112">
      <c r="A112" s="28" t="inlineStr">
        <is>
          <t xml:space="preserve">    level_rate_index: str</t>
        </is>
      </c>
    </row>
    <row r="113">
      <c r="A113" s="28" t="inlineStr">
        <is>
          <t xml:space="preserve">    geo_segment: str</t>
        </is>
      </c>
    </row>
    <row r="114">
      <c r="A114" s="28" t="inlineStr">
        <is>
          <t xml:space="preserve">    source_class: str</t>
        </is>
      </c>
    </row>
    <row r="115">
      <c r="A115" s="28" t="inlineStr">
        <is>
          <t xml:space="preserve">    dashboard_capable: bool</t>
        </is>
      </c>
    </row>
    <row r="116">
      <c r="A116" s="28" t="inlineStr">
        <is>
          <t xml:space="preserve">    watchlist_capable: bool</t>
        </is>
      </c>
    </row>
    <row r="117">
      <c r="A117" s="28" t="inlineStr">
        <is>
          <t xml:space="preserve">    source_url: str</t>
        </is>
      </c>
    </row>
    <row r="118">
      <c r="A118" s="28" t="inlineStr">
        <is>
          <t xml:space="preserve">    table_id: str</t>
        </is>
      </c>
    </row>
    <row r="119">
      <c r="A119" s="28" t="inlineStr">
        <is>
          <t xml:space="preserve">    sheet: str</t>
        </is>
      </c>
    </row>
    <row r="120">
      <c r="A120" s="28" t="inlineStr">
        <is>
          <t xml:space="preserve">    series_label: str</t>
        </is>
      </c>
    </row>
    <row r="121">
      <c r="A121" s="28" t="inlineStr">
        <is>
          <t xml:space="preserve">    transform: str</t>
        </is>
      </c>
    </row>
    <row r="122">
      <c r="A122" s="28" t="inlineStr">
        <is>
          <t xml:space="preserve">    notes: str</t>
        </is>
      </c>
    </row>
    <row r="123">
      <c r="A123" s="28" t="inlineStr"/>
    </row>
    <row r="124">
      <c r="A124" s="28" t="inlineStr"/>
    </row>
    <row r="125">
      <c r="A125" s="28" t="inlineStr">
        <is>
          <t>@dataclass</t>
        </is>
      </c>
    </row>
    <row r="126">
      <c r="A126" s="28" t="inlineStr">
        <is>
          <t>class Threshold:</t>
        </is>
      </c>
    </row>
    <row r="127">
      <c r="A127" s="28" t="inlineStr">
        <is>
          <t xml:space="preserve">    watch: Optional[float]</t>
        </is>
      </c>
    </row>
    <row r="128">
      <c r="A128" s="28" t="inlineStr">
        <is>
          <t xml:space="preserve">    alert: Optional[float]</t>
        </is>
      </c>
    </row>
    <row r="129">
      <c r="A129" s="28" t="inlineStr">
        <is>
          <t xml:space="preserve">    direction: str          # "above" | "below"</t>
        </is>
      </c>
    </row>
    <row r="130">
      <c r="A130" s="28" t="inlineStr"/>
    </row>
    <row r="131">
      <c r="A131" s="28" t="inlineStr"/>
    </row>
    <row r="132">
      <c r="A132" s="28" t="inlineStr">
        <is>
          <t>@dataclass</t>
        </is>
      </c>
    </row>
    <row r="133">
      <c r="A133" s="28" t="inlineStr">
        <is>
          <t>class Config:</t>
        </is>
      </c>
    </row>
    <row r="134">
      <c r="A134" s="28" t="inlineStr">
        <is>
          <t xml:space="preserve">    settings: Dict[str, str] = field(default_factory=dict)</t>
        </is>
      </c>
    </row>
    <row r="135">
      <c r="A135" s="28" t="inlineStr">
        <is>
          <t xml:space="preserve">    thresholds: Dict[str, Threshold] = field(default_factory=dict)</t>
        </is>
      </c>
    </row>
    <row r="136">
      <c r="A136" s="28" t="inlineStr">
        <is>
          <t xml:space="preserve">    series: List[SeriesSpec] = field(default_factory=list)</t>
        </is>
      </c>
    </row>
    <row r="137">
      <c r="A137" s="28" t="inlineStr"/>
    </row>
    <row r="138">
      <c r="A138" s="28" t="inlineStr">
        <is>
          <t xml:space="preserve">    def setting(self, key, default=None):</t>
        </is>
      </c>
    </row>
    <row r="139">
      <c r="A139" s="28" t="inlineStr">
        <is>
          <t xml:space="preserve">        return self.settings.get(key, default)</t>
        </is>
      </c>
    </row>
    <row r="140">
      <c r="A140" s="28" t="inlineStr"/>
    </row>
    <row r="141">
      <c r="A141" s="28" t="inlineStr">
        <is>
          <t xml:space="preserve">    @property</t>
        </is>
      </c>
    </row>
    <row r="142">
      <c r="A142" s="28" t="inlineStr">
        <is>
          <t xml:space="preserve">    def raw_slots(self) -&gt; int:</t>
        </is>
      </c>
    </row>
    <row r="143">
      <c r="A143" s="28" t="inlineStr">
        <is>
          <t xml:space="preserve">        return int(float(self.settings.get("raw_slots", RAW_SLOTS_DEFAULT)))</t>
        </is>
      </c>
    </row>
    <row r="144">
      <c r="A144" s="28" t="inlineStr"/>
    </row>
    <row r="145">
      <c r="A145" s="28" t="inlineStr">
        <is>
          <t xml:space="preserve">    @property</t>
        </is>
      </c>
    </row>
    <row r="146">
      <c r="A146" s="28" t="inlineStr">
        <is>
          <t xml:space="preserve">    def sahm_state_band(self) -&gt; float:</t>
        </is>
      </c>
    </row>
    <row r="147">
      <c r="A147" s="28" t="inlineStr">
        <is>
          <t xml:space="preserve">        """The single state-watchlist alert band (spec sec 3): a per-id</t>
        </is>
      </c>
    </row>
    <row r="148">
      <c r="A148" s="28" t="inlineStr">
        <is>
          <t xml:space="preserve">        threshold row for each of 151 state series would be noise. Referenced</t>
        </is>
      </c>
    </row>
    <row r="149">
      <c r="A149" s="28" t="inlineStr">
        <is>
          <t xml:space="preserve">        by defined name from the Watchlist formulas; documented default 0.50."""</t>
        </is>
      </c>
    </row>
    <row r="150">
      <c r="A150" s="28" t="inlineStr">
        <is>
          <t xml:space="preserve">        v = _as_float(self.settings.get("sahm_state_band", "0.5"))</t>
        </is>
      </c>
    </row>
    <row r="151">
      <c r="A151" s="28" t="inlineStr">
        <is>
          <t xml:space="preserve">        return 0.5 if v is None else v</t>
        </is>
      </c>
    </row>
    <row r="152">
      <c r="A152" s="28" t="inlineStr"/>
    </row>
    <row r="153">
      <c r="A153" s="28" t="inlineStr">
        <is>
          <t xml:space="preserve">    @property</t>
        </is>
      </c>
    </row>
    <row r="154">
      <c r="A154" s="28" t="inlineStr">
        <is>
          <t xml:space="preserve">    def stale_multiplier(self) -&gt; float:</t>
        </is>
      </c>
    </row>
    <row r="155">
      <c r="A155" s="28" t="inlineStr">
        <is>
          <t xml:space="preserve">        v = _as_float(self.settings.get("stale_multiplier", "2.0"))</t>
        </is>
      </c>
    </row>
    <row r="156">
      <c r="A156" s="28" t="inlineStr">
        <is>
          <t xml:space="preserve">        return 2.0 if v is None else v</t>
        </is>
      </c>
    </row>
    <row r="157">
      <c r="A157" s="28" t="inlineStr"/>
    </row>
    <row r="158">
      <c r="A158" s="28" t="inlineStr"/>
    </row>
    <row r="159">
      <c r="A159" s="28" t="inlineStr">
        <is>
          <t>def _as_bool(v) -&gt; bool:</t>
        </is>
      </c>
    </row>
    <row r="160">
      <c r="A160" s="28" t="inlineStr">
        <is>
          <t xml:space="preserve">    return str(v).strip().lower() in ("true", "1", "yes", "y", "t")</t>
        </is>
      </c>
    </row>
    <row r="161">
      <c r="A161" s="28" t="inlineStr"/>
    </row>
    <row r="162">
      <c r="A162" s="28" t="inlineStr"/>
    </row>
    <row r="163">
      <c r="A163" s="28" t="inlineStr">
        <is>
          <t>def _as_float(v):</t>
        </is>
      </c>
    </row>
    <row r="164">
      <c r="A164" s="28" t="inlineStr">
        <is>
          <t xml:space="preserve">    try:</t>
        </is>
      </c>
    </row>
    <row r="165">
      <c r="A165" s="28" t="inlineStr">
        <is>
          <t xml:space="preserve">        s = str(v).strip()</t>
        </is>
      </c>
    </row>
    <row r="166">
      <c r="A166" s="28" t="inlineStr">
        <is>
          <t xml:space="preserve">        return float(s) if s != "" else None</t>
        </is>
      </c>
    </row>
    <row r="167">
      <c r="A167" s="28" t="inlineStr">
        <is>
          <t xml:space="preserve">    except (TypeError, ValueError):</t>
        </is>
      </c>
    </row>
    <row r="168">
      <c r="A168" s="28" t="inlineStr">
        <is>
          <t xml:space="preserve">        return None</t>
        </is>
      </c>
    </row>
    <row r="169">
      <c r="A169" s="28" t="inlineStr"/>
    </row>
    <row r="170">
      <c r="A170" s="28" t="inlineStr"/>
    </row>
    <row r="171">
      <c r="A171" s="28" t="inlineStr">
        <is>
          <t>def parse_config(rows: Sequence[Sequence]) -&gt; Config:</t>
        </is>
      </c>
    </row>
    <row r="172">
      <c r="A172" s="28" t="inlineStr">
        <is>
          <t xml:space="preserve">    """Parse the `_config` sheet (list of row value-lists). Sections in col A:</t>
        </is>
      </c>
    </row>
    <row r="173">
      <c r="A173" s="28" t="inlineStr">
        <is>
          <t xml:space="preserve">    [SETTINGS], [THRESHOLDS], [SERIES]."""</t>
        </is>
      </c>
    </row>
    <row r="174">
      <c r="A174" s="28" t="inlineStr">
        <is>
          <t xml:space="preserve">    cfg = Config()</t>
        </is>
      </c>
    </row>
    <row r="175">
      <c r="A175" s="28" t="inlineStr">
        <is>
          <t xml:space="preserve">    section = None</t>
        </is>
      </c>
    </row>
    <row r="176">
      <c r="A176" s="28" t="inlineStr">
        <is>
          <t xml:space="preserve">    series_header = None</t>
        </is>
      </c>
    </row>
    <row r="177">
      <c r="A177" s="28" t="inlineStr">
        <is>
          <t xml:space="preserve">    thr_header = None</t>
        </is>
      </c>
    </row>
    <row r="178">
      <c r="A178" s="28" t="inlineStr">
        <is>
          <t xml:space="preserve">    for raw in rows:</t>
        </is>
      </c>
    </row>
    <row r="179">
      <c r="A179" s="28" t="inlineStr">
        <is>
          <t xml:space="preserve">        a = ("" if not raw or raw[0] is None else str(raw[0])).strip()</t>
        </is>
      </c>
    </row>
    <row r="180">
      <c r="A180" s="28" t="inlineStr">
        <is>
          <t xml:space="preserve">        if a.startswith("[") and a.endswith("]"):</t>
        </is>
      </c>
    </row>
    <row r="181">
      <c r="A181" s="28" t="inlineStr">
        <is>
          <t xml:space="preserve">            section = a.strip("[]").strip().upper()</t>
        </is>
      </c>
    </row>
    <row r="182">
      <c r="A182" s="28" t="inlineStr">
        <is>
          <t xml:space="preserve">            series_header = None</t>
        </is>
      </c>
    </row>
    <row r="183">
      <c r="A183" s="28" t="inlineStr">
        <is>
          <t xml:space="preserve">            thr_header = None</t>
        </is>
      </c>
    </row>
    <row r="184">
      <c r="A184" s="28" t="inlineStr">
        <is>
          <t xml:space="preserve">            continue</t>
        </is>
      </c>
    </row>
    <row r="185">
      <c r="A185" s="28" t="inlineStr">
        <is>
          <t xml:space="preserve">        if not a:</t>
        </is>
      </c>
    </row>
    <row r="186">
      <c r="A186" s="28" t="inlineStr">
        <is>
          <t xml:space="preserve">            continue</t>
        </is>
      </c>
    </row>
    <row r="187">
      <c r="A187" s="28" t="inlineStr">
        <is>
          <t xml:space="preserve">        if a.startswith("#"):          # in-sheet comment line, never data</t>
        </is>
      </c>
    </row>
    <row r="188">
      <c r="A188" s="28" t="inlineStr">
        <is>
          <t xml:space="preserve">            continue</t>
        </is>
      </c>
    </row>
    <row r="189">
      <c r="A189" s="28" t="inlineStr">
        <is>
          <t xml:space="preserve">        if section == "SETTINGS":</t>
        </is>
      </c>
    </row>
    <row r="190">
      <c r="A190" s="28" t="inlineStr">
        <is>
          <t xml:space="preserve">            if a.lower() in ("key", "name"):</t>
        </is>
      </c>
    </row>
    <row r="191">
      <c r="A191" s="28" t="inlineStr">
        <is>
          <t xml:space="preserve">                continue</t>
        </is>
      </c>
    </row>
    <row r="192">
      <c r="A192" s="28" t="inlineStr">
        <is>
          <t xml:space="preserve">            val = "" if len(raw) &lt; 2 or raw[1] is None else raw[1]</t>
        </is>
      </c>
    </row>
    <row r="193">
      <c r="A193" s="28" t="inlineStr">
        <is>
          <t xml:space="preserve">            cfg.settings[a] = str(val).strip()</t>
        </is>
      </c>
    </row>
    <row r="194">
      <c r="A194" s="28" t="inlineStr">
        <is>
          <t xml:space="preserve">        elif section == "THRESHOLDS":</t>
        </is>
      </c>
    </row>
    <row r="195">
      <c r="A195" s="28" t="inlineStr">
        <is>
          <t xml:space="preserve">            if thr_header is None and a.lower() == "id":</t>
        </is>
      </c>
    </row>
    <row r="196">
      <c r="A196" s="28" t="inlineStr">
        <is>
          <t xml:space="preserve">                thr_header = [str(c).strip().lower() for c in raw]</t>
        </is>
      </c>
    </row>
    <row r="197">
      <c r="A197" s="28" t="inlineStr">
        <is>
          <t xml:space="preserve">                continue</t>
        </is>
      </c>
    </row>
    <row r="198">
      <c r="A198" s="28" t="inlineStr">
        <is>
          <t xml:space="preserve">            cells = {h: ("" if i &gt;= len(raw) or raw[i] is None else raw[i])</t>
        </is>
      </c>
    </row>
    <row r="199">
      <c r="A199" s="28" t="inlineStr">
        <is>
          <t xml:space="preserve">                     for i, h in enumerate(thr_header or ["id", "watch", "alert", "direction"])}</t>
        </is>
      </c>
    </row>
    <row r="200">
      <c r="A200" s="28" t="inlineStr">
        <is>
          <t xml:space="preserve">            cfg.thresholds[a] = Threshold(</t>
        </is>
      </c>
    </row>
    <row r="201">
      <c r="A201" s="28" t="inlineStr">
        <is>
          <t xml:space="preserve">                watch=_as_float(cells.get("watch")),</t>
        </is>
      </c>
    </row>
    <row r="202">
      <c r="A202" s="28" t="inlineStr">
        <is>
          <t xml:space="preserve">                alert=_as_float(cells.get("alert")),</t>
        </is>
      </c>
    </row>
    <row r="203">
      <c r="A203" s="28" t="inlineStr">
        <is>
          <t xml:space="preserve">                direction=str(cells.get("direction", "above")).strip().lower() or "above")</t>
        </is>
      </c>
    </row>
    <row r="204">
      <c r="A204" s="28" t="inlineStr">
        <is>
          <t xml:space="preserve">        elif section == "SERIES":</t>
        </is>
      </c>
    </row>
    <row r="205">
      <c r="A205" s="28" t="inlineStr">
        <is>
          <t xml:space="preserve">            if series_header is None:</t>
        </is>
      </c>
    </row>
    <row r="206">
      <c r="A206" s="28" t="inlineStr">
        <is>
          <t xml:space="preserve">                series_header = [str(c).strip() for c in raw]</t>
        </is>
      </c>
    </row>
    <row r="207">
      <c r="A207" s="28" t="inlineStr">
        <is>
          <t xml:space="preserve">                continue</t>
        </is>
      </c>
    </row>
    <row r="208">
      <c r="A208" s="28" t="inlineStr">
        <is>
          <t xml:space="preserve">            v = {h: ("" if i &gt;= len(raw) or raw[i] is None else raw[i])</t>
        </is>
      </c>
    </row>
    <row r="209">
      <c r="A209" s="28" t="inlineStr">
        <is>
          <t xml:space="preserve">                 for i, h in enumerate(series_header)}</t>
        </is>
      </c>
    </row>
    <row r="210">
      <c r="A210" s="28" t="inlineStr">
        <is>
          <t xml:space="preserve">            cfg.series.append(SeriesSpec(</t>
        </is>
      </c>
    </row>
    <row r="211">
      <c r="A211" s="28" t="inlineStr">
        <is>
          <t xml:space="preserve">                id=str(v.get("id", "")).strip(),</t>
        </is>
      </c>
    </row>
    <row r="212">
      <c r="A212" s="28" t="inlineStr">
        <is>
          <t xml:space="preserve">                title=str(v.get("title", "")).strip(),</t>
        </is>
      </c>
    </row>
    <row r="213">
      <c r="A213" s="28" t="inlineStr">
        <is>
          <t xml:space="preserve">                category=str(v.get("category", "")).strip(),</t>
        </is>
      </c>
    </row>
    <row r="214">
      <c r="A214" s="28" t="inlineStr">
        <is>
          <t xml:space="preserve">                lane=str(v.get("lane", "")).strip().lower(),</t>
        </is>
      </c>
    </row>
    <row r="215">
      <c r="A215" s="28" t="inlineStr">
        <is>
          <t xml:space="preserve">                metric_type=str(v.get("metric_type", "")).strip(),</t>
        </is>
      </c>
    </row>
    <row r="216">
      <c r="A216" s="28" t="inlineStr">
        <is>
          <t xml:space="preserve">                frequency=str(v.get("frequency", "")).strip(),</t>
        </is>
      </c>
    </row>
    <row r="217">
      <c r="A217" s="28" t="inlineStr">
        <is>
          <t xml:space="preserve">                sa_nsa=str(v.get("sa_nsa", "")).strip(),</t>
        </is>
      </c>
    </row>
    <row r="218">
      <c r="A218" s="28" t="inlineStr">
        <is>
          <t xml:space="preserve">                units=str(v.get("units", "")).strip(),</t>
        </is>
      </c>
    </row>
    <row r="219">
      <c r="A219" s="28" t="inlineStr">
        <is>
          <t xml:space="preserve">                level_rate_index=str(v.get("level_rate_index", "")).strip().lower(),</t>
        </is>
      </c>
    </row>
    <row r="220">
      <c r="A220" s="28" t="inlineStr">
        <is>
          <t xml:space="preserve">                # geo_segment keeps its case: the gate-3 whitelist is the</t>
        </is>
      </c>
    </row>
    <row r="221">
      <c r="A221" s="28" t="inlineStr">
        <is>
          <t xml:space="preserve">                # LITERAL pattern ^state:[A-Z]{2}$ (spec sec 3).</t>
        </is>
      </c>
    </row>
    <row r="222">
      <c r="A222" s="28" t="inlineStr">
        <is>
          <t xml:space="preserve">                geo_segment=str(v.get("geo_segment", "")).strip(),</t>
        </is>
      </c>
    </row>
    <row r="223">
      <c r="A223" s="28" t="inlineStr">
        <is>
          <t xml:space="preserve">                source_class=str(v.get("source_class", "")).strip().upper(),</t>
        </is>
      </c>
    </row>
    <row r="224">
      <c r="A224" s="28" t="inlineStr">
        <is>
          <t xml:space="preserve">                dashboard_capable=_as_bool(v.get("dashboard_capable", "")),</t>
        </is>
      </c>
    </row>
    <row r="225">
      <c r="A225" s="28" t="inlineStr">
        <is>
          <t xml:space="preserve">                watchlist_capable=_as_bool(v.get("watchlist_capable", "")),</t>
        </is>
      </c>
    </row>
    <row r="226">
      <c r="A226" s="28" t="inlineStr">
        <is>
          <t xml:space="preserve">                source_url=str(v.get("source_url", "")).strip(),</t>
        </is>
      </c>
    </row>
    <row r="227">
      <c r="A227" s="28" t="inlineStr">
        <is>
          <t xml:space="preserve">                table_id=str(v.get("table_id", "")).strip(),</t>
        </is>
      </c>
    </row>
    <row r="228">
      <c r="A228" s="28" t="inlineStr">
        <is>
          <t xml:space="preserve">                sheet=str(v.get("sheet", "")).strip(),</t>
        </is>
      </c>
    </row>
    <row r="229">
      <c r="A229" s="28" t="inlineStr">
        <is>
          <t xml:space="preserve">                series_label=str(v.get("series_label", "")).strip(),</t>
        </is>
      </c>
    </row>
    <row r="230">
      <c r="A230" s="28" t="inlineStr">
        <is>
          <t xml:space="preserve">                transform=str(v.get("transform", "level")).strip().lower(),</t>
        </is>
      </c>
    </row>
    <row r="231">
      <c r="A231" s="28" t="inlineStr">
        <is>
          <t xml:space="preserve">                notes=str(v.get("notes", "")).strip()))</t>
        </is>
      </c>
    </row>
    <row r="232">
      <c r="A232" s="28" t="inlineStr">
        <is>
          <t xml:space="preserve">    return cfg</t>
        </is>
      </c>
    </row>
    <row r="233">
      <c r="A233" s="28" t="inlineStr"/>
    </row>
    <row r="234">
      <c r="A234" s="28" t="inlineStr"/>
    </row>
    <row r="235">
      <c r="A235" s="28" t="inlineStr">
        <is>
          <t># ---------------------------------------------------------------------------</t>
        </is>
      </c>
    </row>
    <row r="236">
      <c r="A236" s="28" t="inlineStr">
        <is>
          <t># THE WATCHLIST VALIDATOR -- DEFAULT-DENY WHITELIST (BUILD SPEC 0.1 / sec 3)</t>
        </is>
      </c>
    </row>
    <row r="237">
      <c r="A237" s="28" t="inlineStr">
        <is>
          <t># ---------------------------------------------------------------------------</t>
        </is>
      </c>
    </row>
    <row r="238">
      <c r="A238" s="28" t="inlineStr">
        <is>
          <t>class WatchlistRefused(Exception):</t>
        </is>
      </c>
    </row>
    <row r="239">
      <c r="A239" s="28" t="inlineStr">
        <is>
          <t xml:space="preserve">    """Raised by the gate; carries the series-named refusal message."""</t>
        </is>
      </c>
    </row>
    <row r="240">
      <c r="A240" s="28" t="inlineStr"/>
    </row>
    <row r="241">
      <c r="A241" s="28" t="inlineStr"/>
    </row>
    <row r="242">
      <c r="A242" s="28" t="inlineStr">
        <is>
          <t>def watchlist_refusal_message(spec: SeriesSpec, reasons: List[str]) -&gt; str:</t>
        </is>
      </c>
    </row>
    <row r="243">
      <c r="A243" s="28" t="inlineStr">
        <is>
          <t xml:space="preserve">    return (</t>
        </is>
      </c>
    </row>
    <row r="244">
      <c r="A244" s="28" t="inlineStr">
        <is>
          <t xml:space="preserve">        f'WATCHLIST REFUSED: series "{spec.id}" has geo_segment="{spec.geo_segment}", '</t>
        </is>
      </c>
    </row>
    <row r="245">
      <c r="A245" s="28" t="inlineStr">
        <is>
          <t xml:space="preserve">        f'watchlist_capable={"TRUE" if spec.watchlist_capable else "FALSE"}, '</t>
        </is>
      </c>
    </row>
    <row r="246">
      <c r="A246" s="28" t="inlineStr">
        <is>
          <t xml:space="preserve">        f'source_class="{spec.source_class}". ' + " ".join(reasons) +</t>
        </is>
      </c>
    </row>
    <row r="247">
      <c r="A247" s="28" t="inlineStr">
        <is>
          <t xml:space="preserve">        " National/aggregate series cannot localize a portfolio footprint; "</t>
        </is>
      </c>
    </row>
    <row r="248">
      <c r="A248" s="28" t="inlineStr">
        <is>
          <t xml:space="preserve">        "the watchlist admits only state-keyed labor/coincident series "</t>
        </is>
      </c>
    </row>
    <row r="249">
      <c r="A249" s="28" t="inlineStr">
        <is>
          <t xml:space="preserve">        "(geo_segment matching state:XX, Class A public FRED).")</t>
        </is>
      </c>
    </row>
    <row r="250">
      <c r="A250" s="28" t="inlineStr"/>
    </row>
    <row r="251">
      <c r="A251" s="28" t="inlineStr"/>
    </row>
    <row r="252">
      <c r="A252" s="28" t="inlineStr">
        <is>
          <t>def gate_watchlist_row(spec: SeriesSpec) -&gt; List[str]:</t>
        </is>
      </c>
    </row>
    <row r="253">
      <c r="A253" s="28" t="inlineStr">
        <is>
          <t xml:space="preserve">    """Return the list of failed-gate reasons for a lane='watchlist' row.</t>
        </is>
      </c>
    </row>
    <row r="254">
      <c r="A254" s="28" t="inlineStr">
        <is>
          <t xml:space="preserve">    Empty list == passes all gates (a genuinely state-keyed Class A series)."""</t>
        </is>
      </c>
    </row>
    <row r="255">
      <c r="A255" s="28" t="inlineStr">
        <is>
          <t xml:space="preserve">    reasons = []</t>
        </is>
      </c>
    </row>
    <row r="256">
      <c r="A256" s="28" t="inlineStr">
        <is>
          <t xml:space="preserve">    if not spec.watchlist_capable:</t>
        </is>
      </c>
    </row>
    <row r="257">
      <c r="A257" s="28" t="inlineStr">
        <is>
          <t xml:space="preserve">        reasons.append("Gate1: watchlist_capable is not TRUE.")</t>
        </is>
      </c>
    </row>
    <row r="258">
      <c r="A258" s="28" t="inlineStr">
        <is>
          <t xml:space="preserve">    if spec.source_class != "A":</t>
        </is>
      </c>
    </row>
    <row r="259">
      <c r="A259" s="28" t="inlineStr">
        <is>
          <t xml:space="preserve">        reasons.append("Gate2: source_class is not A -- this template's only "</t>
        </is>
      </c>
    </row>
    <row r="260">
      <c r="A260" s="28" t="inlineStr">
        <is>
          <t xml:space="preserve">                       "admitted class is the public FRED adapter; any other "</t>
        </is>
      </c>
    </row>
    <row r="261">
      <c r="A261" s="28" t="inlineStr">
        <is>
          <t xml:space="preserve">                       "class (including a future Class C swap) requires its "</t>
        </is>
      </c>
    </row>
    <row r="262">
      <c r="A262" s="28" t="inlineStr">
        <is>
          <t xml:space="preserve">                       "own review before admission.")</t>
        </is>
      </c>
    </row>
    <row r="263">
      <c r="A263" s="28" t="inlineStr">
        <is>
          <t xml:space="preserve">    if not re.match(WATCHLIST_GEO_PATTERN, spec.geo_segment):</t>
        </is>
      </c>
    </row>
    <row r="264">
      <c r="A264" s="28" t="inlineStr">
        <is>
          <t xml:space="preserve">        reasons.append(f"Gate3: geo_segment '{spec.geo_segment}' does not match "</t>
        </is>
      </c>
    </row>
    <row r="265">
      <c r="A265" s="28" t="inlineStr">
        <is>
          <t xml:space="preserve">                       f"the join-key whitelist pattern {WATCHLIST_GEO_PATTERN} "</t>
        </is>
      </c>
    </row>
    <row r="266">
      <c r="A266" s="28" t="inlineStr">
        <is>
          <t xml:space="preserve">                       "(default-deny; MSA/county promotion is a spec change, "</t>
        </is>
      </c>
    </row>
    <row r="267">
      <c r="A267" s="28" t="inlineStr">
        <is>
          <t xml:space="preserve">                       "not a config edit).")</t>
        </is>
      </c>
    </row>
    <row r="268">
      <c r="A268" s="28" t="inlineStr">
        <is>
          <t xml:space="preserve">    return reasons</t>
        </is>
      </c>
    </row>
    <row r="269">
      <c r="A269" s="28" t="inlineStr"/>
    </row>
    <row r="270">
      <c r="A270" s="28" t="inlineStr"/>
    </row>
    <row r="271">
      <c r="A271" s="28" t="inlineStr">
        <is>
          <t>def evaluate_watchlist(series: Sequence[SeriesSpec]):</t>
        </is>
      </c>
    </row>
    <row r="272">
      <c r="A272" s="28" t="inlineStr">
        <is>
          <t xml:space="preserve">    """Apply the default-deny whitelist to every lane='watchlist' row.</t>
        </is>
      </c>
    </row>
    <row r="273">
      <c r="A273" s="28" t="inlineStr">
        <is>
          <t xml:space="preserve">    Returns (admitted, refusals) -- admitted rows pass ALL gates and ARE</t>
        </is>
      </c>
    </row>
    <row r="274">
      <c r="A274" s="28" t="inlineStr">
        <is>
          <t xml:space="preserve">    fetched/landed in Raw_FRED; refusals is a list of (spec, message) and</t>
        </is>
      </c>
    </row>
    <row r="275">
      <c r="A275" s="28" t="inlineStr">
        <is>
          <t xml:space="preserve">    those rows are never fetched."""</t>
        </is>
      </c>
    </row>
    <row r="276">
      <c r="A276" s="28" t="inlineStr">
        <is>
          <t xml:space="preserve">    admitted, refusals = [], []</t>
        </is>
      </c>
    </row>
    <row r="277">
      <c r="A277" s="28" t="inlineStr">
        <is>
          <t xml:space="preserve">    for s in series:</t>
        </is>
      </c>
    </row>
    <row r="278">
      <c r="A278" s="28" t="inlineStr">
        <is>
          <t xml:space="preserve">        if s.lane != "watchlist":</t>
        </is>
      </c>
    </row>
    <row r="279">
      <c r="A279" s="28" t="inlineStr">
        <is>
          <t xml:space="preserve">            continue</t>
        </is>
      </c>
    </row>
    <row r="280">
      <c r="A280" s="28" t="inlineStr">
        <is>
          <t xml:space="preserve">        reasons = gate_watchlist_row(s)</t>
        </is>
      </c>
    </row>
    <row r="281">
      <c r="A281" s="28" t="inlineStr">
        <is>
          <t xml:space="preserve">        if reasons:</t>
        </is>
      </c>
    </row>
    <row r="282">
      <c r="A282" s="28" t="inlineStr">
        <is>
          <t xml:space="preserve">            refusals.append((s, watchlist_refusal_message(s, reasons)))</t>
        </is>
      </c>
    </row>
    <row r="283">
      <c r="A283" s="28" t="inlineStr">
        <is>
          <t xml:space="preserve">        else:</t>
        </is>
      </c>
    </row>
    <row r="284">
      <c r="A284" s="28" t="inlineStr">
        <is>
          <t xml:space="preserve">            admitted.append(s)</t>
        </is>
      </c>
    </row>
    <row r="285">
      <c r="A285" s="28" t="inlineStr">
        <is>
          <t xml:space="preserve">    return admitted, refusals</t>
        </is>
      </c>
    </row>
    <row r="286">
      <c r="A286" s="28" t="inlineStr"/>
    </row>
    <row r="287">
      <c r="A287" s="28" t="inlineStr"/>
    </row>
    <row r="288">
      <c r="A288" s="28" t="inlineStr">
        <is>
          <t>def assert_no_national_in_watchlist(series: Sequence[SeriesSpec]) -&gt; None:</t>
        </is>
      </c>
    </row>
    <row r="289">
      <c r="A289" s="28" t="inlineStr">
        <is>
          <t xml:space="preserve">    """Build-time hard gate backing gates 1-3 (BUILD SPEC 0.1 / sec 3): any</t>
        </is>
      </c>
    </row>
    <row r="290">
      <c r="A290" s="28" t="inlineStr">
        <is>
          <t xml:space="preserve">    lane='watchlist' row that fails a gate refuses the BUILD, naming the</t>
        </is>
      </c>
    </row>
    <row r="291">
      <c r="A291" s="28" t="inlineStr">
        <is>
          <t xml:space="preserve">    series -- a national row cannot even be built into the lane."""</t>
        </is>
      </c>
    </row>
    <row r="292">
      <c r="A292" s="28" t="inlineStr">
        <is>
          <t xml:space="preserve">    for s in series:</t>
        </is>
      </c>
    </row>
    <row r="293">
      <c r="A293" s="28" t="inlineStr">
        <is>
          <t xml:space="preserve">        if s.lane == "watchlist":</t>
        </is>
      </c>
    </row>
    <row r="294">
      <c r="A294" s="28" t="inlineStr">
        <is>
          <t xml:space="preserve">            reasons = gate_watchlist_row(s)</t>
        </is>
      </c>
    </row>
    <row r="295">
      <c r="A295" s="28" t="inlineStr">
        <is>
          <t xml:space="preserve">            if reasons:</t>
        </is>
      </c>
    </row>
    <row r="296">
      <c r="A296" s="28" t="inlineStr">
        <is>
          <t xml:space="preserve">                raise WatchlistRefused(watchlist_refusal_message(s, reasons))</t>
        </is>
      </c>
    </row>
    <row r="297">
      <c r="A297" s="28" t="inlineStr"/>
    </row>
    <row r="298">
      <c r="A298" s="28" t="inlineStr"/>
    </row>
    <row r="299">
      <c r="A299" s="28" t="inlineStr">
        <is>
          <t># ---------------------------------------------------------------------------</t>
        </is>
      </c>
    </row>
    <row r="300">
      <c r="A300" s="28" t="inlineStr">
        <is>
          <t># TRANSFORM REGISTRY (pure, deterministic -- BUILD SPEC sec 3)</t>
        </is>
      </c>
    </row>
    <row r="301">
      <c r="A301" s="28" t="inlineStr">
        <is>
          <t># ---------------------------------------------------------------------------</t>
        </is>
      </c>
    </row>
    <row r="302">
      <c r="A302" s="28" t="inlineStr">
        <is>
          <t>def t_level(s: pd.Series, frequency: str) -&gt; pd.Series:</t>
        </is>
      </c>
    </row>
    <row r="303">
      <c r="A303" s="28" t="inlineStr">
        <is>
          <t xml:space="preserve">    return s.astype("float64")</t>
        </is>
      </c>
    </row>
    <row r="304">
      <c r="A304" s="28" t="inlineStr"/>
    </row>
    <row r="305">
      <c r="A305" s="28" t="inlineStr"/>
    </row>
    <row r="306">
      <c r="A306" s="28" t="inlineStr">
        <is>
          <t>def _pct_change_shift(s: pd.Series, periods: int) -&gt; pd.Series:</t>
        </is>
      </c>
    </row>
    <row r="307">
      <c r="A307" s="28" t="inlineStr">
        <is>
          <t xml:space="preserve">    """Shift-based percent change: NaN-propagating and identical across pandas</t>
        </is>
      </c>
    </row>
    <row r="308">
      <c r="A308" s="28" t="inlineStr">
        <is>
          <t xml:space="preserve">    versions (pct_change's fill_method default changed between 1.x/2.x/3.x)."""</t>
        </is>
      </c>
    </row>
    <row r="309">
      <c r="A309" s="28" t="inlineStr">
        <is>
          <t xml:space="preserve">    x = s.astype("float64")</t>
        </is>
      </c>
    </row>
    <row r="310">
      <c r="A310" s="28" t="inlineStr">
        <is>
          <t xml:space="preserve">    return (x / x.shift(periods) - 1.0) * 100.0</t>
        </is>
      </c>
    </row>
    <row r="311">
      <c r="A311" s="28" t="inlineStr"/>
    </row>
    <row r="312">
      <c r="A312" s="28" t="inlineStr"/>
    </row>
    <row r="313">
      <c r="A313" s="28" t="inlineStr">
        <is>
          <t>def t_yoy_pct(s: pd.Series, frequency: str) -&gt; pd.Series:</t>
        </is>
      </c>
    </row>
    <row r="314">
      <c r="A314" s="28" t="inlineStr">
        <is>
          <t xml:space="preserve">    return _pct_change_shift(s, periods_per_year(frequency))</t>
        </is>
      </c>
    </row>
    <row r="315">
      <c r="A315" s="28" t="inlineStr"/>
    </row>
    <row r="316">
      <c r="A316" s="28" t="inlineStr"/>
    </row>
    <row r="317">
      <c r="A317" s="28" t="inlineStr">
        <is>
          <t>def t_qoq_pct(s: pd.Series, frequency: str) -&gt; pd.Series:</t>
        </is>
      </c>
    </row>
    <row r="318">
      <c r="A318" s="28" t="inlineStr">
        <is>
          <t xml:space="preserve">    return _pct_change_shift(s, 1)</t>
        </is>
      </c>
    </row>
    <row r="319">
      <c r="A319" s="28" t="inlineStr"/>
    </row>
    <row r="320">
      <c r="A320" s="28" t="inlineStr"/>
    </row>
    <row r="321">
      <c r="A321" s="28" t="inlineStr">
        <is>
          <t>def t_mom_pct(s: pd.Series, frequency: str) -&gt; pd.Series:</t>
        </is>
      </c>
    </row>
    <row r="322">
      <c r="A322" s="28" t="inlineStr">
        <is>
          <t xml:space="preserve">    return _pct_change_shift(s, 1)</t>
        </is>
      </c>
    </row>
    <row r="323">
      <c r="A323" s="28" t="inlineStr"/>
    </row>
    <row r="324">
      <c r="A324" s="28" t="inlineStr"/>
    </row>
    <row r="325">
      <c r="A325" s="28" t="inlineStr">
        <is>
          <t>def t_zscore_8q(s: pd.Series, frequency: str) -&gt; pd.Series:</t>
        </is>
      </c>
    </row>
    <row r="326">
      <c r="A326" s="28" t="inlineStr">
        <is>
          <t xml:space="preserve">    x = s.astype("float64")</t>
        </is>
      </c>
    </row>
    <row r="327">
      <c r="A327" s="28" t="inlineStr">
        <is>
          <t xml:space="preserve">    mean = x.rolling(window=8, min_periods=8).mean()</t>
        </is>
      </c>
    </row>
    <row r="328">
      <c r="A328" s="28" t="inlineStr">
        <is>
          <t xml:space="preserve">    std = x.rolling(window=8, min_periods=8).std(ddof=1)</t>
        </is>
      </c>
    </row>
    <row r="329">
      <c r="A329" s="28" t="inlineStr">
        <is>
          <t xml:space="preserve">    return (x - mean) / std.replace(0.0, math.nan)</t>
        </is>
      </c>
    </row>
    <row r="330">
      <c r="A330" s="28" t="inlineStr"/>
    </row>
    <row r="331">
      <c r="A331" s="28" t="inlineStr"/>
    </row>
    <row r="332">
      <c r="A332" s="28" t="inlineStr">
        <is>
          <t>def t_index_to_pct(s: pd.Series, frequency: str) -&gt; pd.Series:</t>
        </is>
      </c>
    </row>
    <row r="333">
      <c r="A333" s="28" t="inlineStr">
        <is>
          <t xml:space="preserve">    """Percent relative to the series' base = its first valid observation</t>
        </is>
      </c>
    </row>
    <row r="334">
      <c r="A334" s="28" t="inlineStr">
        <is>
          <t xml:space="preserve">    (BUILD SPEC sec 3: base-relative -- the bureau fix carried; NOT a YoY</t>
        </is>
      </c>
    </row>
    <row r="335">
      <c r="A335" s="28" t="inlineStr">
        <is>
          <t xml:space="preserve">    alias)."""</t>
        </is>
      </c>
    </row>
    <row r="336">
      <c r="A336" s="28" t="inlineStr">
        <is>
          <t xml:space="preserve">    x = s.astype("float64")</t>
        </is>
      </c>
    </row>
    <row r="337">
      <c r="A337" s="28" t="inlineStr">
        <is>
          <t xml:space="preserve">    valid = x.dropna()</t>
        </is>
      </c>
    </row>
    <row r="338">
      <c r="A338" s="28" t="inlineStr">
        <is>
          <t xml:space="preserve">    if valid.empty or valid.iloc[0] == 0.0:</t>
        </is>
      </c>
    </row>
    <row r="339">
      <c r="A339" s="28" t="inlineStr">
        <is>
          <t xml:space="preserve">        return x * math.nan</t>
        </is>
      </c>
    </row>
    <row r="340">
      <c r="A340" s="28" t="inlineStr">
        <is>
          <t xml:space="preserve">    return (x / valid.iloc[0] - 1.0) * 100.0</t>
        </is>
      </c>
    </row>
    <row r="341">
      <c r="A341" s="28" t="inlineStr"/>
    </row>
    <row r="342">
      <c r="A342" s="28" t="inlineStr"/>
    </row>
    <row r="343">
      <c r="A343" s="28" t="inlineStr">
        <is>
          <t>def _ma(s: pd.Series, window: int) -&gt; pd.Series:</t>
        </is>
      </c>
    </row>
    <row r="344">
      <c r="A344" s="28" t="inlineStr">
        <is>
          <t xml:space="preserve">    return s.astype("float64").rolling(window=window, min_periods=window).mean()</t>
        </is>
      </c>
    </row>
    <row r="345">
      <c r="A345" s="28" t="inlineStr"/>
    </row>
    <row r="346">
      <c r="A346" s="28" t="inlineStr"/>
    </row>
    <row r="347">
      <c r="A347" s="28" t="inlineStr">
        <is>
          <t>def t_ma4(s: pd.Series, frequency: str) -&gt; pd.Series:</t>
        </is>
      </c>
    </row>
    <row r="348">
      <c r="A348" s="28" t="inlineStr">
        <is>
          <t xml:space="preserve">    """4-period moving average (weekly claims smoothing)."""</t>
        </is>
      </c>
    </row>
    <row r="349">
      <c r="A349" s="28" t="inlineStr">
        <is>
          <t xml:space="preserve">    return _ma(s, 4)</t>
        </is>
      </c>
    </row>
    <row r="350">
      <c r="A350" s="28" t="inlineStr"/>
    </row>
    <row r="351">
      <c r="A351" s="28" t="inlineStr"/>
    </row>
    <row r="352">
      <c r="A352" s="28" t="inlineStr">
        <is>
          <t>def _yoy_of_ma(s: pd.Series, frequency: str, window: int) -&gt; pd.Series:</t>
        </is>
      </c>
    </row>
    <row r="353">
      <c r="A353" s="28" t="inlineStr">
        <is>
          <t xml:space="preserve">    """Percent change of the window-period MA vs its value periods_per_year</t>
        </is>
      </c>
    </row>
    <row r="354">
      <c r="A354" s="28" t="inlineStr">
        <is>
          <t xml:space="preserve">    earlier (52 weekly / 12 monthly / 4 quarterly). NaN-propagating."""</t>
        </is>
      </c>
    </row>
    <row r="355">
      <c r="A355" s="28" t="inlineStr">
        <is>
          <t xml:space="preserve">    ma = _ma(s, window)</t>
        </is>
      </c>
    </row>
    <row r="356">
      <c r="A356" s="28" t="inlineStr">
        <is>
          <t xml:space="preserve">    return (ma / ma.shift(periods_per_year(frequency)) - 1.0) * 100.0</t>
        </is>
      </c>
    </row>
    <row r="357">
      <c r="A357" s="28" t="inlineStr"/>
    </row>
    <row r="358">
      <c r="A358" s="28" t="inlineStr"/>
    </row>
    <row r="359">
      <c r="A359" s="28" t="inlineStr">
        <is>
          <t>def t_yoy_ma4(s: pd.Series, frequency: str) -&gt; pd.Series:</t>
        </is>
      </c>
    </row>
    <row r="360">
      <c r="A360" s="28" t="inlineStr">
        <is>
          <t xml:space="preserve">    return _yoy_of_ma(s, frequency, 4)</t>
        </is>
      </c>
    </row>
    <row r="361">
      <c r="A361" s="28" t="inlineStr"/>
    </row>
    <row r="362">
      <c r="A362" s="28" t="inlineStr"/>
    </row>
    <row r="363">
      <c r="A363" s="28" t="inlineStr">
        <is>
          <t>def t_yoy_ma3(s: pd.Series, frequency: str) -&gt; pd.Series:</t>
        </is>
      </c>
    </row>
    <row r="364">
      <c r="A364" s="28" t="inlineStr">
        <is>
          <t xml:space="preserve">    return _yoy_of_ma(s, frequency, 3)</t>
        </is>
      </c>
    </row>
    <row r="365">
      <c r="A365" s="28" t="inlineStr"/>
    </row>
    <row r="366">
      <c r="A366" s="28" t="inlineStr"/>
    </row>
    <row r="367">
      <c r="A367" s="28" t="inlineStr">
        <is>
          <t>def t_chg_3p(s: pd.Series, frequency: str) -&gt; pd.Series:</t>
        </is>
      </c>
    </row>
    <row r="368">
      <c r="A368" s="28" t="inlineStr">
        <is>
          <t xml:space="preserve">    """Arithmetic change over 3 periods (PHCI 3-month change)."""</t>
        </is>
      </c>
    </row>
    <row r="369">
      <c r="A369" s="28" t="inlineStr">
        <is>
          <t xml:space="preserve">    x = s.astype("float64")</t>
        </is>
      </c>
    </row>
    <row r="370">
      <c r="A370" s="28" t="inlineStr">
        <is>
          <t xml:space="preserve">    return x - x.shift(3)</t>
        </is>
      </c>
    </row>
    <row r="371">
      <c r="A371" s="28" t="inlineStr"/>
    </row>
    <row r="372">
      <c r="A372" s="28" t="inlineStr"/>
    </row>
    <row r="373">
      <c r="A373" s="28" t="inlineStr">
        <is>
          <t>def t_sahm_gap(s: pd.Series, frequency: str) -&gt; pd.Series:</t>
        </is>
      </c>
    </row>
    <row r="374">
      <c r="A374" s="28" t="inlineStr">
        <is>
          <t xml:space="preserve">    """Sahm-STYLE state gap: mean(latest 3 observations) - min(the 12</t>
        </is>
      </c>
    </row>
    <row r="375">
      <c r="A375" s="28" t="inlineStr">
        <is>
          <t xml:space="preserve">    observations before those 3). Defined EXACTLY this way in BOTH Python and</t>
        </is>
      </c>
    </row>
    <row r="376">
      <c r="A376" s="28" t="inlineStr">
        <is>
          <t xml:space="preserve">    the Excel formula (AVERAGE(v0:v2) - MIN(v3:v14)) so workbook and digest</t>
        </is>
      </c>
    </row>
    <row r="377">
      <c r="A377" s="28" t="inlineStr">
        <is>
          <t xml:space="preserve">    can never disagree (spec sec 3; the canonical Sahm rule uses the min of</t>
        </is>
      </c>
    </row>
    <row r="378">
      <c r="A378" s="28" t="inlineStr">
        <is>
          <t xml:space="preserve">    the trailing 3m-MA -- this variant is chosen for exact Excel parity).</t>
        </is>
      </c>
    </row>
    <row r="379">
      <c r="A379" s="28" t="inlineStr">
        <is>
          <t xml:space="preserve">    At position i: mean(x[i-2:i+1]) - min(x[i-14:i-2]); NaN when history or</t>
        </is>
      </c>
    </row>
    <row r="380">
      <c r="A380" s="28" t="inlineStr">
        <is>
          <t xml:space="preserve">    any window member is missing."""</t>
        </is>
      </c>
    </row>
    <row r="381">
      <c r="A381" s="28" t="inlineStr">
        <is>
          <t xml:space="preserve">    x = s.astype("float64")</t>
        </is>
      </c>
    </row>
    <row r="382">
      <c r="A382" s="28" t="inlineStr">
        <is>
          <t xml:space="preserve">    m3 = x.rolling(window=3, min_periods=3).mean()</t>
        </is>
      </c>
    </row>
    <row r="383">
      <c r="A383" s="28" t="inlineStr">
        <is>
          <t xml:space="preserve">    min12 = x.shift(3).rolling(window=12, min_periods=12).min()</t>
        </is>
      </c>
    </row>
    <row r="384">
      <c r="A384" s="28" t="inlineStr">
        <is>
          <t xml:space="preserve">    return m3 - min12</t>
        </is>
      </c>
    </row>
    <row r="385">
      <c r="A385" s="28" t="inlineStr"/>
    </row>
    <row r="386">
      <c r="A386" s="28" t="inlineStr"/>
    </row>
    <row r="387">
      <c r="A387" s="28" t="inlineStr">
        <is>
          <t>TRANSFORMS = {</t>
        </is>
      </c>
    </row>
    <row r="388">
      <c r="A388" s="28" t="inlineStr">
        <is>
          <t xml:space="preserve">    "level": t_level, "yoy_pct": t_yoy_pct, "qoq_pct": t_qoq_pct,</t>
        </is>
      </c>
    </row>
    <row r="389">
      <c r="A389" s="28" t="inlineStr">
        <is>
          <t xml:space="preserve">    "mom_pct": t_mom_pct, "zscore_8q": t_zscore_8q, "index_to_pct": t_index_to_pct,</t>
        </is>
      </c>
    </row>
    <row r="390">
      <c r="A390" s="28" t="inlineStr">
        <is>
          <t xml:space="preserve">    "ma4": t_ma4, "yoy_ma4": t_yoy_ma4, "yoy_ma3": t_yoy_ma3,</t>
        </is>
      </c>
    </row>
    <row r="391">
      <c r="A391" s="28" t="inlineStr">
        <is>
          <t xml:space="preserve">    "chg_3p": t_chg_3p, "sahm_gap": t_sahm_gap,</t>
        </is>
      </c>
    </row>
    <row r="392">
      <c r="A392" s="28" t="inlineStr">
        <is>
          <t>}</t>
        </is>
      </c>
    </row>
    <row r="393">
      <c r="A393" s="28" t="inlineStr"/>
    </row>
    <row r="394">
      <c r="A394" s="28" t="inlineStr"/>
    </row>
    <row r="395">
      <c r="A395" s="28" t="inlineStr">
        <is>
          <t>class TransformError(Exception):</t>
        </is>
      </c>
    </row>
    <row r="396">
      <c r="A396" s="28" t="inlineStr">
        <is>
          <t xml:space="preserve">    pass</t>
        </is>
      </c>
    </row>
    <row r="397">
      <c r="A397" s="28" t="inlineStr"/>
    </row>
    <row r="398">
      <c r="A398" s="28" t="inlineStr"/>
    </row>
    <row r="399">
      <c r="A399" s="28" t="inlineStr">
        <is>
          <t>def validate_transforms(series: Sequence[SeriesSpec]) -&gt; None:</t>
        </is>
      </c>
    </row>
    <row r="400">
      <c r="A400" s="28" t="inlineStr">
        <is>
          <t xml:space="preserve">    for s in series:</t>
        </is>
      </c>
    </row>
    <row r="401">
      <c r="A401" s="28" t="inlineStr">
        <is>
          <t xml:space="preserve">        if s.transform not in TRANSFORMS:</t>
        </is>
      </c>
    </row>
    <row r="402">
      <c r="A402" s="28" t="inlineStr">
        <is>
          <t xml:space="preserve">            raise TransformError(f"Series '{s.id}' references unknown transform "</t>
        </is>
      </c>
    </row>
    <row r="403">
      <c r="A403" s="28" t="inlineStr">
        <is>
          <t xml:space="preserve">                                 f"'{s.transform}'.")</t>
        </is>
      </c>
    </row>
    <row r="404">
      <c r="A404" s="28" t="inlineStr"/>
    </row>
    <row r="405">
      <c r="A405" s="28" t="inlineStr"/>
    </row>
    <row r="406">
      <c r="A406" s="28" t="inlineStr">
        <is>
          <t>def apply_transform(spec: SeriesSpec, s: pd.Series) -&gt; pd.Series:</t>
        </is>
      </c>
    </row>
    <row r="407">
      <c r="A407" s="28" t="inlineStr">
        <is>
          <t xml:space="preserve">    return TRANSFORMS[spec.transform](s, spec.frequency)</t>
        </is>
      </c>
    </row>
    <row r="408">
      <c r="A408" s="28" t="inlineStr"/>
    </row>
    <row r="409">
      <c r="A409" s="28" t="inlineStr"/>
    </row>
    <row r="410">
      <c r="A410" s="28" t="inlineStr">
        <is>
          <t>def latest_valid(s: pd.Series):</t>
        </is>
      </c>
    </row>
    <row r="411">
      <c r="A411" s="28" t="inlineStr">
        <is>
          <t xml:space="preserve">    s = s.dropna()</t>
        </is>
      </c>
    </row>
    <row r="412">
      <c r="A412" s="28" t="inlineStr">
        <is>
          <t xml:space="preserve">    return None if s.empty else float(s.iloc[-1])</t>
        </is>
      </c>
    </row>
    <row r="413">
      <c r="A413" s="28" t="inlineStr"/>
    </row>
    <row r="414">
      <c r="A414" s="28" t="inlineStr"/>
    </row>
    <row r="415">
      <c r="A415" s="28" t="inlineStr">
        <is>
          <t># ---------------------------------------------------------------------------</t>
        </is>
      </c>
    </row>
    <row r="416">
      <c r="A416" s="28" t="inlineStr">
        <is>
          <t># THRESHOLD ENGINE -- config-driven OK/WATCH/ALERT (BUILD SPEC sec 3)</t>
        </is>
      </c>
    </row>
    <row r="417">
      <c r="A417" s="28" t="inlineStr">
        <is>
          <t># ---------------------------------------------------------------------------</t>
        </is>
      </c>
    </row>
    <row r="418">
      <c r="A418" s="28" t="inlineStr">
        <is>
          <t>def status_for(spec: SeriesSpec, value: Optional[float], thr: Optional[Threshold]) -&gt; str:</t>
        </is>
      </c>
    </row>
    <row r="419">
      <c r="A419" s="28" t="inlineStr">
        <is>
          <t xml:space="preserve">    if value is None or thr is None or (isinstance(value, float) and math.isnan(value)):</t>
        </is>
      </c>
    </row>
    <row r="420">
      <c r="A420" s="28" t="inlineStr">
        <is>
          <t xml:space="preserve">        return "OK"</t>
        </is>
      </c>
    </row>
    <row r="421">
      <c r="A421" s="28" t="inlineStr">
        <is>
          <t xml:space="preserve">    above = thr.direction != "below"</t>
        </is>
      </c>
    </row>
    <row r="422">
      <c r="A422" s="28" t="inlineStr">
        <is>
          <t xml:space="preserve">    def hit(bound):</t>
        </is>
      </c>
    </row>
    <row r="423">
      <c r="A423" s="28" t="inlineStr">
        <is>
          <t xml:space="preserve">        if bound is None:</t>
        </is>
      </c>
    </row>
    <row r="424">
      <c r="A424" s="28" t="inlineStr">
        <is>
          <t xml:space="preserve">            return False</t>
        </is>
      </c>
    </row>
    <row r="425">
      <c r="A425" s="28" t="inlineStr">
        <is>
          <t xml:space="preserve">        return value &gt;= bound if above else value &lt;= bound</t>
        </is>
      </c>
    </row>
    <row r="426">
      <c r="A426" s="28" t="inlineStr">
        <is>
          <t xml:space="preserve">    if hit(thr.alert):</t>
        </is>
      </c>
    </row>
    <row r="427">
      <c r="A427" s="28" t="inlineStr">
        <is>
          <t xml:space="preserve">        return "ALERT"</t>
        </is>
      </c>
    </row>
    <row r="428">
      <c r="A428" s="28" t="inlineStr">
        <is>
          <t xml:space="preserve">    if hit(thr.watch):</t>
        </is>
      </c>
    </row>
    <row r="429">
      <c r="A429" s="28" t="inlineStr">
        <is>
          <t xml:space="preserve">        return "WATCH"</t>
        </is>
      </c>
    </row>
    <row r="430">
      <c r="A430" s="28" t="inlineStr">
        <is>
          <t xml:space="preserve">    return "OK"</t>
        </is>
      </c>
    </row>
    <row r="431">
      <c r="A431" s="28" t="inlineStr"/>
    </row>
    <row r="432">
      <c r="A432" s="28" t="inlineStr"/>
    </row>
    <row r="433">
      <c r="A433" s="28" t="inlineStr">
        <is>
          <t>def watchlist_status(spec: SeriesSpec, value: Optional[float], band: float) -&gt; str:</t>
        </is>
      </c>
    </row>
    <row r="434">
      <c r="A434" s="28" t="inlineStr">
        <is>
          <t xml:space="preserve">    """State-watchlist alerting off the single sahm_state_band setting (spec</t>
        </is>
      </c>
    </row>
    <row r="435">
      <c r="A435" s="28" t="inlineStr">
        <is>
          <t xml:space="preserve">    sec 3): the UR sahm_gap trips ALERT at &gt;= band and WATCH at &gt;= 0.6 x band</t>
        </is>
      </c>
    </row>
    <row r="436">
      <c r="A436" s="28" t="inlineStr">
        <is>
          <t xml:space="preserve">    -- identical to the Watchlist tab's formula off the sahm_state_band</t>
        </is>
      </c>
    </row>
    <row r="437">
      <c r="A437" s="28" t="inlineStr">
        <is>
          <t xml:space="preserve">    defined name. Non-sahm_gap watchlist rows (claims/coincident) render as</t>
        </is>
      </c>
    </row>
    <row r="438">
      <c r="A438" s="28" t="inlineStr">
        <is>
          <t xml:space="preserve">    context and stay OK here."""</t>
        </is>
      </c>
    </row>
    <row r="439">
      <c r="A439" s="28" t="inlineStr">
        <is>
          <t xml:space="preserve">    if value is None or (isinstance(value, float) and math.isnan(value)):</t>
        </is>
      </c>
    </row>
    <row r="440">
      <c r="A440" s="28" t="inlineStr">
        <is>
          <t xml:space="preserve">        return "OK"</t>
        </is>
      </c>
    </row>
    <row r="441">
      <c r="A441" s="28" t="inlineStr">
        <is>
          <t xml:space="preserve">    if spec.transform != "sahm_gap":</t>
        </is>
      </c>
    </row>
    <row r="442">
      <c r="A442" s="28" t="inlineStr">
        <is>
          <t xml:space="preserve">        return "OK"</t>
        </is>
      </c>
    </row>
    <row r="443">
      <c r="A443" s="28" t="inlineStr">
        <is>
          <t xml:space="preserve">    if value &gt;= band:</t>
        </is>
      </c>
    </row>
    <row r="444">
      <c r="A444" s="28" t="inlineStr">
        <is>
          <t xml:space="preserve">        return "ALERT"</t>
        </is>
      </c>
    </row>
    <row r="445">
      <c r="A445" s="28" t="inlineStr">
        <is>
          <t xml:space="preserve">    if value &gt;= band * 0.6:</t>
        </is>
      </c>
    </row>
    <row r="446">
      <c r="A446" s="28" t="inlineStr">
        <is>
          <t xml:space="preserve">        return "WATCH"</t>
        </is>
      </c>
    </row>
    <row r="447">
      <c r="A447" s="28" t="inlineStr">
        <is>
          <t xml:space="preserve">    return "OK"</t>
        </is>
      </c>
    </row>
    <row r="448">
      <c r="A448" s="28" t="inlineStr"/>
    </row>
    <row r="449">
      <c r="A449" s="28" t="inlineStr"/>
    </row>
    <row r="450">
      <c r="A450" s="28" t="inlineStr">
        <is>
          <t># ---------------------------------------------------------------------------</t>
        </is>
      </c>
    </row>
    <row r="451">
      <c r="A451" s="28" t="inlineStr">
        <is>
          <t># STALENESS GUARD (BUILD SPEC 0.6 -- the SLIND lesson)</t>
        </is>
      </c>
    </row>
    <row r="452">
      <c r="A452" s="28" t="inlineStr">
        <is>
          <t># ---------------------------------------------------------------------------</t>
        </is>
      </c>
    </row>
    <row r="453">
      <c r="A453" s="28" t="inlineStr">
        <is>
          <t>def is_stale(spec: SeriesSpec, last_period: Optional[str], asof: date,</t>
        </is>
      </c>
    </row>
    <row r="454">
      <c r="A454" s="28" t="inlineStr">
        <is>
          <t xml:space="preserve">             stale_multiplier: float) -&gt; bool:</t>
        </is>
      </c>
    </row>
    <row r="455">
      <c r="A455" s="28" t="inlineStr">
        <is>
          <t xml:space="preserve">    """Fetch success is NOT data currency: the frozen Philly Fed SLIND family</t>
        </is>
      </c>
    </row>
    <row r="456">
      <c r="A456" s="28" t="inlineStr">
        <is>
          <t xml:space="preserve">    still returns data ending Feb 2020 without erroring. A series is STALE</t>
        </is>
      </c>
    </row>
    <row r="457">
      <c r="A457" s="28" t="inlineStr">
        <is>
          <t xml:space="preserve">    when its newest real observation is older than stale_multiplier x its</t>
        </is>
      </c>
    </row>
    <row r="458">
      <c r="A458" s="28" t="inlineStr">
        <is>
          <t xml:space="preserve">    cadence (generous per-period day counts in CADENCE_DAYS)."""</t>
        </is>
      </c>
    </row>
    <row r="459">
      <c r="A459" s="28" t="inlineStr">
        <is>
          <t xml:space="preserve">    if last_period is None:</t>
        </is>
      </c>
    </row>
    <row r="460">
      <c r="A460" s="28" t="inlineStr">
        <is>
          <t xml:space="preserve">        return True                     # fetched but valueless == frozen/empty</t>
        </is>
      </c>
    </row>
    <row r="461">
      <c r="A461" s="28" t="inlineStr">
        <is>
          <t xml:space="preserve">    try:</t>
        </is>
      </c>
    </row>
    <row r="462">
      <c r="A462" s="28" t="inlineStr">
        <is>
          <t xml:space="preserve">        last = date.fromisoformat(str(last_period)[:10])</t>
        </is>
      </c>
    </row>
    <row r="463">
      <c r="A463" s="28" t="inlineStr">
        <is>
          <t xml:space="preserve">    except ValueError:</t>
        </is>
      </c>
    </row>
    <row r="464">
      <c r="A464" s="28" t="inlineStr">
        <is>
          <t xml:space="preserve">        return True</t>
        </is>
      </c>
    </row>
    <row r="465">
      <c r="A465" s="28" t="inlineStr">
        <is>
          <t xml:space="preserve">    cadence = CADENCE_DAYS[_freq(spec.frequency)]</t>
        </is>
      </c>
    </row>
    <row r="466">
      <c r="A466" s="28" t="inlineStr">
        <is>
          <t xml:space="preserve">    return (asof - last).days &gt; stale_multiplier * cadence</t>
        </is>
      </c>
    </row>
    <row r="467">
      <c r="A467" s="28" t="inlineStr"/>
    </row>
    <row r="468">
      <c r="A468" s="28" t="inlineStr"/>
    </row>
    <row r="469">
      <c r="A469" s="28" t="inlineStr">
        <is>
          <t># ---------------------------------------------------------------------------</t>
        </is>
      </c>
    </row>
    <row r="470">
      <c r="A470" s="28" t="inlineStr">
        <is>
          <t># THE ADAPTER SEAM (BUILD SPEC sec 1a) -- the only provider-specific code</t>
        </is>
      </c>
    </row>
    <row r="471">
      <c r="A471" s="28" t="inlineStr">
        <is>
          <t># ---------------------------------------------------------------------------</t>
        </is>
      </c>
    </row>
    <row r="472">
      <c r="A472" s="28" t="inlineStr">
        <is>
          <t>@dataclass</t>
        </is>
      </c>
    </row>
    <row r="473">
      <c r="A473" s="28" t="inlineStr">
        <is>
          <t>class NormalizedRow:</t>
        </is>
      </c>
    </row>
    <row r="474">
      <c r="A474" s="28" t="inlineStr">
        <is>
          <t xml:space="preserve">    id: str</t>
        </is>
      </c>
    </row>
    <row r="475">
      <c r="A475" s="28" t="inlineStr">
        <is>
          <t xml:space="preserve">    period: str            # ISO date string (period end)</t>
        </is>
      </c>
    </row>
    <row r="476">
      <c r="A476" s="28" t="inlineStr">
        <is>
          <t xml:space="preserve">    value: Optional[float]</t>
        </is>
      </c>
    </row>
    <row r="477">
      <c r="A477" s="28" t="inlineStr">
        <is>
          <t xml:space="preserve">    geo_segment: str</t>
        </is>
      </c>
    </row>
    <row r="478">
      <c r="A478" s="28" t="inlineStr">
        <is>
          <t xml:space="preserve">    source_class: str</t>
        </is>
      </c>
    </row>
    <row r="479">
      <c r="A479" s="28" t="inlineStr">
        <is>
          <t xml:space="preserve">    units: str = ""</t>
        </is>
      </c>
    </row>
    <row r="480">
      <c r="A480" s="28" t="inlineStr"/>
    </row>
    <row r="481">
      <c r="A481" s="28" t="inlineStr"/>
    </row>
    <row r="482">
      <c r="A482" s="28" t="inlineStr">
        <is>
          <t>def last_observation_period(rows: List[NormalizedRow]) -&gt; Optional[str]:</t>
        </is>
      </c>
    </row>
    <row r="483">
      <c r="A483" s="28" t="inlineStr">
        <is>
          <t xml:space="preserve">    """Newest period with a real value, derived from already-fetched data --</t>
        </is>
      </c>
    </row>
    <row r="484">
      <c r="A484" s="28" t="inlineStr">
        <is>
          <t xml:space="preserve">    no extra call (L5). Used by the digest (per-series as-of + staleness)."""</t>
        </is>
      </c>
    </row>
    <row r="485">
      <c r="A485" s="28" t="inlineStr">
        <is>
          <t xml:space="preserve">    ps = [r.period for r in rows if r.value is not None]</t>
        </is>
      </c>
    </row>
    <row r="486">
      <c r="A486" s="28" t="inlineStr">
        <is>
          <t xml:space="preserve">    return max(ps) if ps else None</t>
        </is>
      </c>
    </row>
    <row r="487">
      <c r="A487" s="28" t="inlineStr"/>
    </row>
    <row r="488">
      <c r="A488" s="28" t="inlineStr"/>
    </row>
    <row r="489">
      <c r="A489" s="28" t="inlineStr">
        <is>
          <t>class Provider:</t>
        </is>
      </c>
    </row>
    <row r="490">
      <c r="A490" s="28" t="inlineStr">
        <is>
          <t xml:space="preserve">    """Adapter interface contract: fetch_series(spec, secret) -&gt; [NormalizedRow]."""</t>
        </is>
      </c>
    </row>
    <row r="491">
      <c r="A491" s="28" t="inlineStr"/>
    </row>
    <row r="492">
      <c r="A492" s="28" t="inlineStr">
        <is>
          <t xml:space="preserve">    source_class = "A"</t>
        </is>
      </c>
    </row>
    <row r="493">
      <c r="A493" s="28" t="inlineStr"/>
    </row>
    <row r="494">
      <c r="A494" s="28" t="inlineStr">
        <is>
          <t xml:space="preserve">    def fetch_series(self, spec: SeriesSpec, secret=None) -&gt; List[NormalizedRow]:  # pragma: no cover</t>
        </is>
      </c>
    </row>
    <row r="495">
      <c r="A495" s="28" t="inlineStr">
        <is>
          <t xml:space="preserve">        raise NotImplementedError</t>
        </is>
      </c>
    </row>
    <row r="496">
      <c r="A496" s="28" t="inlineStr"/>
    </row>
    <row r="497">
      <c r="A497" s="28" t="inlineStr">
        <is>
          <t xml:space="preserve">    def last_observation_period(self, rows: List[NormalizedRow]) -&gt; Optional[str]:</t>
        </is>
      </c>
    </row>
    <row r="498">
      <c r="A498" s="28" t="inlineStr">
        <is>
          <t xml:space="preserve">        return last_observation_period(rows)</t>
        </is>
      </c>
    </row>
    <row r="499">
      <c r="A499" s="28" t="inlineStr"/>
    </row>
    <row r="500">
      <c r="A500" s="28" t="inlineStr"/>
    </row>
    <row r="501">
      <c r="A501" s="28" t="inlineStr">
        <is>
          <t>class FredDemoProvider(Provider):</t>
        </is>
      </c>
    </row>
    <row r="502">
      <c r="A502" s="28" t="inlineStr">
        <is>
          <t xml:space="preserve">    """Deterministic offline stand-in (BUILD SPEC 0.7 / Phase 2). Seeded</t>
        </is>
      </c>
    </row>
    <row r="503">
      <c r="A503" s="28" t="inlineStr">
        <is>
          <t xml:space="preserve">    pseudo-walk per id, fixed asof, NO network, NO key -- used by ALL tests.</t>
        </is>
      </c>
    </row>
    <row r="504">
      <c r="A504" s="28" t="inlineStr">
        <is>
          <t xml:space="preserve">    Never stale at its own asof: every series ends at the current period."""</t>
        </is>
      </c>
    </row>
    <row r="505">
      <c r="A505" s="28" t="inlineStr"/>
    </row>
    <row r="506">
      <c r="A506" s="28" t="inlineStr">
        <is>
          <t xml:space="preserve">    source_class = "A"</t>
        </is>
      </c>
    </row>
    <row r="507">
      <c r="A507" s="28" t="inlineStr"/>
    </row>
    <row r="508">
      <c r="A508" s="28" t="inlineStr">
        <is>
          <t xml:space="preserve">    def __init__(self, asof: Optional[date] = None, slots: int = RAW_SLOTS_DEFAULT):</t>
        </is>
      </c>
    </row>
    <row r="509">
      <c r="A509" s="28" t="inlineStr">
        <is>
          <t xml:space="preserve">        self.asof = asof or date(2026, 3, 31)</t>
        </is>
      </c>
    </row>
    <row r="510">
      <c r="A510" s="28" t="inlineStr">
        <is>
          <t xml:space="preserve">        self.slots = slots</t>
        </is>
      </c>
    </row>
    <row r="511">
      <c r="A511" s="28" t="inlineStr"/>
    </row>
    <row r="512">
      <c r="A512" s="28" t="inlineStr">
        <is>
          <t xml:space="preserve">    def _seed(self, sid: str) -&gt; int:</t>
        </is>
      </c>
    </row>
    <row r="513">
      <c r="A513" s="28" t="inlineStr">
        <is>
          <t xml:space="preserve">        return sum((i + 1) * ord(c) for i, c in enumerate(sid)) % 997</t>
        </is>
      </c>
    </row>
    <row r="514">
      <c r="A514" s="28" t="inlineStr"/>
    </row>
    <row r="515">
      <c r="A515" s="28" t="inlineStr">
        <is>
          <t xml:space="preserve">    def _base(self, spec: SeriesSpec, seed: int) -&gt; float:</t>
        </is>
      </c>
    </row>
    <row r="516">
      <c r="A516" s="28" t="inlineStr">
        <is>
          <t xml:space="preserve">        mt = spec.metric_type</t>
        </is>
      </c>
    </row>
    <row r="517">
      <c r="A517" s="28" t="inlineStr">
        <is>
          <t xml:space="preserve">        if mt == "unemp_rate":</t>
        </is>
      </c>
    </row>
    <row r="518">
      <c r="A518" s="28" t="inlineStr">
        <is>
          <t xml:space="preserve">            return 3.0 + (seed % 35) / 10.0             # ~3.0-6.5 %</t>
        </is>
      </c>
    </row>
    <row r="519">
      <c r="A519" s="28" t="inlineStr">
        <is>
          <t xml:space="preserve">        if mt == "sahm":</t>
        </is>
      </c>
    </row>
    <row r="520">
      <c r="A520" s="28" t="inlineStr">
        <is>
          <t xml:space="preserve">            return 0.05 + (seed % 30) / 100.0           # ~0.05-0.35 pp</t>
        </is>
      </c>
    </row>
    <row r="521">
      <c r="A521" s="28" t="inlineStr">
        <is>
          <t xml:space="preserve">        if mt == "claims":</t>
        </is>
      </c>
    </row>
    <row r="522">
      <c r="A522" s="28" t="inlineStr">
        <is>
          <t xml:space="preserve">            return 8.0 + (seed % 300)                   # thousands / count</t>
        </is>
      </c>
    </row>
    <row r="523">
      <c r="A523" s="28" t="inlineStr">
        <is>
          <t xml:space="preserve">        if mt == "coincident":</t>
        </is>
      </c>
    </row>
    <row r="524">
      <c r="A524" s="28" t="inlineStr">
        <is>
          <t xml:space="preserve">            return 100.0 + (seed % 300)                 # index level</t>
        </is>
      </c>
    </row>
    <row r="525">
      <c r="A525" s="28" t="inlineStr">
        <is>
          <t xml:space="preserve">        if mt == "curve_spread":</t>
        </is>
      </c>
    </row>
    <row r="526">
      <c r="A526" s="28" t="inlineStr">
        <is>
          <t xml:space="preserve">            return 0.2 + (seed % 15) / 10.0             # ~0.2-1.7 pp</t>
        </is>
      </c>
    </row>
    <row r="527">
      <c r="A527" s="28" t="inlineStr">
        <is>
          <t xml:space="preserve">        if mt == "oas":</t>
        </is>
      </c>
    </row>
    <row r="528">
      <c r="A528" s="28" t="inlineStr">
        <is>
          <t xml:space="preserve">            return 3.0 + (seed % 30) / 10.0             # ~3-6 %</t>
        </is>
      </c>
    </row>
    <row r="529">
      <c r="A529" s="28" t="inlineStr">
        <is>
          <t xml:space="preserve">        if mt == "fin_conditions":</t>
        </is>
      </c>
    </row>
    <row r="530">
      <c r="A530" s="28" t="inlineStr">
        <is>
          <t xml:space="preserve">            return 0.1 + (seed % 8) / 10.0              # index around 0</t>
        </is>
      </c>
    </row>
    <row r="531">
      <c r="A531" s="28" t="inlineStr">
        <is>
          <t xml:space="preserve">        if mt == "sloos":</t>
        </is>
      </c>
    </row>
    <row r="532">
      <c r="A532" s="28" t="inlineStr">
        <is>
          <t xml:space="preserve">            return 5.0 + (seed % 30)                    # net pct tightening</t>
        </is>
      </c>
    </row>
    <row r="533">
      <c r="A533" s="28" t="inlineStr">
        <is>
          <t xml:space="preserve">        if mt == "housing":</t>
        </is>
      </c>
    </row>
    <row r="534">
      <c r="A534" s="28" t="inlineStr">
        <is>
          <t xml:space="preserve">            return 1200.0 + (seed % 400)                # thousands SAAR</t>
        </is>
      </c>
    </row>
    <row r="535">
      <c r="A535" s="28" t="inlineStr">
        <is>
          <t xml:space="preserve">        if mt == "sentiment":</t>
        </is>
      </c>
    </row>
    <row r="536">
      <c r="A536" s="28" t="inlineStr">
        <is>
          <t xml:space="preserve">            return 60.0 + (seed % 40)                   # index</t>
        </is>
      </c>
    </row>
    <row r="537">
      <c r="A537" s="28" t="inlineStr">
        <is>
          <t xml:space="preserve">        if mt == "recession_prob":</t>
        </is>
      </c>
    </row>
    <row r="538">
      <c r="A538" s="28" t="inlineStr">
        <is>
          <t xml:space="preserve">            return 2.0 + (seed % 30)                    # pct</t>
        </is>
      </c>
    </row>
    <row r="539">
      <c r="A539" s="28" t="inlineStr">
        <is>
          <t xml:space="preserve">        if mt == "hours":</t>
        </is>
      </c>
    </row>
    <row r="540">
      <c r="A540" s="28" t="inlineStr">
        <is>
          <t xml:space="preserve">            return 40.0 + (seed % 20) / 10.0</t>
        </is>
      </c>
    </row>
    <row r="541">
      <c r="A541" s="28" t="inlineStr">
        <is>
          <t xml:space="preserve">        return 100.0 + (seed % 800)</t>
        </is>
      </c>
    </row>
    <row r="542">
      <c r="A542" s="28" t="inlineStr"/>
    </row>
    <row r="543">
      <c r="A543" s="28" t="inlineStr">
        <is>
          <t xml:space="preserve">    def _periods(self, spec: SeriesSpec, n: int):</t>
        </is>
      </c>
    </row>
    <row r="544">
      <c r="A544" s="28" t="inlineStr">
        <is>
          <t xml:space="preserve">        pcode = {"quarterly": "Q", "annual": "Y", "monthly": "M",</t>
        </is>
      </c>
    </row>
    <row r="545">
      <c r="A545" s="28" t="inlineStr">
        <is>
          <t xml:space="preserve">                 "weekly": "W", "daily": "D"}[_freq(spec.frequency)]</t>
        </is>
      </c>
    </row>
    <row r="546">
      <c r="A546" s="28" t="inlineStr">
        <is>
          <t xml:space="preserve">        idx = pd.period_range(end=pd.Period(self.asof, freq=pcode), periods=n,</t>
        </is>
      </c>
    </row>
    <row r="547">
      <c r="A547" s="28" t="inlineStr">
        <is>
          <t xml:space="preserve">                              freq=pcode)</t>
        </is>
      </c>
    </row>
    <row r="548">
      <c r="A548" s="28" t="inlineStr">
        <is>
          <t xml:space="preserve">        return idx.to_timestamp(how="end").normalize()</t>
        </is>
      </c>
    </row>
    <row r="549">
      <c r="A549" s="28" t="inlineStr"/>
    </row>
    <row r="550">
      <c r="A550" s="28" t="inlineStr">
        <is>
          <t xml:space="preserve">    def fetch_series(self, spec: SeriesSpec, secret=None) -&gt; List[NormalizedRow]:</t>
        </is>
      </c>
    </row>
    <row r="551">
      <c r="A551" s="28" t="inlineStr">
        <is>
          <t xml:space="preserve">        seed = self._seed(spec.id)</t>
        </is>
      </c>
    </row>
    <row r="552">
      <c r="A552" s="28" t="inlineStr">
        <is>
          <t xml:space="preserve">        n = self.slots</t>
        </is>
      </c>
    </row>
    <row r="553">
      <c r="A553" s="28" t="inlineStr">
        <is>
          <t xml:space="preserve">        idx = self._periods(spec, n)</t>
        </is>
      </c>
    </row>
    <row r="554">
      <c r="A554" s="28" t="inlineStr">
        <is>
          <t xml:space="preserve">        rows = []</t>
        </is>
      </c>
    </row>
    <row r="555">
      <c r="A555" s="28" t="inlineStr">
        <is>
          <t xml:space="preserve">        if spec.metric_type == "unemp_rate":</t>
        </is>
      </c>
    </row>
    <row r="556">
      <c r="A556" s="28" t="inlineStr">
        <is>
          <t xml:space="preserve">            # Additive path so sahm_gap produces a SPREAD of state values:</t>
        </is>
      </c>
    </row>
    <row r="557">
      <c r="A557" s="28" t="inlineStr">
        <is>
          <t xml:space="preserve">            # seed-dependent drift over the last 8 observations lifts</t>
        </is>
      </c>
    </row>
    <row r="558">
      <c r="A558" s="28" t="inlineStr">
        <is>
          <t xml:space="preserve">            # mean(latest 3) above the trailing 12-obs min by ~7 x drift, so a</t>
        </is>
      </c>
    </row>
    <row r="559">
      <c r="A559" s="28" t="inlineStr">
        <is>
          <t xml:space="preserve">            # handful of states trip the 0.5 band, more trip 0.3 (illustrative</t>
        </is>
      </c>
    </row>
    <row r="560">
      <c r="A560" s="28" t="inlineStr">
        <is>
          <t xml:space="preserve">            # demo -- the email-sim's ranked state section has color).</t>
        </is>
      </c>
    </row>
    <row r="561">
      <c r="A561" s="28" t="inlineStr">
        <is>
          <t xml:space="preserve">            base = self._base(spec, seed)</t>
        </is>
      </c>
    </row>
    <row r="562">
      <c r="A562" s="28" t="inlineStr">
        <is>
          <t xml:space="preserve">            # per-step recent drift: nonzero for ~1 in 4 seeds, sized so a</t>
        </is>
      </c>
    </row>
    <row r="563">
      <c r="A563" s="28" t="inlineStr">
        <is>
          <t xml:space="preserve">            # handful of states clear 0.5 and a few more clear 0.3</t>
        </is>
      </c>
    </row>
    <row r="564">
      <c r="A564" s="28" t="inlineStr">
        <is>
          <t xml:space="preserve">            d = (seed % 11 - 7) * 0.03 if seed % 11 &gt;= 8 else 0.0</t>
        </is>
      </c>
    </row>
    <row r="565">
      <c r="A565" s="28" t="inlineStr">
        <is>
          <t xml:space="preserve">            for i in range(n):</t>
        </is>
      </c>
    </row>
    <row r="566">
      <c r="A566" s="28" t="inlineStr">
        <is>
          <t xml:space="preserve">                wob = math.sin((i + seed) / 4.0) * 0.15</t>
        </is>
      </c>
    </row>
    <row r="567">
      <c r="A567" s="28" t="inlineStr">
        <is>
          <t xml:space="preserve">                drift = max(0, i - (n - 9)) * d</t>
        </is>
      </c>
    </row>
    <row r="568">
      <c r="A568" s="28" t="inlineStr">
        <is>
          <t xml:space="preserve">                rows.append(NormalizedRow(</t>
        </is>
      </c>
    </row>
    <row r="569">
      <c r="A569" s="28" t="inlineStr">
        <is>
          <t xml:space="preserve">                    id=spec.id, period=idx[i].date().isoformat(),</t>
        </is>
      </c>
    </row>
    <row r="570">
      <c r="A570" s="28" t="inlineStr">
        <is>
          <t xml:space="preserve">                    value=round(base + wob + drift, 4),</t>
        </is>
      </c>
    </row>
    <row r="571">
      <c r="A571" s="28" t="inlineStr">
        <is>
          <t xml:space="preserve">                    geo_segment=spec.geo_segment,</t>
        </is>
      </c>
    </row>
    <row r="572">
      <c r="A572" s="28" t="inlineStr">
        <is>
          <t xml:space="preserve">                    source_class=spec.source_class, units=spec.units))</t>
        </is>
      </c>
    </row>
    <row r="573">
      <c r="A573" s="28" t="inlineStr">
        <is>
          <t xml:space="preserve">        else:</t>
        </is>
      </c>
    </row>
    <row r="574">
      <c r="A574" s="28" t="inlineStr">
        <is>
          <t xml:space="preserve">            v = self._base(spec, seed)</t>
        </is>
      </c>
    </row>
    <row r="575">
      <c r="A575" s="28" t="inlineStr">
        <is>
          <t xml:space="preserve">            for i in range(n):</t>
        </is>
      </c>
    </row>
    <row r="576">
      <c r="A576" s="28" t="inlineStr">
        <is>
          <t xml:space="preserve">                wobble = math.sin((i + seed) / 5.0) * 0.04</t>
        </is>
      </c>
    </row>
    <row r="577">
      <c r="A577" s="28" t="inlineStr">
        <is>
          <t xml:space="preserve">                drift = 0.015 if i &gt; n - 8 else 0.0      # gentle recent rise -&gt; trips some thresholds</t>
        </is>
      </c>
    </row>
    <row r="578">
      <c r="A578" s="28" t="inlineStr">
        <is>
          <t xml:space="preserve">                v = max(0.05, v * (1.0 + wobble + drift))</t>
        </is>
      </c>
    </row>
    <row r="579">
      <c r="A579" s="28" t="inlineStr">
        <is>
          <t xml:space="preserve">                rows.append(NormalizedRow(</t>
        </is>
      </c>
    </row>
    <row r="580">
      <c r="A580" s="28" t="inlineStr">
        <is>
          <t xml:space="preserve">                    id=spec.id, period=idx[i].date().isoformat(),</t>
        </is>
      </c>
    </row>
    <row r="581">
      <c r="A581" s="28" t="inlineStr">
        <is>
          <t xml:space="preserve">                    value=round(v, 4), geo_segment=spec.geo_segment,</t>
        </is>
      </c>
    </row>
    <row r="582">
      <c r="A582" s="28" t="inlineStr">
        <is>
          <t xml:space="preserve">                    source_class=spec.source_class, units=spec.units))</t>
        </is>
      </c>
    </row>
    <row r="583">
      <c r="A583" s="28" t="inlineStr">
        <is>
          <t xml:space="preserve">        # exercise the missing-value path deterministically -- at an interior</t>
        </is>
      </c>
    </row>
    <row r="584">
      <c r="A584" s="28" t="inlineStr">
        <is>
          <t xml:space="preserve">        # slot OUTSIDE every headline-formula window (newest offsets 0..14 for</t>
        </is>
      </c>
    </row>
    <row r="585">
      <c r="A585" s="28" t="inlineStr">
        <is>
          <t xml:space="preserve">        # sahm_gap, 52..55 for weekly yoy_ma4), so the Excel formulas (which</t>
        </is>
      </c>
    </row>
    <row r="586">
      <c r="A586" s="28" t="inlineStr">
        <is>
          <t xml:space="preserve">        # skip blanks) and the NaN-propagating Python transforms agree on the</t>
        </is>
      </c>
    </row>
    <row r="587">
      <c r="A587" s="28" t="inlineStr">
        <is>
          <t xml:space="preserve">        # headline value (the bureau parity lesson).</t>
        </is>
      </c>
    </row>
    <row r="588">
      <c r="A588" s="28" t="inlineStr">
        <is>
          <t xml:space="preserve">        k = min(n - 1, 20 + seed % 20)</t>
        </is>
      </c>
    </row>
    <row r="589">
      <c r="A589" s="28" t="inlineStr">
        <is>
          <t xml:space="preserve">        rows[k] = NormalizedRow(spec.id, rows[k].period, None,</t>
        </is>
      </c>
    </row>
    <row r="590">
      <c r="A590" s="28" t="inlineStr">
        <is>
          <t xml:space="preserve">                                spec.geo_segment, spec.source_class, spec.units)</t>
        </is>
      </c>
    </row>
    <row r="591">
      <c r="A591" s="28" t="inlineStr">
        <is>
          <t xml:space="preserve">        return rows</t>
        </is>
      </c>
    </row>
    <row r="592">
      <c r="A592" s="28" t="inlineStr"/>
    </row>
    <row r="593">
      <c r="A593" s="28" t="inlineStr"/>
    </row>
    <row r="594">
      <c r="A594" s="28" t="inlineStr">
        <is>
          <t>class FredProvider(Provider):</t>
        </is>
      </c>
    </row>
    <row r="595">
      <c r="A595" s="28" t="inlineStr">
        <is>
          <t xml:space="preserve">    """Live Class A provider: plain urllib REST against api.stlouisfed.org</t>
        </is>
      </c>
    </row>
    <row r="596">
      <c r="A596" s="28" t="inlineStr">
        <is>
          <t xml:space="preserve">    (BUILD SPEC 0.3 -- no fredapi dependency; requirements stay</t>
        </is>
      </c>
    </row>
    <row r="597">
      <c r="A597" s="28" t="inlineStr">
        <is>
          <t xml:space="preserve">    pandas+openpyxl). Throttled to min_interval seconds/request (documented</t>
        </is>
      </c>
    </row>
    <row r="598">
      <c r="A598" s="28" t="inlineStr">
        <is>
          <t xml:space="preserve">    limit 120/min -&gt; 0.6s default) with retry/backoff on HTTP 429 and</t>
        </is>
      </c>
    </row>
    <row r="599">
      <c r="A599" s="28" t="inlineStr">
        <is>
          <t xml:space="preserve">    transient errors. Fetches only what lands: sort_order=desc &amp; limit=slots</t>
        </is>
      </c>
    </row>
    <row r="600">
      <c r="A600" s="28" t="inlineStr">
        <is>
          <t xml:space="preserve">    (spec sec 1). The API key is NEVER hardcoded, logged or echoed."""</t>
        </is>
      </c>
    </row>
    <row r="601">
      <c r="A601" s="28" t="inlineStr"/>
    </row>
    <row r="602">
      <c r="A602" s="28" t="inlineStr">
        <is>
          <t xml:space="preserve">    source_class = "A"</t>
        </is>
      </c>
    </row>
    <row r="603">
      <c r="A603" s="28" t="inlineStr"/>
    </row>
    <row r="604">
      <c r="A604" s="28" t="inlineStr">
        <is>
          <t xml:space="preserve">    def __init__(self, api_key: str, min_interval: float = 0.6,</t>
        </is>
      </c>
    </row>
    <row r="605">
      <c r="A605" s="28" t="inlineStr">
        <is>
          <t xml:space="preserve">                 max_retries: int = 4, slots: int = RAW_SLOTS_DEFAULT):</t>
        </is>
      </c>
    </row>
    <row r="606">
      <c r="A606" s="28" t="inlineStr">
        <is>
          <t xml:space="preserve">        self._api_key = api_key</t>
        </is>
      </c>
    </row>
    <row r="607">
      <c r="A607" s="28" t="inlineStr">
        <is>
          <t xml:space="preserve">        self._min_interval = float(min_interval)</t>
        </is>
      </c>
    </row>
    <row r="608">
      <c r="A608" s="28" t="inlineStr">
        <is>
          <t xml:space="preserve">        self._max_retries = int(max_retries)</t>
        </is>
      </c>
    </row>
    <row r="609">
      <c r="A609" s="28" t="inlineStr">
        <is>
          <t xml:space="preserve">        self._slots = int(slots)</t>
        </is>
      </c>
    </row>
    <row r="610">
      <c r="A610" s="28" t="inlineStr">
        <is>
          <t xml:space="preserve">        self._last = 0.0</t>
        </is>
      </c>
    </row>
    <row r="611">
      <c r="A611" s="28" t="inlineStr">
        <is>
          <t xml:space="preserve">        self._cache: Dict[str, bytes] = {}</t>
        </is>
      </c>
    </row>
    <row r="612">
      <c r="A612" s="28" t="inlineStr"/>
    </row>
    <row r="613">
      <c r="A613" s="28" t="inlineStr">
        <is>
          <t xml:space="preserve">    def _throttle(self):</t>
        </is>
      </c>
    </row>
    <row r="614">
      <c r="A614" s="28" t="inlineStr">
        <is>
          <t xml:space="preserve">        gap = time.time() - self._last</t>
        </is>
      </c>
    </row>
    <row r="615">
      <c r="A615" s="28" t="inlineStr">
        <is>
          <t xml:space="preserve">        if gap &lt; self._min_interval:</t>
        </is>
      </c>
    </row>
    <row r="616">
      <c r="A616" s="28" t="inlineStr">
        <is>
          <t xml:space="preserve">            time.sleep(self._min_interval - gap)</t>
        </is>
      </c>
    </row>
    <row r="617">
      <c r="A617" s="28" t="inlineStr">
        <is>
          <t xml:space="preserve">        self._last = time.time()</t>
        </is>
      </c>
    </row>
    <row r="618">
      <c r="A618" s="28" t="inlineStr"/>
    </row>
    <row r="619">
      <c r="A619" s="28" t="inlineStr">
        <is>
          <t xml:space="preserve">    def _http_get(self, url: str) -&gt; bytes:</t>
        </is>
      </c>
    </row>
    <row r="620">
      <c r="A620" s="28" t="inlineStr">
        <is>
          <t xml:space="preserve">        """The one real network call -- isolated so tests can stub it."""</t>
        </is>
      </c>
    </row>
    <row r="621">
      <c r="A621" s="28" t="inlineStr">
        <is>
          <t xml:space="preserve">        import urllib.request</t>
        </is>
      </c>
    </row>
    <row r="622">
      <c r="A622" s="28" t="inlineStr">
        <is>
          <t xml:space="preserve">        with urllib.request.urlopen(url, timeout=30) as resp:</t>
        </is>
      </c>
    </row>
    <row r="623">
      <c r="A623" s="28" t="inlineStr">
        <is>
          <t xml:space="preserve">            return resp.read()</t>
        </is>
      </c>
    </row>
    <row r="624">
      <c r="A624" s="28" t="inlineStr"/>
    </row>
    <row r="625">
      <c r="A625" s="28" t="inlineStr">
        <is>
          <t xml:space="preserve">    def _download(self, url: str, label: str) -&gt; bytes:</t>
        </is>
      </c>
    </row>
    <row r="626">
      <c r="A626" s="28" t="inlineStr">
        <is>
          <t xml:space="preserve">        """Cache + throttle + backoff. Error messages carry the series label,</t>
        </is>
      </c>
    </row>
    <row r="627">
      <c r="A627" s="28" t="inlineStr">
        <is>
          <t xml:space="preserve">        NEVER the url (it embeds the api key)."""</t>
        </is>
      </c>
    </row>
    <row r="628">
      <c r="A628" s="28" t="inlineStr">
        <is>
          <t xml:space="preserve">        if url in self._cache:                        # repeat fetch == cache hit (L5)</t>
        </is>
      </c>
    </row>
    <row r="629">
      <c r="A629" s="28" t="inlineStr">
        <is>
          <t xml:space="preserve">            return self._cache[url]</t>
        </is>
      </c>
    </row>
    <row r="630">
      <c r="A630" s="28" t="inlineStr">
        <is>
          <t xml:space="preserve">        import urllib.error</t>
        </is>
      </c>
    </row>
    <row r="631">
      <c r="A631" s="28" t="inlineStr">
        <is>
          <t xml:space="preserve">        for attempt in range(self._max_retries + 1):</t>
        </is>
      </c>
    </row>
    <row r="632">
      <c r="A632" s="28" t="inlineStr">
        <is>
          <t xml:space="preserve">            self._throttle()</t>
        </is>
      </c>
    </row>
    <row r="633">
      <c r="A633" s="28" t="inlineStr">
        <is>
          <t xml:space="preserve">            try:</t>
        </is>
      </c>
    </row>
    <row r="634">
      <c r="A634" s="28" t="inlineStr">
        <is>
          <t xml:space="preserve">                data = self._http_get(url)</t>
        </is>
      </c>
    </row>
    <row r="635">
      <c r="A635" s="28" t="inlineStr">
        <is>
          <t xml:space="preserve">                self._cache[url] = data</t>
        </is>
      </c>
    </row>
    <row r="636">
      <c r="A636" s="28" t="inlineStr">
        <is>
          <t xml:space="preserve">                return data</t>
        </is>
      </c>
    </row>
    <row r="637">
      <c r="A637" s="28" t="inlineStr">
        <is>
          <t xml:space="preserve">            except urllib.error.HTTPError as exc:</t>
        </is>
      </c>
    </row>
    <row r="638">
      <c r="A638" s="28" t="inlineStr">
        <is>
          <t xml:space="preserve">                # 429 (rate limit) and 5xx are retryable with backoff; other</t>
        </is>
      </c>
    </row>
    <row r="639">
      <c r="A639" s="28" t="inlineStr">
        <is>
          <t xml:space="preserve">                # HTTP codes fail fast (bad series id / bad key).</t>
        </is>
      </c>
    </row>
    <row r="640">
      <c r="A640" s="28" t="inlineStr">
        <is>
          <t xml:space="preserve">                if exc.code == 429 or exc.code &gt;= 500:</t>
        </is>
      </c>
    </row>
    <row r="641">
      <c r="A641" s="28" t="inlineStr">
        <is>
          <t xml:space="preserve">                    if attempt &lt; self._max_retries:</t>
        </is>
      </c>
    </row>
    <row r="642">
      <c r="A642" s="28" t="inlineStr">
        <is>
          <t xml:space="preserve">                        time.sleep(2.0 * (attempt + 1))</t>
        </is>
      </c>
    </row>
    <row r="643">
      <c r="A643" s="28" t="inlineStr">
        <is>
          <t xml:space="preserve">                        continue</t>
        </is>
      </c>
    </row>
    <row r="644">
      <c r="A644" s="28" t="inlineStr">
        <is>
          <t xml:space="preserve">                raise RuntimeError(f"FRED fetch failed for {label}: HTTP {exc.code}")</t>
        </is>
      </c>
    </row>
    <row r="645">
      <c r="A645" s="28" t="inlineStr">
        <is>
          <t xml:space="preserve">            except Exception as exc:</t>
        </is>
      </c>
    </row>
    <row r="646">
      <c r="A646" s="28" t="inlineStr">
        <is>
          <t xml:space="preserve">                if attempt &lt; self._max_retries:</t>
        </is>
      </c>
    </row>
    <row r="647">
      <c r="A647" s="28" t="inlineStr">
        <is>
          <t xml:space="preserve">                    time.sleep(2.0 * (attempt + 1))</t>
        </is>
      </c>
    </row>
    <row r="648">
      <c r="A648" s="28" t="inlineStr">
        <is>
          <t xml:space="preserve">                    continue</t>
        </is>
      </c>
    </row>
    <row r="649">
      <c r="A649" s="28" t="inlineStr">
        <is>
          <t xml:space="preserve">                raise RuntimeError(f"FRED fetch failed for {label}: {type(exc).__name__}")</t>
        </is>
      </c>
    </row>
    <row r="650">
      <c r="A650" s="28" t="inlineStr"/>
    </row>
    <row r="651">
      <c r="A651" s="28" t="inlineStr">
        <is>
          <t xml:space="preserve">    def fetch_series(self, spec: SeriesSpec, secret=None) -&gt; List[NormalizedRow]:</t>
        </is>
      </c>
    </row>
    <row r="652">
      <c r="A652" s="28" t="inlineStr">
        <is>
          <t xml:space="preserve">        if not self._api_key:</t>
        </is>
      </c>
    </row>
    <row r="653">
      <c r="A653" s="28" t="inlineStr">
        <is>
          <t xml:space="preserve">            raise ValueError("FRED API key missing: set the FRED_API_KEY env "</t>
        </is>
      </c>
    </row>
    <row r="654">
      <c r="A654" s="28" t="inlineStr">
        <is>
          <t xml:space="preserve">                             "var or the _config [SETTINGS] fred_api_key cell.")</t>
        </is>
      </c>
    </row>
    <row r="655">
      <c r="A655" s="28" t="inlineStr">
        <is>
          <t xml:space="preserve">        from urllib.parse import urlencode</t>
        </is>
      </c>
    </row>
    <row r="656">
      <c r="A656" s="28" t="inlineStr">
        <is>
          <t xml:space="preserve">        url = FRED_OBS_URL + "?" + urlencode({</t>
        </is>
      </c>
    </row>
    <row r="657">
      <c r="A657" s="28" t="inlineStr">
        <is>
          <t xml:space="preserve">            "series_id": spec.id, "api_key": self._api_key,</t>
        </is>
      </c>
    </row>
    <row r="658">
      <c r="A658" s="28" t="inlineStr">
        <is>
          <t xml:space="preserve">            "file_type": "json", "sort_order": "desc",</t>
        </is>
      </c>
    </row>
    <row r="659">
      <c r="A659" s="28" t="inlineStr">
        <is>
          <t xml:space="preserve">            "limit": str(self._slots)})</t>
        </is>
      </c>
    </row>
    <row r="660">
      <c r="A660" s="28" t="inlineStr">
        <is>
          <t xml:space="preserve">        payload = json.loads(self._download(url, spec.id).decode("utf-8"))</t>
        </is>
      </c>
    </row>
    <row r="661">
      <c r="A661" s="28" t="inlineStr">
        <is>
          <t xml:space="preserve">        obs = payload.get("observations", [])</t>
        </is>
      </c>
    </row>
    <row r="662">
      <c r="A662" s="28" t="inlineStr">
        <is>
          <t xml:space="preserve">        rows: List[NormalizedRow] = []</t>
        </is>
      </c>
    </row>
    <row r="663">
      <c r="A663" s="28" t="inlineStr">
        <is>
          <t xml:space="preserve">        for o in reversed(obs):                       # desc from API -&gt; oldest-first</t>
        </is>
      </c>
    </row>
    <row r="664">
      <c r="A664" s="28" t="inlineStr">
        <is>
          <t xml:space="preserve">            raw = o.get("value")</t>
        </is>
      </c>
    </row>
    <row r="665">
      <c r="A665" s="28" t="inlineStr">
        <is>
          <t xml:space="preserve">            val = None if raw is None or str(raw).strip() == "." else _as_float(raw)</t>
        </is>
      </c>
    </row>
    <row r="666">
      <c r="A666" s="28" t="inlineStr">
        <is>
          <t xml:space="preserve">            rows.append(NormalizedRow(</t>
        </is>
      </c>
    </row>
    <row r="667">
      <c r="A667" s="28" t="inlineStr">
        <is>
          <t xml:space="preserve">                id=spec.id, period=str(o.get("date", "")).strip(), value=val,</t>
        </is>
      </c>
    </row>
    <row r="668">
      <c r="A668" s="28" t="inlineStr">
        <is>
          <t xml:space="preserve">                geo_segment=spec.geo_segment, source_class=spec.source_class,</t>
        </is>
      </c>
    </row>
    <row r="669">
      <c r="A669" s="28" t="inlineStr">
        <is>
          <t xml:space="preserve">                units=spec.units))</t>
        </is>
      </c>
    </row>
    <row r="670">
      <c r="A670" s="28" t="inlineStr">
        <is>
          <t xml:space="preserve">        return rows</t>
        </is>
      </c>
    </row>
    <row r="671">
      <c r="A671" s="28" t="inlineStr"/>
    </row>
    <row r="672">
      <c r="A672" s="28" t="inlineStr"/>
    </row>
    <row r="673">
      <c r="A673" s="28" t="inlineStr">
        <is>
          <t>class ClassCStubProvider(Provider):</t>
        </is>
      </c>
    </row>
    <row r="674">
      <c r="A674" s="28" t="inlineStr">
        <is>
          <t xml:space="preserve">    """In-process OAuth client_credentials STUB carried from the contract's</t>
        </is>
      </c>
    </row>
    <row r="675">
      <c r="A675" s="28" t="inlineStr">
        <is>
          <t xml:space="preserve">    seam rehearsal. Makes NO live request. NOTE: even a real Class C adapter</t>
        </is>
      </c>
    </row>
    <row r="676">
      <c r="A676" s="28" t="inlineStr">
        <is>
          <t xml:space="preserve">    is REFUSED by this template's watchlist gate 2 (only class "A" is</t>
        </is>
      </c>
    </row>
    <row r="677">
      <c r="A677" s="28" t="inlineStr">
        <is>
          <t xml:space="preserve">    admitted); a licensed swap requires its own review, not a config edit."""</t>
        </is>
      </c>
    </row>
    <row r="678">
      <c r="A678" s="28" t="inlineStr"/>
    </row>
    <row r="679">
      <c r="A679" s="28" t="inlineStr">
        <is>
          <t xml:space="preserve">    source_class = "C"</t>
        </is>
      </c>
    </row>
    <row r="680">
      <c r="A680" s="28" t="inlineStr"/>
    </row>
    <row r="681">
      <c r="A681" s="28" t="inlineStr">
        <is>
          <t xml:space="preserve">    def __init__(self, secret_env: str):</t>
        </is>
      </c>
    </row>
    <row r="682">
      <c r="A682" s="28" t="inlineStr">
        <is>
          <t xml:space="preserve">        self.secret_env = secret_env</t>
        </is>
      </c>
    </row>
    <row r="683">
      <c r="A683" s="28" t="inlineStr">
        <is>
          <t xml:space="preserve">        self._token = None</t>
        </is>
      </c>
    </row>
    <row r="684">
      <c r="A684" s="28" t="inlineStr"/>
    </row>
    <row r="685">
      <c r="A685" s="28" t="inlineStr">
        <is>
          <t xml:space="preserve">    def _authenticate(self, secret):</t>
        </is>
      </c>
    </row>
    <row r="686">
      <c r="A686" s="28" t="inlineStr">
        <is>
          <t xml:space="preserve">        # token from client_id + client_secret + scope; a request without a</t>
        </is>
      </c>
    </row>
    <row r="687">
      <c r="A687" s="28" t="inlineStr">
        <is>
          <t xml:space="preserve">        # valid token returns HTTP 401. Stubbed -- never hits a network.</t>
        </is>
      </c>
    </row>
    <row r="688">
      <c r="A688" s="28" t="inlineStr">
        <is>
          <t xml:space="preserve">        if not secret:</t>
        </is>
      </c>
    </row>
    <row r="689">
      <c r="A689" s="28" t="inlineStr">
        <is>
          <t xml:space="preserve">            raise PermissionError("HTTP 401: missing/invalid access token "</t>
        </is>
      </c>
    </row>
    <row r="690">
      <c r="A690" s="28" t="inlineStr">
        <is>
          <t xml:space="preserve">                                  "(client_credentials not supplied).")</t>
        </is>
      </c>
    </row>
    <row r="691">
      <c r="A691" s="28" t="inlineStr">
        <is>
          <t xml:space="preserve">        self._token = "stub-token"</t>
        </is>
      </c>
    </row>
    <row r="692">
      <c r="A692" s="28" t="inlineStr">
        <is>
          <t xml:space="preserve">        return self._token</t>
        </is>
      </c>
    </row>
    <row r="693">
      <c r="A693" s="28" t="inlineStr"/>
    </row>
    <row r="694">
      <c r="A694" s="28" t="inlineStr">
        <is>
          <t xml:space="preserve">    def fetch_series(self, spec: SeriesSpec, secret=None) -&gt; List[NormalizedRow]:</t>
        </is>
      </c>
    </row>
    <row r="695">
      <c r="A695" s="28" t="inlineStr">
        <is>
          <t xml:space="preserve">        self._authenticate(secret)</t>
        </is>
      </c>
    </row>
    <row r="696">
      <c r="A696" s="28" t="inlineStr">
        <is>
          <t xml:space="preserve">        # A real adapter would call the licensed endpoint and normalize. The</t>
        </is>
      </c>
    </row>
    <row r="697">
      <c r="A697" s="28" t="inlineStr">
        <is>
          <t xml:space="preserve">        # stub returns one schema-shaped, VALUELESS row: it proves the seam</t>
        </is>
      </c>
    </row>
    <row r="698">
      <c r="A698" s="28" t="inlineStr">
        <is>
          <t xml:space="preserve">        # contract (Section 1a) without fabricating licensed data.</t>
        </is>
      </c>
    </row>
    <row r="699">
      <c r="A699" s="28" t="inlineStr">
        <is>
          <t xml:space="preserve">        return [NormalizedRow(id=spec.id, period="1900-01-01", value=None,</t>
        </is>
      </c>
    </row>
    <row r="700">
      <c r="A700" s="28" t="inlineStr">
        <is>
          <t xml:space="preserve">                              geo_segment=spec.geo_segment, source_class="C",</t>
        </is>
      </c>
    </row>
    <row r="701">
      <c r="A701" s="28" t="inlineStr">
        <is>
          <t xml:space="preserve">                              units=spec.units)]</t>
        </is>
      </c>
    </row>
    <row r="702">
      <c r="A702" s="28" t="inlineStr"/>
    </row>
    <row r="703">
      <c r="A703" s="28" t="inlineStr"/>
    </row>
    <row r="704">
      <c r="A704" s="28" t="inlineStr">
        <is>
          <t>def resolve_fred_key(cfg: Config) -&gt; str:</t>
        </is>
      </c>
    </row>
    <row r="705">
      <c r="A705" s="28" t="inlineStr">
        <is>
          <t xml:space="preserve">    """Key resolution (spec sec 1): env FRED_API_KEY preferred, else the</t>
        </is>
      </c>
    </row>
    <row r="706">
      <c r="A706" s="28" t="inlineStr">
        <is>
          <t xml:space="preserve">    _config [SETTINGS] fred_api_key cell. Never hardcoded, never echoed."""</t>
        </is>
      </c>
    </row>
    <row r="707">
      <c r="A707" s="28" t="inlineStr">
        <is>
          <t xml:space="preserve">    return (os.environ.get("FRED_API_KEY", "").strip()</t>
        </is>
      </c>
    </row>
    <row r="708">
      <c r="A708" s="28" t="inlineStr">
        <is>
          <t xml:space="preserve">            or str(cfg.setting("fred_api_key", "") or "").strip())</t>
        </is>
      </c>
    </row>
    <row r="709">
      <c r="A709" s="28" t="inlineStr"/>
    </row>
    <row r="710">
      <c r="A710" s="28" t="inlineStr"/>
    </row>
    <row r="711">
      <c r="A711" s="28" t="inlineStr">
        <is>
          <t>def resolve_secret(cfg: Config) -&gt; Optional[str]:</t>
        </is>
      </c>
    </row>
    <row r="712">
      <c r="A712" s="28" t="inlineStr">
        <is>
          <t xml:space="preserve">    """Class C secret from the env var whose NAME is recorded in _config; never</t>
        </is>
      </c>
    </row>
    <row r="713">
      <c r="A713" s="28" t="inlineStr">
        <is>
          <t xml:space="preserve">    hardcoded. Absent env var -&gt; fail fast (handled by the caller). v2 lane."""</t>
        </is>
      </c>
    </row>
    <row r="714">
      <c r="A714" s="28" t="inlineStr">
        <is>
          <t xml:space="preserve">    name = str(cfg.setting("secret_env", "") or "").strip()</t>
        </is>
      </c>
    </row>
    <row r="715">
      <c r="A715" s="28" t="inlineStr">
        <is>
          <t xml:space="preserve">    if not name:</t>
        </is>
      </c>
    </row>
    <row r="716">
      <c r="A716" s="28" t="inlineStr">
        <is>
          <t xml:space="preserve">        return None</t>
        </is>
      </c>
    </row>
    <row r="717">
      <c r="A717" s="28" t="inlineStr">
        <is>
          <t xml:space="preserve">    return os.environ.get(name)</t>
        </is>
      </c>
    </row>
    <row r="718">
      <c r="A718" s="28" t="inlineStr"/>
    </row>
    <row r="719">
      <c r="A719" s="28" t="inlineStr"/>
    </row>
    <row r="720">
      <c r="A720" s="28" t="inlineStr">
        <is>
          <t>def make_provider(cfg: Config, demo: bool, asof: Optional[date]) -&gt; Provider:</t>
        </is>
      </c>
    </row>
    <row r="721">
      <c r="A721" s="28" t="inlineStr">
        <is>
          <t xml:space="preserve">    if demo or _as_bool(cfg.setting("demo_mode", "false")):</t>
        </is>
      </c>
    </row>
    <row r="722">
      <c r="A722" s="28" t="inlineStr">
        <is>
          <t xml:space="preserve">        return FredDemoProvider(asof=asof, slots=cfg.raw_slots)</t>
        </is>
      </c>
    </row>
    <row r="723">
      <c r="A723" s="28" t="inlineStr">
        <is>
          <t xml:space="preserve">    key = resolve_fred_key(cfg)</t>
        </is>
      </c>
    </row>
    <row r="724">
      <c r="A724" s="28" t="inlineStr">
        <is>
          <t xml:space="preserve">    if not key:</t>
        </is>
      </c>
    </row>
    <row r="725">
      <c r="A725" s="28" t="inlineStr">
        <is>
          <t xml:space="preserve">        raise SystemExit(</t>
        </is>
      </c>
    </row>
    <row r="726">
      <c r="A726" s="28" t="inlineStr">
        <is>
          <t xml:space="preserve">            "FRED API key missing for a live run: set the FRED_API_KEY env var "</t>
        </is>
      </c>
    </row>
    <row r="727">
      <c r="A727" s="28" t="inlineStr">
        <is>
          <t xml:space="preserve">            "(PowerShell: $env:FRED_API_KEY = \"...\") or put the key in the "</t>
        </is>
      </c>
    </row>
    <row r="728">
      <c r="A728" s="28" t="inlineStr">
        <is>
          <t xml:space="preserve">            "_config [SETTINGS] fred_api_key cell. Use --demo to run offline.")</t>
        </is>
      </c>
    </row>
    <row r="729">
      <c r="A729" s="28" t="inlineStr">
        <is>
          <t xml:space="preserve">    return FredProvider(</t>
        </is>
      </c>
    </row>
    <row r="730">
      <c r="A730" s="28" t="inlineStr">
        <is>
          <t xml:space="preserve">        api_key=key,</t>
        </is>
      </c>
    </row>
    <row r="731">
      <c r="A731" s="28" t="inlineStr">
        <is>
          <t xml:space="preserve">        min_interval=float(cfg.setting("http_min_interval", 0.6) or 0.6),</t>
        </is>
      </c>
    </row>
    <row r="732">
      <c r="A732" s="28" t="inlineStr">
        <is>
          <t xml:space="preserve">        max_retries=int(float(cfg.setting("fred_max_retries", 4) or 4)),</t>
        </is>
      </c>
    </row>
    <row r="733">
      <c r="A733" s="28" t="inlineStr">
        <is>
          <t xml:space="preserve">        slots=cfg.raw_slots)</t>
        </is>
      </c>
    </row>
    <row r="734">
      <c r="A734" s="28" t="inlineStr"/>
    </row>
    <row r="735">
      <c r="A735" s="28" t="inlineStr"/>
    </row>
    <row r="736">
      <c r="A736" s="28" t="inlineStr">
        <is>
          <t># ---------------------------------------------------------------------------</t>
        </is>
      </c>
    </row>
    <row r="737">
      <c r="A737" s="28" t="inlineStr">
        <is>
          <t># RAW LAYOUT -- fixed anchors shared with the builder</t>
        </is>
      </c>
    </row>
    <row r="738">
      <c r="A738" s="28" t="inlineStr">
        <is>
          <t># ---------------------------------------------------------------------------</t>
        </is>
      </c>
    </row>
    <row r="739">
      <c r="A739" s="28" t="inlineStr">
        <is>
          <t>@dataclass</t>
        </is>
      </c>
    </row>
    <row r="740">
      <c r="A740" s="28" t="inlineStr">
        <is>
          <t>class RawBlock:</t>
        </is>
      </c>
    </row>
    <row r="741">
      <c r="A741" s="28" t="inlineStr">
        <is>
          <t xml:space="preserve">    id: str</t>
        </is>
      </c>
    </row>
    <row r="742">
      <c r="A742" s="28" t="inlineStr">
        <is>
          <t xml:space="preserve">    header_row: int</t>
        </is>
      </c>
    </row>
    <row r="743">
      <c r="A743" s="28" t="inlineStr">
        <is>
          <t xml:space="preserve">    label_row: int</t>
        </is>
      </c>
    </row>
    <row r="744">
      <c r="A744" s="28" t="inlineStr">
        <is>
          <t xml:space="preserve">    first_data_row: int</t>
        </is>
      </c>
    </row>
    <row r="745">
      <c r="A745" s="28" t="inlineStr">
        <is>
          <t xml:space="preserve">    slots: int</t>
        </is>
      </c>
    </row>
    <row r="746">
      <c r="A746" s="28" t="inlineStr"/>
    </row>
    <row r="747">
      <c r="A747" s="28" t="inlineStr"/>
    </row>
    <row r="748">
      <c r="A748" s="28" t="inlineStr">
        <is>
          <t>def _col(idx: int) -&gt; str:</t>
        </is>
      </c>
    </row>
    <row r="749">
      <c r="A749" s="28" t="inlineStr">
        <is>
          <t xml:space="preserve">    s = ""</t>
        </is>
      </c>
    </row>
    <row r="750">
      <c r="A750" s="28" t="inlineStr">
        <is>
          <t xml:space="preserve">    while idx &gt; 0:</t>
        </is>
      </c>
    </row>
    <row r="751">
      <c r="A751" s="28" t="inlineStr">
        <is>
          <t xml:space="preserve">        idx, r = divmod(idx - 1, 26)</t>
        </is>
      </c>
    </row>
    <row r="752">
      <c r="A752" s="28" t="inlineStr">
        <is>
          <t xml:space="preserve">        s = chr(65 + r) + s</t>
        </is>
      </c>
    </row>
    <row r="753">
      <c r="A753" s="28" t="inlineStr">
        <is>
          <t xml:space="preserve">    return s</t>
        </is>
      </c>
    </row>
    <row r="754">
      <c r="A754" s="28" t="inlineStr"/>
    </row>
    <row r="755">
      <c r="A755" s="28" t="inlineStr"/>
    </row>
    <row r="756">
      <c r="A756" s="28" t="inlineStr">
        <is>
          <t>def raw_layout(series: Sequence[SeriesSpec], slots: int = RAW_SLOTS_DEFAULT) -&gt; Dict[str, RawBlock]:</t>
        </is>
      </c>
    </row>
    <row r="757">
      <c r="A757" s="28" t="inlineStr">
        <is>
          <t xml:space="preserve">    """Deterministic block placement in Raw_FRED: same input -&gt; same anchors.</t>
        </is>
      </c>
    </row>
    <row r="758">
      <c r="A758" s="28" t="inlineStr">
        <is>
          <t xml:space="preserve">    Every series gets a block -- unlike the bureau template, ADMITTED</t>
        </is>
      </c>
    </row>
    <row r="759">
      <c r="A759" s="28" t="inlineStr">
        <is>
          <t xml:space="preserve">    watchlist rows ARE fetched here and the Watchlist tab formulas read them."""</t>
        </is>
      </c>
    </row>
    <row r="760">
      <c r="A760" s="28" t="inlineStr">
        <is>
          <t xml:space="preserve">    stride = RAW_HEADER_ROWS + slots + RAW_GAP_ROWS</t>
        </is>
      </c>
    </row>
    <row r="761">
      <c r="A761" s="28" t="inlineStr">
        <is>
          <t xml:space="preserve">    blocks = {}</t>
        </is>
      </c>
    </row>
    <row r="762">
      <c r="A762" s="28" t="inlineStr">
        <is>
          <t xml:space="preserve">    for i, s in enumerate(series):</t>
        </is>
      </c>
    </row>
    <row r="763">
      <c r="A763" s="28" t="inlineStr">
        <is>
          <t xml:space="preserve">        header_row = RAW_FIRST_ROW + i * stride</t>
        </is>
      </c>
    </row>
    <row r="764">
      <c r="A764" s="28" t="inlineStr">
        <is>
          <t xml:space="preserve">        blocks[s.id] = RawBlock(s.id, header_row, header_row + 1,</t>
        </is>
      </c>
    </row>
    <row r="765">
      <c r="A765" s="28" t="inlineStr">
        <is>
          <t xml:space="preserve">                                header_row + RAW_HEADER_ROWS, slots)</t>
        </is>
      </c>
    </row>
    <row r="766">
      <c r="A766" s="28" t="inlineStr">
        <is>
          <t xml:space="preserve">    return blocks</t>
        </is>
      </c>
    </row>
    <row r="767">
      <c r="A767" s="28" t="inlineStr"/>
    </row>
    <row r="768">
      <c r="A768" s="28" t="inlineStr"/>
    </row>
    <row r="769">
      <c r="A769" s="28" t="inlineStr">
        <is>
          <t># ---------------------------------------------------------------------------</t>
        </is>
      </c>
    </row>
    <row r="770">
      <c r="A770" s="28" t="inlineStr">
        <is>
          <t># WRITE BACKEND -- openpyxl on the closed workbook (contract sec 4 / L2)</t>
        </is>
      </c>
    </row>
    <row r="771">
      <c r="A771" s="28" t="inlineStr">
        <is>
          <t># ---------------------------------------------------------------------------</t>
        </is>
      </c>
    </row>
    <row r="772">
      <c r="A772" s="28" t="inlineStr">
        <is>
          <t>class OpenpyxlBackend:</t>
        </is>
      </c>
    </row>
    <row r="773">
      <c r="A773" s="28" t="inlineStr">
        <is>
          <t xml:space="preserve">    def __init__(self, path: str):</t>
        </is>
      </c>
    </row>
    <row r="774">
      <c r="A774" s="28" t="inlineStr">
        <is>
          <t xml:space="preserve">        self.path = path</t>
        </is>
      </c>
    </row>
    <row r="775">
      <c r="A775" s="28" t="inlineStr">
        <is>
          <t xml:space="preserve">        import openpyxl</t>
        </is>
      </c>
    </row>
    <row r="776">
      <c r="A776" s="28" t="inlineStr">
        <is>
          <t xml:space="preserve">        # L2: keep_vba=True ONLY for .xlsm; on .xlsx it injects a dangling</t>
        </is>
      </c>
    </row>
    <row r="777">
      <c r="A777" s="28" t="inlineStr">
        <is>
          <t xml:space="preserve">        # vbaProject relationship Excel rejects as "format/extension not valid".</t>
        </is>
      </c>
    </row>
    <row r="778">
      <c r="A778" s="28" t="inlineStr">
        <is>
          <t xml:space="preserve">        keep_vba = path.lower().endswith(".xlsm")</t>
        </is>
      </c>
    </row>
    <row r="779">
      <c r="A779" s="28" t="inlineStr">
        <is>
          <t xml:space="preserve">        self._wb = openpyxl.load_workbook(path, keep_vba=keep_vba)</t>
        </is>
      </c>
    </row>
    <row r="780">
      <c r="A780" s="28" t="inlineStr"/>
    </row>
    <row r="781">
      <c r="A781" s="28" t="inlineStr">
        <is>
          <t xml:space="preserve">    def read_config(self) -&gt; Config:</t>
        </is>
      </c>
    </row>
    <row r="782">
      <c r="A782" s="28" t="inlineStr">
        <is>
          <t xml:space="preserve">        ws = self._wb["_config"]</t>
        </is>
      </c>
    </row>
    <row r="783">
      <c r="A783" s="28" t="inlineStr">
        <is>
          <t xml:space="preserve">        return parse_config([[c.value for c in row] for row in ws.iter_rows()])</t>
        </is>
      </c>
    </row>
    <row r="784">
      <c r="A784" s="28" t="inlineStr"/>
    </row>
    <row r="785">
      <c r="A785" s="28" t="inlineStr">
        <is>
          <t xml:space="preserve">    def _check_block(self, block: RawBlock, spec: SeriesSpec):</t>
        </is>
      </c>
    </row>
    <row r="786">
      <c r="A786" s="28" t="inlineStr">
        <is>
          <t xml:space="preserve">        """Refuse to write into a workbook whose raw layout doesn't match the</t>
        </is>
      </c>
    </row>
    <row r="787">
      <c r="A787" s="28" t="inlineStr">
        <is>
          <t xml:space="preserve">        computed one (e.g. raw_slots edited after build): every dashboard and</t>
        </is>
      </c>
    </row>
    <row r="788">
      <c r="A788" s="28" t="inlineStr">
        <is>
          <t xml:space="preserve">        Watchlist formula is anchored to the BUILT layout, so a silent</t>
        </is>
      </c>
    </row>
    <row r="789">
      <c r="A789" s="28" t="inlineStr">
        <is>
          <t xml:space="preserve">        mismatch would make the whole workbook quietly wrong. Rebuild instead."""</t>
        </is>
      </c>
    </row>
    <row r="790">
      <c r="A790" s="28" t="inlineStr">
        <is>
          <t xml:space="preserve">        ws = self._wb[RAW_TAB]</t>
        </is>
      </c>
    </row>
    <row r="791">
      <c r="A791" s="28" t="inlineStr">
        <is>
          <t xml:space="preserve">        existing = ws.cell(block.header_row, 1).value</t>
        </is>
      </c>
    </row>
    <row r="792">
      <c r="A792" s="28" t="inlineStr">
        <is>
          <t xml:space="preserve">        if existing is not None and str(existing).strip() not in ("", spec.id):</t>
        </is>
      </c>
    </row>
    <row r="793">
      <c r="A793" s="28" t="inlineStr">
        <is>
          <t xml:space="preserve">            raise RuntimeError(</t>
        </is>
      </c>
    </row>
    <row r="794">
      <c r="A794" s="28" t="inlineStr">
        <is>
          <t xml:space="preserve">                f"Raw layout mismatch in {RAW_TAB} at row {block.header_row}: "</t>
        </is>
      </c>
    </row>
    <row r="795">
      <c r="A795" s="28" t="inlineStr">
        <is>
          <t xml:space="preserve">                f"expected block '{spec.id}' but found '{existing}'. The workbook "</t>
        </is>
      </c>
    </row>
    <row r="796">
      <c r="A796" s="28" t="inlineStr">
        <is>
          <t xml:space="preserve">                f"was built with a different raw_slots/series layout than _config "</t>
        </is>
      </c>
    </row>
    <row r="797">
      <c r="A797" s="28" t="inlineStr">
        <is>
          <t xml:space="preserve">                f"now describes; dashboard formulas are anchored to the built "</t>
        </is>
      </c>
    </row>
    <row r="798">
      <c r="A798" s="28" t="inlineStr">
        <is>
          <t xml:space="preserve">                f"layout. Rebuild the workbook (make_workbook.py) instead of "</t>
        </is>
      </c>
    </row>
    <row r="799">
      <c r="A799" s="28" t="inlineStr">
        <is>
          <t xml:space="preserve">                f"editing raw_slots in place.")</t>
        </is>
      </c>
    </row>
    <row r="800">
      <c r="A800" s="28" t="inlineStr"/>
    </row>
    <row r="801">
      <c r="A801" s="28" t="inlineStr">
        <is>
          <t xml:space="preserve">    def clear_raw_block(self, block: RawBlock, spec: SeriesSpec):</t>
        </is>
      </c>
    </row>
    <row r="802">
      <c r="A802" s="28" t="inlineStr">
        <is>
          <t xml:space="preserve">        """Blank a block's data slots (stateless rebuild: a series that fails</t>
        </is>
      </c>
    </row>
    <row r="803">
      <c r="A803" s="28" t="inlineStr">
        <is>
          <t xml:space="preserve">        to fetch must show empty, never last run's stale values)."""</t>
        </is>
      </c>
    </row>
    <row r="804">
      <c r="A804" s="28" t="inlineStr">
        <is>
          <t xml:space="preserve">        self._check_block(block, spec)</t>
        </is>
      </c>
    </row>
    <row r="805">
      <c r="A805" s="28" t="inlineStr">
        <is>
          <t xml:space="preserve">        ws = self._wb[RAW_TAB]</t>
        </is>
      </c>
    </row>
    <row r="806">
      <c r="A806" s="28" t="inlineStr">
        <is>
          <t xml:space="preserve">        for r in range(block.first_data_row, block.first_data_row + block.slots):</t>
        </is>
      </c>
    </row>
    <row r="807">
      <c r="A807" s="28" t="inlineStr">
        <is>
          <t xml:space="preserve">            ws.cell(r, 1, None)</t>
        </is>
      </c>
    </row>
    <row r="808">
      <c r="A808" s="28" t="inlineStr">
        <is>
          <t xml:space="preserve">            ws.cell(r, 2, None)</t>
        </is>
      </c>
    </row>
    <row r="809">
      <c r="A809" s="28" t="inlineStr"/>
    </row>
    <row r="810">
      <c r="A810" s="28" t="inlineStr">
        <is>
          <t xml:space="preserve">    def write_raw_block(self, block: RawBlock, spec: SeriesSpec, rows: List[NormalizedRow]):</t>
        </is>
      </c>
    </row>
    <row r="811">
      <c r="A811" s="28" t="inlineStr">
        <is>
          <t xml:space="preserve">        self._check_block(block, spec)</t>
        </is>
      </c>
    </row>
    <row r="812">
      <c r="A812" s="28" t="inlineStr">
        <is>
          <t xml:space="preserve">        ws = self._wb[RAW_TAB]</t>
        </is>
      </c>
    </row>
    <row r="813">
      <c r="A813" s="28" t="inlineStr">
        <is>
          <t xml:space="preserve">        ws.cell(block.header_row, 1, spec.id)</t>
        </is>
      </c>
    </row>
    <row r="814">
      <c r="A814" s="28" t="inlineStr">
        <is>
          <t xml:space="preserve">        ws.cell(block.header_row, 2, spec.title)</t>
        </is>
      </c>
    </row>
    <row r="815">
      <c r="A815" s="28" t="inlineStr">
        <is>
          <t xml:space="preserve">        ws.cell(block.header_row, 3, f"freq={spec.frequency}; transform={spec.transform}; "</t>
        </is>
      </c>
    </row>
    <row r="816">
      <c r="A816" s="28" t="inlineStr">
        <is>
          <t xml:space="preserve">                                     f"class={spec.source_class}; geo={spec.geo_segment}")</t>
        </is>
      </c>
    </row>
    <row r="817">
      <c r="A817" s="28" t="inlineStr">
        <is>
          <t xml:space="preserve">        ws.cell(block.label_row, 1, "period")</t>
        </is>
      </c>
    </row>
    <row r="818">
      <c r="A818" s="28" t="inlineStr">
        <is>
          <t xml:space="preserve">        ws.cell(block.label_row, 2, "value")</t>
        </is>
      </c>
    </row>
    <row r="819">
      <c r="A819" s="28" t="inlineStr">
        <is>
          <t xml:space="preserve">        for r in range(block.first_data_row, block.first_data_row + block.slots):</t>
        </is>
      </c>
    </row>
    <row r="820">
      <c r="A820" s="28" t="inlineStr">
        <is>
          <t xml:space="preserve">            ws.cell(r, 1, None)</t>
        </is>
      </c>
    </row>
    <row r="821">
      <c r="A821" s="28" t="inlineStr">
        <is>
          <t xml:space="preserve">            ws.cell(r, 2, None)</t>
        </is>
      </c>
    </row>
    <row r="822">
      <c r="A822" s="28" t="inlineStr">
        <is>
          <t xml:space="preserve">        # newest-first</t>
        </is>
      </c>
    </row>
    <row r="823">
      <c r="A823" s="28" t="inlineStr">
        <is>
          <t xml:space="preserve">        tail = rows[-block.slots:] if len(rows) &gt; block.slots else rows</t>
        </is>
      </c>
    </row>
    <row r="824">
      <c r="A824" s="28" t="inlineStr">
        <is>
          <t xml:space="preserve">        for i, nr in enumerate(reversed(tail)):</t>
        </is>
      </c>
    </row>
    <row r="825">
      <c r="A825" s="28" t="inlineStr">
        <is>
          <t xml:space="preserve">            rr = block.first_data_row + i</t>
        </is>
      </c>
    </row>
    <row r="826">
      <c r="A826" s="28" t="inlineStr">
        <is>
          <t xml:space="preserve">            ws.cell(rr, 1, nr.period)</t>
        </is>
      </c>
    </row>
    <row r="827">
      <c r="A827" s="28" t="inlineStr">
        <is>
          <t xml:space="preserve">            ws.cell(rr, 2, None if nr.value is None else float(nr.value))</t>
        </is>
      </c>
    </row>
    <row r="828">
      <c r="A828" s="28" t="inlineStr"/>
    </row>
    <row r="829">
      <c r="A829" s="28" t="inlineStr">
        <is>
          <t xml:space="preserve">    def write_status(self, status: dict):</t>
        </is>
      </c>
    </row>
    <row r="830">
      <c r="A830" s="28" t="inlineStr">
        <is>
          <t xml:space="preserve">        line2 = (f"Series {status.get('series_pulled', 0)}/"</t>
        </is>
      </c>
    </row>
    <row r="831">
      <c r="A831" s="28" t="inlineStr">
        <is>
          <t xml:space="preserve">                 f"{status.get('series_in_dict', 0)} - "</t>
        </is>
      </c>
    </row>
    <row r="832">
      <c r="A832" s="28" t="inlineStr">
        <is>
          <t xml:space="preserve">                 f"{status.get('alert_count', 0)} ALERT / "</t>
        </is>
      </c>
    </row>
    <row r="833">
      <c r="A833" s="28" t="inlineStr">
        <is>
          <t xml:space="preserve">                 f"{status.get('watch_count', 0)} WATCH - "</t>
        </is>
      </c>
    </row>
    <row r="834">
      <c r="A834" s="28" t="inlineStr">
        <is>
          <t xml:space="preserve">                 f"{status.get('stale_count', 0)} STALE")</t>
        </is>
      </c>
    </row>
    <row r="835">
      <c r="A835" s="28" t="inlineStr">
        <is>
          <t xml:space="preserve">        n_err = len(status.get("errors") or [])</t>
        </is>
      </c>
    </row>
    <row r="836">
      <c r="A836" s="28" t="inlineStr">
        <is>
          <t xml:space="preserve">        if n_err:</t>
        </is>
      </c>
    </row>
    <row r="837">
      <c r="A837" s="28" t="inlineStr">
        <is>
          <t xml:space="preserve">            line2 += f" - {n_err} FETCH ERRORS (blocks blanked)"</t>
        </is>
      </c>
    </row>
    <row r="838">
      <c r="A838" s="28" t="inlineStr">
        <is>
          <t xml:space="preserve">        for tab in ("Dashboard_Conditions", "Dashboard_Labor",</t>
        </is>
      </c>
    </row>
    <row r="839">
      <c r="A839" s="28" t="inlineStr">
        <is>
          <t xml:space="preserve">                    "Dashboard_Housing_Sentiment"):</t>
        </is>
      </c>
    </row>
    <row r="840">
      <c r="A840" s="28" t="inlineStr">
        <is>
          <t xml:space="preserve">            if tab in self._wb.sheetnames:</t>
        </is>
      </c>
    </row>
    <row r="841">
      <c r="A841" s="28" t="inlineStr">
        <is>
          <t xml:space="preserve">                ws = self._wb[tab]</t>
        </is>
      </c>
    </row>
    <row r="842">
      <c r="A842" s="28" t="inlineStr">
        <is>
          <t xml:space="preserve">                ws.cell(1, STATUS_COL, "Last run  " + status.get("timestamp", ""))</t>
        </is>
      </c>
    </row>
    <row r="843">
      <c r="A843" s="28" t="inlineStr">
        <is>
          <t xml:space="preserve">                ws.cell(2, STATUS_COL, line2)</t>
        </is>
      </c>
    </row>
    <row r="844">
      <c r="A844" s="28" t="inlineStr"/>
    </row>
    <row r="845">
      <c r="A845" s="28" t="inlineStr">
        <is>
          <t xml:space="preserve">    def finalize(self):</t>
        </is>
      </c>
    </row>
    <row r="846">
      <c r="A846" s="28" t="inlineStr">
        <is>
          <t xml:space="preserve">        self._wb.save(self.path)</t>
        </is>
      </c>
    </row>
    <row r="847">
      <c r="A847" s="28" t="inlineStr"/>
    </row>
    <row r="848">
      <c r="A848" s="28" t="inlineStr"/>
    </row>
    <row r="849">
      <c r="A849" s="28" t="inlineStr">
        <is>
          <t># ---------------------------------------------------------------------------</t>
        </is>
      </c>
    </row>
    <row r="850">
      <c r="A850" s="28" t="inlineStr">
        <is>
          <t># ORCHESTRATION</t>
        </is>
      </c>
    </row>
    <row r="851">
      <c r="A851" s="28" t="inlineStr">
        <is>
          <t># ---------------------------------------------------------------------------</t>
        </is>
      </c>
    </row>
    <row r="852">
      <c r="A852" s="28" t="inlineStr">
        <is>
          <t>def compute_digest(cfg: Config, series_rows: Dict[str, List[NormalizedRow]],</t>
        </is>
      </c>
    </row>
    <row r="853">
      <c r="A853" s="28" t="inlineStr">
        <is>
          <t xml:space="preserve">                   asof: date, admitted_ids: Sequence[str] = ()) -&gt; List[dict]:</t>
        </is>
      </c>
    </row>
    <row r="854">
      <c r="A854" s="28" t="inlineStr">
        <is>
          <t xml:space="preserve">    """Per-series headline transform value + status (the engine output consumed</t>
        </is>
      </c>
    </row>
    <row r="855">
      <c r="A855" s="28" t="inlineStr">
        <is>
          <t xml:space="preserve">    by dashboards + email-sim). Covers dashboard rows AND admitted watchlist</t>
        </is>
      </c>
    </row>
    <row r="856">
      <c r="A856" s="28" t="inlineStr">
        <is>
          <t xml:space="preserve">    rows. Staleness (BUILD SPEC 0.6) is first-class: a stale row's status is</t>
        </is>
      </c>
    </row>
    <row r="857">
      <c r="A857" s="28" t="inlineStr">
        <is>
          <t xml:space="preserve">    forced to STALE and it never counts toward alert/watch KPIs."""</t>
        </is>
      </c>
    </row>
    <row r="858">
      <c r="A858" s="28" t="inlineStr">
        <is>
          <t xml:space="preserve">    admitted_ids = set(admitted_ids)</t>
        </is>
      </c>
    </row>
    <row r="859">
      <c r="A859" s="28" t="inlineStr">
        <is>
          <t xml:space="preserve">    digest = []</t>
        </is>
      </c>
    </row>
    <row r="860">
      <c r="A860" s="28" t="inlineStr">
        <is>
          <t xml:space="preserve">    for spec in cfg.series:</t>
        </is>
      </c>
    </row>
    <row r="861">
      <c r="A861" s="28" t="inlineStr">
        <is>
          <t xml:space="preserve">        if spec.id not in series_rows:</t>
        </is>
      </c>
    </row>
    <row r="862">
      <c r="A862" s="28" t="inlineStr">
        <is>
          <t xml:space="preserve">            continue</t>
        </is>
      </c>
    </row>
    <row r="863">
      <c r="A863" s="28" t="inlineStr">
        <is>
          <t xml:space="preserve">        if spec.lane == "watchlist":</t>
        </is>
      </c>
    </row>
    <row r="864">
      <c r="A864" s="28" t="inlineStr">
        <is>
          <t xml:space="preserve">            if spec.id not in admitted_ids:</t>
        </is>
      </c>
    </row>
    <row r="865">
      <c r="A865" s="28" t="inlineStr">
        <is>
          <t xml:space="preserve">                continue                # refused rows never reach the digest</t>
        </is>
      </c>
    </row>
    <row r="866">
      <c r="A866" s="28" t="inlineStr">
        <is>
          <t xml:space="preserve">        elif not spec.dashboard_capable:</t>
        </is>
      </c>
    </row>
    <row r="867">
      <c r="A867" s="28" t="inlineStr">
        <is>
          <t xml:space="preserve">            continue</t>
        </is>
      </c>
    </row>
    <row r="868">
      <c r="A868" s="28" t="inlineStr">
        <is>
          <t xml:space="preserve">        vals = [r.value for r in series_rows[spec.id]]</t>
        </is>
      </c>
    </row>
    <row r="869">
      <c r="A869" s="28" t="inlineStr">
        <is>
          <t xml:space="preserve">        s = pd.Series(vals, dtype="float64")</t>
        </is>
      </c>
    </row>
    <row r="870">
      <c r="A870" s="28" t="inlineStr">
        <is>
          <t xml:space="preserve">        headline = latest_valid(apply_transform(spec, s))</t>
        </is>
      </c>
    </row>
    <row r="871">
      <c r="A871" s="28" t="inlineStr">
        <is>
          <t xml:space="preserve">        last_p = last_observation_period(series_rows[spec.id])</t>
        </is>
      </c>
    </row>
    <row r="872">
      <c r="A872" s="28" t="inlineStr">
        <is>
          <t xml:space="preserve">        stale = is_stale(spec, last_p, asof, cfg.stale_multiplier)</t>
        </is>
      </c>
    </row>
    <row r="873">
      <c r="A873" s="28" t="inlineStr">
        <is>
          <t xml:space="preserve">        if stale:</t>
        </is>
      </c>
    </row>
    <row r="874">
      <c r="A874" s="28" t="inlineStr">
        <is>
          <t xml:space="preserve">            status = "STALE"            # a frozen series never satisfies a cell</t>
        </is>
      </c>
    </row>
    <row r="875">
      <c r="A875" s="28" t="inlineStr">
        <is>
          <t xml:space="preserve">        elif spec.lane == "watchlist":</t>
        </is>
      </c>
    </row>
    <row r="876">
      <c r="A876" s="28" t="inlineStr">
        <is>
          <t xml:space="preserve">            status = watchlist_status(spec, headline, cfg.sahm_state_band)</t>
        </is>
      </c>
    </row>
    <row r="877">
      <c r="A877" s="28" t="inlineStr">
        <is>
          <t xml:space="preserve">        else:</t>
        </is>
      </c>
    </row>
    <row r="878">
      <c r="A878" s="28" t="inlineStr">
        <is>
          <t xml:space="preserve">            status = status_for(spec, headline, cfg.thresholds.get(spec.id))</t>
        </is>
      </c>
    </row>
    <row r="879">
      <c r="A879" s="28" t="inlineStr">
        <is>
          <t xml:space="preserve">        digest.append({"id": spec.id, "title": spec.title, "lane": spec.lane,</t>
        </is>
      </c>
    </row>
    <row r="880">
      <c r="A880" s="28" t="inlineStr">
        <is>
          <t xml:space="preserve">                       "geo_segment": spec.geo_segment,</t>
        </is>
      </c>
    </row>
    <row r="881">
      <c r="A881" s="28" t="inlineStr">
        <is>
          <t xml:space="preserve">                       "metric": spec.metric_type, "transform": spec.transform,</t>
        </is>
      </c>
    </row>
    <row r="882">
      <c r="A882" s="28" t="inlineStr">
        <is>
          <t xml:space="preserve">                       "value": headline, "asof_period": last_p,</t>
        </is>
      </c>
    </row>
    <row r="883">
      <c r="A883" s="28" t="inlineStr">
        <is>
          <t xml:space="preserve">                       "stale": stale, "status": status})</t>
        </is>
      </c>
    </row>
    <row r="884">
      <c r="A884" s="28" t="inlineStr">
        <is>
          <t xml:space="preserve">    return digest</t>
        </is>
      </c>
    </row>
    <row r="885">
      <c r="A885" s="28" t="inlineStr"/>
    </row>
    <row r="886">
      <c r="A886" s="28" t="inlineStr"/>
    </row>
    <row r="887">
      <c r="A887" s="28" t="inlineStr">
        <is>
          <t>def run(workbook_path: str, demo: bool = False, asof: Optional[date] = None) -&gt; dict:</t>
        </is>
      </c>
    </row>
    <row r="888">
      <c r="A888" s="28" t="inlineStr">
        <is>
          <t xml:space="preserve">    asof = asof or date.today()</t>
        </is>
      </c>
    </row>
    <row r="889">
      <c r="A889" s="28" t="inlineStr">
        <is>
          <t xml:space="preserve">    backend = OpenpyxlBackend(workbook_path)</t>
        </is>
      </c>
    </row>
    <row r="890">
      <c r="A890" s="28" t="inlineStr">
        <is>
          <t xml:space="preserve">    cfg = backend.read_config()</t>
        </is>
      </c>
    </row>
    <row r="891">
      <c r="A891" s="28" t="inlineStr"/>
    </row>
    <row r="892">
      <c r="A892" s="28" t="inlineStr">
        <is>
          <t xml:space="preserve">    # Hard gates BEFORE any fetch (BUILD SPEC 0.1, sec 3).</t>
        </is>
      </c>
    </row>
    <row r="893">
      <c r="A893" s="28" t="inlineStr">
        <is>
          <t xml:space="preserve">    validate_transforms(cfg.series)</t>
        </is>
      </c>
    </row>
    <row r="894">
      <c r="A894" s="28" t="inlineStr">
        <is>
          <t xml:space="preserve">    assert_no_national_in_watchlist(cfg.series)</t>
        </is>
      </c>
    </row>
    <row r="895">
      <c r="A895" s="28" t="inlineStr">
        <is>
          <t xml:space="preserve">    admitted, refusals = evaluate_watchlist(cfg.series)</t>
        </is>
      </c>
    </row>
    <row r="896">
      <c r="A896" s="28" t="inlineStr">
        <is>
          <t xml:space="preserve">    admitted_ids = {s.id for s in admitted}</t>
        </is>
      </c>
    </row>
    <row r="897">
      <c r="A897" s="28" t="inlineStr"/>
    </row>
    <row r="898">
      <c r="A898" s="28" t="inlineStr">
        <is>
          <t xml:space="preserve">    provider = make_provider(cfg, demo, asof)   # live mode fails fast w/o key</t>
        </is>
      </c>
    </row>
    <row r="899">
      <c r="A899" s="28" t="inlineStr">
        <is>
          <t xml:space="preserve">    mode = "demo" if isinstance(provider, FredDemoProvider) else "live"</t>
        </is>
      </c>
    </row>
    <row r="900">
      <c r="A900" s="28" t="inlineStr"/>
    </row>
    <row r="901">
      <c r="A901" s="28" t="inlineStr">
        <is>
          <t xml:space="preserve">    blocks = raw_layout(cfg.series, slots=cfg.raw_slots)</t>
        </is>
      </c>
    </row>
    <row r="902">
      <c r="A902" s="28" t="inlineStr">
        <is>
          <t xml:space="preserve">    series_rows: Dict[str, List[NormalizedRow]] = {}</t>
        </is>
      </c>
    </row>
    <row r="903">
      <c r="A903" s="28" t="inlineStr">
        <is>
          <t xml:space="preserve">    pulled, errors = 0, []</t>
        </is>
      </c>
    </row>
    <row r="904">
      <c r="A904" s="28" t="inlineStr">
        <is>
          <t xml:space="preserve">    # Stateless rebuild (BUILD SPEC 0.2): blank EVERY block first -- including</t>
        </is>
      </c>
    </row>
    <row r="905">
      <c r="A905" s="28" t="inlineStr">
        <is>
          <t xml:space="preserve">    # the watchlist-lane blocks, which in THIS template are fetched (admitted</t>
        </is>
      </c>
    </row>
    <row r="906">
      <c r="A906" s="28" t="inlineStr">
        <is>
          <t xml:space="preserve">    # state rows land in Raw_FRED so the Watchlist tab formulas read them) --</t>
        </is>
      </c>
    </row>
    <row r="907">
      <c r="A907" s="28" t="inlineStr">
        <is>
          <t xml:space="preserve">    # so a series whose fetch fails shows empty under the fresh timestamp,</t>
        </is>
      </c>
    </row>
    <row r="908">
      <c r="A908" s="28" t="inlineStr">
        <is>
          <t xml:space="preserve">    # never last run's stale values masquerading as current. This also</t>
        </is>
      </c>
    </row>
    <row r="909">
      <c r="A909" s="28" t="inlineStr">
        <is>
          <t xml:space="preserve">    # validates the workbook's raw layout against _config before any fetch.</t>
        </is>
      </c>
    </row>
    <row r="910">
      <c r="A910" s="28" t="inlineStr">
        <is>
          <t xml:space="preserve">    for spec in cfg.series:</t>
        </is>
      </c>
    </row>
    <row r="911">
      <c r="A911" s="28" t="inlineStr">
        <is>
          <t xml:space="preserve">        backend.clear_raw_block(blocks[spec.id], spec)</t>
        </is>
      </c>
    </row>
    <row r="912">
      <c r="A912" s="28" t="inlineStr">
        <is>
          <t xml:space="preserve">    for spec in cfg.series:</t>
        </is>
      </c>
    </row>
    <row r="913">
      <c r="A913" s="28" t="inlineStr">
        <is>
          <t xml:space="preserve">        if spec.lane == "watchlist" and spec.id not in admitted_ids:</t>
        </is>
      </c>
    </row>
    <row r="914">
      <c r="A914" s="28" t="inlineStr">
        <is>
          <t xml:space="preserve">            continue                    # refused rows are NEVER fetched</t>
        </is>
      </c>
    </row>
    <row r="915">
      <c r="A915" s="28" t="inlineStr">
        <is>
          <t xml:space="preserve">        try:</t>
        </is>
      </c>
    </row>
    <row r="916">
      <c r="A916" s="28" t="inlineStr">
        <is>
          <t xml:space="preserve">            rows = provider.fetch_series(spec)</t>
        </is>
      </c>
    </row>
    <row r="917">
      <c r="A917" s="28" t="inlineStr">
        <is>
          <t xml:space="preserve">        except Exception as exc:</t>
        </is>
      </c>
    </row>
    <row r="918">
      <c r="A918" s="28" t="inlineStr">
        <is>
          <t xml:space="preserve">            errors.append(f"{spec.id}: {exc}")</t>
        </is>
      </c>
    </row>
    <row r="919">
      <c r="A919" s="28" t="inlineStr">
        <is>
          <t xml:space="preserve">            continue</t>
        </is>
      </c>
    </row>
    <row r="920">
      <c r="A920" s="28" t="inlineStr">
        <is>
          <t xml:space="preserve">        series_rows[spec.id] = rows</t>
        </is>
      </c>
    </row>
    <row r="921">
      <c r="A921" s="28" t="inlineStr">
        <is>
          <t xml:space="preserve">        backend.write_raw_block(blocks[spec.id], spec, rows)</t>
        </is>
      </c>
    </row>
    <row r="922">
      <c r="A922" s="28" t="inlineStr">
        <is>
          <t xml:space="preserve">        pulled += 1</t>
        </is>
      </c>
    </row>
    <row r="923">
      <c r="A923" s="28" t="inlineStr"/>
    </row>
    <row r="924">
      <c r="A924" s="28" t="inlineStr">
        <is>
          <t xml:space="preserve">    digest = compute_digest(cfg, series_rows, asof, admitted_ids)</t>
        </is>
      </c>
    </row>
    <row r="925">
      <c r="A925" s="28" t="inlineStr">
        <is>
          <t xml:space="preserve">    status = {</t>
        </is>
      </c>
    </row>
    <row r="926">
      <c r="A926" s="28" t="inlineStr">
        <is>
          <t xml:space="preserve">        "timestamp": asof.isoformat(),</t>
        </is>
      </c>
    </row>
    <row r="927">
      <c r="A927" s="28" t="inlineStr">
        <is>
          <t xml:space="preserve">        "mode": mode,</t>
        </is>
      </c>
    </row>
    <row r="928">
      <c r="A928" s="28" t="inlineStr">
        <is>
          <t xml:space="preserve">        "series_in_dict": len(cfg.series),</t>
        </is>
      </c>
    </row>
    <row r="929">
      <c r="A929" s="28" t="inlineStr">
        <is>
          <t xml:space="preserve">        "series_pulled": pulled,</t>
        </is>
      </c>
    </row>
    <row r="930">
      <c r="A930" s="28" t="inlineStr">
        <is>
          <t xml:space="preserve">        "alert_count": sum(1 for d in digest if d["status"] == "ALERT"),</t>
        </is>
      </c>
    </row>
    <row r="931">
      <c r="A931" s="28" t="inlineStr">
        <is>
          <t xml:space="preserve">        "watch_count": sum(1 for d in digest if d["status"] == "WATCH"),</t>
        </is>
      </c>
    </row>
    <row r="932">
      <c r="A932" s="28" t="inlineStr">
        <is>
          <t xml:space="preserve">        "stale_count": sum(1 for d in digest if d["stale"]),</t>
        </is>
      </c>
    </row>
    <row r="933">
      <c r="A933" s="28" t="inlineStr">
        <is>
          <t xml:space="preserve">        "digest": digest,</t>
        </is>
      </c>
    </row>
    <row r="934">
      <c r="A934" s="28" t="inlineStr">
        <is>
          <t xml:space="preserve">        "watchlist_refusals": [m for _, m in refusals],</t>
        </is>
      </c>
    </row>
    <row r="935">
      <c r="A935" s="28" t="inlineStr">
        <is>
          <t xml:space="preserve">        "watchlist_admitted": sorted(admitted_ids),</t>
        </is>
      </c>
    </row>
    <row r="936">
      <c r="A936" s="28" t="inlineStr">
        <is>
          <t xml:space="preserve">        "errors": errors[:25],</t>
        </is>
      </c>
    </row>
    <row r="937">
      <c r="A937" s="28" t="inlineStr">
        <is>
          <t xml:space="preserve">    }</t>
        </is>
      </c>
    </row>
    <row r="938">
      <c r="A938" s="28" t="inlineStr">
        <is>
          <t xml:space="preserve">    backend.write_status(status)</t>
        </is>
      </c>
    </row>
    <row r="939">
      <c r="A939" s="28" t="inlineStr">
        <is>
          <t xml:space="preserve">    backend.finalize()</t>
        </is>
      </c>
    </row>
    <row r="940">
      <c r="A940" s="28" t="inlineStr">
        <is>
          <t xml:space="preserve">    return status</t>
        </is>
      </c>
    </row>
    <row r="941">
      <c r="A941" s="28" t="inlineStr"/>
    </row>
    <row r="942">
      <c r="A942" s="28" t="inlineStr"/>
    </row>
    <row r="943">
      <c r="A943" s="28" t="inlineStr">
        <is>
          <t>def main(argv: Optional[Sequence[str]] = None) -&gt; int:</t>
        </is>
      </c>
    </row>
    <row r="944">
      <c r="A944" s="28" t="inlineStr">
        <is>
          <t xml:space="preserve">    ap = argparse.ArgumentParser(description="Macro Early-Warning Monitor runner")</t>
        </is>
      </c>
    </row>
    <row r="945">
      <c r="A945" s="28" t="inlineStr">
        <is>
          <t xml:space="preserve">    ap.add_argument("--workbook", "-w", required=True)</t>
        </is>
      </c>
    </row>
    <row r="946">
      <c r="A946" s="28" t="inlineStr">
        <is>
          <t xml:space="preserve">    ap.add_argument("--demo", action="store_true",</t>
        </is>
      </c>
    </row>
    <row r="947">
      <c r="A947" s="28" t="inlineStr">
        <is>
          <t xml:space="preserve">                    help="deterministic offline FredDemoProvider (no network/key)")</t>
        </is>
      </c>
    </row>
    <row r="948">
      <c r="A948" s="28" t="inlineStr">
        <is>
          <t xml:space="preserve">    ap.add_argument("--asof", default=None, help="YYYY-MM-DD (testing)")</t>
        </is>
      </c>
    </row>
    <row r="949">
      <c r="A949" s="28" t="inlineStr">
        <is>
          <t xml:space="preserve">    args = ap.parse_args(argv)</t>
        </is>
      </c>
    </row>
    <row r="950">
      <c r="A950" s="28" t="inlineStr">
        <is>
          <t xml:space="preserve">    asof = datetime.strptime(args.asof, "%Y-%m-%d").date() if args.asof else None</t>
        </is>
      </c>
    </row>
    <row r="951">
      <c r="A951" s="28" t="inlineStr">
        <is>
          <t xml:space="preserve">    try:</t>
        </is>
      </c>
    </row>
    <row r="952">
      <c r="A952" s="28" t="inlineStr">
        <is>
          <t xml:space="preserve">        status = run(args.workbook, demo=args.demo, asof=asof)</t>
        </is>
      </c>
    </row>
    <row r="953">
      <c r="A953" s="28" t="inlineStr">
        <is>
          <t xml:space="preserve">    except (WatchlistRefused, TransformError) as exc:</t>
        </is>
      </c>
    </row>
    <row r="954">
      <c r="A954" s="28" t="inlineStr">
        <is>
          <t xml:space="preserve">        sys.stderr.write(f"GATE ERROR: {exc}\n")</t>
        </is>
      </c>
    </row>
    <row r="955">
      <c r="A955" s="28" t="inlineStr">
        <is>
          <t xml:space="preserve">        print(json.dumps({"ok": False, "error": str(exc)}))</t>
        </is>
      </c>
    </row>
    <row r="956">
      <c r="A956" s="28" t="inlineStr">
        <is>
          <t xml:space="preserve">        return 2</t>
        </is>
      </c>
    </row>
    <row r="957">
      <c r="A957" s="28" t="inlineStr">
        <is>
          <t xml:space="preserve">    except SystemExit as exc:</t>
        </is>
      </c>
    </row>
    <row r="958">
      <c r="A958" s="28" t="inlineStr">
        <is>
          <t xml:space="preserve">        sys.stderr.write(f"{exc}\n")</t>
        </is>
      </c>
    </row>
    <row r="959">
      <c r="A959" s="28" t="inlineStr">
        <is>
          <t xml:space="preserve">        print(json.dumps({"ok": False, "error": str(exc)}))</t>
        </is>
      </c>
    </row>
    <row r="960">
      <c r="A960" s="28" t="inlineStr">
        <is>
          <t xml:space="preserve">        return 3</t>
        </is>
      </c>
    </row>
    <row r="961">
      <c r="A961" s="28" t="inlineStr">
        <is>
          <t xml:space="preserve">    except Exception as exc:</t>
        </is>
      </c>
    </row>
    <row r="962">
      <c r="A962" s="28" t="inlineStr">
        <is>
          <t xml:space="preserve">        sys.stderr.write(f"RUN ERROR: {exc}\n")</t>
        </is>
      </c>
    </row>
    <row r="963">
      <c r="A963" s="28" t="inlineStr">
        <is>
          <t xml:space="preserve">        print(json.dumps({"ok": False, "error": str(exc)}))</t>
        </is>
      </c>
    </row>
    <row r="964">
      <c r="A964" s="28" t="inlineStr">
        <is>
          <t xml:space="preserve">        return 1</t>
        </is>
      </c>
    </row>
    <row r="965">
      <c r="A965" s="28" t="inlineStr">
        <is>
          <t xml:space="preserve">    print(json.dumps({"ok": True, **{k: v for k, v in status.items() if k != "digest"}}))</t>
        </is>
      </c>
    </row>
    <row r="966">
      <c r="A966" s="28" t="inlineStr">
        <is>
          <t xml:space="preserve">    sys.stderr.write(</t>
        </is>
      </c>
    </row>
    <row r="967">
      <c r="A967" s="28" t="inlineStr">
        <is>
          <t xml:space="preserve">        f"OK ({status['mode']}): {status['series_pulled']}/{status['series_in_dict']} series, "</t>
        </is>
      </c>
    </row>
    <row r="968">
      <c r="A968" s="28" t="inlineStr">
        <is>
          <t xml:space="preserve">        f"{status['alert_count']} ALERT, {status['watch_count']} WATCH, "</t>
        </is>
      </c>
    </row>
    <row r="969">
      <c r="A969" s="28" t="inlineStr">
        <is>
          <t xml:space="preserve">        f"{status['stale_count']} STALE, "</t>
        </is>
      </c>
    </row>
    <row r="970">
      <c r="A970" s="28" t="inlineStr">
        <is>
          <t xml:space="preserve">        f"watchlist admitted={len(status['watchlist_admitted'])} "</t>
        </is>
      </c>
    </row>
    <row r="971">
      <c r="A971" s="28" t="inlineStr">
        <is>
          <t xml:space="preserve">        f"refused={len(status['watchlist_refusals'])}.\n")</t>
        </is>
      </c>
    </row>
    <row r="972">
      <c r="A972" s="28" t="inlineStr">
        <is>
          <t xml:space="preserve">    return 0</t>
        </is>
      </c>
    </row>
    <row r="973">
      <c r="A973" s="28" t="inlineStr"/>
    </row>
    <row r="974">
      <c r="A974" s="28" t="inlineStr"/>
    </row>
    <row r="975">
      <c r="A975" s="28" t="inlineStr">
        <is>
          <t>if __name__ == "__main__":</t>
        </is>
      </c>
    </row>
    <row r="976">
      <c r="A976" s="28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168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8" t="inlineStr">
        <is>
          <t>'================================================================================</t>
        </is>
      </c>
    </row>
    <row r="2">
      <c r="A2" s="28" t="inlineStr">
        <is>
          <t>' Macro Early-Warning Monitor (FRED) -- extractor macro</t>
        </is>
      </c>
    </row>
    <row r="3">
      <c r="A3" s="28" t="inlineStr">
        <is>
          <t>' (BUILD_SPEC_MACRO.md Section 5: EXTRACT-ONLY).</t>
        </is>
      </c>
    </row>
    <row r="4">
      <c r="A4" s="28" t="inlineStr">
        <is>
          <t>'</t>
        </is>
      </c>
    </row>
    <row r="5">
      <c r="A5" s="28" t="inlineStr">
        <is>
          <t>' The workbook is already the finished product: every dashboard, formula, KPI</t>
        </is>
      </c>
    </row>
    <row r="6">
      <c r="A6" s="28" t="inlineStr">
        <is>
          <t>' tile and heat rule is built in. The data is the only thing missing.</t>
        </is>
      </c>
    </row>
    <row r="7">
      <c r="A7" s="28" t="inlineStr">
        <is>
          <t>'</t>
        </is>
      </c>
    </row>
    <row r="8">
      <c r="A8" s="28" t="inlineStr">
        <is>
          <t>' "Extract" (run ExtractFiles, or the ExtractAndRun alias, via Alt+F8):</t>
        </is>
      </c>
    </row>
    <row r="9">
      <c r="A9" s="28" t="inlineStr">
        <is>
          <t>'   1. Writes runner.py from the _code_py tab into the workbook's folder.</t>
        </is>
      </c>
    </row>
    <row r="10">
      <c r="A10" s="28" t="inlineStr">
        <is>
          <t>'   2. Writes requirements.txt (the Python dependencies).</t>
        </is>
      </c>
    </row>
    <row r="11">
      <c r="A11" s="28" t="inlineStr">
        <is>
          <t>'   3. Writes RUN.txt (the exact PowerShell commands).</t>
        </is>
      </c>
    </row>
    <row r="12">
      <c r="A12" s="28" t="inlineStr">
        <is>
          <t>'</t>
        </is>
      </c>
    </row>
    <row r="13">
      <c r="A13" s="28" t="inlineStr">
        <is>
          <t>' NOTHING runs inside Excel (no shell-out, no xlwings, no save-from-VBA). After</t>
        </is>
      </c>
    </row>
    <row r="14">
      <c r="A14" s="28" t="inlineStr">
        <is>
          <t>' extracting: SAVE and CLOSE the workbook, then follow RUN.txt from PowerShell.</t>
        </is>
      </c>
    </row>
    <row r="15">
      <c r="A15" s="28" t="inlineStr">
        <is>
          <t>' runner.py writes the data into the CLOSED workbook via openpyxl. Reopen and the</t>
        </is>
      </c>
    </row>
    <row r="16">
      <c r="A16" s="28" t="inlineStr">
        <is>
          <t>' formulas recalc into the finished dashboards.</t>
        </is>
      </c>
    </row>
    <row r="17">
      <c r="A17" s="28" t="inlineStr">
        <is>
          <t>'</t>
        </is>
      </c>
    </row>
    <row r="18">
      <c r="A18" s="28" t="inlineStr">
        <is>
          <t>' This is a readable/portable reference copy; the identical text lives in the</t>
        </is>
      </c>
    </row>
    <row r="19">
      <c r="A19" s="28" t="inlineStr">
        <is>
          <t>' _code_vba tab so the workbook stays the single source of truth.</t>
        </is>
      </c>
    </row>
    <row r="20">
      <c r="A20" s="28" t="inlineStr">
        <is>
          <t>'================================================================================</t>
        </is>
      </c>
    </row>
    <row r="21">
      <c r="A21" s="28" t="inlineStr">
        <is>
          <t>Option Explicit</t>
        </is>
      </c>
    </row>
    <row r="22">
      <c r="A22" s="28" t="inlineStr"/>
    </row>
    <row r="23">
      <c r="A23" s="28" t="inlineStr">
        <is>
          <t>Private Const STATUS_SHEET As String = "Dashboard_Conditions"</t>
        </is>
      </c>
    </row>
    <row r="24">
      <c r="A24" s="28" t="inlineStr"/>
    </row>
    <row r="25">
      <c r="A25" s="28" t="inlineStr">
        <is>
          <t>' Kept as an alias so the old name / any assigned button still works.</t>
        </is>
      </c>
    </row>
    <row r="26">
      <c r="A26" s="28" t="inlineStr">
        <is>
          <t>Public Sub ExtractAndRun()</t>
        </is>
      </c>
    </row>
    <row r="27">
      <c r="A27" s="28" t="inlineStr">
        <is>
          <t xml:space="preserve">    ExtractFiles</t>
        </is>
      </c>
    </row>
    <row r="28">
      <c r="A28" s="28" t="inlineStr">
        <is>
          <t>End Sub</t>
        </is>
      </c>
    </row>
    <row r="29">
      <c r="A29" s="28" t="inlineStr"/>
    </row>
    <row r="30">
      <c r="A30" s="28" t="inlineStr">
        <is>
          <t>Public Sub ExtractFiles()</t>
        </is>
      </c>
    </row>
    <row r="31">
      <c r="A31" s="28" t="inlineStr">
        <is>
          <t xml:space="preserve">    Dim folder As String, sep As String</t>
        </is>
      </c>
    </row>
    <row r="32">
      <c r="A32" s="28" t="inlineStr">
        <is>
          <t xml:space="preserve">    On Error GoTo Fail</t>
        </is>
      </c>
    </row>
    <row r="33">
      <c r="A33" s="28" t="inlineStr"/>
    </row>
    <row r="34">
      <c r="A34" s="28" t="inlineStr">
        <is>
          <t xml:space="preserve">    folder = ThisWorkbook.Path</t>
        </is>
      </c>
    </row>
    <row r="35">
      <c r="A35" s="28" t="inlineStr">
        <is>
          <t xml:space="preserve">    If Len(folder) = 0 Then</t>
        </is>
      </c>
    </row>
    <row r="36">
      <c r="A36" s="28" t="inlineStr">
        <is>
          <t xml:space="preserve">        MsgBox "Save the workbook to a folder first, then run ExtractFiles.", vbExclamation</t>
        </is>
      </c>
    </row>
    <row r="37">
      <c r="A37" s="28" t="inlineStr">
        <is>
          <t xml:space="preserve">        Exit Sub</t>
        </is>
      </c>
    </row>
    <row r="38">
      <c r="A38" s="28" t="inlineStr">
        <is>
          <t xml:space="preserve">    End If</t>
        </is>
      </c>
    </row>
    <row r="39">
      <c r="A39" s="28" t="inlineStr">
        <is>
          <t xml:space="preserve">    sep = Application.PathSeparator</t>
        </is>
      </c>
    </row>
    <row r="40">
      <c r="A40" s="28" t="inlineStr"/>
    </row>
    <row r="41">
      <c r="A41" s="28" t="inlineStr">
        <is>
          <t xml:space="preserve">    WriteTabToFile "_code_py", folder &amp; sep &amp; "runner.py"          ' the data-path script</t>
        </is>
      </c>
    </row>
    <row r="42">
      <c r="A42" s="28" t="inlineStr">
        <is>
          <t xml:space="preserve">    WriteTextFile folder &amp; sep &amp; "requirements.txt", RequirementsText()</t>
        </is>
      </c>
    </row>
    <row r="43">
      <c r="A43" s="28" t="inlineStr">
        <is>
          <t xml:space="preserve">    WriteTextFile folder &amp; sep &amp; "RUN.txt", RunText()             ' the PowerShell commands</t>
        </is>
      </c>
    </row>
    <row r="44">
      <c r="A44" s="28" t="inlineStr"/>
    </row>
    <row r="45">
      <c r="A45" s="28" t="inlineStr">
        <is>
          <t xml:space="preserve">    SetStatus "Extracted", "runner.py + requirements.txt + RUN.txt written -- see RUN.txt."</t>
        </is>
      </c>
    </row>
    <row r="46">
      <c r="A46" s="28" t="inlineStr">
        <is>
          <t xml:space="preserve">    MsgBox "Extracted next to this workbook:" &amp; vbCrLf &amp; _</t>
        </is>
      </c>
    </row>
    <row r="47">
      <c r="A47" s="28" t="inlineStr">
        <is>
          <t xml:space="preserve">           "    runner.py" &amp; vbCrLf &amp; _</t>
        </is>
      </c>
    </row>
    <row r="48">
      <c r="A48" s="28" t="inlineStr">
        <is>
          <t xml:space="preserve">           "    requirements.txt" &amp; vbCrLf &amp; _</t>
        </is>
      </c>
    </row>
    <row r="49">
      <c r="A49" s="28" t="inlineStr">
        <is>
          <t xml:space="preserve">           "    RUN.txt   (the PowerShell commands)" &amp; vbCrLf &amp; vbCrLf &amp; _</t>
        </is>
      </c>
    </row>
    <row r="50">
      <c r="A50" s="28" t="inlineStr">
        <is>
          <t xml:space="preserve">           "Open RUN.txt and follow it: install the deps, then run runner.py from " &amp; _</t>
        </is>
      </c>
    </row>
    <row r="51">
      <c r="A51" s="28" t="inlineStr">
        <is>
          <t xml:space="preserve">           "PowerShell with this workbook CLOSED. Reopen to see the dashboards." &amp; vbCrLf &amp; vbCrLf &amp; _</t>
        </is>
      </c>
    </row>
    <row r="52">
      <c r="A52" s="28" t="inlineStr">
        <is>
          <t xml:space="preserve">           "Just trying it out? Use the --demo command in RUN.txt (offline, no key).", _</t>
        </is>
      </c>
    </row>
    <row r="53">
      <c r="A53" s="28" t="inlineStr">
        <is>
          <t xml:space="preserve">           vbInformation, "Extract complete"</t>
        </is>
      </c>
    </row>
    <row r="54">
      <c r="A54" s="28" t="inlineStr">
        <is>
          <t xml:space="preserve">    Exit Sub</t>
        </is>
      </c>
    </row>
    <row r="55">
      <c r="A55" s="28" t="inlineStr"/>
    </row>
    <row r="56">
      <c r="A56" s="28" t="inlineStr">
        <is>
          <t>Fail:</t>
        </is>
      </c>
    </row>
    <row r="57">
      <c r="A57" s="28" t="inlineStr">
        <is>
          <t xml:space="preserve">    MsgBox "Extract failed: " &amp; Err.Description, vbCritical</t>
        </is>
      </c>
    </row>
    <row r="58">
      <c r="A58" s="28" t="inlineStr">
        <is>
          <t>End Sub</t>
        </is>
      </c>
    </row>
    <row r="59">
      <c r="A59" s="28" t="inlineStr"/>
    </row>
    <row r="60">
      <c r="A60" s="28" t="inlineStr">
        <is>
          <t>Private Function RequirementsText() As String</t>
        </is>
      </c>
    </row>
    <row r="61">
      <c r="A61" s="28" t="inlineStr">
        <is>
          <t xml:space="preserve">    Dim nl As String</t>
        </is>
      </c>
    </row>
    <row r="62">
      <c r="A62" s="28" t="inlineStr">
        <is>
          <t xml:space="preserve">    nl = vbCrLf</t>
        </is>
      </c>
    </row>
    <row r="63">
      <c r="A63" s="28" t="inlineStr">
        <is>
          <t xml:space="preserve">    RequirementsText = "pandas&gt;=1.5" &amp; nl &amp; "openpyxl&gt;=3.0" &amp; nl</t>
        </is>
      </c>
    </row>
    <row r="64">
      <c r="A64" s="28" t="inlineStr">
        <is>
          <t>End Function</t>
        </is>
      </c>
    </row>
    <row r="65">
      <c r="A65" s="28" t="inlineStr"/>
    </row>
    <row r="66">
      <c r="A66" s="28" t="inlineStr">
        <is>
          <t>Private Function RunText() As String</t>
        </is>
      </c>
    </row>
    <row r="67">
      <c r="A67" s="28" t="inlineStr">
        <is>
          <t xml:space="preserve">    Dim nl As String, q As String, wb As String</t>
        </is>
      </c>
    </row>
    <row r="68">
      <c r="A68" s="28" t="inlineStr">
        <is>
          <t xml:space="preserve">    nl = vbCrLf</t>
        </is>
      </c>
    </row>
    <row r="69">
      <c r="A69" s="28" t="inlineStr">
        <is>
          <t xml:space="preserve">    q = Chr(34)</t>
        </is>
      </c>
    </row>
    <row r="70">
      <c r="A70" s="28" t="inlineStr">
        <is>
          <t xml:space="preserve">    wb = ThisWorkbook.Name</t>
        </is>
      </c>
    </row>
    <row r="71">
      <c r="A71" s="28" t="inlineStr">
        <is>
          <t xml:space="preserve">    RunText = _</t>
        </is>
      </c>
    </row>
    <row r="72">
      <c r="A72" s="28" t="inlineStr">
        <is>
          <t xml:space="preserve">        "Macro Early-Warning Monitor -- run from PowerShell (workbook must be CLOSED)" &amp; nl &amp; nl &amp; _</t>
        </is>
      </c>
    </row>
    <row r="73">
      <c r="A73" s="28" t="inlineStr">
        <is>
          <t xml:space="preserve">        "1) Install dependencies (once):" &amp; nl &amp; _</t>
        </is>
      </c>
    </row>
    <row r="74">
      <c r="A74" s="28" t="inlineStr">
        <is>
          <t xml:space="preserve">        "   python -m pip install -r requirements.txt" &amp; nl &amp; nl &amp; _</t>
        </is>
      </c>
    </row>
    <row r="75">
      <c r="A75" s="28" t="inlineStr">
        <is>
          <t xml:space="preserve">        "2) Try-the-button demo data (offline, no key):" &amp; nl &amp; _</t>
        </is>
      </c>
    </row>
    <row r="76">
      <c r="A76" s="28" t="inlineStr">
        <is>
          <t xml:space="preserve">        "   python .\runner.py --workbook " &amp; q &amp; ".\" &amp; wb &amp; q &amp; " --demo" &amp; nl &amp; nl &amp; _</t>
        </is>
      </c>
    </row>
    <row r="77">
      <c r="A77" s="28" t="inlineStr">
        <is>
          <t xml:space="preserve">        "3) Live data (FRED REST API -- needs a free API key):" &amp; nl &amp; _</t>
        </is>
      </c>
    </row>
    <row r="78">
      <c r="A78" s="28" t="inlineStr">
        <is>
          <t xml:space="preserve">        "   $env:FRED_API_KEY = " &amp; q &amp; "yourkey" &amp; q &amp; nl &amp; _</t>
        </is>
      </c>
    </row>
    <row r="79">
      <c r="A79" s="28" t="inlineStr">
        <is>
          <t xml:space="preserve">        "   python .\runner.py --workbook " &amp; q &amp; ".\" &amp; wb &amp; q &amp; nl &amp; nl &amp; _</t>
        </is>
      </c>
    </row>
    <row r="80">
      <c r="A80" s="28" t="inlineStr">
        <is>
          <t xml:space="preserve">        "The key comes from the FRED_API_KEY env var (preferred) or the _config" &amp; nl &amp; _</t>
        </is>
      </c>
    </row>
    <row r="81">
      <c r="A81" s="28" t="inlineStr">
        <is>
          <t xml:space="preserve">        "fred_api_key cell -- never hardcoded, never echoed. Absent key = fail fast." &amp; nl &amp; nl &amp; _</t>
        </is>
      </c>
    </row>
    <row r="82">
      <c r="A82" s="28" t="inlineStr">
        <is>
          <t xml:space="preserve">        "If 'python' is not found, use 'py' instead. Reopen the workbook afterward." &amp; nl</t>
        </is>
      </c>
    </row>
    <row r="83">
      <c r="A83" s="28" t="inlineStr">
        <is>
          <t>End Function</t>
        </is>
      </c>
    </row>
    <row r="84">
      <c r="A84" s="28" t="inlineStr"/>
    </row>
    <row r="85">
      <c r="A85" s="28" t="inlineStr">
        <is>
          <t>Private Sub WriteTextFile(filePath As String, content As String)</t>
        </is>
      </c>
    </row>
    <row r="86">
      <c r="A86" s="28" t="inlineStr">
        <is>
          <t xml:space="preserve">    Dim fso As Object, ts As Object</t>
        </is>
      </c>
    </row>
    <row r="87">
      <c r="A87" s="28" t="inlineStr">
        <is>
          <t xml:space="preserve">    Set fso = CreateObject("Scripting.FileSystemObject")</t>
        </is>
      </c>
    </row>
    <row r="88">
      <c r="A88" s="28" t="inlineStr">
        <is>
          <t xml:space="preserve">    Set ts = fso.CreateTextFile(filePath, True, False)</t>
        </is>
      </c>
    </row>
    <row r="89">
      <c r="A89" s="28" t="inlineStr">
        <is>
          <t xml:space="preserve">    ts.Write content</t>
        </is>
      </c>
    </row>
    <row r="90">
      <c r="A90" s="28" t="inlineStr">
        <is>
          <t xml:space="preserve">    ts.Close</t>
        </is>
      </c>
    </row>
    <row r="91">
      <c r="A91" s="28" t="inlineStr">
        <is>
          <t>End Sub</t>
        </is>
      </c>
    </row>
    <row r="92">
      <c r="A92" s="28" t="inlineStr"/>
    </row>
    <row r="93">
      <c r="A93" s="28" t="inlineStr">
        <is>
          <t>' Write one tab's column A (one source line per cell) to a UTF-8 text file.</t>
        </is>
      </c>
    </row>
    <row r="94">
      <c r="A94" s="28" t="inlineStr">
        <is>
          <t>' ADODB.Stream writes real UTF-8 (FSO would write ANSI, and Python, which reads</t>
        </is>
      </c>
    </row>
    <row r="95">
      <c r="A95" s="28" t="inlineStr">
        <is>
          <t>' source as UTF-8, would raise SyntaxError on any non-ASCII byte).</t>
        </is>
      </c>
    </row>
    <row r="96">
      <c r="A96" s="28" t="inlineStr">
        <is>
          <t>Private Sub WriteTabToFile(tabName As String, filePath As String)</t>
        </is>
      </c>
    </row>
    <row r="97">
      <c r="A97" s="28" t="inlineStr">
        <is>
          <t xml:space="preserve">    Dim ws As Worksheet, lastRow As Long, r As Long, body As String</t>
        </is>
      </c>
    </row>
    <row r="98">
      <c r="A98" s="28" t="inlineStr">
        <is>
          <t xml:space="preserve">    Set ws = ThisWorkbook.Worksheets(tabName)</t>
        </is>
      </c>
    </row>
    <row r="99">
      <c r="A99" s="28" t="inlineStr">
        <is>
          <t xml:space="preserve">    lastRow = ws.Cells(ws.Rows.Count, 1).End(xlUp).Row</t>
        </is>
      </c>
    </row>
    <row r="100">
      <c r="A100" s="28" t="inlineStr">
        <is>
          <t xml:space="preserve">    For r = 1 To lastRow</t>
        </is>
      </c>
    </row>
    <row r="101">
      <c r="A101" s="28" t="inlineStr">
        <is>
          <t xml:space="preserve">        body = body &amp; CStr(ws.Cells(r, 1).Value) &amp; vbLf</t>
        </is>
      </c>
    </row>
    <row r="102">
      <c r="A102" s="28" t="inlineStr">
        <is>
          <t xml:space="preserve">    Next r</t>
        </is>
      </c>
    </row>
    <row r="103">
      <c r="A103" s="28" t="inlineStr">
        <is>
          <t xml:space="preserve">    Dim stm As Object</t>
        </is>
      </c>
    </row>
    <row r="104">
      <c r="A104" s="28" t="inlineStr">
        <is>
          <t xml:space="preserve">    Set stm = CreateObject("ADODB.Stream")</t>
        </is>
      </c>
    </row>
    <row r="105">
      <c r="A105" s="28" t="inlineStr">
        <is>
          <t xml:space="preserve">    stm.Type = 2                 ' adTypeText</t>
        </is>
      </c>
    </row>
    <row r="106">
      <c r="A106" s="28" t="inlineStr">
        <is>
          <t xml:space="preserve">    stm.Charset = "utf-8"</t>
        </is>
      </c>
    </row>
    <row r="107">
      <c r="A107" s="28" t="inlineStr">
        <is>
          <t xml:space="preserve">    stm.Open</t>
        </is>
      </c>
    </row>
    <row r="108">
      <c r="A108" s="28" t="inlineStr">
        <is>
          <t xml:space="preserve">    stm.WriteText body</t>
        </is>
      </c>
    </row>
    <row r="109">
      <c r="A109" s="28" t="inlineStr">
        <is>
          <t xml:space="preserve">    stm.SaveToFile filePath, 2   ' adSaveCreateOverWrite</t>
        </is>
      </c>
    </row>
    <row r="110">
      <c r="A110" s="28" t="inlineStr">
        <is>
          <t xml:space="preserve">    stm.Close</t>
        </is>
      </c>
    </row>
    <row r="111">
      <c r="A111" s="28" t="inlineStr">
        <is>
          <t>End Sub</t>
        </is>
      </c>
    </row>
    <row r="112">
      <c r="A112" s="28" t="inlineStr"/>
    </row>
    <row r="113">
      <c r="A113" s="28" t="inlineStr">
        <is>
          <t>Private Sub SetStatus(state As String, msg As String)</t>
        </is>
      </c>
    </row>
    <row r="114">
      <c r="A114" s="28" t="inlineStr">
        <is>
          <t xml:space="preserve">    Dim ws As Worksheet</t>
        </is>
      </c>
    </row>
    <row r="115">
      <c r="A115" s="28" t="inlineStr">
        <is>
          <t xml:space="preserve">    On Error Resume Next</t>
        </is>
      </c>
    </row>
    <row r="116">
      <c r="A116" s="28" t="inlineStr">
        <is>
          <t xml:space="preserve">    Set ws = ThisWorkbook.Worksheets(STATUS_SHEET)</t>
        </is>
      </c>
    </row>
    <row r="117">
      <c r="A117" s="28" t="inlineStr">
        <is>
          <t xml:space="preserve">    If ws Is Nothing Then Exit Sub</t>
        </is>
      </c>
    </row>
    <row r="118">
      <c r="A118" s="28" t="inlineStr">
        <is>
          <t xml:space="preserve">    ' Column L (12), row 4 -- the masthead status panel (free of the merged</t>
        </is>
      </c>
    </row>
    <row r="119">
      <c r="A119" s="28" t="inlineStr">
        <is>
          <t xml:space="preserve">    ' banner/KPI cells the runner fills on rows 1-2).</t>
        </is>
      </c>
    </row>
    <row r="120">
      <c r="A120" s="28" t="inlineStr">
        <is>
          <t xml:space="preserve">    ws.Cells(4, 12).Value = state &amp; " -- " &amp; msg</t>
        </is>
      </c>
    </row>
    <row r="121">
      <c r="A121" s="28" t="inlineStr">
        <is>
          <t>End Sub</t>
        </is>
      </c>
    </row>
    <row r="122">
      <c r="A122" s="28" t="inlineStr"/>
    </row>
    <row r="123">
      <c r="A123" s="28" t="inlineStr">
        <is>
          <t>' OPTIONAL: after reopening the populated workbook, run this (Alt+F8 -&gt;</t>
        </is>
      </c>
    </row>
    <row r="124">
      <c r="A124" s="28" t="inlineStr">
        <is>
          <t>' PaintSparklines) to draw the Trend (8) sparklines. Native sparklines can't be</t>
        </is>
      </c>
    </row>
    <row r="125">
      <c r="A125" s="28" t="inlineStr">
        <is>
          <t>' written by openpyxl, so the data path leaves that one column empty; everything</t>
        </is>
      </c>
    </row>
    <row r="126">
      <c r="A126" s="28" t="inlineStr">
        <is>
          <t>' else renders from formulas with no macro. Guarded so it can never error out.</t>
        </is>
      </c>
    </row>
    <row r="127">
      <c r="A127" s="28" t="inlineStr">
        <is>
          <t>' All three dashboards read from the single Raw_FRED tab.</t>
        </is>
      </c>
    </row>
    <row r="128">
      <c r="A128" s="28" t="inlineStr">
        <is>
          <t>Public Sub PaintSparklines()</t>
        </is>
      </c>
    </row>
    <row r="129">
      <c r="A129" s="28" t="inlineStr">
        <is>
          <t xml:space="preserve">    On Error Resume Next</t>
        </is>
      </c>
    </row>
    <row r="130">
      <c r="A130" s="28" t="inlineStr">
        <is>
          <t xml:space="preserve">    PaintLaneSparklines "Dashboard_Conditions"</t>
        </is>
      </c>
    </row>
    <row r="131">
      <c r="A131" s="28" t="inlineStr">
        <is>
          <t xml:space="preserve">    PaintLaneSparklines "Dashboard_Labor"</t>
        </is>
      </c>
    </row>
    <row r="132">
      <c r="A132" s="28" t="inlineStr">
        <is>
          <t xml:space="preserve">    PaintLaneSparklines "Dashboard_Housing_Sentiment"</t>
        </is>
      </c>
    </row>
    <row r="133">
      <c r="A133" s="28" t="inlineStr">
        <is>
          <t xml:space="preserve">    MsgBox "Trend sparklines painted. Save the workbook to keep them.", vbInformation</t>
        </is>
      </c>
    </row>
    <row r="134">
      <c r="A134" s="28" t="inlineStr">
        <is>
          <t>End Sub</t>
        </is>
      </c>
    </row>
    <row r="135">
      <c r="A135" s="28" t="inlineStr"/>
    </row>
    <row r="136">
      <c r="A136" s="28" t="inlineStr">
        <is>
          <t>Private Sub PaintLaneSparklines(dashName As String)</t>
        </is>
      </c>
    </row>
    <row r="137">
      <c r="A137" s="28" t="inlineStr">
        <is>
          <t xml:space="preserve">    On Error Resume Next</t>
        </is>
      </c>
    </row>
    <row r="138">
      <c r="A138" s="28" t="inlineStr">
        <is>
          <t xml:space="preserve">    Const HDR As Long = 7          ' header band row; data begins at row 8</t>
        </is>
      </c>
    </row>
    <row r="139">
      <c r="A139" s="28" t="inlineStr">
        <is>
          <t xml:space="preserve">    Const SID_COL As Long = 2      ' Series ID column (B)</t>
        </is>
      </c>
    </row>
    <row r="140">
      <c r="A140" s="28" t="inlineStr">
        <is>
          <t xml:space="preserve">    Const SPK_COL As Long = 7      ' Trend (8) column (G)</t>
        </is>
      </c>
    </row>
    <row r="141">
      <c r="A141" s="28" t="inlineStr">
        <is>
          <t xml:space="preserve">    Const RAW_NAME As String = "Raw_FRED"</t>
        </is>
      </c>
    </row>
    <row r="142">
      <c r="A142" s="28" t="inlineStr">
        <is>
          <t xml:space="preserve">    Dim dash As Worksheet, raw As Worksheet</t>
        </is>
      </c>
    </row>
    <row r="143">
      <c r="A143" s="28" t="inlineStr">
        <is>
          <t xml:space="preserve">    Set dash = ThisWorkbook.Worksheets(dashName)</t>
        </is>
      </c>
    </row>
    <row r="144">
      <c r="A144" s="28" t="inlineStr">
        <is>
          <t xml:space="preserve">    Set raw = ThisWorkbook.Worksheets(RAW_NAME)</t>
        </is>
      </c>
    </row>
    <row r="145">
      <c r="A145" s="28" t="inlineStr">
        <is>
          <t xml:space="preserve">    If dash Is Nothing Or raw Is Nothing Then Exit Sub</t>
        </is>
      </c>
    </row>
    <row r="146">
      <c r="A146" s="28" t="inlineStr">
        <is>
          <t xml:space="preserve">    Dim lastRow As Long, r As Long, sid As String, m As Variant, r0 As Long</t>
        </is>
      </c>
    </row>
    <row r="147">
      <c r="A147" s="28" t="inlineStr">
        <is>
          <t xml:space="preserve">    Dim src As String, addr As String</t>
        </is>
      </c>
    </row>
    <row r="148">
      <c r="A148" s="28" t="inlineStr">
        <is>
          <t xml:space="preserve">    lastRow = dash.Cells(dash.Rows.Count, SID_COL).End(xlUp).Row</t>
        </is>
      </c>
    </row>
    <row r="149">
      <c r="A149" s="28" t="inlineStr">
        <is>
          <t xml:space="preserve">    For r = HDR + 1 To lastRow</t>
        </is>
      </c>
    </row>
    <row r="150">
      <c r="A150" s="28" t="inlineStr">
        <is>
          <t xml:space="preserve">        sid = CStr(dash.Cells(r, SID_COL).Value)</t>
        </is>
      </c>
    </row>
    <row r="151">
      <c r="A151" s="28" t="inlineStr">
        <is>
          <t xml:space="preserve">        If Len(sid) &gt; 0 Then</t>
        </is>
      </c>
    </row>
    <row r="152">
      <c r="A152" s="28" t="inlineStr">
        <is>
          <t xml:space="preserve">            m = Application.Match(sid, raw.Columns(1), 0)</t>
        </is>
      </c>
    </row>
    <row r="153">
      <c r="A153" s="28" t="inlineStr">
        <is>
          <t xml:space="preserve">            If Not IsError(m) Then</t>
        </is>
      </c>
    </row>
    <row r="154">
      <c r="A154" s="28" t="inlineStr">
        <is>
          <t xml:space="preserve">                r0 = CLng(m) + 2                          ' first_data_row = header + 2</t>
        </is>
      </c>
    </row>
    <row r="155">
      <c r="A155" s="28" t="inlineStr">
        <is>
          <t xml:space="preserve">                src = "'" &amp; RAW_NAME &amp; "'!B" &amp; r0 &amp; ":B" &amp; (r0 + 7)</t>
        </is>
      </c>
    </row>
    <row r="156">
      <c r="A156" s="28" t="inlineStr">
        <is>
          <t xml:space="preserve">                addr = dash.Cells(r, SPK_COL).Address(False, False)</t>
        </is>
      </c>
    </row>
    <row r="157">
      <c r="A157" s="28" t="inlineStr">
        <is>
          <t xml:space="preserve">                dash.Range(addr).SparklineGroups.Clear</t>
        </is>
      </c>
    </row>
    <row r="158">
      <c r="A158" s="28" t="inlineStr">
        <is>
          <t xml:space="preserve">                dash.Range(addr).SparklineGroups.Add Type:=xlSparkLine, SourceData:=src</t>
        </is>
      </c>
    </row>
    <row r="159">
      <c r="A159" s="28" t="inlineStr">
        <is>
          <t xml:space="preserve">                With dash.Range(addr).SparklineGroups.Item(1)</t>
        </is>
      </c>
    </row>
    <row r="160">
      <c r="A160" s="28" t="inlineStr">
        <is>
          <t xml:space="preserve">                    .SeriesColor.Color = RGB(87, 83, 75)         ' SLATE line</t>
        </is>
      </c>
    </row>
    <row r="161">
      <c r="A161" s="28" t="inlineStr">
        <is>
          <t xml:space="preserve">                    .Points.Markers.Visible = False</t>
        </is>
      </c>
    </row>
    <row r="162">
      <c r="A162" s="28" t="inlineStr">
        <is>
          <t xml:space="preserve">                    .Points.Firstpoint.Visible = True            ' newest is leftmost</t>
        </is>
      </c>
    </row>
    <row r="163">
      <c r="A163" s="28" t="inlineStr">
        <is>
          <t xml:space="preserve">                    .Points.Firstpoint.Color.Color = RGB(204, 0, 0)   ' KEY_RED</t>
        </is>
      </c>
    </row>
    <row r="164">
      <c r="A164" s="28" t="inlineStr">
        <is>
          <t xml:space="preserve">                End With</t>
        </is>
      </c>
    </row>
    <row r="165">
      <c r="A165" s="28" t="inlineStr">
        <is>
          <t xml:space="preserve">            End If</t>
        </is>
      </c>
    </row>
    <row r="166">
      <c r="A166" s="28" t="inlineStr">
        <is>
          <t xml:space="preserve">        End If</t>
        </is>
      </c>
    </row>
    <row r="167">
      <c r="A167" s="28" t="inlineStr">
        <is>
          <t xml:space="preserve">    Next r</t>
        </is>
      </c>
    </row>
    <row r="168">
      <c r="A168" s="28" t="inlineStr">
        <is>
          <t>End Sub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12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5" t="inlineStr">
        <is>
          <t>MACRO EARLY-WARNING MONITOR (FRED) -- README</t>
        </is>
      </c>
    </row>
    <row r="2">
      <c r="A2" t="inlineStr">
        <is>
          <t>============================================</t>
        </is>
      </c>
    </row>
    <row r="3">
      <c r="A3" t="inlineStr"/>
    </row>
    <row r="4">
      <c r="A4" s="25" t="inlineStr">
        <is>
          <t>WHAT THIS IS</t>
        </is>
      </c>
    </row>
    <row r="5">
      <c r="A5" t="inlineStr">
        <is>
          <t xml:space="preserve">  A self-contained, reusable template for CREDIT-RISK REVIEW. One workbook</t>
        </is>
      </c>
    </row>
    <row r="6">
      <c r="A6" t="inlineStr">
        <is>
          <t xml:space="preserve">  pulls macro/credit-cycle early-warning series from FRED, lands them raw, and</t>
        </is>
      </c>
    </row>
    <row r="7">
      <c r="A7" t="inlineStr">
        <is>
          <t xml:space="preserve">  presents them as formula-driven dashboards plus a state-keyed watchlist.</t>
        </is>
      </c>
    </row>
    <row r="8">
      <c r="A8" t="inlineStr">
        <is>
          <t xml:space="preserve">  Every lane is a leading indicator of credit deterioration: labor signals</t>
        </is>
      </c>
    </row>
    <row r="9">
      <c r="A9" t="inlineStr">
        <is>
          <t xml:space="preserve">  lead consumer delinquency; the curve and recession probabilities time the</t>
        </is>
      </c>
    </row>
    <row r="10">
      <c r="A10" t="inlineStr">
        <is>
          <t xml:space="preserve">  cycle for loss forecasting; spreads price wholesale credit; SLOOS tracks</t>
        </is>
      </c>
    </row>
    <row r="11">
      <c r="A11" t="inlineStr">
        <is>
          <t xml:space="preserve">  the underwriting cycle; the state watchlist turns macro stress into</t>
        </is>
      </c>
    </row>
    <row r="12">
      <c r="A12" t="inlineStr">
        <is>
          <t xml:space="preserve">  footprint-level early warning a portfolio's state exposure can join on.</t>
        </is>
      </c>
    </row>
    <row r="13">
      <c r="A13" t="inlineStr">
        <is>
          <t xml:space="preserve">  All code, config and docs live inside this workbook, so it can be emailed,</t>
        </is>
      </c>
    </row>
    <row r="14">
      <c r="A14" t="inlineStr">
        <is>
          <t xml:space="preserve">  opened elsewhere, and re-run.</t>
        </is>
      </c>
    </row>
    <row r="15">
      <c r="A15" t="inlineStr"/>
    </row>
    <row r="16">
      <c r="A16" t="inlineStr">
        <is>
          <t>PROVIDERS (the adapter seam -- one provider per class)</t>
        </is>
      </c>
    </row>
    <row r="17">
      <c r="A17" t="inlineStr">
        <is>
          <t xml:space="preserve">  Class A (public, keyed):</t>
        </is>
      </c>
    </row>
    <row r="18">
      <c r="A18" t="inlineStr">
        <is>
          <t xml:space="preserve">    - FredProvider     -- LIVE plain-urllib REST against api.stlouisfed.org.</t>
        </is>
      </c>
    </row>
    <row r="19">
      <c r="A19" t="inlineStr">
        <is>
          <t xml:space="preserve">                          Key from the FRED_API_KEY env var (preferred) or the</t>
        </is>
      </c>
    </row>
    <row r="20">
      <c r="A20" t="inlineStr">
        <is>
          <t xml:space="preserve">                          _config fred_api_key cell; never hardcoded/echoed.</t>
        </is>
      </c>
    </row>
    <row r="21">
      <c r="A21" t="inlineStr">
        <is>
          <t xml:space="preserve">                          Throttled 0.6s/request (120/min limit), backoff on 429.</t>
        </is>
      </c>
    </row>
    <row r="22">
      <c r="A22" t="inlineStr">
        <is>
          <t xml:space="preserve">    - FredDemoProvider -- deterministic OFFLINE stand-in (no network/key); used</t>
        </is>
      </c>
    </row>
    <row r="23">
      <c r="A23" t="inlineStr">
        <is>
          <t xml:space="preserve">                          by every test and the --demo button.</t>
        </is>
      </c>
    </row>
    <row r="24">
      <c r="A24" t="inlineStr">
        <is>
          <t xml:space="preserve">  Class C (licensed): NOT admitted anywhere in this template -- the watchlist</t>
        </is>
      </c>
    </row>
    <row r="25">
      <c r="A25" t="inlineStr">
        <is>
          <t xml:space="preserve">  gate admits only Class A, and a licensed swap requires its own review.</t>
        </is>
      </c>
    </row>
    <row r="26">
      <c r="A26" t="inlineStr"/>
    </row>
    <row r="27">
      <c r="A27" s="25" t="inlineStr">
        <is>
          <t>ONE-TIME SETUP</t>
        </is>
      </c>
    </row>
    <row r="28">
      <c r="A28" t="inlineStr">
        <is>
          <t xml:space="preserve">  1. Install Python 3 (add it to PATH) and the dependencies:</t>
        </is>
      </c>
    </row>
    <row r="29">
      <c r="A29" t="inlineStr">
        <is>
          <t xml:space="preserve">         pip install pandas openpyxl</t>
        </is>
      </c>
    </row>
    <row r="30">
      <c r="A30" t="inlineStr">
        <is>
          <t xml:space="preserve">  2. Enable macros when prompted (the Extract button needs them).</t>
        </is>
      </c>
    </row>
    <row r="31">
      <c r="A31" t="inlineStr">
        <is>
          <t xml:space="preserve">  3. For live pulls: get a free FRED API key (fred.stlouisfed.org) and set it:</t>
        </is>
      </c>
    </row>
    <row r="32">
      <c r="A32" t="inlineStr">
        <is>
          <t xml:space="preserve">         PowerShell:  $env:FRED_API_KEY = "yourkey"</t>
        </is>
      </c>
    </row>
    <row r="33">
      <c r="A33" t="inlineStr"/>
    </row>
    <row r="34">
      <c r="A34" t="inlineStr">
        <is>
          <t>RUN IT  (the workbook is the finished product; you only add data)</t>
        </is>
      </c>
    </row>
    <row r="35">
      <c r="A35" t="inlineStr">
        <is>
          <t xml:space="preserve">  1. In Excel press Alt+F8 -&gt; run ExtractFiles. It writes three files next to the</t>
        </is>
      </c>
    </row>
    <row r="36">
      <c r="A36" t="inlineStr">
        <is>
          <t xml:space="preserve">     workbook: runner.py (from _code_py), requirements.txt, and RUN.txt (the</t>
        </is>
      </c>
    </row>
    <row r="37">
      <c r="A37" t="inlineStr">
        <is>
          <t xml:space="preserve">     exact PowerShell commands). NOTHING runs inside Excel.</t>
        </is>
      </c>
    </row>
    <row r="38">
      <c r="A38" t="inlineStr">
        <is>
          <t xml:space="preserve">  2. SAVE and CLOSE the workbook.</t>
        </is>
      </c>
    </row>
    <row r="39">
      <c r="A39" t="inlineStr">
        <is>
          <t xml:space="preserve">  3. Open RUN.txt and follow it from PowerShell: install deps, then run</t>
        </is>
      </c>
    </row>
    <row r="40">
      <c r="A40" t="inlineStr">
        <is>
          <t xml:space="preserve">     runner.py against the CLOSED workbook. It writes the data into the file.</t>
        </is>
      </c>
    </row>
    <row r="41">
      <c r="A41" t="inlineStr">
        <is>
          <t xml:space="preserve">       - Try-the-button (offline): runner.py -w &lt;book&gt;.xlsm --demo</t>
        </is>
      </c>
    </row>
    <row r="42">
      <c r="A42" t="inlineStr">
        <is>
          <t xml:space="preserve">       - Live FRED: $env:FRED_API_KEY = "..." then runner.py -w &lt;book&gt;.xlsm</t>
        </is>
      </c>
    </row>
    <row r="43">
      <c r="A43" t="inlineStr">
        <is>
          <t xml:space="preserve">  4. Reopen the workbook -- the formulas recalc into the populated dashboards.</t>
        </is>
      </c>
    </row>
    <row r="44">
      <c r="A44" t="inlineStr">
        <is>
          <t xml:space="preserve">  Optional: Alt+F8 -&gt; PaintSparklines draws the Trend column.</t>
        </is>
      </c>
    </row>
    <row r="45">
      <c r="A45" t="inlineStr"/>
    </row>
    <row r="46">
      <c r="A46" t="inlineStr">
        <is>
          <t>THE TABS (each lane in credit-risk language)</t>
        </is>
      </c>
    </row>
    <row r="47">
      <c r="A47" t="inlineStr">
        <is>
          <t xml:space="preserve">  Dashboard_Conditions -- cycle position &amp; wholesale credit pricing: the yield</t>
        </is>
      </c>
    </row>
    <row r="48">
      <c r="A48" t="inlineStr">
        <is>
          <t xml:space="preserve">      curve (inversion leads recessions), ICE BofA credit spreads (display-only</t>
        </is>
      </c>
    </row>
    <row r="49">
      <c r="A49" t="inlineStr">
        <is>
          <t xml:space="preserve">      lane -- see licensing), NFCI/ANFCI/STLFSI4/KCFSI stress gauges, and SLOOS</t>
        </is>
      </c>
    </row>
    <row r="50">
      <c r="A50" t="inlineStr">
        <is>
          <t xml:space="preserve">      C&amp;I tightening (the underwriting cycle that precedes charge-offs).</t>
        </is>
      </c>
    </row>
    <row r="51">
      <c r="A51" t="inlineStr">
        <is>
          <t xml:space="preserve">  Dashboard_Labor -- labor leads consumer delinquency: the Sahm pair (the</t>
        </is>
      </c>
    </row>
    <row r="52">
      <c r="A52" t="inlineStr">
        <is>
          <t xml:space="preserve">      canonical recession trigger), the weekly claims family (the timeliest</t>
        </is>
      </c>
    </row>
    <row r="53">
      <c r="A53" t="inlineStr">
        <is>
          <t xml:space="preserve">      tripwire), and manufacturing hours (cut before heads).</t>
        </is>
      </c>
    </row>
    <row r="54">
      <c r="A54" t="inlineStr">
        <is>
          <t xml:space="preserve">  Dashboard_Housing_Sentiment -- demand, sentiment, and the confirmatory lane:</t>
        </is>
      </c>
    </row>
    <row r="55">
      <c r="A55" t="inlineStr">
        <is>
          <t xml:space="preserve">      permits/starts (3m-smoothed -- preliminary prints), UMich sentiment</t>
        </is>
      </c>
    </row>
    <row r="56">
      <c r="A56" t="inlineStr">
        <is>
          <t xml:space="preserve">      (1-month delay label), core capex orders, and the Chauvet-Piger recession</t>
        </is>
      </c>
    </row>
    <row r="57">
      <c r="A57" t="inlineStr">
        <is>
          <t xml:space="preserve">      probability (2-3 months behind: confirmation, never early warning).</t>
        </is>
      </c>
    </row>
    <row r="58">
      <c r="A58" t="inlineStr">
        <is>
          <t xml:space="preserve">  Watchlist -- ADMITTED state rows, one per state, ranked by the UR Sahm-style</t>
        </is>
      </c>
    </row>
    <row r="59">
      <c r="A59" t="inlineStr">
        <is>
          <t xml:space="preserve">      gap with claims-YoY and coincident-index corroboration. Join portfolio</t>
        </is>
      </c>
    </row>
    <row r="60">
      <c r="A60" t="inlineStr">
        <is>
          <t xml:space="preserve">      state exposure on the State column. Joining exposure weights stays a</t>
        </is>
      </c>
    </row>
    <row r="61">
      <c r="A61" t="inlineStr">
        <is>
          <t xml:space="preserve">      manual step in v1 -- the workbook shows footprint stress only.</t>
        </is>
      </c>
    </row>
    <row r="62">
      <c r="A62" t="inlineStr">
        <is>
          <t xml:space="preserve">  Raw_FRED -- raw observations, newest-first (the audit trail).</t>
        </is>
      </c>
    </row>
    <row r="63">
      <c r="A63" t="inlineStr">
        <is>
          <t xml:space="preserve">  _config  -- THE KNOB PANEL: series dictionary + thresholds (source of truth).</t>
        </is>
      </c>
    </row>
    <row r="64">
      <c r="A64" t="inlineStr">
        <is>
          <t xml:space="preserve">  _code_py / _code_vba -- the runner and macro as plain text.</t>
        </is>
      </c>
    </row>
    <row r="65">
      <c r="A65" t="inlineStr"/>
    </row>
    <row r="66">
      <c r="A66" t="inlineStr">
        <is>
          <t>THE WATCHLIST BOUNDARY (default-deny, defense in depth)</t>
        </is>
      </c>
    </row>
    <row r="67">
      <c r="A67" t="inlineStr">
        <is>
          <t xml:space="preserve">  A row only feeds the watchlist if ALL THREE hold: watchlist_capable=TRUE AND</t>
        </is>
      </c>
    </row>
    <row r="68">
      <c r="A68" t="inlineStr">
        <is>
          <t xml:space="preserve">  source_class="A" (this template's only admitted class -- anything else,</t>
        </is>
      </c>
    </row>
    <row r="69">
      <c r="A69" t="inlineStr">
        <is>
          <t xml:space="preserve">  including a future licensed feed, requires its own review) AND geo_segment</t>
        </is>
      </c>
    </row>
    <row r="70">
      <c r="A70" t="inlineStr">
        <is>
          <t xml:space="preserve">  matches the literal pattern state:XX. National/aggregate series cannot</t>
        </is>
      </c>
    </row>
    <row r="71">
      <c r="A71" t="inlineStr">
        <is>
          <t xml:space="preserve">  localize a portfolio footprint; the watchlist admits only state-keyed</t>
        </is>
      </c>
    </row>
    <row r="72">
      <c r="A72" t="inlineStr">
        <is>
          <t xml:space="preserve">  labor/coincident series. A build-time hard gate backs the runtime gate.</t>
        </is>
      </c>
    </row>
    <row r="73">
      <c r="A73" t="inlineStr"/>
    </row>
    <row r="74">
      <c r="A74" t="inlineStr">
        <is>
          <t>STALENESS IS A FIRST-CLASS FAILURE (the SLIND lesson)</t>
        </is>
      </c>
    </row>
    <row r="75">
      <c r="A75" t="inlineStr">
        <is>
          <t xml:space="preserve">  The Philly Fed state LEADING indexes ({ST}SLIND/USSLIND) still return data</t>
        </is>
      </c>
    </row>
    <row r="76">
      <c r="A76" t="inlineStr">
        <is>
          <t xml:space="preserve">  frozen at Feb 2020 -- fetch success is not data currency. The runner compares</t>
        </is>
      </c>
    </row>
    <row r="77">
      <c r="A77" t="inlineStr">
        <is>
          <t xml:space="preserve">  every series' last observation to its cadence (stale_multiplier x period</t>
        </is>
      </c>
    </row>
    <row r="78">
      <c r="A78" t="inlineStr">
        <is>
          <t xml:space="preserve">  length), marks laggards STALE in the digest/status line, and EXCLUDES them</t>
        </is>
      </c>
    </row>
    <row r="79">
      <c r="A79" t="inlineStr">
        <is>
          <t xml:space="preserve">  from alert counts. The frozen family is excluded from the dictionary; its</t>
        </is>
      </c>
    </row>
    <row r="80">
      <c r="A80" t="inlineStr">
        <is>
          <t xml:space="preserve">  leading signal is replicated with permits + claims + the national curve.</t>
        </is>
      </c>
    </row>
    <row r="81">
      <c r="A81" t="inlineStr"/>
    </row>
    <row r="82">
      <c r="A82" t="inlineStr">
        <is>
          <t>COMPLIANCE / LICENSING (binding -- from the coverage research)</t>
        </is>
      </c>
    </row>
    <row r="83">
      <c r="A83" t="inlineStr">
        <is>
          <t xml:space="preserve">  - ICE BofA OAS series (BAMLH0A0HYM2, BAMLC0A0CM): (c) Ice Data Indices --</t>
        </is>
      </c>
    </row>
    <row r="84">
      <c r="A84" t="inlineStr">
        <is>
          <t xml:space="preserve">    display-only with attribution; FRED serves only a ~3-year rolling window</t>
        </is>
      </c>
    </row>
    <row r="85">
      <c r="A85" t="inlineStr">
        <is>
          <t xml:space="preserve">    from Apr 2026, so long-run thresholds (HY OAS &gt;= 8.0) are STATIC REFERENCES,</t>
        </is>
      </c>
    </row>
    <row r="86">
      <c r="A86" t="inlineStr">
        <is>
          <t xml:space="preserve">    never computed percentiles. Embedding cached ICE values in a shared</t>
        </is>
      </c>
    </row>
    <row r="87">
      <c r="A87" t="inlineStr">
        <is>
          <t xml:space="preserve">    workbook is a FLAG-FOR-LEGAL item (exact note text: UNKNOWN -- re-verify).</t>
        </is>
      </c>
    </row>
    <row r="88">
      <c r="A88" t="inlineStr">
        <is>
          <t xml:space="preserve">  - UMCSENT: source-mandated 1-month delay -- the tile is "as of prior month";</t>
        </is>
      </c>
    </row>
    <row r="89">
      <c r="A89" t="inlineStr">
        <is>
          <t xml:space="preserve">    (c) University of Michigan attribution. Never diff against same-month series.</t>
        </is>
      </c>
    </row>
    <row r="90">
      <c r="A90" t="inlineStr">
        <is>
          <t xml:space="preserve">  - FRED API terms (June 2024): no redistribution of third-party proprietary</t>
        </is>
      </c>
    </row>
    <row r="91">
      <c r="A91" t="inlineStr">
        <is>
          <t xml:space="preserve">    content, no AI/ML training use, API key mandatory. Fed/Treasury/BLS/Census</t>
        </is>
      </c>
    </row>
    <row r="92">
      <c r="A92" t="inlineStr">
        <is>
          <t xml:space="preserve">    series are unproblematic for an internal workbook.</t>
        </is>
      </c>
    </row>
    <row r="93">
      <c r="A93" t="inlineStr">
        <is>
          <t xml:space="preserve">  - EQFXSUBPRIME* (county subprime shares): licensing note UNVERIFIED -- kept</t>
        </is>
      </c>
    </row>
    <row r="94">
      <c r="A94" t="inlineStr">
        <is>
          <t xml:space="preserve">    OUT of v1; promotion candidate after legal review.</t>
        </is>
      </c>
    </row>
    <row r="95">
      <c r="A95" t="inlineStr"/>
    </row>
    <row r="96">
      <c r="A96" t="inlineStr">
        <is>
          <t>DATA-QUALITY TRAPS (baked into the transforms / notes)</t>
        </is>
      </c>
    </row>
    <row r="97">
      <c r="A97" t="inlineStr">
        <is>
          <t xml:space="preserve">  - Oct-2025 hole: the BLS household survey was never collected, so {ST}UR has</t>
        </is>
      </c>
    </row>
    <row r="98">
      <c r="A98" t="inlineStr">
        <is>
          <t xml:space="preserve">    a gap and {ST}PHCI skipped the month -- transforms tolerate interior NaN.</t>
        </is>
      </c>
    </row>
    <row r="99">
      <c r="A99" t="inlineStr">
        <is>
          <t xml:space="preserve">  - Annual benchmark revisions (Jan-Mar): LAUS re-benchmarks and all 50 PHCI</t>
        </is>
      </c>
    </row>
    <row r="100">
      <c r="A100" t="inlineStr">
        <is>
          <t xml:space="preserve">    models re-estimate; state histories revise every spring. Alerts are</t>
        </is>
      </c>
    </row>
    <row r="101">
      <c r="A101" t="inlineStr">
        <is>
          <t xml:space="preserve">    point-in-time, not replayable without ALFRED vintages.</t>
        </is>
      </c>
    </row>
    <row r="102">
      <c r="A102" t="inlineStr">
        <is>
          <t xml:space="preserve">  - NSA weekly noise: state claims alert only on the 4-week-MA YoY transform,</t>
        </is>
      </c>
    </row>
    <row r="103">
      <c r="A103" t="inlineStr">
        <is>
          <t xml:space="preserve">    never raw deltas (California holiday/backlog spikes).</t>
        </is>
      </c>
    </row>
    <row r="104">
      <c r="A104" t="inlineStr">
        <is>
          <t xml:space="preserve">  - Release calendars float (2026 BLS dates move between Friday and Tuesday);</t>
        </is>
      </c>
    </row>
    <row r="105">
      <c r="A105" t="inlineStr">
        <is>
          <t xml:space="preserve">    never weekday heuristics -- poll fred/release/dates if scheduling is added.</t>
        </is>
      </c>
    </row>
    <row r="106">
      <c r="A106" t="inlineStr">
        <is>
          <t xml:space="preserve">  - Series-ID churn (TEDRATE, CFSI, STLFSI-&gt;4): live fetches surface</t>
        </is>
      </c>
    </row>
    <row r="107">
      <c r="A107" t="inlineStr">
        <is>
          <t xml:space="preserve">    "(DISCONTINUED)" titles rather than serving stale data.</t>
        </is>
      </c>
    </row>
    <row r="108">
      <c r="A108" t="inlineStr"/>
    </row>
    <row r="109">
      <c r="A109" t="inlineStr">
        <is>
          <t>NO AI IS INVOLVED IN THE DATA PATH. Transforms, thresholds, the staleness</t>
        </is>
      </c>
    </row>
    <row r="110">
      <c r="A110" t="inlineStr">
        <is>
          <t>guard and the watchlist gate are deterministic and config-driven: the same</t>
        </is>
      </c>
    </row>
    <row r="111">
      <c r="A111" t="inlineStr">
        <is>
          <t>input always yields the same workbook.</t>
        </is>
      </c>
    </row>
    <row r="112">
      <c r="A112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2026-07-02T13:49:59Z</dcterms:created>
  <dcterms:modified xsi:type="dcterms:W3CDTF">2026-07-02T13:49:59Z</dcterms:modified>
</cp:coreProperties>
</file>