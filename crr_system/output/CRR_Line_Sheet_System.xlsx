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8.xml.rels" ContentType="application/vnd.openxmlformats-package.relationships+xml"/>
  <Override PartName="/xl/worksheets/_rels/sheet15.xml.rels" ContentType="application/vnd.openxmlformats-package.relationships+xml"/>
  <Override PartName="/xl/worksheets/_rels/sheet1.xml.rels" ContentType="application/vnd.openxmlformats-package.relationships+xml"/>
  <Override PartName="/xl/worksheets/_rels/sheet4.xml.rels" ContentType="application/vnd.openxmlformats-package.relationships+xml"/>
  <Override PartName="/xl/worksheets/_rels/sheet12.xml.rels" ContentType="application/vnd.openxmlformats-package.relationships+xml"/>
  <Override PartName="/xl/worksheets/_rels/sheet13.xml.rels" ContentType="application/vnd.openxmlformats-package.relationships+xml"/>
  <Override PartName="/xl/worksheets/_rels/sheet14.xml.rels" ContentType="application/vnd.openxmlformats-package.relationships+xml"/>
  <Override PartName="/xl/worksheets/sheet11.xml" ContentType="application/vnd.openxmlformats-officedocument.spreadsheetml.worksheet+xml"/>
  <Override PartName="/xl/worksheets/sheet6.xml" ContentType="application/vnd.openxmlformats-officedocument.spreadsheetml.worksheet+xml"/>
  <Override PartName="/xl/worksheets/sheet10.xml" ContentType="application/vnd.openxmlformats-officedocument.spreadsheetml.worksheet+xml"/>
  <Override PartName="/xl/worksheets/sheet5.xml" ContentType="application/vnd.openxmlformats-officedocument.spreadsheetml.worksheet+xml"/>
  <Override PartName="/xl/worksheets/sheet9.xml" ContentType="application/vnd.openxmlformats-officedocument.spreadsheetml.worksheet+xml"/>
  <Override PartName="/xl/worksheets/sheet14.xml" ContentType="application/vnd.openxmlformats-officedocument.spreadsheetml.worksheet+xml"/>
  <Override PartName="/xl/worksheets/sheet8.xml" ContentType="application/vnd.openxmlformats-officedocument.spreadsheetml.worksheet+xml"/>
  <Override PartName="/xl/worksheets/sheet13.xml" ContentType="application/vnd.openxmlformats-officedocument.spreadsheetml.worksheet+xml"/>
  <Override PartName="/xl/worksheets/sheet22.xml" ContentType="application/vnd.openxmlformats-officedocument.spreadsheetml.worksheet+xml"/>
  <Override PartName="/xl/worksheets/sheet21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18.xml" ContentType="application/vnd.openxmlformats-officedocument.spreadsheetml.worksheet+xml"/>
  <Override PartName="/xl/worksheets/sheet17.xml" ContentType="application/vnd.openxmlformats-officedocument.spreadsheetml.worksheet+xml"/>
  <Override PartName="/xl/worksheets/sheet16.xml" ContentType="application/vnd.openxmlformats-officedocument.spreadsheetml.worksheet+xml"/>
  <Override PartName="/xl/worksheets/sheet15.xml" ContentType="application/vnd.openxmlformats-officedocument.spreadsheetml.worksheet+xml"/>
  <Override PartName="/xl/worksheets/sheet4.xml" ContentType="application/vnd.openxmlformats-officedocument.spreadsheetml.worksheet+xml"/>
  <Override PartName="/xl/worksheets/sheet1.xml" ContentType="application/vnd.openxmlformats-officedocument.spreadsheetml.worksheet+xml"/>
  <Override PartName="/xl/worksheets/sheet7.xml" ContentType="application/vnd.openxmlformats-officedocument.spreadsheetml.worksheet+xml"/>
  <Override PartName="/xl/worksheets/sheet12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_rels/drawing6.xml.rels" ContentType="application/vnd.openxmlformats-package.relationships+xml"/>
  <Override PartName="/xl/drawings/_rels/drawing5.xml.rels" ContentType="application/vnd.openxmlformats-package.relationships+xml"/>
  <Override PartName="/xl/drawings/_rels/drawing4.xml.rels" ContentType="application/vnd.openxmlformats-package.relationships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Home" sheetId="1" state="visible" r:id="rId3"/>
    <sheet name="Settings" sheetId="2" state="visible" r:id="rId4"/>
    <sheet name="Lists" sheetId="3" state="visible" r:id="rId5"/>
    <sheet name="Questions" sheetId="4" state="visible" r:id="rId6"/>
    <sheet name="LS_CI" sheetId="5" state="visible" r:id="rId7"/>
    <sheet name="LS_CRE" sheetId="6" state="visible" r:id="rId8"/>
    <sheet name="LS_LL" sheetId="7" state="visible" r:id="rId9"/>
    <sheet name="LS_ABL" sheetId="8" state="visible" r:id="rId10"/>
    <sheet name="LS_ARG" sheetId="9" state="visible" r:id="rId11"/>
    <sheet name="LS_COMP" sheetId="10" state="visible" r:id="rId12"/>
    <sheet name="LS_IA" sheetId="11" state="visible" r:id="rId13"/>
    <sheet name="Database" sheetId="12" state="visible" r:id="rId14"/>
    <sheet name="Responses" sheetId="13" state="visible" r:id="rId15"/>
    <sheet name="Dash_Portfolio" sheetId="14" state="visible" r:id="rId16"/>
    <sheet name="Dash_Exceptions" sheetId="15" state="visible" r:id="rId17"/>
    <sheet name="Obs_View" sheetId="16" state="visible" r:id="rId18"/>
    <sheet name="Dash_Concentration" sheetId="17" state="visible" r:id="rId19"/>
    <sheet name="Dash_Trends" sheetId="18" state="visible" r:id="rId20"/>
    <sheet name="Crosswalk" sheetId="19" state="visible" r:id="rId21"/>
    <sheet name="Assertions" sheetId="20" state="visible" r:id="rId22"/>
    <sheet name="Staging_TypeA" sheetId="21" state="visible" r:id="rId23"/>
    <sheet name="Staging_TypeB" sheetId="22" state="visible" r:id="rId24"/>
  </sheets>
  <definedNames>
    <definedName function="false" hidden="true" localSheetId="11" name="_xlnm._FilterDatabase" vbProcedure="false">Database!$A$1:$X$29</definedName>
    <definedName function="false" hidden="true" localSheetId="3" name="_xlnm._FilterDatabase" vbProcedure="false">Questions!$A$1:$E$179</definedName>
    <definedName function="false" hidden="true" localSheetId="12" name="_xlnm._FilterDatabase" vbProcedure="false">Responses!$A$1:$N$713</definedName>
    <definedName function="false" hidden="false" name="AgencyList" vbProcedure="false">Lists!$C$2:$C$6</definedName>
    <definedName function="false" hidden="false" name="AnswerList" vbProcedure="false">Lists!$A$2:$A$5</definedName>
    <definedName function="false" hidden="false" name="AsOfDate" vbProcedure="false">Settings!$C$4</definedName>
    <definedName function="false" hidden="false" name="CLDLoans" vbProcedure="false">Settings!$C$9</definedName>
    <definedName function="false" hidden="false" name="CRELoans" vbProcedure="false">Settings!$C$10</definedName>
    <definedName function="false" hidden="false" name="CRELoans36" vbProcedure="false">Settings!$C$11</definedName>
    <definedName function="false" hidden="false" name="GradeList" vbProcedure="false">Lists!$D$2:$D$9</definedName>
    <definedName function="false" hidden="false" name="PrimaryAgency" vbProcedure="false">Settings!$C$5</definedName>
    <definedName function="false" hidden="false" name="PropTypeList" vbProcedure="false">Lists!$F$2:$F$7</definedName>
    <definedName function="false" hidden="false" name="StatusList" vbProcedure="false">Lists!$B$2:$B$3</definedName>
    <definedName function="false" hidden="false" name="TotalRBC" vbProcedure="false">Settings!$C$8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<sst xmlns="http://schemas.openxmlformats.org/spreadsheetml/2006/main" count="9745" uniqueCount="989">
  <si>
    <t xml:space="preserve">Credit Risk Review — Line Sheet System</t>
  </si>
  <si>
    <t xml:space="preserve">Independent review per the 2020 Interagency Guidance on Credit Risk Review Systems: rely on LOB information only after critically evaluating it; every conclusion traces to a source.</t>
  </si>
  <si>
    <t xml:space="preserve">How the system works</t>
  </si>
  <si>
    <t xml:space="preserve">1. Ingest</t>
  </si>
  <si>
    <t xml:space="preserve">Run the engine on source documents: regulatory PDFs, internal policy, credit memos (python -m engine extract-thresholds / extract-cam).</t>
  </si>
  <si>
    <t xml:space="preserve">2. Stage</t>
  </si>
  <si>
    <t xml:space="preserve">Extracted rows land on Staging_TypeA / Staging_TypeB with the verbatim source span, page/section, and a confidence flag. Nothing is live yet.</t>
  </si>
  <si>
    <t xml:space="preserve">3. Confirm</t>
  </si>
  <si>
    <t xml:space="preserve">A reviewer marks each staged row Confirmed or Rejected. Low-confidence and Coverage Gap rows are highlighted for resolution.</t>
  </si>
  <si>
    <t xml:space="preserve">4. Promote</t>
  </si>
  <si>
    <t xml:space="preserve">python -m engine promote copies ONLY Confirmed rows to the Crosswalk (thresholds) and Assertions (credit-memo facts) sheets.</t>
  </si>
  <si>
    <t xml:space="preserve">5. Review</t>
  </si>
  <si>
    <t xml:space="preserve">Line sheets re-derive each asserted value independently, compare to the in-force threshold for the review date and agency, and record Yes / No / N/A / Obs answers.</t>
  </si>
  <si>
    <t xml:space="preserve">6. Report</t>
  </si>
  <si>
    <t xml:space="preserve">Database and dashboards roll up exceptions (No only), observations (Obs only), rates (N/A excluded), grades, and concentrations.</t>
  </si>
  <si>
    <t xml:space="preserve">Answer convention (identical on every form)</t>
  </si>
  <si>
    <t xml:space="preserve">Yes</t>
  </si>
  <si>
    <t xml:space="preserve">Clean pass. Note optional.</t>
  </si>
  <si>
    <t xml:space="preserve">No</t>
  </si>
  <si>
    <t xml:space="preserve">Exception / finding. Drives the exception rollup and aging. Rationale note required.</t>
  </si>
  <si>
    <t xml:space="preserve">N/A</t>
  </si>
  <si>
    <t xml:space="preserve">Not applicable. Excluded from numerator AND denominator of every rate.</t>
  </si>
  <si>
    <t xml:space="preserve">Obs</t>
  </si>
  <si>
    <t xml:space="preserve">Pass with a note on record. Note required. Never counted as an exception; surfaces only in the Observations view for thematic patterns.</t>
  </si>
  <si>
    <t xml:space="preserve">Color conventions</t>
  </si>
  <si>
    <t xml:space="preserve">Blue</t>
  </si>
  <si>
    <t xml:space="preserve">Hardcoded inputs you can change</t>
  </si>
  <si>
    <t xml:space="preserve">Black</t>
  </si>
  <si>
    <t xml:space="preserve">Formulas and calculations</t>
  </si>
  <si>
    <t xml:space="preserve">Green</t>
  </si>
  <si>
    <t xml:space="preserve">Links pulling from other sheets (Crosswalk, Settings)</t>
  </si>
  <si>
    <t xml:space="preserve">Yellow fill</t>
  </si>
  <si>
    <t xml:space="preserve">Key assumptions needing attention</t>
  </si>
  <si>
    <t xml:space="preserve">Navigation</t>
  </si>
  <si>
    <t xml:space="preserve">Settings</t>
  </si>
  <si>
    <t xml:space="preserve">As-of date, primary agency, capital inputs</t>
  </si>
  <si>
    <t xml:space="preserve">LS_CI</t>
  </si>
  <si>
    <t xml:space="preserve">C&amp;I / Commercial line sheet (reference template)</t>
  </si>
  <si>
    <t xml:space="preserve">LS_CRE</t>
  </si>
  <si>
    <t xml:space="preserve">Commercial Real Estate line sheet</t>
  </si>
  <si>
    <t xml:space="preserve">LS_LL</t>
  </si>
  <si>
    <t xml:space="preserve">Leveraged Lending line sheet</t>
  </si>
  <si>
    <t xml:space="preserve">LS_ABL</t>
  </si>
  <si>
    <t xml:space="preserve">Asset-Based Lending line sheet</t>
  </si>
  <si>
    <t xml:space="preserve">LS_ARG</t>
  </si>
  <si>
    <t xml:space="preserve">ARG / Workout line sheet</t>
  </si>
  <si>
    <t xml:space="preserve">LS_COMP</t>
  </si>
  <si>
    <t xml:space="preserve">General Compliance line sheet</t>
  </si>
  <si>
    <t xml:space="preserve">LS_IA</t>
  </si>
  <si>
    <t xml:space="preserve">Internal Audit test sheet - generic template for audit shops</t>
  </si>
  <si>
    <t xml:space="preserve">Database</t>
  </si>
  <si>
    <t xml:space="preserve">One row per credit per review</t>
  </si>
  <si>
    <t xml:space="preserve">Responses</t>
  </si>
  <si>
    <t xml:space="preserve">One row per question per credit</t>
  </si>
  <si>
    <t xml:space="preserve">Dash_Portfolio</t>
  </si>
  <si>
    <t xml:space="preserve">Portfolio overview &amp; grade migration</t>
  </si>
  <si>
    <t xml:space="preserve">Dash_Exceptions</t>
  </si>
  <si>
    <t xml:space="preserve">Exceptions (No answers only), severity, aging</t>
  </si>
  <si>
    <t xml:space="preserve">Obs_View</t>
  </si>
  <si>
    <t xml:space="preserve">Observations only - thematic patterns</t>
  </si>
  <si>
    <t xml:space="preserve">Dash_Concentration</t>
  </si>
  <si>
    <t xml:space="preserve">Concentration vs capital, live crosswalk status</t>
  </si>
  <si>
    <t xml:space="preserve">Dash_Trends</t>
  </si>
  <si>
    <t xml:space="preserve">Watch-list / classified trend</t>
  </si>
  <si>
    <t xml:space="preserve">Crosswalk</t>
  </si>
  <si>
    <t xml:space="preserve">Confirmed thresholds with provenance &amp; dating</t>
  </si>
  <si>
    <t xml:space="preserve">Assertions</t>
  </si>
  <si>
    <t xml:space="preserve">Confirmed credit-memo facts vs independent values</t>
  </si>
  <si>
    <t xml:space="preserve">Staging_TypeA</t>
  </si>
  <si>
    <t xml:space="preserve">Extracted thresholds awaiting confirmation</t>
  </si>
  <si>
    <t xml:space="preserve">Staging_TypeB</t>
  </si>
  <si>
    <t xml:space="preserve">Extracted credit-memo assertions awaiting confirmation</t>
  </si>
  <si>
    <t xml:space="preserve">Settings &amp; Bank Inputs</t>
  </si>
  <si>
    <t xml:space="preserve">Review controls</t>
  </si>
  <si>
    <t xml:space="preserve">Review As-Of Date</t>
  </si>
  <si>
    <t xml:space="preserve">Drives crosswalk Active/Rescinded status and exception aging.</t>
  </si>
  <si>
    <t xml:space="preserve">Primary Supervisory Agency</t>
  </si>
  <si>
    <t xml:space="preserve">OCC</t>
  </si>
  <si>
    <t xml:space="preserve">Agency whose thresholds the dashboards cite. Forms use this plus internal policy.</t>
  </si>
  <si>
    <t xml:space="preserve">Capital &amp; concentration inputs</t>
  </si>
  <si>
    <t xml:space="preserve">Total Risk-Based Capital ($000)</t>
  </si>
  <si>
    <t xml:space="preserve">Source: Call Report Schedule RC-R, 3/31/2026 filing.</t>
  </si>
  <si>
    <t xml:space="preserve">Construction, Land &amp; Development Loans ($000)</t>
  </si>
  <si>
    <t xml:space="preserve">Source: internal MIS concentration report, 5/31/2026.</t>
  </si>
  <si>
    <t xml:space="preserve">Total Non-Owner-Occupied CRE Loans ($000)</t>
  </si>
  <si>
    <t xml:space="preserve">Non-OO CRE Balance 36 Months Ago ($000)</t>
  </si>
  <si>
    <t xml:space="preserve">Source: internal MIS concentration report, 5/31/2023.</t>
  </si>
  <si>
    <t xml:space="preserve">Answers</t>
  </si>
  <si>
    <t xml:space="preserve">Status</t>
  </si>
  <si>
    <t xml:space="preserve">Agencies</t>
  </si>
  <si>
    <t xml:space="preserve">Grade</t>
  </si>
  <si>
    <t xml:space="preserve">Category</t>
  </si>
  <si>
    <t xml:space="preserve">PropType</t>
  </si>
  <si>
    <t xml:space="preserve">Severity</t>
  </si>
  <si>
    <t xml:space="preserve">ReviewType</t>
  </si>
  <si>
    <t xml:space="preserve">Regulatory Definition</t>
  </si>
  <si>
    <t xml:space="preserve">In Progress</t>
  </si>
  <si>
    <t xml:space="preserve">Pass</t>
  </si>
  <si>
    <t xml:space="preserve">Office</t>
  </si>
  <si>
    <t xml:space="preserve">High</t>
  </si>
  <si>
    <t xml:space="preserve">Periodic</t>
  </si>
  <si>
    <t xml:space="preserve">Substantially risk-free; strongest financial condition.</t>
  </si>
  <si>
    <t xml:space="preserve">Complete</t>
  </si>
  <si>
    <t xml:space="preserve">FRB</t>
  </si>
  <si>
    <t xml:space="preserve">Multifamily</t>
  </si>
  <si>
    <t xml:space="preserve">Medium</t>
  </si>
  <si>
    <t xml:space="preserve">Targeted</t>
  </si>
  <si>
    <t xml:space="preserve">Strong financial condition; ample debt-service capacity.</t>
  </si>
  <si>
    <t xml:space="preserve">FDIC</t>
  </si>
  <si>
    <t xml:space="preserve">Retail</t>
  </si>
  <si>
    <t xml:space="preserve">Low</t>
  </si>
  <si>
    <t xml:space="preserve">Continuous</t>
  </si>
  <si>
    <t xml:space="preserve">Satisfactory; adequate capacity with identifiable secondary support.</t>
  </si>
  <si>
    <t xml:space="preserve">CFPB</t>
  </si>
  <si>
    <t xml:space="preserve">Industrial</t>
  </si>
  <si>
    <t xml:space="preserve">Acceptable with attention; tighter margins or higher leverage.</t>
  </si>
  <si>
    <t xml:space="preserve">Internal</t>
  </si>
  <si>
    <t xml:space="preserve">Special Mention</t>
  </si>
  <si>
    <t xml:space="preserve">Hospitality</t>
  </si>
  <si>
    <t xml:space="preserve">Potential weaknesses deserving close attention; if uncorrected may weaken prospects.</t>
  </si>
  <si>
    <t xml:space="preserve">Substandard</t>
  </si>
  <si>
    <t xml:space="preserve">Other</t>
  </si>
  <si>
    <t xml:space="preserve">Well-defined weakness; distinct possibility of loss if not corrected.</t>
  </si>
  <si>
    <t xml:space="preserve">Doubtful</t>
  </si>
  <si>
    <t xml:space="preserve">Collection in full highly questionable and improbable.</t>
  </si>
  <si>
    <t xml:space="preserve">Loss</t>
  </si>
  <si>
    <t xml:space="preserve">Considered uncollectible; charge-off warranted.</t>
  </si>
  <si>
    <t xml:space="preserve">QID</t>
  </si>
  <si>
    <t xml:space="preserve">Seg</t>
  </si>
  <si>
    <t xml:space="preserve">Section (2020 CRR criteria)</t>
  </si>
  <si>
    <t xml:space="preserve">Question</t>
  </si>
  <si>
    <t xml:space="preserve">CI-Q01</t>
  </si>
  <si>
    <t xml:space="preserve">CI</t>
  </si>
  <si>
    <t xml:space="preserve">Credit Quality &amp; Risk-Grade Accuracy</t>
  </si>
  <si>
    <t xml:space="preserve">LOB-assigned risk grade is supported by current financial analysis.</t>
  </si>
  <si>
    <t xml:space="preserve">CI-Q02</t>
  </si>
  <si>
    <t xml:space="preserve">Grade reflects all material credit weaknesses identified in the file.</t>
  </si>
  <si>
    <t xml:space="preserve">CI-Q03</t>
  </si>
  <si>
    <t xml:space="preserve">Grade was reviewed/affirmed within policy frequency requirements.</t>
  </si>
  <si>
    <t xml:space="preserve">CI-Q04</t>
  </si>
  <si>
    <t xml:space="preserve">Underwriting Soundness</t>
  </si>
  <si>
    <t xml:space="preserve">Underwriting at origination conformed to policy standards in effect.</t>
  </si>
  <si>
    <t xml:space="preserve">CI-Q05</t>
  </si>
  <si>
    <t xml:space="preserve">Financial statements meet policy quality/recency requirements (audit level, age).</t>
  </si>
  <si>
    <t xml:space="preserve">CI-Q06</t>
  </si>
  <si>
    <t xml:space="preserve">Analysis critically evaluates borrower-provided information rather than restating it.</t>
  </si>
  <si>
    <t xml:space="preserve">CI-Q07</t>
  </si>
  <si>
    <t xml:space="preserve">Repayment Sources &amp; Projections</t>
  </si>
  <si>
    <t xml:space="preserve">Primary repayment source is clearly identified and quantitatively supported.</t>
  </si>
  <si>
    <t xml:space="preserve">CI-Q08</t>
  </si>
  <si>
    <t xml:space="preserve">Secondary repayment source is identified and realizable.</t>
  </si>
  <si>
    <t xml:space="preserve">CI-Q09</t>
  </si>
  <si>
    <t xml:space="preserve">Projection assumptions are reasonable versus historical performance and market data.</t>
  </si>
  <si>
    <t xml:space="preserve">CI-Q10</t>
  </si>
  <si>
    <t xml:space="preserve">Guarantor / Sponsor Creditworthiness</t>
  </si>
  <si>
    <t xml:space="preserve">Guarantor/sponsor financial condition is current, analyzed, and supports reliance.</t>
  </si>
  <si>
    <t xml:space="preserve">CI-Q11</t>
  </si>
  <si>
    <t xml:space="preserve">Guaranty enforceability documented (signed, unconditional unless approved otherwise).</t>
  </si>
  <si>
    <t xml:space="preserve">CI-Q12</t>
  </si>
  <si>
    <t xml:space="preserve">Credit &amp; Collateral Documentation / Lien Perfection</t>
  </si>
  <si>
    <t xml:space="preserve">All required credit documents are present, current, and properly executed.</t>
  </si>
  <si>
    <t xml:space="preserve">CI-Q13</t>
  </si>
  <si>
    <t xml:space="preserve">Lien positions are perfected and verified (searches, filings, titles).</t>
  </si>
  <si>
    <t xml:space="preserve">CI-Q14</t>
  </si>
  <si>
    <t xml:space="preserve">Insurance requirements are met and the bank is loss payee where required.</t>
  </si>
  <si>
    <t xml:space="preserve">CI-Q15</t>
  </si>
  <si>
    <t xml:space="preserve">Approval Authority</t>
  </si>
  <si>
    <t xml:space="preserve">Credit was approved within delegated authority of the approving officer(s).</t>
  </si>
  <si>
    <t xml:space="preserve">CI-Q16</t>
  </si>
  <si>
    <t xml:space="preserve">Policy exceptions at approval were identified, justified, and approved at proper level.</t>
  </si>
  <si>
    <t xml:space="preserve">CI-Q17</t>
  </si>
  <si>
    <t xml:space="preserve">Covenant Adherence</t>
  </si>
  <si>
    <t xml:space="preserve">Covenant compliance is tested at required frequency with evidence retained.</t>
  </si>
  <si>
    <t xml:space="preserve">CI-Q18</t>
  </si>
  <si>
    <t xml:space="preserve">Covenant breaches (if any) were identified, reported, and waived/cured per policy.</t>
  </si>
  <si>
    <t xml:space="preserve">CI-Q19</t>
  </si>
  <si>
    <t xml:space="preserve">Policy Compliance</t>
  </si>
  <si>
    <t xml:space="preserve">Credit complies with internal lending policy limits (hold limits, tenor, pricing floors).</t>
  </si>
  <si>
    <t xml:space="preserve">CI-Q20</t>
  </si>
  <si>
    <t xml:space="preserve">Required periodic monitoring (annual review, site visits) is current.</t>
  </si>
  <si>
    <t xml:space="preserve">CI-Q21</t>
  </si>
  <si>
    <t xml:space="preserve">Five Cs of Credit</t>
  </si>
  <si>
    <t xml:space="preserve">Character: management track record, credit history, and integrity assessed.</t>
  </si>
  <si>
    <t xml:space="preserve">CI-Q22</t>
  </si>
  <si>
    <t xml:space="preserve">Capacity: cash-flow capacity analysis covers debt service under stress.</t>
  </si>
  <si>
    <t xml:space="preserve">CI-Q23</t>
  </si>
  <si>
    <t xml:space="preserve">Capital: borrower equity/tangible net worth is adequate for the risk.</t>
  </si>
  <si>
    <t xml:space="preserve">CI-Q24</t>
  </si>
  <si>
    <t xml:space="preserve">Collateral: valuation basis is current and discounts are appropriate.</t>
  </si>
  <si>
    <t xml:space="preserve">CI-Q25</t>
  </si>
  <si>
    <t xml:space="preserve">Conditions: industry, market, and macro conditions are evaluated.</t>
  </si>
  <si>
    <t xml:space="preserve">CI-Q26</t>
  </si>
  <si>
    <t xml:space="preserve">Global Cash Flow</t>
  </si>
  <si>
    <t xml:space="preserve">Global cash flow combines business and guarantor sources with consistent treatment of taxes/living expenses.</t>
  </si>
  <si>
    <t xml:space="preserve">CI-Q27</t>
  </si>
  <si>
    <t xml:space="preserve">Inter-company / related-entity flows are identified and not double-counted.</t>
  </si>
  <si>
    <t xml:space="preserve">CRE-Q01</t>
  </si>
  <si>
    <t xml:space="preserve">CRE</t>
  </si>
  <si>
    <t xml:space="preserve">CRE-Q02</t>
  </si>
  <si>
    <t xml:space="preserve">CRE-Q03</t>
  </si>
  <si>
    <t xml:space="preserve">CRE-Q04</t>
  </si>
  <si>
    <t xml:space="preserve">CRE-Q05</t>
  </si>
  <si>
    <t xml:space="preserve">CRE-Q06</t>
  </si>
  <si>
    <t xml:space="preserve">CRE-Q07</t>
  </si>
  <si>
    <t xml:space="preserve">CRE-Q08</t>
  </si>
  <si>
    <t xml:space="preserve">CRE-Q09</t>
  </si>
  <si>
    <t xml:space="preserve">CRE-Q10</t>
  </si>
  <si>
    <t xml:space="preserve">CRE-Q11</t>
  </si>
  <si>
    <t xml:space="preserve">CRE-Q12</t>
  </si>
  <si>
    <t xml:space="preserve">CRE-Q13</t>
  </si>
  <si>
    <t xml:space="preserve">CRE-Q14</t>
  </si>
  <si>
    <t xml:space="preserve">CRE-Q15</t>
  </si>
  <si>
    <t xml:space="preserve">CRE-Q16</t>
  </si>
  <si>
    <t xml:space="preserve">CRE-Q17</t>
  </si>
  <si>
    <t xml:space="preserve">CRE-Q18</t>
  </si>
  <si>
    <t xml:space="preserve">CRE-Q19</t>
  </si>
  <si>
    <t xml:space="preserve">CRE-Q20</t>
  </si>
  <si>
    <t xml:space="preserve">CRE-Q21</t>
  </si>
  <si>
    <t xml:space="preserve">Property &amp; Market (subform: Office / Multifamily / Retail)</t>
  </si>
  <si>
    <t xml:space="preserve">Property-type risk factors (office obsolescence, MF supply, retail anchor risk) addressed for the subject type.</t>
  </si>
  <si>
    <t xml:space="preserve">CRE-Q22</t>
  </si>
  <si>
    <t xml:space="preserve">Occupancy and lease rollover within 24 months are analyzed against market.</t>
  </si>
  <si>
    <t xml:space="preserve">CRE-Q23</t>
  </si>
  <si>
    <t xml:space="preserve">Cap-rate sensitivity / stressed-value analysis is documented.</t>
  </si>
  <si>
    <t xml:space="preserve">CRE-Q24</t>
  </si>
  <si>
    <t xml:space="preserve">Appraisal &amp; Evaluation (FIRREA / USPAP)</t>
  </si>
  <si>
    <t xml:space="preserve">Valuation product type (appraisal vs. evaluation) meets the regulatory threshold for this transaction size.</t>
  </si>
  <si>
    <t xml:space="preserve">CRE-Q25</t>
  </si>
  <si>
    <t xml:space="preserve">Appraiser was engaged independently of the credit function.</t>
  </si>
  <si>
    <t xml:space="preserve">CRE-Q26</t>
  </si>
  <si>
    <t xml:space="preserve">Appraisal is valid/recent for this action or revalidation is documented.</t>
  </si>
  <si>
    <t xml:space="preserve">CRE-Q27</t>
  </si>
  <si>
    <t xml:space="preserve">Appraisal review evidence is in file and issues were resolved.</t>
  </si>
  <si>
    <t xml:space="preserve">LL-Q01</t>
  </si>
  <si>
    <t xml:space="preserve">LL</t>
  </si>
  <si>
    <t xml:space="preserve">LL-Q02</t>
  </si>
  <si>
    <t xml:space="preserve">LL-Q03</t>
  </si>
  <si>
    <t xml:space="preserve">LL-Q04</t>
  </si>
  <si>
    <t xml:space="preserve">LL-Q05</t>
  </si>
  <si>
    <t xml:space="preserve">LL-Q06</t>
  </si>
  <si>
    <t xml:space="preserve">LL-Q07</t>
  </si>
  <si>
    <t xml:space="preserve">LL-Q08</t>
  </si>
  <si>
    <t xml:space="preserve">LL-Q09</t>
  </si>
  <si>
    <t xml:space="preserve">LL-Q10</t>
  </si>
  <si>
    <t xml:space="preserve">LL-Q11</t>
  </si>
  <si>
    <t xml:space="preserve">LL-Q12</t>
  </si>
  <si>
    <t xml:space="preserve">LL-Q13</t>
  </si>
  <si>
    <t xml:space="preserve">LL-Q14</t>
  </si>
  <si>
    <t xml:space="preserve">LL-Q15</t>
  </si>
  <si>
    <t xml:space="preserve">LL-Q16</t>
  </si>
  <si>
    <t xml:space="preserve">LL-Q17</t>
  </si>
  <si>
    <t xml:space="preserve">LL-Q18</t>
  </si>
  <si>
    <t xml:space="preserve">LL-Q19</t>
  </si>
  <si>
    <t xml:space="preserve">LL-Q20</t>
  </si>
  <si>
    <t xml:space="preserve">LL-Q21</t>
  </si>
  <si>
    <t xml:space="preserve">Leveraged Lending Specifics</t>
  </si>
  <si>
    <t xml:space="preserve">Transaction meets the bank's leveraged-lending definition and is flagged in systems.</t>
  </si>
  <si>
    <t xml:space="preserve">LL-Q22</t>
  </si>
  <si>
    <t xml:space="preserve">Sponsor track record, support history, and equity contribution are analyzed.</t>
  </si>
  <si>
    <t xml:space="preserve">LL-Q23</t>
  </si>
  <si>
    <t xml:space="preserve">Covenant package adequacy assessed; cov-lite structure identified and justified.</t>
  </si>
  <si>
    <t xml:space="preserve">LL-Q24</t>
  </si>
  <si>
    <t xml:space="preserve">EBITDA adjustments/add-backs are scrutinized and supportable.</t>
  </si>
  <si>
    <t xml:space="preserve">LL-Q25</t>
  </si>
  <si>
    <t xml:space="preserve">Enterprise-value cushion is estimated on a supportable basis.</t>
  </si>
  <si>
    <t xml:space="preserve">LL-Q26</t>
  </si>
  <si>
    <t xml:space="preserve">Repayment-capacity test (de-lever &gt;=50% of total debt over 5-7 years, base case) is evidenced.</t>
  </si>
  <si>
    <t xml:space="preserve">ABL-Q01</t>
  </si>
  <si>
    <t xml:space="preserve">ABL</t>
  </si>
  <si>
    <t xml:space="preserve">ABL-Q02</t>
  </si>
  <si>
    <t xml:space="preserve">ABL-Q03</t>
  </si>
  <si>
    <t xml:space="preserve">ABL-Q04</t>
  </si>
  <si>
    <t xml:space="preserve">ABL-Q05</t>
  </si>
  <si>
    <t xml:space="preserve">ABL-Q06</t>
  </si>
  <si>
    <t xml:space="preserve">ABL-Q07</t>
  </si>
  <si>
    <t xml:space="preserve">ABL-Q08</t>
  </si>
  <si>
    <t xml:space="preserve">ABL-Q09</t>
  </si>
  <si>
    <t xml:space="preserve">ABL-Q10</t>
  </si>
  <si>
    <t xml:space="preserve">ABL-Q11</t>
  </si>
  <si>
    <t xml:space="preserve">ABL-Q12</t>
  </si>
  <si>
    <t xml:space="preserve">ABL-Q13</t>
  </si>
  <si>
    <t xml:space="preserve">ABL-Q14</t>
  </si>
  <si>
    <t xml:space="preserve">ABL-Q15</t>
  </si>
  <si>
    <t xml:space="preserve">ABL-Q16</t>
  </si>
  <si>
    <t xml:space="preserve">ABL-Q17</t>
  </si>
  <si>
    <t xml:space="preserve">ABL-Q18</t>
  </si>
  <si>
    <t xml:space="preserve">ABL-Q19</t>
  </si>
  <si>
    <t xml:space="preserve">ABL-Q20</t>
  </si>
  <si>
    <t xml:space="preserve">ABL-Q21</t>
  </si>
  <si>
    <t xml:space="preserve">Borrowing Base Mechanics</t>
  </si>
  <si>
    <t xml:space="preserve">Eligibility criteria (AR aging, concentration, cross-age; inventory categories) applied per agreement.</t>
  </si>
  <si>
    <t xml:space="preserve">ABL-Q22</t>
  </si>
  <si>
    <t xml:space="preserve">Ineligibles are identified, current, and correctly deducted.</t>
  </si>
  <si>
    <t xml:space="preserve">ABL-Q23</t>
  </si>
  <si>
    <t xml:space="preserve">Dilution is tracked and advance rates remain appropriate to dilution experience.</t>
  </si>
  <si>
    <t xml:space="preserve">ABL-Q24</t>
  </si>
  <si>
    <t xml:space="preserve">Field examination is current per policy frequency and findings were cleared.</t>
  </si>
  <si>
    <t xml:space="preserve">ABL-Q25</t>
  </si>
  <si>
    <t xml:space="preserve">Inventory appraisal (NOLV) is current and supports the advance rate.</t>
  </si>
  <si>
    <t xml:space="preserve">ABL-Q26</t>
  </si>
  <si>
    <t xml:space="preserve">Borrowing-base certificate frequency and verification meet monitoring requirements.</t>
  </si>
  <si>
    <t xml:space="preserve">ARG-Q01</t>
  </si>
  <si>
    <t xml:space="preserve">ARG</t>
  </si>
  <si>
    <t xml:space="preserve">ARG-Q02</t>
  </si>
  <si>
    <t xml:space="preserve">ARG-Q03</t>
  </si>
  <si>
    <t xml:space="preserve">ARG-Q04</t>
  </si>
  <si>
    <t xml:space="preserve">ARG-Q05</t>
  </si>
  <si>
    <t xml:space="preserve">ARG-Q06</t>
  </si>
  <si>
    <t xml:space="preserve">ARG-Q07</t>
  </si>
  <si>
    <t xml:space="preserve">ARG-Q08</t>
  </si>
  <si>
    <t xml:space="preserve">ARG-Q09</t>
  </si>
  <si>
    <t xml:space="preserve">ARG-Q10</t>
  </si>
  <si>
    <t xml:space="preserve">ARG-Q11</t>
  </si>
  <si>
    <t xml:space="preserve">ARG-Q12</t>
  </si>
  <si>
    <t xml:space="preserve">ARG-Q13</t>
  </si>
  <si>
    <t xml:space="preserve">ARG-Q14</t>
  </si>
  <si>
    <t xml:space="preserve">ARG-Q15</t>
  </si>
  <si>
    <t xml:space="preserve">ARG-Q16</t>
  </si>
  <si>
    <t xml:space="preserve">ARG-Q17</t>
  </si>
  <si>
    <t xml:space="preserve">ARG-Q18</t>
  </si>
  <si>
    <t xml:space="preserve">ARG-Q19</t>
  </si>
  <si>
    <t xml:space="preserve">ARG-Q20</t>
  </si>
  <si>
    <t xml:space="preserve">ARG-Q21</t>
  </si>
  <si>
    <t xml:space="preserve">Impairment, Accrual &amp; Workout (ASC 326)</t>
  </si>
  <si>
    <t xml:space="preserve">Impairment measurement method is appropriate (collateral-dependent practical expedient applied correctly).</t>
  </si>
  <si>
    <t xml:space="preserve">ARG-Q22</t>
  </si>
  <si>
    <t xml:space="preserve">Nonaccrual status is correct and timely per regulatory definitions.</t>
  </si>
  <si>
    <t xml:space="preserve">ARG-Q23</t>
  </si>
  <si>
    <t xml:space="preserve">Modification / TDR-successor disclosures and tracking are accurate.</t>
  </si>
  <si>
    <t xml:space="preserve">ARG-Q24</t>
  </si>
  <si>
    <t xml:space="preserve">Charge-offs were taken timely when loss was confirmed; recoveries posted correctly.</t>
  </si>
  <si>
    <t xml:space="preserve">ARG-Q25</t>
  </si>
  <si>
    <t xml:space="preserve">Liquidation values reflect current, supportable collateral data and costs to sell.</t>
  </si>
  <si>
    <t xml:space="preserve">ARG-Q26</t>
  </si>
  <si>
    <t xml:space="preserve">Exit strategy is documented, realistic, and progressing against milestones.</t>
  </si>
  <si>
    <t xml:space="preserve">ARG-Q27</t>
  </si>
  <si>
    <t xml:space="preserve">Criticized/classified migration history is captured accurately in systems.</t>
  </si>
  <si>
    <t xml:space="preserve">IA-Q01</t>
  </si>
  <si>
    <t xml:space="preserve">IA</t>
  </si>
  <si>
    <t xml:space="preserve">Engagement Planning &amp; Scoping</t>
  </si>
  <si>
    <t xml:space="preserve">Engagement objectives and scope are documented and approved before fieldwork.</t>
  </si>
  <si>
    <t xml:space="preserve">IA-Q02</t>
  </si>
  <si>
    <t xml:space="preserve">Risk assessment supports the audit scope and the controls selected for testing.</t>
  </si>
  <si>
    <t xml:space="preserve">IA-Q03</t>
  </si>
  <si>
    <t xml:space="preserve">Prior audit issues and external findings in scope were considered in planning.</t>
  </si>
  <si>
    <t xml:space="preserve">IA-Q04</t>
  </si>
  <si>
    <t xml:space="preserve">Auditor independence and objectivity are documented (no scope conflicts).</t>
  </si>
  <si>
    <t xml:space="preserve">IA-Q05</t>
  </si>
  <si>
    <t xml:space="preserve">Control Design Effectiveness</t>
  </si>
  <si>
    <t xml:space="preserve">The control, as designed, addresses the stated risk and control objective.</t>
  </si>
  <si>
    <t xml:space="preserve">IA-Q06</t>
  </si>
  <si>
    <t xml:space="preserve">Control owner, frequency, and precision level are documented and current.</t>
  </si>
  <si>
    <t xml:space="preserve">IA-Q07</t>
  </si>
  <si>
    <t xml:space="preserve">Key reports / system configurations relied on by the control are validated (IPE).</t>
  </si>
  <si>
    <t xml:space="preserve">IA-Q08</t>
  </si>
  <si>
    <t xml:space="preserve">Control Operating Effectiveness</t>
  </si>
  <si>
    <t xml:space="preserve">Sample size and selection method conform to the audit sampling methodology.</t>
  </si>
  <si>
    <t xml:space="preserve">IA-Q09</t>
  </si>
  <si>
    <t xml:space="preserve">Testing covers the full period under audit, including period-end activity.</t>
  </si>
  <si>
    <t xml:space="preserve">IA-Q10</t>
  </si>
  <si>
    <t xml:space="preserve">All sample exceptions are evaluated, dispositioned, and extrapolated where required.</t>
  </si>
  <si>
    <t xml:space="preserve">IA-Q11</t>
  </si>
  <si>
    <t xml:space="preserve">Compensating controls are identified and tested where the primary control failed.</t>
  </si>
  <si>
    <t xml:space="preserve">IA-Q12</t>
  </si>
  <si>
    <t xml:space="preserve">Evidence &amp; Workpaper Documentation</t>
  </si>
  <si>
    <t xml:space="preserve">Workpapers allow re-performance: source, population, sample, and results are traceable.</t>
  </si>
  <si>
    <t xml:space="preserve">IA-Q13</t>
  </si>
  <si>
    <t xml:space="preserve">Evidence is retained per the records schedule and references tie to the audit program.</t>
  </si>
  <si>
    <t xml:space="preserve">IA-Q14</t>
  </si>
  <si>
    <t xml:space="preserve">Conclusions in the workpaper are consistent with the evidence documented.</t>
  </si>
  <si>
    <t xml:space="preserve">IA-Q15</t>
  </si>
  <si>
    <t xml:space="preserve">Reporting &amp; Issue Management</t>
  </si>
  <si>
    <t xml:space="preserve">Findings are risk-rated per methodology and agreed with the issue owner.</t>
  </si>
  <si>
    <t xml:space="preserve">IA-Q16</t>
  </si>
  <si>
    <t xml:space="preserve">Management action plans have owners and realistic target dates.</t>
  </si>
  <si>
    <t xml:space="preserve">IA-Q17</t>
  </si>
  <si>
    <t xml:space="preserve">Report conclusions are supported by the documented test results.</t>
  </si>
  <si>
    <t xml:space="preserve">IA-Q18</t>
  </si>
  <si>
    <t xml:space="preserve">Follow-Up &amp; Remediation</t>
  </si>
  <si>
    <t xml:space="preserve">Past-due issues are escalated per policy.</t>
  </si>
  <si>
    <t xml:space="preserve">IA-Q19</t>
  </si>
  <si>
    <t xml:space="preserve">Issue closure is supported by independent validation, not management attestation alone.</t>
  </si>
  <si>
    <t xml:space="preserve">COMP-Q01</t>
  </si>
  <si>
    <t xml:space="preserve">COMP</t>
  </si>
  <si>
    <t xml:space="preserve">COMP-Q02</t>
  </si>
  <si>
    <t xml:space="preserve">COMP-Q03</t>
  </si>
  <si>
    <t xml:space="preserve">COMP-Q04</t>
  </si>
  <si>
    <t xml:space="preserve">COMP-Q05</t>
  </si>
  <si>
    <t xml:space="preserve">COMP-Q06</t>
  </si>
  <si>
    <t xml:space="preserve">COMP-Q07</t>
  </si>
  <si>
    <t xml:space="preserve">COMP-Q08</t>
  </si>
  <si>
    <t xml:space="preserve">COMP-Q09</t>
  </si>
  <si>
    <t xml:space="preserve">COMP-Q10</t>
  </si>
  <si>
    <t xml:space="preserve">COMP-Q11</t>
  </si>
  <si>
    <t xml:space="preserve">COMP-Q12</t>
  </si>
  <si>
    <t xml:space="preserve">COMP-Q13</t>
  </si>
  <si>
    <t xml:space="preserve">COMP-Q14</t>
  </si>
  <si>
    <t xml:space="preserve">COMP-Q15</t>
  </si>
  <si>
    <t xml:space="preserve">COMP-Q16</t>
  </si>
  <si>
    <t xml:space="preserve">COMP-Q17</t>
  </si>
  <si>
    <t xml:space="preserve">COMP-Q18</t>
  </si>
  <si>
    <t xml:space="preserve">COMP-Q19</t>
  </si>
  <si>
    <t xml:space="preserve">COMP-Q20</t>
  </si>
  <si>
    <t xml:space="preserve">COMP-Q21</t>
  </si>
  <si>
    <t xml:space="preserve">Risk-Rating Framework</t>
  </si>
  <si>
    <t xml:space="preserve">Assigned rating maps correctly to the regulatory scale (Pass / Special Mention / Substandard / Doubtful / Loss).</t>
  </si>
  <si>
    <t xml:space="preserve">COMP-Q22</t>
  </si>
  <si>
    <t xml:space="preserve">Rating definitions applied match the bank's approved rating policy.</t>
  </si>
  <si>
    <t xml:space="preserve">COMP-Q23</t>
  </si>
  <si>
    <t xml:space="preserve">ALLL / CECL Linkage</t>
  </si>
  <si>
    <t xml:space="preserve">Risk grade flows correctly into the CECL pool / individual evaluation status.</t>
  </si>
  <si>
    <t xml:space="preserve">COMP-Q24</t>
  </si>
  <si>
    <t xml:space="preserve">Individually evaluated credits have current, supportable measurement inputs.</t>
  </si>
  <si>
    <t xml:space="preserve">COMP-Q25</t>
  </si>
  <si>
    <t xml:space="preserve">Consumer-Adjacent Touchpoints</t>
  </si>
  <si>
    <t xml:space="preserve">Flood determination obtained and insurance in place for improved collateral in SFHA.</t>
  </si>
  <si>
    <t xml:space="preserve">COMP-Q26</t>
  </si>
  <si>
    <t xml:space="preserve">Fair-lending / HMDA data points captured where the credit is reportable.</t>
  </si>
  <si>
    <t xml:space="preserve">C&amp;I / Commercial — Credit Risk Review Line Sheet</t>
  </si>
  <si>
    <t xml:space="preserve">Independent challenge function: re-derive, confirm, or dispute each asserted value. Answers: Yes / No / N/A / Obs (Obs requires a note; N/A is excluded from all rates).</t>
  </si>
  <si>
    <t xml:space="preserve">A.  Credit Identification</t>
  </si>
  <si>
    <t xml:space="preserve">Credit ID</t>
  </si>
  <si>
    <t xml:space="preserve">CI-2026001</t>
  </si>
  <si>
    <t xml:space="preserve">Review Date</t>
  </si>
  <si>
    <t xml:space="preserve">LOB Assigned Grade</t>
  </si>
  <si>
    <t xml:space="preserve">Borrower</t>
  </si>
  <si>
    <t xml:space="preserve">Meridian Fabrication Holdings, LLC</t>
  </si>
  <si>
    <t xml:space="preserve">Financials As-Of</t>
  </si>
  <si>
    <t xml:space="preserve">CRR Concluded Grade</t>
  </si>
  <si>
    <t xml:space="preserve">Commitment ($000)</t>
  </si>
  <si>
    <t xml:space="preserve">Reviewer</t>
  </si>
  <si>
    <t xml:space="preserve">A. Chen</t>
  </si>
  <si>
    <t xml:space="preserve">Regulatory Category</t>
  </si>
  <si>
    <t xml:space="preserve">Review Type</t>
  </si>
  <si>
    <t xml:space="preserve">Subtype / Property Type</t>
  </si>
  <si>
    <t xml:space="preserve">Grade Concurrence</t>
  </si>
  <si>
    <t xml:space="preserve">B.  Financial Inputs — CRR Independent Spread</t>
  </si>
  <si>
    <t xml:space="preserve">Input</t>
  </si>
  <si>
    <t xml:space="preserve">Value</t>
  </si>
  <si>
    <t xml:space="preserve">Source / Note</t>
  </si>
  <si>
    <t xml:space="preserve">Revenue ($000)</t>
  </si>
  <si>
    <t xml:space="preserve">EBITDA ($000)</t>
  </si>
  <si>
    <t xml:space="preserve">Interest Expense ($000)</t>
  </si>
  <si>
    <t xml:space="preserve">CPLTD ($000)</t>
  </si>
  <si>
    <t xml:space="preserve">Current portion of long-term debt</t>
  </si>
  <si>
    <t xml:space="preserve">Cash Taxes ($000)</t>
  </si>
  <si>
    <t xml:space="preserve">Maintenance Capex ($000)</t>
  </si>
  <si>
    <t xml:space="preserve">Distributions ($000)</t>
  </si>
  <si>
    <t xml:space="preserve">Total Debt ($000)</t>
  </si>
  <si>
    <t xml:space="preserve">Senior Debt ($000)</t>
  </si>
  <si>
    <t xml:space="preserve">Current Assets ($000)</t>
  </si>
  <si>
    <t xml:space="preserve">Current Liabilities ($000)</t>
  </si>
  <si>
    <t xml:space="preserve">Accounts Receivable ($000)</t>
  </si>
  <si>
    <t xml:space="preserve">Inventory ($000)</t>
  </si>
  <si>
    <t xml:space="preserve">Accounts Payable ($000)</t>
  </si>
  <si>
    <t xml:space="preserve">COGS ($000)</t>
  </si>
  <si>
    <t xml:space="preserve">Tangible Net Worth ($000)</t>
  </si>
  <si>
    <t xml:space="preserve">Guarantor Cash Flow ($000)</t>
  </si>
  <si>
    <t xml:space="preserve">Personal CF available for debt service</t>
  </si>
  <si>
    <t xml:space="preserve">Guarantor Debt Service ($000)</t>
  </si>
  <si>
    <t xml:space="preserve">C.  Ratio Engine — Independent vs. Asserted</t>
  </si>
  <si>
    <t xml:space="preserve">ID</t>
  </si>
  <si>
    <t xml:space="preserve">Ratio</t>
  </si>
  <si>
    <t xml:space="preserve">CRR Independent</t>
  </si>
  <si>
    <t xml:space="preserve">Per CAM (Asserted)</t>
  </si>
  <si>
    <t xml:space="preserve">Variance</t>
  </si>
  <si>
    <t xml:space="preserve">Alignment</t>
  </si>
  <si>
    <t xml:space="preserve">Threshold (In Force)</t>
  </si>
  <si>
    <t xml:space="preserve">Vs Threshold</t>
  </si>
  <si>
    <t xml:space="preserve">Note</t>
  </si>
  <si>
    <t xml:space="preserve">CI-R1</t>
  </si>
  <si>
    <t xml:space="preserve">Total Debt / EBITDA</t>
  </si>
  <si>
    <t xml:space="preserve">CI-R2</t>
  </si>
  <si>
    <t xml:space="preserve">Senior Debt / EBITDA</t>
  </si>
  <si>
    <t xml:space="preserve">CI-R3</t>
  </si>
  <si>
    <t xml:space="preserve">DSCR</t>
  </si>
  <si>
    <t xml:space="preserve">CI-R4</t>
  </si>
  <si>
    <t xml:space="preserve">Fixed-Charge Coverage</t>
  </si>
  <si>
    <t xml:space="preserve">n/a</t>
  </si>
  <si>
    <t xml:space="preserve">CI-R5</t>
  </si>
  <si>
    <t xml:space="preserve">Interest Coverage</t>
  </si>
  <si>
    <t xml:space="preserve">CI-R6</t>
  </si>
  <si>
    <t xml:space="preserve">Current Ratio</t>
  </si>
  <si>
    <t xml:space="preserve">CI-R7</t>
  </si>
  <si>
    <t xml:space="preserve">Working Capital Cycle (days)</t>
  </si>
  <si>
    <t xml:space="preserve">CI-R8</t>
  </si>
  <si>
    <t xml:space="preserve">Debt / Tangible Net Worth</t>
  </si>
  <si>
    <t xml:space="preserve">CI-R9</t>
  </si>
  <si>
    <t xml:space="preserve">Global DSCR (incl. guarantor)</t>
  </si>
  <si>
    <t xml:space="preserve">D.  Credit Quality &amp; Risk-Grade Accuracy</t>
  </si>
  <si>
    <t xml:space="preserve">Review Question</t>
  </si>
  <si>
    <t xml:space="preserve">Answer</t>
  </si>
  <si>
    <t xml:space="preserve">Reviewer Note / Finding Rationale</t>
  </si>
  <si>
    <t xml:space="preserve">Check</t>
  </si>
  <si>
    <t xml:space="preserve">E.  Underwriting Soundness</t>
  </si>
  <si>
    <t xml:space="preserve">F.  Repayment Sources &amp; Projections</t>
  </si>
  <si>
    <t xml:space="preserve">UCC continuation lapsed; lien perfection not verified at review date.</t>
  </si>
  <si>
    <t xml:space="preserve">G.  Guarantor / Sponsor Creditworthiness</t>
  </si>
  <si>
    <t xml:space="preserve">H.  Credit &amp; Collateral Documentation / Lien Perfection</t>
  </si>
  <si>
    <t xml:space="preserve">I.  Approval Authority</t>
  </si>
  <si>
    <t xml:space="preserve">J.  Covenant Adherence</t>
  </si>
  <si>
    <t xml:space="preserve">K.  Policy Compliance</t>
  </si>
  <si>
    <t xml:space="preserve">L.  Five Cs of Credit</t>
  </si>
  <si>
    <t xml:space="preserve">M.  Global Cash Flow</t>
  </si>
  <si>
    <t xml:space="preserve">Review Summary</t>
  </si>
  <si>
    <t xml:space="preserve">Questions (total)</t>
  </si>
  <si>
    <t xml:space="preserve">Answered (Yes / No / N/A / Obs)</t>
  </si>
  <si>
    <t xml:space="preserve">Completion %</t>
  </si>
  <si>
    <t xml:space="preserve">Applicable (excl. N/A)</t>
  </si>
  <si>
    <t xml:space="preserve">Exceptions (No)</t>
  </si>
  <si>
    <t xml:space="preserve">Observations (Obs)</t>
  </si>
  <si>
    <t xml:space="preserve">Exception Rate (No / Applicable)</t>
  </si>
  <si>
    <t xml:space="preserve">Note Checks Outstanding</t>
  </si>
  <si>
    <t xml:space="preserve">CRR Conclusion / Grade Rationale:</t>
  </si>
  <si>
    <t xml:space="preserve">Commercial Real Estate — Credit Risk Review Line Sheet</t>
  </si>
  <si>
    <t xml:space="preserve">CRE-2026001</t>
  </si>
  <si>
    <t xml:space="preserve">Lakeview Office Partners LP</t>
  </si>
  <si>
    <t xml:space="preserve">Net Operating Income ($000)</t>
  </si>
  <si>
    <t xml:space="preserve">In-place, trailing 12 months</t>
  </si>
  <si>
    <t xml:space="preserve">Annual Debt Service ($000)</t>
  </si>
  <si>
    <t xml:space="preserve">Loan Commitment ($000)</t>
  </si>
  <si>
    <t xml:space="preserve">Appraised Value ($000)</t>
  </si>
  <si>
    <t xml:space="preserve">Current Occupancy (%)</t>
  </si>
  <si>
    <t xml:space="preserve">Leases Rolling 24 Mo (%)</t>
  </si>
  <si>
    <t xml:space="preserve">In-Place Cap Rate (%)</t>
  </si>
  <si>
    <t xml:space="preserve">Stressed Cap Rate (%)</t>
  </si>
  <si>
    <t xml:space="preserve">Key assumption</t>
  </si>
  <si>
    <t xml:space="preserve">CRE-R1</t>
  </si>
  <si>
    <t xml:space="preserve">CRE-R2</t>
  </si>
  <si>
    <t xml:space="preserve">LTV</t>
  </si>
  <si>
    <t xml:space="preserve">CRE-R3</t>
  </si>
  <si>
    <t xml:space="preserve">Debt Yield</t>
  </si>
  <si>
    <t xml:space="preserve">CRE-R4</t>
  </si>
  <si>
    <t xml:space="preserve">Stressed Value ($000)</t>
  </si>
  <si>
    <t xml:space="preserve">CRE-R5</t>
  </si>
  <si>
    <t xml:space="preserve">Stressed LTV</t>
  </si>
  <si>
    <t xml:space="preserve">Spread mislabels FY2024 column as FY2025; values correct.</t>
  </si>
  <si>
    <t xml:space="preserve">Financial statements stale beyond policy window; no waiver in file.</t>
  </si>
  <si>
    <t xml:space="preserve">L.  Property &amp; Market (subform: Office / Multifamily / Retail)</t>
  </si>
  <si>
    <t xml:space="preserve">M.  Appraisal &amp; Evaluation (FIRREA / USPAP)</t>
  </si>
  <si>
    <t xml:space="preserve">Leveraged Lending — Credit Risk Review Line Sheet</t>
  </si>
  <si>
    <t xml:space="preserve">LL-2026001</t>
  </si>
  <si>
    <t xml:space="preserve">Apex Packaging Buyout Co.</t>
  </si>
  <si>
    <t xml:space="preserve">Reported EBITDA ($000)</t>
  </si>
  <si>
    <t xml:space="preserve">EBITDA Add-Backs ($000)</t>
  </si>
  <si>
    <t xml:space="preserve">Key assumption - scrutinize</t>
  </si>
  <si>
    <t xml:space="preserve">Base-Case Annual FCF ($000)</t>
  </si>
  <si>
    <t xml:space="preserve">Free cash flow available for debt repayment</t>
  </si>
  <si>
    <t xml:space="preserve">Enterprise Value ($000)</t>
  </si>
  <si>
    <t xml:space="preserve">LL-R1</t>
  </si>
  <si>
    <t xml:space="preserve">Adjusted EBITDA ($000)</t>
  </si>
  <si>
    <t xml:space="preserve">LL-R2</t>
  </si>
  <si>
    <t xml:space="preserve">Add-Backs % of Adj. EBITDA</t>
  </si>
  <si>
    <t xml:space="preserve">LL-R3</t>
  </si>
  <si>
    <t xml:space="preserve">Total Debt / Adj. EBITDA</t>
  </si>
  <si>
    <t xml:space="preserve">LL-R4</t>
  </si>
  <si>
    <t xml:space="preserve">Senior Debt / Adj. EBITDA</t>
  </si>
  <si>
    <t xml:space="preserve">LL-R5</t>
  </si>
  <si>
    <t xml:space="preserve">LL-R6</t>
  </si>
  <si>
    <t xml:space="preserve">Years to Repay 50% of Total Debt</t>
  </si>
  <si>
    <t xml:space="preserve">LL-R7</t>
  </si>
  <si>
    <t xml:space="preserve">EV Cushion</t>
  </si>
  <si>
    <t xml:space="preserve">Site-visit memo informative but not filed in imaging system.</t>
  </si>
  <si>
    <t xml:space="preserve">Guarantor PFS older than 12 months; reliance not currently supported.</t>
  </si>
  <si>
    <t xml:space="preserve">L.  Leveraged Lending Specifics</t>
  </si>
  <si>
    <t xml:space="preserve">Asset-Based Lending — Credit Risk Review Line Sheet</t>
  </si>
  <si>
    <t xml:space="preserve">ABL-2026001</t>
  </si>
  <si>
    <t xml:space="preserve">Royal Textile Mills, Inc.</t>
  </si>
  <si>
    <t xml:space="preserve">Gross Accounts Receivable ($000)</t>
  </si>
  <si>
    <t xml:space="preserve">Ineligible AR ($000)</t>
  </si>
  <si>
    <t xml:space="preserve">AR Advance Rate (%)</t>
  </si>
  <si>
    <t xml:space="preserve">Per credit agreement</t>
  </si>
  <si>
    <t xml:space="preserve">Gross Inventory ($000)</t>
  </si>
  <si>
    <t xml:space="preserve">Ineligible Inventory ($000)</t>
  </si>
  <si>
    <t xml:space="preserve">Inventory Advance Rate (%)</t>
  </si>
  <si>
    <t xml:space="preserve">Reserves ($000)</t>
  </si>
  <si>
    <t xml:space="preserve">Availability reserves</t>
  </si>
  <si>
    <t xml:space="preserve">Outstanding Balance ($000)</t>
  </si>
  <si>
    <t xml:space="preserve">Dilution (%)</t>
  </si>
  <si>
    <t xml:space="preserve">Trailing 12-month</t>
  </si>
  <si>
    <t xml:space="preserve">ABL-R1</t>
  </si>
  <si>
    <t xml:space="preserve">Eligible AR ($000)</t>
  </si>
  <si>
    <t xml:space="preserve">ABL-R2</t>
  </si>
  <si>
    <t xml:space="preserve">Eligible Inventory ($000)</t>
  </si>
  <si>
    <t xml:space="preserve">ABL-R3</t>
  </si>
  <si>
    <t xml:space="preserve">Borrowing Base ($000)</t>
  </si>
  <si>
    <t xml:space="preserve">ABL-R4</t>
  </si>
  <si>
    <t xml:space="preserve">Availability ($000)</t>
  </si>
  <si>
    <t xml:space="preserve">ABL-R5</t>
  </si>
  <si>
    <t xml:space="preserve">Collateral Coverage (BB / Outstandings)</t>
  </si>
  <si>
    <t xml:space="preserve">ABL-R6</t>
  </si>
  <si>
    <t xml:space="preserve">Ineligible % of Gross AR</t>
  </si>
  <si>
    <t xml:space="preserve">Annual review completed 10 days before deadline two cycles running - timing risk.</t>
  </si>
  <si>
    <t xml:space="preserve">L.  Borrowing Base Mechanics</t>
  </si>
  <si>
    <t xml:space="preserve">ARG / Workout — Credit Risk Review Line Sheet</t>
  </si>
  <si>
    <t xml:space="preserve">ARG-2026001</t>
  </si>
  <si>
    <t xml:space="preserve">Fairmont Hospitality LLC (Workout)</t>
  </si>
  <si>
    <t xml:space="preserve">Loan Balance ($000)</t>
  </si>
  <si>
    <t xml:space="preserve">Specific Reserve ($000)</t>
  </si>
  <si>
    <t xml:space="preserve">Prior Charge-Offs ($000)</t>
  </si>
  <si>
    <t xml:space="preserve">Recoveries to Date ($000)</t>
  </si>
  <si>
    <t xml:space="preserve">Collateral Value - Gross ($000)</t>
  </si>
  <si>
    <t xml:space="preserve">Most recent valuation</t>
  </si>
  <si>
    <t xml:space="preserve">Liquidation Discount (%)</t>
  </si>
  <si>
    <t xml:space="preserve">Estimated Costs to Sell (%)</t>
  </si>
  <si>
    <t xml:space="preserve">ARG-R1</t>
  </si>
  <si>
    <t xml:space="preserve">Net Liquidation Value ($000)</t>
  </si>
  <si>
    <t xml:space="preserve">ARG-R2</t>
  </si>
  <si>
    <t xml:space="preserve">Collateral Coverage (NLV / Balance)</t>
  </si>
  <si>
    <t xml:space="preserve">ARG-R3</t>
  </si>
  <si>
    <t xml:space="preserve">Collateral Shortfall ($000)</t>
  </si>
  <si>
    <t xml:space="preserve">ARG-R4</t>
  </si>
  <si>
    <t xml:space="preserve">Reserve Coverage of Shortfall</t>
  </si>
  <si>
    <t xml:space="preserve">ARG-R5</t>
  </si>
  <si>
    <t xml:space="preserve">Net Charge-Off ($000)</t>
  </si>
  <si>
    <t xml:space="preserve">L.  Impairment, Accrual &amp; Workout (ASC 326)</t>
  </si>
  <si>
    <t xml:space="preserve">Approval signature exceeds officer's delegated authority; no co-approval.</t>
  </si>
  <si>
    <t xml:space="preserve">General Compliance Crosswalk — Credit Risk Review Line Sheet</t>
  </si>
  <si>
    <t xml:space="preserve">COMP-2026001</t>
  </si>
  <si>
    <t xml:space="preserve">Compliance Sweep - Alder Mfg.</t>
  </si>
  <si>
    <t xml:space="preserve">B.  Credit Quality &amp; Risk-Grade Accuracy</t>
  </si>
  <si>
    <t xml:space="preserve">Borrowing-base certificate delivered by email rather than portal per agreement.</t>
  </si>
  <si>
    <t xml:space="preserve">C.  Underwriting Soundness</t>
  </si>
  <si>
    <t xml:space="preserve">D.  Repayment Sources &amp; Projections</t>
  </si>
  <si>
    <t xml:space="preserve">E.  Guarantor / Sponsor Creditworthiness</t>
  </si>
  <si>
    <t xml:space="preserve">F.  Credit &amp; Collateral Documentation / Lien Perfection</t>
  </si>
  <si>
    <t xml:space="preserve">G.  Approval Authority</t>
  </si>
  <si>
    <t xml:space="preserve">H.  Covenant Adherence</t>
  </si>
  <si>
    <t xml:space="preserve">I.  Policy Compliance</t>
  </si>
  <si>
    <t xml:space="preserve">J.  Risk-Rating Framework</t>
  </si>
  <si>
    <t xml:space="preserve">K.  ALLL / CECL Linkage</t>
  </si>
  <si>
    <t xml:space="preserve">L.  Consumer-Adjacent Touchpoints</t>
  </si>
  <si>
    <t xml:space="preserve">Internal Audit — Test Work Sheet</t>
  </si>
  <si>
    <t xml:space="preserve">A.  Engagement Identification</t>
  </si>
  <si>
    <t xml:space="preserve">Engagement ID</t>
  </si>
  <si>
    <t xml:space="preserve">IA-2026001</t>
  </si>
  <si>
    <t xml:space="preserve">Fieldwork Date</t>
  </si>
  <si>
    <t xml:space="preserve">Mgmt Self-Assessed Rating (1-8)</t>
  </si>
  <si>
    <t xml:space="preserve">Auditable Entity</t>
  </si>
  <si>
    <t xml:space="preserve">Wire Transfer Operations Audit</t>
  </si>
  <si>
    <t xml:space="preserve">Period Under Audit (End)</t>
  </si>
  <si>
    <t xml:space="preserve">IA Concluded Rating (1-8)</t>
  </si>
  <si>
    <t xml:space="preserve">Population ($000 or units)</t>
  </si>
  <si>
    <t xml:space="preserve">Auditor</t>
  </si>
  <si>
    <t xml:space="preserve">Rating Category (mapped)</t>
  </si>
  <si>
    <t xml:space="preserve">Engagement Type</t>
  </si>
  <si>
    <t xml:space="preserve">Process / Cycle</t>
  </si>
  <si>
    <t xml:space="preserve">IA vs Mgmt Concurrence</t>
  </si>
  <si>
    <t xml:space="preserve">Population Size (items)</t>
  </si>
  <si>
    <t xml:space="preserve">Per system extract; reconcile to source</t>
  </si>
  <si>
    <t xml:space="preserve">Sample Size (items)</t>
  </si>
  <si>
    <t xml:space="preserve">Per sampling methodology</t>
  </si>
  <si>
    <t xml:space="preserve">Items Tested (items)</t>
  </si>
  <si>
    <t xml:space="preserve">Exceptions Found (items)</t>
  </si>
  <si>
    <t xml:space="preserve">Tolerable Exception Rate (%)</t>
  </si>
  <si>
    <t xml:space="preserve">Key assumption - per audit methodology</t>
  </si>
  <si>
    <t xml:space="preserve">IA Re-Performed</t>
  </si>
  <si>
    <t xml:space="preserve">Per Mgmt (Asserted)</t>
  </si>
  <si>
    <t xml:space="preserve">IA-R1</t>
  </si>
  <si>
    <t xml:space="preserve">Sample Coverage (of population)</t>
  </si>
  <si>
    <t xml:space="preserve">IA-R2</t>
  </si>
  <si>
    <t xml:space="preserve">Test Completion (tested / sample)</t>
  </si>
  <si>
    <t xml:space="preserve">IA-R3</t>
  </si>
  <si>
    <t xml:space="preserve">Sample Exception Rate</t>
  </si>
  <si>
    <t xml:space="preserve">IA-R4</t>
  </si>
  <si>
    <t xml:space="preserve">Exceptions vs Tolerable (pp)</t>
  </si>
  <si>
    <t xml:space="preserve">D.  Engagement Planning &amp; Scoping</t>
  </si>
  <si>
    <t xml:space="preserve">Rate-reset sensitivity shown only at +100bp; broader stress would aid analysis.</t>
  </si>
  <si>
    <t xml:space="preserve">E.  Control Design Effectiveness</t>
  </si>
  <si>
    <t xml:space="preserve">F.  Control Operating Effectiveness</t>
  </si>
  <si>
    <t xml:space="preserve">G.  Evidence &amp; Workpaper Documentation</t>
  </si>
  <si>
    <t xml:space="preserve">H.  Reporting &amp; Issue Management</t>
  </si>
  <si>
    <t xml:space="preserve">I.  Follow-Up &amp; Remediation</t>
  </si>
  <si>
    <t xml:space="preserve">Segment</t>
  </si>
  <si>
    <t xml:space="preserve">Quarter</t>
  </si>
  <si>
    <t xml:space="preserve">LOB Grade</t>
  </si>
  <si>
    <t xml:space="preserve">CRR Grade</t>
  </si>
  <si>
    <t xml:space="preserve">Leverage (x)</t>
  </si>
  <si>
    <t xml:space="preserve">DSCR (x)</t>
  </si>
  <si>
    <t xml:space="preserve">LTV (%)</t>
  </si>
  <si>
    <t xml:space="preserve">Answered</t>
  </si>
  <si>
    <t xml:space="preserve">Total Qs</t>
  </si>
  <si>
    <t xml:space="preserve">Exception Rate</t>
  </si>
  <si>
    <t xml:space="preserve">Notes</t>
  </si>
  <si>
    <t xml:space="preserve">C&amp;I / Commercial</t>
  </si>
  <si>
    <t xml:space="preserve">CI-2026002</t>
  </si>
  <si>
    <t xml:space="preserve">Cascade Food Distributors, Inc.</t>
  </si>
  <si>
    <t xml:space="preserve">R. Ortiz</t>
  </si>
  <si>
    <t xml:space="preserve">CI-2026003</t>
  </si>
  <si>
    <t xml:space="preserve">Brightline Logistics Group</t>
  </si>
  <si>
    <t xml:space="preserve">M. Kowalski</t>
  </si>
  <si>
    <t xml:space="preserve">CI-2026004</t>
  </si>
  <si>
    <t xml:space="preserve">Harbor Tool &amp; Die Co.</t>
  </si>
  <si>
    <t xml:space="preserve">D. Whitaker</t>
  </si>
  <si>
    <t xml:space="preserve">Commercial Real Estate</t>
  </si>
  <si>
    <t xml:space="preserve">CRE-2026002</t>
  </si>
  <si>
    <t xml:space="preserve">Stonebridge Multifamily I LLC</t>
  </si>
  <si>
    <t xml:space="preserve">CRE-2026003</t>
  </si>
  <si>
    <t xml:space="preserve">Pinecrest Retail Center LLC</t>
  </si>
  <si>
    <t xml:space="preserve">CRE-2026004</t>
  </si>
  <si>
    <t xml:space="preserve">Gateway Industrial Park LLC</t>
  </si>
  <si>
    <t xml:space="preserve">Leveraged Lending</t>
  </si>
  <si>
    <t xml:space="preserve">LL-2026002</t>
  </si>
  <si>
    <t xml:space="preserve">Summit HealthTech Acquisition</t>
  </si>
  <si>
    <t xml:space="preserve">LL-2026003</t>
  </si>
  <si>
    <t xml:space="preserve">Ironwood Components Holdings</t>
  </si>
  <si>
    <t xml:space="preserve">LL-2026004</t>
  </si>
  <si>
    <t xml:space="preserve">Bluepeak Software Group</t>
  </si>
  <si>
    <t xml:space="preserve">Asset-Based Lending</t>
  </si>
  <si>
    <t xml:space="preserve">ABL-2026002</t>
  </si>
  <si>
    <t xml:space="preserve">Northgate Auto Parts Supply</t>
  </si>
  <si>
    <t xml:space="preserve">ABL-2026003</t>
  </si>
  <si>
    <t xml:space="preserve">Crestline Paper Converters</t>
  </si>
  <si>
    <t xml:space="preserve">ABL-2026004</t>
  </si>
  <si>
    <t xml:space="preserve">Delta Steel Service Center</t>
  </si>
  <si>
    <t xml:space="preserve">ARG / Workout</t>
  </si>
  <si>
    <t xml:space="preserve">ARG-2026002</t>
  </si>
  <si>
    <t xml:space="preserve">Quarry Ridge Homes, Inc. (Workout)</t>
  </si>
  <si>
    <t xml:space="preserve">ARG-2026003</t>
  </si>
  <si>
    <t xml:space="preserve">Westbrook Printing Co. (Workout)</t>
  </si>
  <si>
    <t xml:space="preserve">ARG-2026004</t>
  </si>
  <si>
    <t xml:space="preserve">Sablewood Furniture Mfg. (Workout)</t>
  </si>
  <si>
    <t xml:space="preserve">Internal Audit (Generic)</t>
  </si>
  <si>
    <t xml:space="preserve">IA-2026002</t>
  </si>
  <si>
    <t xml:space="preserve">Vendor Management Program Audit</t>
  </si>
  <si>
    <t xml:space="preserve">IA-2026003</t>
  </si>
  <si>
    <t xml:space="preserve">Loan Servicing Controls Audit</t>
  </si>
  <si>
    <t xml:space="preserve">IA-2026004</t>
  </si>
  <si>
    <t xml:space="preserve">Model Risk Governance Audit</t>
  </si>
  <si>
    <t xml:space="preserve">General Compliance Crosswalk</t>
  </si>
  <si>
    <t xml:space="preserve">COMP-2026002</t>
  </si>
  <si>
    <t xml:space="preserve">Compliance Sweep - Birchway Clinics</t>
  </si>
  <si>
    <t xml:space="preserve">COMP-2026003</t>
  </si>
  <si>
    <t xml:space="preserve">Compliance Sweep - Cobalt Foods</t>
  </si>
  <si>
    <t xml:space="preserve">COMP-2026004</t>
  </si>
  <si>
    <t xml:space="preserve">Compliance Sweep - Dunmore Plastics</t>
  </si>
  <si>
    <t xml:space="preserve">Section</t>
  </si>
  <si>
    <t xml:space="preserve">Days Open (No)</t>
  </si>
  <si>
    <t xml:space="preserve">Aging Bucket</t>
  </si>
  <si>
    <t xml:space="preserve">ObsIdx</t>
  </si>
  <si>
    <t xml:space="preserve">NoIdx</t>
  </si>
  <si>
    <t xml:space="preserve">Covenant test for Q4 not evidenced; compliance certificate missing.</t>
  </si>
  <si>
    <t xml:space="preserve">Projection growth assumption unsupported versus 3-year actuals.</t>
  </si>
  <si>
    <t xml:space="preserve">Portfolio Overview Dashboard</t>
  </si>
  <si>
    <t xml:space="preserve">Recalculates from the Database; grade scale 1-8 (5 = Special Mention, 6+ = Classified).</t>
  </si>
  <si>
    <t xml:space="preserve">CREDITS REVIEWED</t>
  </si>
  <si>
    <t xml:space="preserve">COMPLETE</t>
  </si>
  <si>
    <t xml:space="preserve">GRADE CHANGES</t>
  </si>
  <si>
    <t xml:space="preserve">CONCURRENCE RATE</t>
  </si>
  <si>
    <t xml:space="preserve">CRITICIZED (CRR ≥ 5)</t>
  </si>
  <si>
    <t xml:space="preserve">Reviews by Segment</t>
  </si>
  <si>
    <t xml:space="preserve">Reviews</t>
  </si>
  <si>
    <t xml:space="preserve">Exceptions</t>
  </si>
  <si>
    <t xml:space="preserve">Downgrades</t>
  </si>
  <si>
    <t xml:space="preserve">Grade Distribution (LOB vs CRR)</t>
  </si>
  <si>
    <t xml:space="preserve">LOB Assigned</t>
  </si>
  <si>
    <t xml:space="preserve">CRR Concluded</t>
  </si>
  <si>
    <t xml:space="preserve">Migration Matrix — LOB Assigned (rows) vs CRR Concluded (columns)</t>
  </si>
  <si>
    <t xml:space="preserve">LOB \ CRR</t>
  </si>
  <si>
    <t xml:space="preserve">1</t>
  </si>
  <si>
    <t xml:space="preserve">2</t>
  </si>
  <si>
    <t xml:space="preserve">3</t>
  </si>
  <si>
    <t xml:space="preserve">4</t>
  </si>
  <si>
    <t xml:space="preserve">5</t>
  </si>
  <si>
    <t xml:space="preserve">6</t>
  </si>
  <si>
    <t xml:space="preserve">7</t>
  </si>
  <si>
    <t xml:space="preserve">8</t>
  </si>
  <si>
    <t xml:space="preserve">Shaded cells right of the diagonal = CRR downgrades vs the LOB grade.</t>
  </si>
  <si>
    <t xml:space="preserve">Exceptions / Findings Dashboard</t>
  </si>
  <si>
    <t xml:space="preserve">Counts ONLY 'No' answers. Obs is never an exception; N/A is excluded from every rate.</t>
  </si>
  <si>
    <t xml:space="preserve">TOTAL EXCEPTIONS</t>
  </si>
  <si>
    <t xml:space="preserve">HIGH SEVERITY</t>
  </si>
  <si>
    <t xml:space="preserve">AGED &gt; 180 DAYS</t>
  </si>
  <si>
    <t xml:space="preserve">NOTES MISSING</t>
  </si>
  <si>
    <t xml:space="preserve">Exceptions by Segment</t>
  </si>
  <si>
    <t xml:space="preserve">Rate (excl. N/A)</t>
  </si>
  <si>
    <t xml:space="preserve">Exceptions by Severity</t>
  </si>
  <si>
    <t xml:space="preserve">Count</t>
  </si>
  <si>
    <t xml:space="preserve">Exception Aging (days since review)</t>
  </si>
  <si>
    <t xml:space="preserve">Bucket</t>
  </si>
  <si>
    <t xml:space="preserve">0-90</t>
  </si>
  <si>
    <t xml:space="preserve">91-180</t>
  </si>
  <si>
    <t xml:space="preserve">181-270</t>
  </si>
  <si>
    <t xml:space="preserve">&gt;270</t>
  </si>
  <si>
    <t xml:space="preserve">Exception Detail (first 30)</t>
  </si>
  <si>
    <t xml:space="preserve">#</t>
  </si>
  <si>
    <t xml:space="preserve">Credit</t>
  </si>
  <si>
    <t xml:space="preserve">Finding Rationale</t>
  </si>
  <si>
    <t xml:space="preserve">Days Open</t>
  </si>
  <si>
    <t xml:space="preserve">Observations View</t>
  </si>
  <si>
    <t xml:space="preserve">Obs = pass with a required note. Never counted as an exception; listed here so thematic patterns across files stay visible.</t>
  </si>
  <si>
    <t xml:space="preserve">TOTAL OBSERVATIONS</t>
  </si>
  <si>
    <t xml:space="preserve">Observation Detail (first 30)</t>
  </si>
  <si>
    <t xml:space="preserve">Observations by Section (thematic patterns)</t>
  </si>
  <si>
    <t xml:space="preserve">Observation Note</t>
  </si>
  <si>
    <t xml:space="preserve">Obs Count</t>
  </si>
  <si>
    <t xml:space="preserve">Amber = section with 2+ observations across files (potential thematic finding).</t>
  </si>
  <si>
    <t xml:space="preserve">Concentration vs. Capital — Live Crosswalk Status</t>
  </si>
  <si>
    <t xml:space="preserve">Criteria pull from the confirmed Crosswalk for the bank's primary agency, as of the Review As-Of Date. Supervisory criteria trigger heightened scrutiny - they are not hard caps.</t>
  </si>
  <si>
    <t xml:space="preserve">Bank inputs (edit on Settings sheet)</t>
  </si>
  <si>
    <t xml:space="preserve">Supervisory criteria status (2006 Interagency CRE Guidance, as confirmed in Crosswalk)</t>
  </si>
  <si>
    <t xml:space="preserve">Measure</t>
  </si>
  <si>
    <t xml:space="preserve">Bank Level</t>
  </si>
  <si>
    <t xml:space="preserve">Criterion (In Force)</t>
  </si>
  <si>
    <t xml:space="preserve">CLD Loans / Total Risk-Based Capital</t>
  </si>
  <si>
    <t xml:space="preserve">Total Non-OO CRE / Total Risk-Based Capital</t>
  </si>
  <si>
    <t xml:space="preserve">36-Month CRE Growth</t>
  </si>
  <si>
    <t xml:space="preserve">Leveraged-Lending Guidance status by agency (Total Debt / EBITDA criterion, as of Review As-Of Date)</t>
  </si>
  <si>
    <t xml:space="preserve">Agency</t>
  </si>
  <si>
    <t xml:space="preserve">Threshold</t>
  </si>
  <si>
    <t xml:space="preserve">Effective</t>
  </si>
  <si>
    <t xml:space="preserve">Rescinded</t>
  </si>
  <si>
    <t xml:space="preserve">Status As-Of</t>
  </si>
  <si>
    <t xml:space="preserve">A threshold can be Active for one agency and Rescinded for another on the same date; reviews cite the rule in force at the review as-of date.</t>
  </si>
  <si>
    <t xml:space="preserve">Risk-Grade &amp; Watch-List Trend</t>
  </si>
  <si>
    <t xml:space="preserve">By review quarter, from the Database. Watch = Special Mention (5); Classified = Substandard or worse (6+).</t>
  </si>
  <si>
    <t xml:space="preserve">Quarterly trend</t>
  </si>
  <si>
    <t xml:space="preserve">Watch (SM)</t>
  </si>
  <si>
    <t xml:space="preserve">Classified (6+)</t>
  </si>
  <si>
    <t xml:space="preserve">Avg CRR Grade</t>
  </si>
  <si>
    <t xml:space="preserve">2025-Q3</t>
  </si>
  <si>
    <t xml:space="preserve">2025-Q4</t>
  </si>
  <si>
    <t xml:space="preserve">2026-Q1</t>
  </si>
  <si>
    <t xml:space="preserve">2026-Q2</t>
  </si>
  <si>
    <t xml:space="preserve">Row ID</t>
  </si>
  <si>
    <t xml:space="preserve">Metric</t>
  </si>
  <si>
    <t xml:space="preserve">Unit</t>
  </si>
  <si>
    <t xml:space="preserve">Basis / Definition</t>
  </si>
  <si>
    <t xml:space="preserve">Citation</t>
  </si>
  <si>
    <t xml:space="preserve">Effective Date</t>
  </si>
  <si>
    <t xml:space="preserve">Rescinded Date</t>
  </si>
  <si>
    <t xml:space="preserve">Status As-Of Review Date</t>
  </si>
  <si>
    <t xml:space="preserve">Source Document</t>
  </si>
  <si>
    <t xml:space="preserve">Page / Section</t>
  </si>
  <si>
    <t xml:space="preserve">Verbatim Source Span</t>
  </si>
  <si>
    <t xml:space="preserve">Reviewer Notes</t>
  </si>
  <si>
    <t xml:space="preserve">Key (Metric|Agency)</t>
  </si>
  <si>
    <t xml:space="preserve">Active (1/0)</t>
  </si>
  <si>
    <t xml:space="preserve">THR-869C3178BE</t>
  </si>
  <si>
    <t xml:space="preserve">x</t>
  </si>
  <si>
    <t xml:space="preserve">Supervisory expectation</t>
  </si>
  <si>
    <t xml:space="preserve">2013 Interagency Guidance on Leveraged Lending (OCC 2013-9 et al.)</t>
  </si>
  <si>
    <t xml:space="preserve">fixture_2013_leveraged_lending.pdf</t>
  </si>
  <si>
    <t xml:space="preserve">p.1, UNDERWRITING STANDARDS</t>
  </si>
  <si>
    <t xml:space="preserve">A leverage level after planned asset sales in excess of 6.0x Total Debt to EBITDA raises concerns for most
industries.</t>
  </si>
  <si>
    <t xml:space="preserve">Verified against source p./section cited.</t>
  </si>
  <si>
    <t xml:space="preserve">THR-F1539FA4CB</t>
  </si>
  <si>
    <t xml:space="preserve">THR-579C0A4AE5</t>
  </si>
  <si>
    <t xml:space="preserve">THR-F38E7122C5</t>
  </si>
  <si>
    <t xml:space="preserve">Stated threshold</t>
  </si>
  <si>
    <t xml:space="preserve">Common definitional criteria include transactions
where the borrower's Total Debt to EBITDA exceeds 4.0x or Senior Debt to EBITDA exceeds 3.0x.</t>
  </si>
  <si>
    <t xml:space="preserve">THR-8EE29632DF</t>
  </si>
  <si>
    <t xml:space="preserve">THR-35DE4AFCED</t>
  </si>
  <si>
    <t xml:space="preserve">THR-709117C504</t>
  </si>
  <si>
    <t xml:space="preserve">THR-41A686FB44</t>
  </si>
  <si>
    <t xml:space="preserve">THR-161846E792</t>
  </si>
  <si>
    <t xml:space="preserve">THR-F970FD3852</t>
  </si>
  <si>
    <t xml:space="preserve">CLD Concentration / Total Risk-Based Capital</t>
  </si>
  <si>
    <t xml:space="preserve">%</t>
  </si>
  <si>
    <t xml:space="preserve">2006 Interagency Guidance on CRE Concentration Risk Management</t>
  </si>
  <si>
    <t xml:space="preserve">fixture_2006_cre_guidance.pdf</t>
  </si>
  <si>
    <t xml:space="preserve">p.1, SUPERVISORY CRITERIA</t>
  </si>
  <si>
    <t xml:space="preserve">An institution may be identified for further supervisory analysis where total reported loans for construction, land
development, and other land (CLD) represent 100 percent or more of the institution's total risk-based capital.</t>
  </si>
  <si>
    <t xml:space="preserve">THR-F85E377820</t>
  </si>
  <si>
    <t xml:space="preserve">THR-8981501D47</t>
  </si>
  <si>
    <t xml:space="preserve">THR-7EB7B1AFD2</t>
  </si>
  <si>
    <t xml:space="preserve">Total CRE / Total Risk-Based Capital</t>
  </si>
  <si>
    <t xml:space="preserve">Further analysis also applies where total non-owner occupied commercial real estate loans represent 300
percent or more of the institution's total risk-based capital, and the outstanding balance of the CRE portfolio has
increased by 50 percent or more during the prior 36 months.</t>
  </si>
  <si>
    <t xml:space="preserve">THR-6CF7D35519</t>
  </si>
  <si>
    <t xml:space="preserve">THR-386B24B41A</t>
  </si>
  <si>
    <t xml:space="preserve">THR-A53B97B777</t>
  </si>
  <si>
    <t xml:space="preserve">CRE 36-Month Growth Trigger</t>
  </si>
  <si>
    <t xml:space="preserve">THR-E2B8DE4C69</t>
  </si>
  <si>
    <t xml:space="preserve">THR-621C2439B1</t>
  </si>
  <si>
    <t xml:space="preserve">THR-3AEA96A307</t>
  </si>
  <si>
    <t xml:space="preserve">Minimum DSCR</t>
  </si>
  <si>
    <t xml:space="preserve">Commercial Credit Policy CP-100</t>
  </si>
  <si>
    <t xml:space="preserve">fixture_internal_policy.docx</t>
  </si>
  <si>
    <t xml:space="preserve">p.1, UNDERWRITING LIMITS</t>
  </si>
  <si>
    <t xml:space="preserve">Income-producing commercial real estate loans require a minimum debt service coverage ratio of 1.25x at underwriting.</t>
  </si>
  <si>
    <t xml:space="preserve">THR-05154558BD</t>
  </si>
  <si>
    <t xml:space="preserve">Maximum LTV</t>
  </si>
  <si>
    <t xml:space="preserve">Commercial real estate loans are subject to a maximum loan-to-value of 75 percent for non-owner-occupied properties.</t>
  </si>
  <si>
    <t xml:space="preserve">THR-184DC0EBAC</t>
  </si>
  <si>
    <t xml:space="preserve">Maximum Advance Rate (Eligible AR)</t>
  </si>
  <si>
    <t xml:space="preserve">p.1, ASSET-BASED LENDING</t>
  </si>
  <si>
    <t xml:space="preserve">The maximum advance rate against eligible accounts receivable is 85 percent.</t>
  </si>
  <si>
    <t xml:space="preserve">THR-795FBAFA58</t>
  </si>
  <si>
    <t xml:space="preserve">Maximum Advance Rate (Eligible Inventory)</t>
  </si>
  <si>
    <t xml:space="preserve">The maximum advance rate against eligible inventory is 60 percent of cost.</t>
  </si>
  <si>
    <t xml:space="preserve">Facility</t>
  </si>
  <si>
    <t xml:space="preserve">Field / Metric</t>
  </si>
  <si>
    <t xml:space="preserve">Asserted Value (per document)</t>
  </si>
  <si>
    <t xml:space="preserve">CRR Independent Value</t>
  </si>
  <si>
    <t xml:space="preserve">Agree / Disagree</t>
  </si>
  <si>
    <t xml:space="preserve">AST-0034F43DA2</t>
  </si>
  <si>
    <t xml:space="preserve">borrower</t>
  </si>
  <si>
    <t xml:space="preserve">text</t>
  </si>
  <si>
    <t xml:space="preserve">fixture_sample_cam.docx</t>
  </si>
  <si>
    <t xml:space="preserve">p.1, CREDIT APPROVAL MEMORANDUM</t>
  </si>
  <si>
    <t xml:space="preserve">Borrower: Meridian Fabrication Holdings, LLC</t>
  </si>
  <si>
    <t xml:space="preserve">AST-D2DD2791C3</t>
  </si>
  <si>
    <t xml:space="preserve">facility</t>
  </si>
  <si>
    <t xml:space="preserve">$25,000,000 senior secured revolving credit facility and $40,000,000 term loan A</t>
  </si>
  <si>
    <t xml:space="preserve">Facility: $25,000,000 senior secured revolving credit facility and $40,000,000 term loan A</t>
  </si>
  <si>
    <t xml:space="preserve">AST-39D1104953</t>
  </si>
  <si>
    <t xml:space="preserve">grade</t>
  </si>
  <si>
    <t xml:space="preserve">Assigned Risk Grade</t>
  </si>
  <si>
    <t xml:space="preserve">4 (Pass)</t>
  </si>
  <si>
    <t xml:space="preserve">Assigned Risk Grade: 4 (Pass)</t>
  </si>
  <si>
    <t xml:space="preserve">AST-D906EC330C</t>
  </si>
  <si>
    <t xml:space="preserve">guarantor</t>
  </si>
  <si>
    <t xml:space="preserve">Guarantor</t>
  </si>
  <si>
    <t xml:space="preserve">Mr. Dale Whitfield (founder; personal guaranty, unlimited)</t>
  </si>
  <si>
    <t xml:space="preserve">p.1, Assigned Risk Grade: 4 (Pass)</t>
  </si>
  <si>
    <t xml:space="preserve">Guarantor: Mr. Dale Whitfield (founder; personal guaranty, unlimited)</t>
  </si>
  <si>
    <t xml:space="preserve">AST-F2FA3A02A0</t>
  </si>
  <si>
    <t xml:space="preserve">collateral</t>
  </si>
  <si>
    <t xml:space="preserve">Collateral</t>
  </si>
  <si>
    <t xml:space="preserve">Blanket lien on all business assets including accounts receivable, inventory, machinery and equipment</t>
  </si>
  <si>
    <t xml:space="preserve">Collateral: Blanket lien on all business assets including accounts receivable, inventory, machinery and equipment</t>
  </si>
  <si>
    <t xml:space="preserve">AST-BA83798BBC</t>
  </si>
  <si>
    <t xml:space="preserve">ratio</t>
  </si>
  <si>
    <t xml:space="preserve">Total Debt / EBITDA (asserted)</t>
  </si>
  <si>
    <t xml:space="preserve">Agree</t>
  </si>
  <si>
    <t xml:space="preserve">p.1, FINANCIAL ANALYSIS</t>
  </si>
  <si>
    <t xml:space="preserve">Total Debt / EBITDA is 3.8x</t>
  </si>
  <si>
    <t xml:space="preserve">AST-98CB480517</t>
  </si>
  <si>
    <t xml:space="preserve">Senior Debt / EBITDA (asserted)</t>
  </si>
  <si>
    <t xml:space="preserve">Senior Debt / EBITDA is 2.9x</t>
  </si>
  <si>
    <t xml:space="preserve">AST-DC878ECEB0</t>
  </si>
  <si>
    <t xml:space="preserve">Fixed Charge Coverage (asserted)</t>
  </si>
  <si>
    <t xml:space="preserve">fixed-charge coverage is 1.25x</t>
  </si>
  <si>
    <t xml:space="preserve">AST-85F7EB2F54</t>
  </si>
  <si>
    <t xml:space="preserve">Interest Coverage (asserted)</t>
  </si>
  <si>
    <t xml:space="preserve">Disagree</t>
  </si>
  <si>
    <t xml:space="preserve">interest coverage is 3.6x</t>
  </si>
  <si>
    <t xml:space="preserve">CRR re-derivation from spreads does not tie to memo; see line-sheet ratio engine.</t>
  </si>
  <si>
    <t xml:space="preserve">AST-7144AD61AA</t>
  </si>
  <si>
    <t xml:space="preserve">Current Ratio (asserted)</t>
  </si>
  <si>
    <t xml:space="preserve">current ratio stands at 1.7x</t>
  </si>
  <si>
    <t xml:space="preserve">AST-7C4CDDD7F7</t>
  </si>
  <si>
    <t xml:space="preserve">Global DSCR (asserted)</t>
  </si>
  <si>
    <t xml:space="preserve">Global cash flow including guarantor sources produces a global DSCR of 1.55x</t>
  </si>
  <si>
    <t xml:space="preserve">AST-97CFCBC306</t>
  </si>
  <si>
    <t xml:space="preserve">covenant</t>
  </si>
  <si>
    <t xml:space="preserve">Covenant Term</t>
  </si>
  <si>
    <t xml:space="preserve">covenants include maximum Total Leverage of 4.5x, minimum DSCR of 1.20x, and minimum tangible net worth of $30 million tested quarterly.</t>
  </si>
  <si>
    <t xml:space="preserve">p.1, Financial</t>
  </si>
  <si>
    <t xml:space="preserve">Proposed Value</t>
  </si>
  <si>
    <t xml:space="preserve">Confidence</t>
  </si>
  <si>
    <t xml:space="preserve">Extractor Notes</t>
  </si>
  <si>
    <t xml:space="preserve">Reviewer Confirmation</t>
  </si>
  <si>
    <t xml:space="preserve">Staged</t>
  </si>
  <si>
    <t xml:space="preserve">Rescinded for OCC per fixture_2025_rescission.pdf (p.1, December 16, 2025).</t>
  </si>
  <si>
    <t xml:space="preserve">Confirmed</t>
  </si>
  <si>
    <t xml:space="preserve">Rescinded for FDIC per fixture_2025_rescission.pdf (p.1, December 16, 2025).</t>
  </si>
  <si>
    <t xml:space="preserve">THR-8BF8968E28</t>
  </si>
  <si>
    <t xml:space="preserve">Repayment Capacity (base-case de-lever)</t>
  </si>
  <si>
    <t xml:space="preserve">%/yrs</t>
  </si>
  <si>
    <t xml:space="preserve">p.1, REPAYMENT CAPACITY</t>
  </si>
  <si>
    <t xml:space="preserve">Base case cash flow projections should show the ability to fully amortize senior secured debt or repay at least 50
percent of total debt over a five to seven years period.</t>
  </si>
  <si>
    <t xml:space="preserve">Pending</t>
  </si>
  <si>
    <t xml:space="preserve">THR-061256B243</t>
  </si>
  <si>
    <t xml:space="preserve">THR-427333FE9C</t>
  </si>
  <si>
    <t xml:space="preserve">AST-A7646A4593</t>
  </si>
  <si>
    <t xml:space="preserve">DSCR (asserted)</t>
  </si>
  <si>
    <t xml:space="preserve">DSCR for FY2025 is 1.42x</t>
  </si>
  <si>
    <t xml:space="preserve">Document states conflicting values ['1.20', '1.42', '1.55']; reviewer must resolve.</t>
  </si>
  <si>
    <t xml:space="preserve">AST-9236175DAA</t>
  </si>
  <si>
    <t xml:space="preserve">repayment</t>
  </si>
  <si>
    <t xml:space="preserve">Primary Repayment Source</t>
  </si>
  <si>
    <t xml:space="preserve">primary source of repayment is operating cash flow from the borrower's fabrication contracts.</t>
  </si>
  <si>
    <t xml:space="preserve">p.1, The</t>
  </si>
  <si>
    <t xml:space="preserve">AST-09A4284D9E</t>
  </si>
  <si>
    <t xml:space="preserve">Secondary Repayment Source</t>
  </si>
  <si>
    <t xml:space="preserve">secondary source of repayment is liquidation of pledged working capital assets under the blanket lien.</t>
  </si>
  <si>
    <t xml:space="preserve">p.1, REPAYMENT SOURCES</t>
  </si>
  <si>
    <t xml:space="preserve">AST-1277FD009E</t>
  </si>
  <si>
    <t xml:space="preserve">Guarantor Support</t>
  </si>
  <si>
    <t xml:space="preserve">personally guaranteed by Mr.</t>
  </si>
  <si>
    <t xml:space="preserve">AST-F6C912E4AA</t>
  </si>
  <si>
    <t xml:space="preserve">assumption</t>
  </si>
  <si>
    <t xml:space="preserve">Key Assumption / Projection</t>
  </si>
  <si>
    <t xml:space="preserve">projections assume revenue growth of 8.0% annually and stable gross margins of 31% through FY2028.</t>
  </si>
  <si>
    <t xml:space="preserve">p.1, Management</t>
  </si>
  <si>
    <t xml:space="preserve">AST-E82E3E7FA4</t>
  </si>
  <si>
    <t xml:space="preserve">Projections reflect no new acquisitions during the forecast period.</t>
  </si>
  <si>
    <t xml:space="preserve">p.1, PROJECTIONS</t>
  </si>
</sst>
</file>

<file path=xl/styles.xml><?xml version="1.0" encoding="utf-8"?>
<styleSheet xmlns="http://schemas.openxmlformats.org/spreadsheetml/2006/main">
  <numFmts count="10">
    <numFmt numFmtId="164" formatCode="General"/>
    <numFmt numFmtId="165" formatCode="mm/dd/yyyy"/>
    <numFmt numFmtId="166" formatCode="\$#,##0;&quot;($&quot;#,##0\);\-"/>
    <numFmt numFmtId="167" formatCode="0.0\x;\(0.0&quot;x)&quot;;\-"/>
    <numFmt numFmtId="168" formatCode="0.00\x;\(0.00&quot;x)&quot;;\-"/>
    <numFmt numFmtId="169" formatCode="#,##0;\(#,##0\);\-"/>
    <numFmt numFmtId="170" formatCode="0.0%;\(0.0%\);\-"/>
    <numFmt numFmtId="171" formatCode="0.0;\(0.0\);\-"/>
    <numFmt numFmtId="172" formatCode="General"/>
    <numFmt numFmtId="173" formatCode="0.0"/>
  </numFmts>
  <fonts count="2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7"/>
      <color rgb="FF1F2937"/>
      <name val="Arial"/>
      <family val="0"/>
      <charset val="1"/>
    </font>
    <font>
      <i val="true"/>
      <sz val="9.5"/>
      <color rgb="FF8A93A2"/>
      <name val="Arial"/>
      <family val="0"/>
      <charset val="1"/>
    </font>
    <font>
      <b val="true"/>
      <sz val="10.5"/>
      <color rgb="FF1F3864"/>
      <name val="Arial"/>
      <family val="0"/>
      <charset val="1"/>
    </font>
    <font>
      <b val="true"/>
      <sz val="10"/>
      <color rgb="FF1F2937"/>
      <name val="Arial"/>
      <family val="0"/>
      <charset val="1"/>
    </font>
    <font>
      <sz val="10"/>
      <color rgb="FF1F2937"/>
      <name val="Arial"/>
      <family val="0"/>
      <charset val="1"/>
    </font>
    <font>
      <sz val="10"/>
      <color rgb="FF0000FF"/>
      <name val="Arial"/>
      <family val="0"/>
      <charset val="1"/>
    </font>
    <font>
      <sz val="10"/>
      <color rgb="FF000000"/>
      <name val="Arial"/>
      <family val="0"/>
      <charset val="1"/>
    </font>
    <font>
      <sz val="10"/>
      <color rgb="FF008000"/>
      <name val="Arial"/>
      <family val="0"/>
      <charset val="1"/>
    </font>
    <font>
      <u val="single"/>
      <sz val="10"/>
      <color rgb="FF0563C1"/>
      <name val="Arial"/>
      <family val="0"/>
      <charset val="1"/>
    </font>
    <font>
      <i val="true"/>
      <sz val="8"/>
      <color rgb="FF8A93A2"/>
      <name val="Arial"/>
      <family val="0"/>
      <charset val="1"/>
    </font>
    <font>
      <b val="true"/>
      <sz val="9"/>
      <color rgb="FF1F3864"/>
      <name val="Arial"/>
      <family val="0"/>
      <charset val="1"/>
    </font>
    <font>
      <b val="true"/>
      <sz val="8"/>
      <color rgb="FFC00000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b val="true"/>
      <sz val="7.5"/>
      <color rgb="FF8A93A2"/>
      <name val="Arial"/>
      <family val="0"/>
      <charset val="1"/>
    </font>
    <font>
      <b val="true"/>
      <sz val="18"/>
      <color rgb="FF1F3864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1F3864"/>
        <bgColor rgb="FF1F2937"/>
      </patternFill>
    </fill>
    <fill>
      <patternFill patternType="solid">
        <fgColor rgb="FFD9A441"/>
        <bgColor rgb="FFBF8F00"/>
      </patternFill>
    </fill>
    <fill>
      <patternFill patternType="solid">
        <fgColor rgb="FFFFFF00"/>
        <bgColor rgb="FFFFFF00"/>
      </patternFill>
    </fill>
    <fill>
      <patternFill patternType="solid">
        <fgColor rgb="FFF2F6FC"/>
        <bgColor rgb="FFF7F9FC"/>
      </patternFill>
    </fill>
    <fill>
      <patternFill patternType="solid">
        <fgColor rgb="FFF7F9FC"/>
        <bgColor rgb="FFF2F6FC"/>
      </patternFill>
    </fill>
  </fills>
  <borders count="3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E3E8F0"/>
      </bottom>
      <diagonal/>
    </border>
    <border diagonalUp="false" diagonalDown="false">
      <left/>
      <right/>
      <top/>
      <bottom style="medium">
        <color rgb="FF1F3864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left" vertical="top" textRotation="0" wrapText="false" indent="0" shrinkToFit="false"/>
      <protection locked="true" hidden="false"/>
    </xf>
    <xf numFmtId="164" fontId="0" fillId="2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3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true">
      <alignment horizontal="general" vertical="top" textRotation="0" wrapText="true" indent="0" shrinkToFit="false"/>
      <protection locked="true" hidden="false"/>
    </xf>
    <xf numFmtId="164" fontId="7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8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8" fillId="4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9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5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5" borderId="2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6" fillId="5" borderId="0" xfId="0" applyFont="true" applyBorder="false" applyAlignment="true" applyProtection="true">
      <alignment horizontal="left" vertical="center" textRotation="0" wrapText="false" indent="0" shrinkToFit="false"/>
      <protection locked="true" hidden="false"/>
    </xf>
    <xf numFmtId="164" fontId="0" fillId="5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left" vertical="center" textRotation="0" wrapText="false" indent="0" shrinkToFit="false"/>
      <protection locked="true" hidden="false"/>
    </xf>
    <xf numFmtId="164" fontId="11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4" fillId="0" borderId="2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7" fontId="10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9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1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10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9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11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3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9" fontId="10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9" fontId="9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3" fillId="0" borderId="1" xf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4" fontId="8" fillId="0" borderId="1" xf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4" fontId="13" fillId="0" borderId="1" xfId="0" applyFont="true" applyBorder="true" applyAlignment="true" applyProtection="true">
      <alignment horizontal="center" vertical="top" textRotation="0" wrapText="false" indent="0" shrinkToFit="false"/>
      <protection locked="true" hidden="false"/>
    </xf>
    <xf numFmtId="164" fontId="9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9" fillId="0" borderId="1" xf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4" fontId="15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9" fontId="16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0" fontId="16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0" fontId="9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0" fontId="9" fillId="4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0" fontId="10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0" fontId="11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0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9" fillId="4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1" fontId="10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1" fontId="9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6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6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9" fillId="6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6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6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9" fillId="6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9" fillId="6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0" fontId="9" fillId="6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9" fontId="10" fillId="6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0" fontId="10" fillId="6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6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true">
      <alignment horizontal="general" vertical="top" textRotation="0" wrapText="true" indent="0" shrinkToFit="false"/>
      <protection locked="true" hidden="false"/>
    </xf>
    <xf numFmtId="165" fontId="8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9" fontId="1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8" fillId="6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8" fillId="6" borderId="0" xfId="0" applyFont="true" applyBorder="false" applyAlignment="true" applyProtection="true">
      <alignment horizontal="general" vertical="top" textRotation="0" wrapText="true" indent="0" shrinkToFit="false"/>
      <protection locked="true" hidden="false"/>
    </xf>
    <xf numFmtId="164" fontId="9" fillId="6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9" fillId="6" borderId="0" xfId="0" applyFont="true" applyBorder="false" applyAlignment="true" applyProtection="true">
      <alignment horizontal="general" vertical="top" textRotation="0" wrapText="true" indent="0" shrinkToFit="false"/>
      <protection locked="true" hidden="false"/>
    </xf>
    <xf numFmtId="165" fontId="8" fillId="6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9" fontId="10" fillId="6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0" fillId="6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7" fillId="5" borderId="0" xfId="0" applyFont="true" applyBorder="false" applyAlignment="true" applyProtection="true">
      <alignment horizontal="left" vertical="bottom" textRotation="0" wrapText="true" indent="1" shrinkToFit="false"/>
      <protection locked="true" hidden="false"/>
    </xf>
    <xf numFmtId="169" fontId="18" fillId="5" borderId="0" xfId="0" applyFont="true" applyBorder="false" applyAlignment="true" applyProtection="true">
      <alignment horizontal="left" vertical="top" textRotation="0" wrapText="false" indent="1" shrinkToFit="false"/>
      <protection locked="true" hidden="false"/>
    </xf>
    <xf numFmtId="170" fontId="18" fillId="5" borderId="0" xfId="0" applyFont="true" applyBorder="false" applyAlignment="true" applyProtection="true">
      <alignment horizontal="left" vertical="top" textRotation="0" wrapText="false" indent="1" shrinkToFit="false"/>
      <protection locked="true" hidden="false"/>
    </xf>
    <xf numFmtId="164" fontId="10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0" fillId="0" borderId="0" xfId="0" applyFont="true" applyBorder="false" applyAlignment="true" applyProtection="true">
      <alignment horizontal="general" vertical="top" textRotation="0" wrapText="true" indent="0" shrinkToFit="false"/>
      <protection locked="true" hidden="false"/>
    </xf>
    <xf numFmtId="165" fontId="1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2" fontId="10" fillId="6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1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11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3" fontId="10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3" fontId="10" fillId="6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1" fillId="2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22" fillId="0" borderId="0" xfId="0" applyFont="true" applyBorder="false" applyAlignment="true" applyProtection="true">
      <alignment horizontal="general" vertical="top" textRotation="0" wrapText="true" indent="0" shrinkToFit="false"/>
      <protection locked="true" hidden="false"/>
    </xf>
    <xf numFmtId="165" fontId="22" fillId="0" borderId="0" xfId="0" applyFont="true" applyBorder="false" applyAlignment="true" applyProtection="true">
      <alignment horizontal="general" vertical="top" textRotation="0" wrapText="true" indent="0" shrinkToFit="false"/>
      <protection locked="true" hidden="false"/>
    </xf>
    <xf numFmtId="164" fontId="11" fillId="0" borderId="0" xfId="0" applyFont="true" applyBorder="false" applyAlignment="true" applyProtection="tru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1">
    <dxf>
      <fill>
        <patternFill patternType="solid">
          <fgColor rgb="FFF2F6FC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1F2937"/>
          <bgColor rgb="FF000000"/>
        </patternFill>
      </fill>
    </dxf>
    <dxf>
      <fill>
        <patternFill patternType="solid">
          <fgColor rgb="FF1F3864"/>
          <bgColor rgb="FF000000"/>
        </patternFill>
      </fill>
    </dxf>
    <dxf>
      <fill>
        <patternFill>
          <bgColor rgb="FFFCE4E4"/>
        </patternFill>
      </fill>
    </dxf>
    <dxf>
      <fill>
        <patternFill>
          <bgColor rgb="FFFFF2CC"/>
        </patternFill>
      </fill>
    </dxf>
    <dxf>
      <fill>
        <patternFill patternType="solid">
          <fgColor rgb="FFF7F9FC"/>
          <bgColor rgb="FF000000"/>
        </patternFill>
      </fill>
    </dxf>
    <dxf>
      <fill>
        <patternFill patternType="solid">
          <fgColor rgb="FF0000FF"/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>
          <bgColor rgb="FFF2F2F2"/>
        </patternFill>
      </fill>
    </dxf>
    <dxf>
      <fill>
        <patternFill>
          <bgColor rgb="FFF8CBAD"/>
        </patternFill>
      </fill>
    </dxf>
  </dxf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548235"/>
      <rgbColor rgb="FF800080"/>
      <rgbColor rgb="FF008080"/>
      <rgbColor rgb="FFC0C0C0"/>
      <rgbColor rgb="FF808080"/>
      <rgbColor rgb="FF9999FF"/>
      <rgbColor rgb="FFC0504D"/>
      <rgbColor rgb="FFFFF2CC"/>
      <rgbColor rgb="FFF2F6FC"/>
      <rgbColor rgb="FF660066"/>
      <rgbColor rgb="FFFF8080"/>
      <rgbColor rgb="FF0563C1"/>
      <rgbColor rgb="FFF7F9F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3E8F0"/>
      <rgbColor rgb="FFF2F2F2"/>
      <rgbColor rgb="FFFCE4E4"/>
      <rgbColor rgb="FF99CCFF"/>
      <rgbColor rgb="FFFF99CC"/>
      <rgbColor rgb="FFCC99FF"/>
      <rgbColor rgb="FFF8CBAD"/>
      <rgbColor rgb="FF3366FF"/>
      <rgbColor rgb="FF33CCCC"/>
      <rgbColor rgb="FF9BBB59"/>
      <rgbColor rgb="FFFFCC00"/>
      <rgbColor rgb="FFD9A441"/>
      <rgbColor rgb="FFBF8F00"/>
      <rgbColor rgb="FF4F81BD"/>
      <rgbColor rgb="FF8A93A2"/>
      <rgbColor rgb="FF1F3864"/>
      <rgbColor rgb="FF339966"/>
      <rgbColor rgb="FF003300"/>
      <rgbColor rgb="FF333300"/>
      <rgbColor rgb="FF993300"/>
      <rgbColor rgb="FF993366"/>
      <rgbColor rgb="FF2E5597"/>
      <rgbColor rgb="FF1F2937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worksheet" Target="worksheets/sheet16.xml"/><Relationship Id="rId19" Type="http://schemas.openxmlformats.org/officeDocument/2006/relationships/worksheet" Target="worksheets/sheet17.xml"/><Relationship Id="rId20" Type="http://schemas.openxmlformats.org/officeDocument/2006/relationships/worksheet" Target="worksheets/sheet18.xml"/><Relationship Id="rId21" Type="http://schemas.openxmlformats.org/officeDocument/2006/relationships/worksheet" Target="worksheets/sheet19.xml"/><Relationship Id="rId22" Type="http://schemas.openxmlformats.org/officeDocument/2006/relationships/worksheet" Target="worksheets/sheet20.xml"/><Relationship Id="rId23" Type="http://schemas.openxmlformats.org/officeDocument/2006/relationships/worksheet" Target="worksheets/sheet21.xml"/><Relationship Id="rId24" Type="http://schemas.openxmlformats.org/officeDocument/2006/relationships/worksheet" Target="worksheets/sheet22.xml"/><Relationship Id="rId25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Reviews &amp; Exceptions by Segment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Dash_Portfolio!C8</c:f>
              <c:strCache>
                <c:ptCount val="1"/>
                <c:pt idx="0">
                  <c:v>Reviews</c:v>
                </c:pt>
              </c:strCache>
            </c:strRef>
          </c:tx>
          <c:spPr>
            <a:solidFill>
              <a:srgbClr val="2e5597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Dash_Portfolio!$B$9:$B$15</c:f>
              <c:strCache>
                <c:ptCount val="7"/>
                <c:pt idx="0">
                  <c:v>C&amp;I / Commercial</c:v>
                </c:pt>
                <c:pt idx="1">
                  <c:v>Commercial Real Estate</c:v>
                </c:pt>
                <c:pt idx="2">
                  <c:v>Leveraged Lending</c:v>
                </c:pt>
                <c:pt idx="3">
                  <c:v>Asset-Based Lending</c:v>
                </c:pt>
                <c:pt idx="4">
                  <c:v>ARG / Workout</c:v>
                </c:pt>
                <c:pt idx="5">
                  <c:v>Internal Audit (Generic)</c:v>
                </c:pt>
                <c:pt idx="6">
                  <c:v>General Compliance Crosswalk</c:v>
                </c:pt>
              </c:strCache>
            </c:strRef>
          </c:cat>
          <c:val>
            <c:numRef>
              <c:f>Dash_Portfolio!$C$9:$C$15</c:f>
              <c:numCache>
                <c:formatCode>General</c:formatCode>
                <c:ptCount val="7"/>
                <c:pt idx="0">
                  <c:v>4</c:v>
                </c:pt>
                <c:pt idx="1">
                  <c:v>4</c:v>
                </c:pt>
                <c:pt idx="2">
                  <c:v>4</c:v>
                </c:pt>
                <c:pt idx="3">
                  <c:v>4</c:v>
                </c:pt>
                <c:pt idx="4">
                  <c:v>4</c:v>
                </c:pt>
                <c:pt idx="5">
                  <c:v>4</c:v>
                </c:pt>
                <c:pt idx="6">
                  <c:v>4</c:v>
                </c:pt>
              </c:numCache>
            </c:numRef>
          </c:val>
        </c:ser>
        <c:ser>
          <c:idx val="1"/>
          <c:order val="1"/>
          <c:tx>
            <c:strRef>
              <c:f>Dash_Portfolio!D8</c:f>
              <c:strCache>
                <c:ptCount val="1"/>
                <c:pt idx="0">
                  <c:v>Exceptions</c:v>
                </c:pt>
              </c:strCache>
            </c:strRef>
          </c:tx>
          <c:spPr>
            <a:solidFill>
              <a:srgbClr val="c0504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Dash_Portfolio!$B$9:$B$15</c:f>
              <c:strCache>
                <c:ptCount val="7"/>
                <c:pt idx="0">
                  <c:v>C&amp;I / Commercial</c:v>
                </c:pt>
                <c:pt idx="1">
                  <c:v>Commercial Real Estate</c:v>
                </c:pt>
                <c:pt idx="2">
                  <c:v>Leveraged Lending</c:v>
                </c:pt>
                <c:pt idx="3">
                  <c:v>Asset-Based Lending</c:v>
                </c:pt>
                <c:pt idx="4">
                  <c:v>ARG / Workout</c:v>
                </c:pt>
                <c:pt idx="5">
                  <c:v>Internal Audit (Generic)</c:v>
                </c:pt>
                <c:pt idx="6">
                  <c:v>General Compliance Crosswalk</c:v>
                </c:pt>
              </c:strCache>
            </c:strRef>
          </c:cat>
          <c:val>
            <c:numRef>
              <c:f>Dash_Portfolio!$D$9:$D$15</c:f>
              <c:numCache>
                <c:formatCode>General</c:formatCode>
                <c:ptCount val="7"/>
                <c:pt idx="0">
                  <c:v>8</c:v>
                </c:pt>
                <c:pt idx="1">
                  <c:v>8</c:v>
                </c:pt>
                <c:pt idx="2">
                  <c:v>10</c:v>
                </c:pt>
                <c:pt idx="3">
                  <c:v>6</c:v>
                </c:pt>
                <c:pt idx="4">
                  <c:v>9</c:v>
                </c:pt>
                <c:pt idx="5">
                  <c:v>4</c:v>
                </c:pt>
                <c:pt idx="6">
                  <c:v>1</c:v>
                </c:pt>
              </c:numCache>
            </c:numRef>
          </c:val>
        </c:ser>
        <c:gapWidth val="150"/>
        <c:overlap val="0"/>
        <c:axId val="44534162"/>
        <c:axId val="69543020"/>
      </c:barChart>
      <c:catAx>
        <c:axId val="4453416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e3e8f0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9543020"/>
        <c:crosses val="autoZero"/>
        <c:auto val="1"/>
        <c:lblAlgn val="ctr"/>
        <c:lblOffset val="100"/>
        <c:noMultiLvlLbl val="0"/>
      </c:catAx>
      <c:valAx>
        <c:axId val="69543020"/>
        <c:scaling>
          <c:orientation val="minMax"/>
        </c:scaling>
        <c:delete val="0"/>
        <c:axPos val="l"/>
        <c:majorGridlines>
          <c:spPr>
            <a:ln w="9360">
              <a:solidFill>
                <a:srgbClr val="e3e8f0"/>
              </a:solidFill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9360">
            <a:solidFill>
              <a:srgbClr val="e3e8f0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4534162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noFill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Grade Distribution: Assigned vs CRR-Concluded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Dash_Portfolio!C19</c:f>
              <c:strCache>
                <c:ptCount val="1"/>
                <c:pt idx="0">
                  <c:v>LOB Assigned</c:v>
                </c:pt>
              </c:strCache>
            </c:strRef>
          </c:tx>
          <c:spPr>
            <a:solidFill>
              <a:srgbClr val="2e5597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Dash_Portfolio!$B$20:$B$27</c:f>
              <c:strCache>
                <c:ptCount val="8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</c:strCache>
            </c:strRef>
          </c:cat>
          <c:val>
            <c:numRef>
              <c:f>Dash_Portfolio!$C$20:$C$27</c:f>
              <c:numCache>
                <c:formatCode>General</c:formatCode>
                <c:ptCount val="8"/>
                <c:pt idx="0">
                  <c:v>0</c:v>
                </c:pt>
                <c:pt idx="1">
                  <c:v>4</c:v>
                </c:pt>
                <c:pt idx="2">
                  <c:v>6</c:v>
                </c:pt>
                <c:pt idx="3">
                  <c:v>11</c:v>
                </c:pt>
                <c:pt idx="4">
                  <c:v>5</c:v>
                </c:pt>
                <c:pt idx="5">
                  <c:v>1</c:v>
                </c:pt>
                <c:pt idx="6">
                  <c:v>1</c:v>
                </c:pt>
                <c:pt idx="7">
                  <c:v>0</c:v>
                </c:pt>
              </c:numCache>
            </c:numRef>
          </c:val>
        </c:ser>
        <c:ser>
          <c:idx val="1"/>
          <c:order val="1"/>
          <c:tx>
            <c:strRef>
              <c:f>Dash_Portfolio!D19</c:f>
              <c:strCache>
                <c:ptCount val="1"/>
                <c:pt idx="0">
                  <c:v>CRR Concluded</c:v>
                </c:pt>
              </c:strCache>
            </c:strRef>
          </c:tx>
          <c:spPr>
            <a:solidFill>
              <a:srgbClr val="c0504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Dash_Portfolio!$B$20:$B$27</c:f>
              <c:strCache>
                <c:ptCount val="8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</c:strCache>
            </c:strRef>
          </c:cat>
          <c:val>
            <c:numRef>
              <c:f>Dash_Portfolio!$D$20:$D$27</c:f>
              <c:numCache>
                <c:formatCode>General</c:formatCode>
                <c:ptCount val="8"/>
                <c:pt idx="0">
                  <c:v>0</c:v>
                </c:pt>
                <c:pt idx="1">
                  <c:v>4</c:v>
                </c:pt>
                <c:pt idx="2">
                  <c:v>5</c:v>
                </c:pt>
                <c:pt idx="3">
                  <c:v>7</c:v>
                </c:pt>
                <c:pt idx="4">
                  <c:v>9</c:v>
                </c:pt>
                <c:pt idx="5">
                  <c:v>2</c:v>
                </c:pt>
                <c:pt idx="6">
                  <c:v>1</c:v>
                </c:pt>
                <c:pt idx="7">
                  <c:v>0</c:v>
                </c:pt>
              </c:numCache>
            </c:numRef>
          </c:val>
        </c:ser>
        <c:gapWidth val="150"/>
        <c:overlap val="0"/>
        <c:axId val="60972491"/>
        <c:axId val="63087571"/>
      </c:barChart>
      <c:catAx>
        <c:axId val="60972491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e3e8f0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3087571"/>
        <c:crosses val="autoZero"/>
        <c:auto val="1"/>
        <c:lblAlgn val="ctr"/>
        <c:lblOffset val="100"/>
        <c:noMultiLvlLbl val="0"/>
      </c:catAx>
      <c:valAx>
        <c:axId val="63087571"/>
        <c:scaling>
          <c:orientation val="minMax"/>
        </c:scaling>
        <c:delete val="0"/>
        <c:axPos val="l"/>
        <c:majorGridlines>
          <c:spPr>
            <a:ln w="9360">
              <a:solidFill>
                <a:srgbClr val="e3e8f0"/>
              </a:solidFill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9360">
            <a:solidFill>
              <a:srgbClr val="e3e8f0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0972491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noFill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Exceptions by Segment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Dash_Exceptions!C8</c:f>
              <c:strCache>
                <c:ptCount val="1"/>
                <c:pt idx="0">
                  <c:v>Exceptions</c:v>
                </c:pt>
              </c:strCache>
            </c:strRef>
          </c:tx>
          <c:spPr>
            <a:solidFill>
              <a:srgbClr val="2e5597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Dash_Exceptions!$B$9:$B$15</c:f>
              <c:strCache>
                <c:ptCount val="7"/>
                <c:pt idx="0">
                  <c:v>CI</c:v>
                </c:pt>
                <c:pt idx="1">
                  <c:v>CRE</c:v>
                </c:pt>
                <c:pt idx="2">
                  <c:v>LL</c:v>
                </c:pt>
                <c:pt idx="3">
                  <c:v>ABL</c:v>
                </c:pt>
                <c:pt idx="4">
                  <c:v>ARG</c:v>
                </c:pt>
                <c:pt idx="5">
                  <c:v>IA</c:v>
                </c:pt>
                <c:pt idx="6">
                  <c:v>COMP</c:v>
                </c:pt>
              </c:strCache>
            </c:strRef>
          </c:cat>
          <c:val>
            <c:numRef>
              <c:f>Dash_Exceptions!$C$9:$C$15</c:f>
              <c:numCache>
                <c:formatCode>General</c:formatCode>
                <c:ptCount val="7"/>
                <c:pt idx="0">
                  <c:v>8</c:v>
                </c:pt>
                <c:pt idx="1">
                  <c:v>8</c:v>
                </c:pt>
                <c:pt idx="2">
                  <c:v>10</c:v>
                </c:pt>
                <c:pt idx="3">
                  <c:v>6</c:v>
                </c:pt>
                <c:pt idx="4">
                  <c:v>9</c:v>
                </c:pt>
                <c:pt idx="5">
                  <c:v>4</c:v>
                </c:pt>
                <c:pt idx="6">
                  <c:v>1</c:v>
                </c:pt>
              </c:numCache>
            </c:numRef>
          </c:val>
        </c:ser>
        <c:gapWidth val="150"/>
        <c:overlap val="0"/>
        <c:axId val="29024272"/>
        <c:axId val="3072348"/>
      </c:barChart>
      <c:catAx>
        <c:axId val="2902427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e3e8f0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072348"/>
        <c:crosses val="autoZero"/>
        <c:auto val="1"/>
        <c:lblAlgn val="ctr"/>
        <c:lblOffset val="100"/>
        <c:noMultiLvlLbl val="0"/>
      </c:catAx>
      <c:valAx>
        <c:axId val="3072348"/>
        <c:scaling>
          <c:orientation val="minMax"/>
        </c:scaling>
        <c:delete val="0"/>
        <c:axPos val="l"/>
        <c:majorGridlines>
          <c:spPr>
            <a:ln w="9360">
              <a:solidFill>
                <a:srgbClr val="e3e8f0"/>
              </a:solidFill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9360">
            <a:solidFill>
              <a:srgbClr val="e3e8f0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9024272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noFill/>
    </a:ln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By Severity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pieChart>
        <c:varyColors val="1"/>
        <c:ser>
          <c:idx val="0"/>
          <c:order val="0"/>
          <c:tx>
            <c:strRef>
              <c:f>Dash_Exceptions!C19</c:f>
              <c:strCache>
                <c:ptCount val="1"/>
                <c:pt idx="0">
                  <c:v>Count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explosion val="0"/>
          <c:dPt>
            <c:idx val="0"/>
            <c:spPr>
              <a:solidFill>
                <a:srgbClr val="4f81bd"/>
              </a:solidFill>
              <a:ln w="0">
                <a:noFill/>
              </a:ln>
            </c:spPr>
          </c:dPt>
          <c:dPt>
            <c:idx val="1"/>
            <c:spPr>
              <a:solidFill>
                <a:srgbClr val="c0504d"/>
              </a:solidFill>
              <a:ln w="0">
                <a:noFill/>
              </a:ln>
            </c:spPr>
          </c:dPt>
          <c:dPt>
            <c:idx val="2"/>
            <c:spPr>
              <a:solidFill>
                <a:srgbClr val="9bbb59"/>
              </a:solidFill>
              <a:ln w="0">
                <a:noFill/>
              </a:ln>
            </c:spPr>
          </c:dPt>
          <c:dLbls>
            <c:dLbl>
              <c:idx val="0"/>
              <c:txPr>
                <a:bodyPr wrap="non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Arial"/>
                    </a:defRPr>
                  </a:pPr>
                </a:p>
              </c:txPr>
              <c:dLblPos val="bestFit"/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1"/>
              <c:txPr>
                <a:bodyPr wrap="non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Arial"/>
                    </a:defRPr>
                  </a:pPr>
                </a:p>
              </c:txPr>
              <c:dLblPos val="bestFit"/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2"/>
              <c:txPr>
                <a:bodyPr wrap="non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Arial"/>
                    </a:defRPr>
                  </a:pPr>
                </a:p>
              </c:txPr>
              <c:dLblPos val="bestFit"/>
              <c:showLegendKey val="0"/>
              <c:showVal val="0"/>
              <c:showCatName val="0"/>
              <c:showSerName val="0"/>
              <c:showPercent val="0"/>
              <c:separator> </c:separator>
            </c:dLbl>
            <c:txPr>
              <a:bodyPr wrap="non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bestFit"/>
            <c:showLegendKey val="0"/>
            <c:showVal val="0"/>
            <c:showCatName val="0"/>
            <c:showSerName val="0"/>
            <c:showPercent val="0"/>
            <c:separator> </c:separator>
            <c:showLeaderLines val="1"/>
          </c:dLbls>
          <c:cat>
            <c:strRef>
              <c:f>Dash_Exceptions!$B$20:$B$22</c:f>
              <c:strCache>
                <c:ptCount val="3"/>
                <c:pt idx="0">
                  <c:v>High</c:v>
                </c:pt>
                <c:pt idx="1">
                  <c:v>Medium</c:v>
                </c:pt>
                <c:pt idx="2">
                  <c:v>Low</c:v>
                </c:pt>
              </c:strCache>
            </c:strRef>
          </c:cat>
          <c:val>
            <c:numRef>
              <c:f>Dash_Exceptions!$C$20:$C$22</c:f>
              <c:numCache>
                <c:formatCode>General</c:formatCode>
                <c:ptCount val="3"/>
                <c:pt idx="0">
                  <c:v>25</c:v>
                </c:pt>
                <c:pt idx="1">
                  <c:v>16</c:v>
                </c:pt>
                <c:pt idx="2">
                  <c:v>5</c:v>
                </c:pt>
              </c:numCache>
            </c:numRef>
          </c:val>
        </c:ser>
        <c:firstSliceAng val="0"/>
      </c:pieChart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noFill/>
    </a:ln>
  </c:spPr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Watch &amp; Classified Trend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Dash_Trends!D6</c:f>
              <c:strCache>
                <c:ptCount val="1"/>
                <c:pt idx="0">
                  <c:v>Watch (SM)</c:v>
                </c:pt>
              </c:strCache>
            </c:strRef>
          </c:tx>
          <c:spPr>
            <a:solidFill>
              <a:srgbClr val="2e5597"/>
            </a:solidFill>
            <a:ln w="21960">
              <a:solidFill>
                <a:srgbClr val="2e5597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Dash_Trends!$B$7:$B$10</c:f>
              <c:strCache>
                <c:ptCount val="4"/>
                <c:pt idx="0">
                  <c:v>2025-Q3</c:v>
                </c:pt>
                <c:pt idx="1">
                  <c:v>2025-Q4</c:v>
                </c:pt>
                <c:pt idx="2">
                  <c:v>2026-Q1</c:v>
                </c:pt>
                <c:pt idx="3">
                  <c:v>2026-Q2</c:v>
                </c:pt>
              </c:strCache>
            </c:strRef>
          </c:cat>
          <c:val>
            <c:numRef>
              <c:f>Dash_Trends!$D$7:$D$10</c:f>
              <c:numCache>
                <c:formatCode>General</c:formatCode>
                <c:ptCount val="4"/>
                <c:pt idx="0">
                  <c:v>1</c:v>
                </c:pt>
                <c:pt idx="1">
                  <c:v>3</c:v>
                </c:pt>
                <c:pt idx="2">
                  <c:v>1</c:v>
                </c:pt>
                <c:pt idx="3">
                  <c:v>4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Dash_Trends!E6</c:f>
              <c:strCache>
                <c:ptCount val="1"/>
                <c:pt idx="0">
                  <c:v>Classified (6+)</c:v>
                </c:pt>
              </c:strCache>
            </c:strRef>
          </c:tx>
          <c:spPr>
            <a:solidFill>
              <a:srgbClr val="c0504d"/>
            </a:solidFill>
            <a:ln w="21960">
              <a:solidFill>
                <a:srgbClr val="c0504d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Dash_Trends!$B$7:$B$10</c:f>
              <c:strCache>
                <c:ptCount val="4"/>
                <c:pt idx="0">
                  <c:v>2025-Q3</c:v>
                </c:pt>
                <c:pt idx="1">
                  <c:v>2025-Q4</c:v>
                </c:pt>
                <c:pt idx="2">
                  <c:v>2026-Q1</c:v>
                </c:pt>
                <c:pt idx="3">
                  <c:v>2026-Q2</c:v>
                </c:pt>
              </c:strCache>
            </c:strRef>
          </c:cat>
          <c:val>
            <c:numRef>
              <c:f>Dash_Trends!$E$7:$E$10</c:f>
              <c:numCache>
                <c:formatCode>General</c:formatCode>
                <c:ptCount val="4"/>
                <c:pt idx="0">
                  <c:v>1</c:v>
                </c:pt>
                <c:pt idx="1">
                  <c:v>0</c:v>
                </c:pt>
                <c:pt idx="2">
                  <c:v>1</c:v>
                </c:pt>
                <c:pt idx="3">
                  <c:v>1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32338747"/>
        <c:axId val="34911670"/>
      </c:lineChart>
      <c:catAx>
        <c:axId val="32338747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e3e8f0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4911670"/>
        <c:crosses val="autoZero"/>
        <c:auto val="1"/>
        <c:lblAlgn val="ctr"/>
        <c:lblOffset val="100"/>
        <c:noMultiLvlLbl val="0"/>
      </c:catAx>
      <c:valAx>
        <c:axId val="34911670"/>
        <c:scaling>
          <c:orientation val="minMax"/>
        </c:scaling>
        <c:delete val="0"/>
        <c:axPos val="l"/>
        <c:majorGridlines>
          <c:spPr>
            <a:ln w="9360">
              <a:solidFill>
                <a:srgbClr val="e3e8f0"/>
              </a:solidFill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9360">
            <a:solidFill>
              <a:srgbClr val="e3e8f0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2338747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noFill/>
    </a:ln>
  </c:spPr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Reviews per Quarter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Dash_Trends!C6</c:f>
              <c:strCache>
                <c:ptCount val="1"/>
                <c:pt idx="0">
                  <c:v>Reviews</c:v>
                </c:pt>
              </c:strCache>
            </c:strRef>
          </c:tx>
          <c:spPr>
            <a:solidFill>
              <a:srgbClr val="2e5597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Dash_Trends!$B$7:$B$10</c:f>
              <c:strCache>
                <c:ptCount val="4"/>
                <c:pt idx="0">
                  <c:v>2025-Q3</c:v>
                </c:pt>
                <c:pt idx="1">
                  <c:v>2025-Q4</c:v>
                </c:pt>
                <c:pt idx="2">
                  <c:v>2026-Q1</c:v>
                </c:pt>
                <c:pt idx="3">
                  <c:v>2026-Q2</c:v>
                </c:pt>
              </c:strCache>
            </c:strRef>
          </c:cat>
          <c:val>
            <c:numRef>
              <c:f>Dash_Trends!$C$7:$C$10</c:f>
              <c:numCache>
                <c:formatCode>General</c:formatCode>
                <c:ptCount val="4"/>
                <c:pt idx="0">
                  <c:v>7</c:v>
                </c:pt>
                <c:pt idx="1">
                  <c:v>7</c:v>
                </c:pt>
                <c:pt idx="2">
                  <c:v>7</c:v>
                </c:pt>
                <c:pt idx="3">
                  <c:v>7</c:v>
                </c:pt>
              </c:numCache>
            </c:numRef>
          </c:val>
        </c:ser>
        <c:gapWidth val="150"/>
        <c:overlap val="0"/>
        <c:axId val="48507499"/>
        <c:axId val="32316250"/>
      </c:barChart>
      <c:catAx>
        <c:axId val="48507499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e3e8f0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2316250"/>
        <c:crosses val="autoZero"/>
        <c:auto val="1"/>
        <c:lblAlgn val="ctr"/>
        <c:lblOffset val="100"/>
        <c:noMultiLvlLbl val="0"/>
      </c:catAx>
      <c:valAx>
        <c:axId val="32316250"/>
        <c:scaling>
          <c:orientation val="minMax"/>
        </c:scaling>
        <c:delete val="0"/>
        <c:axPos val="l"/>
        <c:majorGridlines>
          <c:spPr>
            <a:ln w="9360">
              <a:solidFill>
                <a:srgbClr val="e3e8f0"/>
              </a:solidFill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9360">
            <a:solidFill>
              <a:srgbClr val="e3e8f0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8507499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noFill/>
    </a:ln>
  </c:spPr>
</c:chartSpace>
</file>

<file path=xl/drawings/_rels/drawing4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
</Relationships>
</file>

<file path=xl/drawings/_rels/drawing5.xml.rels><?xml version="1.0" encoding="UTF-8"?>
<Relationships xmlns="http://schemas.openxmlformats.org/package/2006/relationships"><Relationship Id="rId1" Type="http://schemas.openxmlformats.org/officeDocument/2006/relationships/chart" Target="../charts/chart3.xml"/><Relationship Id="rId2" Type="http://schemas.openxmlformats.org/officeDocument/2006/relationships/chart" Target="../charts/chart4.xml"/>
</Relationships>
</file>

<file path=xl/drawings/_rels/drawing6.xml.rels><?xml version="1.0" encoding="UTF-8"?>
<Relationships xmlns="http://schemas.openxmlformats.org/package/2006/relationships"><Relationship Id="rId1" Type="http://schemas.openxmlformats.org/officeDocument/2006/relationships/chart" Target="../charts/chart5.xml"/><Relationship Id="rId2" Type="http://schemas.openxmlformats.org/officeDocument/2006/relationships/chart" Target="../charts/chart6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7</xdr:col>
      <xdr:colOff>0</xdr:colOff>
      <xdr:row>6</xdr:row>
      <xdr:rowOff>0</xdr:rowOff>
    </xdr:from>
    <xdr:to>
      <xdr:col>13</xdr:col>
      <xdr:colOff>692280</xdr:colOff>
      <xdr:row>20</xdr:row>
      <xdr:rowOff>41040</xdr:rowOff>
    </xdr:to>
    <xdr:graphicFrame>
      <xdr:nvGraphicFramePr>
        <xdr:cNvPr id="0" name="Chart 1"/>
        <xdr:cNvGraphicFramePr/>
      </xdr:nvGraphicFramePr>
      <xdr:xfrm>
        <a:off x="7201080" y="1305000"/>
        <a:ext cx="5759280" cy="28792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7</xdr:col>
      <xdr:colOff>0</xdr:colOff>
      <xdr:row>17</xdr:row>
      <xdr:rowOff>0</xdr:rowOff>
    </xdr:from>
    <xdr:to>
      <xdr:col>13</xdr:col>
      <xdr:colOff>692280</xdr:colOff>
      <xdr:row>31</xdr:row>
      <xdr:rowOff>41040</xdr:rowOff>
    </xdr:to>
    <xdr:graphicFrame>
      <xdr:nvGraphicFramePr>
        <xdr:cNvPr id="1" name="Chart 2"/>
        <xdr:cNvGraphicFramePr/>
      </xdr:nvGraphicFramePr>
      <xdr:xfrm>
        <a:off x="7201080" y="3486240"/>
        <a:ext cx="5759280" cy="28792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6</xdr:col>
      <xdr:colOff>0</xdr:colOff>
      <xdr:row>6</xdr:row>
      <xdr:rowOff>0</xdr:rowOff>
    </xdr:from>
    <xdr:to>
      <xdr:col>11</xdr:col>
      <xdr:colOff>136440</xdr:colOff>
      <xdr:row>18</xdr:row>
      <xdr:rowOff>147600</xdr:rowOff>
    </xdr:to>
    <xdr:graphicFrame>
      <xdr:nvGraphicFramePr>
        <xdr:cNvPr id="2" name="Chart 1"/>
        <xdr:cNvGraphicFramePr/>
      </xdr:nvGraphicFramePr>
      <xdr:xfrm>
        <a:off x="5778360" y="1305000"/>
        <a:ext cx="3959280" cy="25192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14</xdr:col>
      <xdr:colOff>0</xdr:colOff>
      <xdr:row>6</xdr:row>
      <xdr:rowOff>0</xdr:rowOff>
    </xdr:from>
    <xdr:to>
      <xdr:col>17</xdr:col>
      <xdr:colOff>603000</xdr:colOff>
      <xdr:row>16</xdr:row>
      <xdr:rowOff>168480</xdr:rowOff>
    </xdr:to>
    <xdr:graphicFrame>
      <xdr:nvGraphicFramePr>
        <xdr:cNvPr id="3" name="Chart 2"/>
        <xdr:cNvGraphicFramePr/>
      </xdr:nvGraphicFramePr>
      <xdr:xfrm>
        <a:off x="19824840" y="1305000"/>
        <a:ext cx="2879280" cy="21592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7</xdr:col>
      <xdr:colOff>0</xdr:colOff>
      <xdr:row>4</xdr:row>
      <xdr:rowOff>0</xdr:rowOff>
    </xdr:from>
    <xdr:to>
      <xdr:col>12</xdr:col>
      <xdr:colOff>594360</xdr:colOff>
      <xdr:row>18</xdr:row>
      <xdr:rowOff>126720</xdr:rowOff>
    </xdr:to>
    <xdr:graphicFrame>
      <xdr:nvGraphicFramePr>
        <xdr:cNvPr id="4" name="Chart 1"/>
        <xdr:cNvGraphicFramePr/>
      </xdr:nvGraphicFramePr>
      <xdr:xfrm>
        <a:off x="6489720" y="781200"/>
        <a:ext cx="5039280" cy="28792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7</xdr:col>
      <xdr:colOff>0</xdr:colOff>
      <xdr:row>21</xdr:row>
      <xdr:rowOff>0</xdr:rowOff>
    </xdr:from>
    <xdr:to>
      <xdr:col>12</xdr:col>
      <xdr:colOff>594360</xdr:colOff>
      <xdr:row>36</xdr:row>
      <xdr:rowOff>21960</xdr:rowOff>
    </xdr:to>
    <xdr:graphicFrame>
      <xdr:nvGraphicFramePr>
        <xdr:cNvPr id="5" name="Chart 2"/>
        <xdr:cNvGraphicFramePr/>
      </xdr:nvGraphicFramePr>
      <xdr:xfrm>
        <a:off x="6489720" y="4105440"/>
        <a:ext cx="5039280" cy="28792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CRR_Line_Sheet_System.xlsx" TargetMode="External"/><Relationship Id="rId2" Type="http://schemas.openxmlformats.org/officeDocument/2006/relationships/hyperlink" Target="CRR_Line_Sheet_System.xlsx" TargetMode="External"/><Relationship Id="rId3" Type="http://schemas.openxmlformats.org/officeDocument/2006/relationships/hyperlink" Target="CRR_Line_Sheet_System.xlsx" TargetMode="External"/><Relationship Id="rId4" Type="http://schemas.openxmlformats.org/officeDocument/2006/relationships/hyperlink" Target="CRR_Line_Sheet_System.xlsx" TargetMode="External"/><Relationship Id="rId5" Type="http://schemas.openxmlformats.org/officeDocument/2006/relationships/hyperlink" Target="CRR_Line_Sheet_System.xlsx" TargetMode="External"/><Relationship Id="rId6" Type="http://schemas.openxmlformats.org/officeDocument/2006/relationships/hyperlink" Target="CRR_Line_Sheet_System.xlsx" TargetMode="External"/><Relationship Id="rId7" Type="http://schemas.openxmlformats.org/officeDocument/2006/relationships/hyperlink" Target="CRR_Line_Sheet_System.xlsx" TargetMode="External"/><Relationship Id="rId8" Type="http://schemas.openxmlformats.org/officeDocument/2006/relationships/hyperlink" Target="CRR_Line_Sheet_System.xlsx" TargetMode="External"/><Relationship Id="rId9" Type="http://schemas.openxmlformats.org/officeDocument/2006/relationships/hyperlink" Target="CRR_Line_Sheet_System.xlsx" TargetMode="External"/><Relationship Id="rId10" Type="http://schemas.openxmlformats.org/officeDocument/2006/relationships/hyperlink" Target="CRR_Line_Sheet_System.xlsx" TargetMode="External"/><Relationship Id="rId11" Type="http://schemas.openxmlformats.org/officeDocument/2006/relationships/hyperlink" Target="CRR_Line_Sheet_System.xlsx" TargetMode="External"/><Relationship Id="rId12" Type="http://schemas.openxmlformats.org/officeDocument/2006/relationships/hyperlink" Target="CRR_Line_Sheet_System.xlsx" TargetMode="External"/><Relationship Id="rId13" Type="http://schemas.openxmlformats.org/officeDocument/2006/relationships/hyperlink" Target="CRR_Line_Sheet_System.xlsx" TargetMode="External"/><Relationship Id="rId14" Type="http://schemas.openxmlformats.org/officeDocument/2006/relationships/hyperlink" Target="CRR_Line_Sheet_System.xlsx" TargetMode="External"/><Relationship Id="rId15" Type="http://schemas.openxmlformats.org/officeDocument/2006/relationships/hyperlink" Target="CRR_Line_Sheet_System.xlsx" TargetMode="External"/><Relationship Id="rId16" Type="http://schemas.openxmlformats.org/officeDocument/2006/relationships/hyperlink" Target="CRR_Line_Sheet_System.xlsx" TargetMode="External"/><Relationship Id="rId17" Type="http://schemas.openxmlformats.org/officeDocument/2006/relationships/hyperlink" Target="CRR_Line_Sheet_System.xlsx" TargetMode="External"/><Relationship Id="rId18" Type="http://schemas.openxmlformats.org/officeDocument/2006/relationships/hyperlink" Target="CRR_Line_Sheet_System.xlsx" TargetMode="External"/><Relationship Id="rId19" Type="http://schemas.openxmlformats.org/officeDocument/2006/relationships/hyperlink" Target="CRR_Line_Sheet_System.xlsx" TargetMode="Externa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1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13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14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_rels/sheet15.xml.rels><?xml version="1.0" encoding="UTF-8"?>
<Relationships xmlns="http://schemas.openxmlformats.org/package/2006/relationships"><Relationship Id="rId1" Type="http://schemas.openxmlformats.org/officeDocument/2006/relationships/drawing" Target="../drawings/drawing5.xml"/>
</Relationships>
</file>

<file path=xl/worksheets/_rels/sheet18.xml.rels><?xml version="1.0" encoding="UTF-8"?>
<Relationships xmlns="http://schemas.openxmlformats.org/package/2006/relationships"><Relationship Id="rId1" Type="http://schemas.openxmlformats.org/officeDocument/2006/relationships/drawing" Target="../drawings/drawing6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3864"/>
    <pageSetUpPr fitToPage="true"/>
  </sheetPr>
  <dimension ref="B1:E43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26"/>
    <col collapsed="false" customWidth="true" hidden="false" outlineLevel="0" max="3" min="3" style="1" width="70"/>
    <col collapsed="false" customWidth="true" hidden="false" outlineLevel="0" max="4" min="4" style="1" width="18"/>
    <col collapsed="false" customWidth="true" hidden="false" outlineLevel="0" max="5" min="5" style="1" width="30"/>
  </cols>
  <sheetData>
    <row r="1" customFormat="false" ht="30" hidden="false" customHeight="true" outlineLevel="0" collapsed="false">
      <c r="B1" s="2" t="s">
        <v>0</v>
      </c>
    </row>
    <row r="2" customFormat="false" ht="13.5" hidden="false" customHeight="true" outlineLevel="0" collapsed="false">
      <c r="B2" s="3" t="s">
        <v>1</v>
      </c>
    </row>
    <row r="3" customFormat="false" ht="3" hidden="false" customHeight="true" outlineLevel="0" collapsed="false">
      <c r="B3" s="4"/>
      <c r="C3" s="4"/>
      <c r="D3" s="4"/>
      <c r="E3" s="5"/>
    </row>
    <row r="4" customFormat="false" ht="15" hidden="false" customHeight="false" outlineLevel="0" collapsed="false">
      <c r="B4" s="6" t="s">
        <v>2</v>
      </c>
    </row>
    <row r="5" customFormat="false" ht="25.5" hidden="false" customHeight="true" outlineLevel="0" collapsed="false">
      <c r="B5" s="7" t="s">
        <v>3</v>
      </c>
      <c r="C5" s="8" t="s">
        <v>4</v>
      </c>
    </row>
    <row r="6" customFormat="false" ht="25.5" hidden="false" customHeight="true" outlineLevel="0" collapsed="false">
      <c r="B6" s="7" t="s">
        <v>5</v>
      </c>
      <c r="C6" s="8" t="s">
        <v>6</v>
      </c>
    </row>
    <row r="7" customFormat="false" ht="25.5" hidden="false" customHeight="true" outlineLevel="0" collapsed="false">
      <c r="B7" s="7" t="s">
        <v>7</v>
      </c>
      <c r="C7" s="8" t="s">
        <v>8</v>
      </c>
    </row>
    <row r="8" customFormat="false" ht="25.5" hidden="false" customHeight="true" outlineLevel="0" collapsed="false">
      <c r="B8" s="7" t="s">
        <v>9</v>
      </c>
      <c r="C8" s="8" t="s">
        <v>10</v>
      </c>
    </row>
    <row r="9" customFormat="false" ht="25.5" hidden="false" customHeight="true" outlineLevel="0" collapsed="false">
      <c r="B9" s="7" t="s">
        <v>11</v>
      </c>
      <c r="C9" s="8" t="s">
        <v>12</v>
      </c>
    </row>
    <row r="10" customFormat="false" ht="25.5" hidden="false" customHeight="true" outlineLevel="0" collapsed="false">
      <c r="B10" s="7" t="s">
        <v>13</v>
      </c>
      <c r="C10" s="8" t="s">
        <v>14</v>
      </c>
    </row>
    <row r="12" customFormat="false" ht="15" hidden="false" customHeight="false" outlineLevel="0" collapsed="false">
      <c r="B12" s="6" t="s">
        <v>15</v>
      </c>
    </row>
    <row r="13" customFormat="false" ht="15" hidden="false" customHeight="false" outlineLevel="0" collapsed="false">
      <c r="B13" s="9" t="s">
        <v>16</v>
      </c>
      <c r="C13" s="10" t="s">
        <v>17</v>
      </c>
    </row>
    <row r="14" customFormat="false" ht="15" hidden="false" customHeight="false" outlineLevel="0" collapsed="false">
      <c r="B14" s="9" t="s">
        <v>18</v>
      </c>
      <c r="C14" s="10" t="s">
        <v>19</v>
      </c>
    </row>
    <row r="15" customFormat="false" ht="15" hidden="false" customHeight="false" outlineLevel="0" collapsed="false">
      <c r="B15" s="9" t="s">
        <v>20</v>
      </c>
      <c r="C15" s="10" t="s">
        <v>21</v>
      </c>
    </row>
    <row r="16" customFormat="false" ht="15" hidden="false" customHeight="false" outlineLevel="0" collapsed="false">
      <c r="B16" s="9" t="s">
        <v>22</v>
      </c>
      <c r="C16" s="10" t="s">
        <v>23</v>
      </c>
    </row>
    <row r="18" customFormat="false" ht="15" hidden="false" customHeight="false" outlineLevel="0" collapsed="false">
      <c r="B18" s="6" t="s">
        <v>24</v>
      </c>
    </row>
    <row r="19" customFormat="false" ht="15" hidden="false" customHeight="false" outlineLevel="0" collapsed="false">
      <c r="B19" s="11" t="s">
        <v>25</v>
      </c>
      <c r="C19" s="10" t="s">
        <v>26</v>
      </c>
    </row>
    <row r="20" customFormat="false" ht="15" hidden="false" customHeight="false" outlineLevel="0" collapsed="false">
      <c r="B20" s="12" t="s">
        <v>27</v>
      </c>
      <c r="C20" s="10" t="s">
        <v>28</v>
      </c>
    </row>
    <row r="21" customFormat="false" ht="15" hidden="false" customHeight="false" outlineLevel="0" collapsed="false">
      <c r="B21" s="13" t="s">
        <v>29</v>
      </c>
      <c r="C21" s="10" t="s">
        <v>30</v>
      </c>
    </row>
    <row r="22" customFormat="false" ht="15" hidden="false" customHeight="false" outlineLevel="0" collapsed="false">
      <c r="B22" s="14" t="s">
        <v>31</v>
      </c>
      <c r="C22" s="10" t="s">
        <v>32</v>
      </c>
    </row>
    <row r="24" customFormat="false" ht="15" hidden="false" customHeight="false" outlineLevel="0" collapsed="false">
      <c r="B24" s="6" t="s">
        <v>33</v>
      </c>
    </row>
    <row r="25" customFormat="false" ht="15" hidden="false" customHeight="false" outlineLevel="0" collapsed="false">
      <c r="B25" s="15" t="s">
        <v>34</v>
      </c>
      <c r="C25" s="10" t="s">
        <v>35</v>
      </c>
    </row>
    <row r="26" customFormat="false" ht="15" hidden="false" customHeight="false" outlineLevel="0" collapsed="false">
      <c r="B26" s="15" t="s">
        <v>36</v>
      </c>
      <c r="C26" s="10" t="s">
        <v>37</v>
      </c>
    </row>
    <row r="27" customFormat="false" ht="15" hidden="false" customHeight="false" outlineLevel="0" collapsed="false">
      <c r="B27" s="15" t="s">
        <v>38</v>
      </c>
      <c r="C27" s="10" t="s">
        <v>39</v>
      </c>
    </row>
    <row r="28" customFormat="false" ht="15" hidden="false" customHeight="false" outlineLevel="0" collapsed="false">
      <c r="B28" s="15" t="s">
        <v>40</v>
      </c>
      <c r="C28" s="10" t="s">
        <v>41</v>
      </c>
    </row>
    <row r="29" customFormat="false" ht="15" hidden="false" customHeight="false" outlineLevel="0" collapsed="false">
      <c r="B29" s="15" t="s">
        <v>42</v>
      </c>
      <c r="C29" s="10" t="s">
        <v>43</v>
      </c>
    </row>
    <row r="30" customFormat="false" ht="15" hidden="false" customHeight="false" outlineLevel="0" collapsed="false">
      <c r="B30" s="15" t="s">
        <v>44</v>
      </c>
      <c r="C30" s="10" t="s">
        <v>45</v>
      </c>
    </row>
    <row r="31" customFormat="false" ht="15" hidden="false" customHeight="false" outlineLevel="0" collapsed="false">
      <c r="B31" s="15" t="s">
        <v>46</v>
      </c>
      <c r="C31" s="10" t="s">
        <v>47</v>
      </c>
    </row>
    <row r="32" customFormat="false" ht="15" hidden="false" customHeight="false" outlineLevel="0" collapsed="false">
      <c r="B32" s="15" t="s">
        <v>48</v>
      </c>
      <c r="C32" s="10" t="s">
        <v>49</v>
      </c>
    </row>
    <row r="33" customFormat="false" ht="15" hidden="false" customHeight="false" outlineLevel="0" collapsed="false">
      <c r="B33" s="15" t="s">
        <v>50</v>
      </c>
      <c r="C33" s="10" t="s">
        <v>51</v>
      </c>
    </row>
    <row r="34" customFormat="false" ht="15" hidden="false" customHeight="false" outlineLevel="0" collapsed="false">
      <c r="B34" s="15" t="s">
        <v>52</v>
      </c>
      <c r="C34" s="10" t="s">
        <v>53</v>
      </c>
    </row>
    <row r="35" customFormat="false" ht="15" hidden="false" customHeight="false" outlineLevel="0" collapsed="false">
      <c r="B35" s="15" t="s">
        <v>54</v>
      </c>
      <c r="C35" s="10" t="s">
        <v>55</v>
      </c>
    </row>
    <row r="36" customFormat="false" ht="15" hidden="false" customHeight="false" outlineLevel="0" collapsed="false">
      <c r="B36" s="15" t="s">
        <v>56</v>
      </c>
      <c r="C36" s="10" t="s">
        <v>57</v>
      </c>
    </row>
    <row r="37" customFormat="false" ht="15" hidden="false" customHeight="false" outlineLevel="0" collapsed="false">
      <c r="B37" s="15" t="s">
        <v>58</v>
      </c>
      <c r="C37" s="10" t="s">
        <v>59</v>
      </c>
    </row>
    <row r="38" customFormat="false" ht="15" hidden="false" customHeight="false" outlineLevel="0" collapsed="false">
      <c r="B38" s="15" t="s">
        <v>60</v>
      </c>
      <c r="C38" s="10" t="s">
        <v>61</v>
      </c>
    </row>
    <row r="39" customFormat="false" ht="15" hidden="false" customHeight="false" outlineLevel="0" collapsed="false">
      <c r="B39" s="15" t="s">
        <v>62</v>
      </c>
      <c r="C39" s="10" t="s">
        <v>63</v>
      </c>
    </row>
    <row r="40" customFormat="false" ht="15" hidden="false" customHeight="false" outlineLevel="0" collapsed="false">
      <c r="B40" s="15" t="s">
        <v>64</v>
      </c>
      <c r="C40" s="10" t="s">
        <v>65</v>
      </c>
    </row>
    <row r="41" customFormat="false" ht="15" hidden="false" customHeight="false" outlineLevel="0" collapsed="false">
      <c r="B41" s="15" t="s">
        <v>66</v>
      </c>
      <c r="C41" s="10" t="s">
        <v>67</v>
      </c>
    </row>
    <row r="42" customFormat="false" ht="15" hidden="false" customHeight="false" outlineLevel="0" collapsed="false">
      <c r="B42" s="15" t="s">
        <v>68</v>
      </c>
      <c r="C42" s="10" t="s">
        <v>69</v>
      </c>
    </row>
    <row r="43" customFormat="false" ht="15" hidden="false" customHeight="false" outlineLevel="0" collapsed="false">
      <c r="B43" s="15" t="s">
        <v>70</v>
      </c>
      <c r="C43" s="10" t="s">
        <v>71</v>
      </c>
    </row>
  </sheetData>
  <hyperlinks>
    <hyperlink ref="B25" r:id="rId1" location="'Settings'!A1" display="Settings"/>
    <hyperlink ref="B26" r:id="rId2" location="'LS_CI'!A1" display="LS_CI"/>
    <hyperlink ref="B27" r:id="rId3" location="'LS_CRE'!A1" display="LS_CRE"/>
    <hyperlink ref="B28" r:id="rId4" location="'LS_LL'!A1" display="LS_LL"/>
    <hyperlink ref="B29" r:id="rId5" location="'LS_ABL'!A1" display="LS_ABL"/>
    <hyperlink ref="B30" r:id="rId6" location="'LS_ARG'!A1" display="LS_ARG"/>
    <hyperlink ref="B31" r:id="rId7" location="'LS_COMP'!A1" display="LS_COMP"/>
    <hyperlink ref="B32" r:id="rId8" location="'LS_IA'!A1" display="LS_IA"/>
    <hyperlink ref="B33" r:id="rId9" location="'Database'!A1" display="Database"/>
    <hyperlink ref="B34" r:id="rId10" location="'Responses'!A1" display="Responses"/>
    <hyperlink ref="B35" r:id="rId11" location="'Dash_Portfolio'!A1" display="Dash_Portfolio"/>
    <hyperlink ref="B36" r:id="rId12" location="'Dash_Exceptions'!A1" display="Dash_Exceptions"/>
    <hyperlink ref="B37" r:id="rId13" location="'Obs_View'!A1" display="Obs_View"/>
    <hyperlink ref="B38" r:id="rId14" location="'Dash_Concentration'!A1" display="Dash_Concentration"/>
    <hyperlink ref="B39" r:id="rId15" location="'Dash_Trends'!A1" display="Dash_Trends"/>
    <hyperlink ref="B40" r:id="rId16" location="'Crosswalk'!A1" display="Crosswalk"/>
    <hyperlink ref="B41" r:id="rId17" location="'Assertions'!A1" display="Assertions"/>
    <hyperlink ref="B42" r:id="rId18" location="'Staging_TypeA'!A1" display="Staging_TypeA"/>
    <hyperlink ref="B43" r:id="rId19" location="'Staging_TypeB'!A1" display="Staging_TypeB"/>
  </hyperlinks>
  <printOptions headings="false" gridLines="false" gridLinesSet="true" horizontalCentered="false" verticalCentered="false"/>
  <pageMargins left="0.4" right="0.4" top="0.5" bottom="0.5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3864"/>
    <pageSetUpPr fitToPage="true"/>
  </sheetPr>
  <dimension ref="B1:D1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44"/>
    <col collapsed="false" customWidth="true" hidden="false" outlineLevel="0" max="3" min="3" style="1" width="16"/>
    <col collapsed="false" customWidth="true" hidden="false" outlineLevel="0" max="4" min="4" style="1" width="56"/>
  </cols>
  <sheetData>
    <row r="1" customFormat="false" ht="30" hidden="false" customHeight="true" outlineLevel="0" collapsed="false">
      <c r="B1" s="2" t="s">
        <v>72</v>
      </c>
    </row>
    <row r="2" customFormat="false" ht="3" hidden="false" customHeight="true" outlineLevel="0" collapsed="false">
      <c r="B2" s="4"/>
      <c r="C2" s="4"/>
      <c r="D2" s="5"/>
    </row>
    <row r="3" customFormat="false" ht="15" hidden="false" customHeight="false" outlineLevel="0" collapsed="false">
      <c r="B3" s="6" t="s">
        <v>73</v>
      </c>
    </row>
    <row r="4" customFormat="false" ht="15" hidden="false" customHeight="false" outlineLevel="0" collapsed="false">
      <c r="B4" s="7" t="s">
        <v>74</v>
      </c>
      <c r="C4" s="16" t="n">
        <v>46183</v>
      </c>
      <c r="D4" s="17" t="s">
        <v>75</v>
      </c>
    </row>
    <row r="5" customFormat="false" ht="15" hidden="false" customHeight="false" outlineLevel="0" collapsed="false">
      <c r="B5" s="7" t="s">
        <v>76</v>
      </c>
      <c r="C5" s="18" t="s">
        <v>77</v>
      </c>
      <c r="D5" s="17" t="s">
        <v>78</v>
      </c>
    </row>
    <row r="7" customFormat="false" ht="15" hidden="false" customHeight="false" outlineLevel="0" collapsed="false">
      <c r="B7" s="6" t="s">
        <v>79</v>
      </c>
    </row>
    <row r="8" customFormat="false" ht="15" hidden="false" customHeight="false" outlineLevel="0" collapsed="false">
      <c r="B8" s="7" t="s">
        <v>80</v>
      </c>
      <c r="C8" s="19" t="n">
        <v>185000</v>
      </c>
      <c r="D8" s="17" t="s">
        <v>81</v>
      </c>
    </row>
    <row r="9" customFormat="false" ht="15" hidden="false" customHeight="false" outlineLevel="0" collapsed="false">
      <c r="B9" s="7" t="s">
        <v>82</v>
      </c>
      <c r="C9" s="19" t="n">
        <v>142000</v>
      </c>
      <c r="D9" s="17" t="s">
        <v>83</v>
      </c>
    </row>
    <row r="10" customFormat="false" ht="15" hidden="false" customHeight="false" outlineLevel="0" collapsed="false">
      <c r="B10" s="7" t="s">
        <v>84</v>
      </c>
      <c r="C10" s="19" t="n">
        <v>612000</v>
      </c>
      <c r="D10" s="17" t="s">
        <v>83</v>
      </c>
    </row>
    <row r="11" customFormat="false" ht="15" hidden="false" customHeight="false" outlineLevel="0" collapsed="false">
      <c r="B11" s="7" t="s">
        <v>85</v>
      </c>
      <c r="C11" s="19" t="n">
        <v>425000</v>
      </c>
      <c r="D11" s="17" t="s">
        <v>86</v>
      </c>
    </row>
  </sheetData>
  <dataValidations count="1">
    <dataValidation allowBlank="false" errorStyle="stop" operator="between" showDropDown="false" showErrorMessage="false" showInputMessage="false" sqref="C5" type="list">
      <formula1>AgencyList</formula1>
      <formula2>0</formula2>
    </dataValidation>
  </dataValidations>
  <printOptions headings="false" gridLines="false" gridLinesSet="true" horizontalCentered="false" verticalCentered="false"/>
  <pageMargins left="0.4" right="0.4" top="0.5" bottom="0.5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BF8F00"/>
    <pageSetUpPr fitToPage="true"/>
  </sheetPr>
  <dimension ref="A1:L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1" width="10"/>
    <col collapsed="false" customWidth="true" hidden="false" outlineLevel="0" max="2" min="2" style="1" width="12"/>
    <col collapsed="false" customWidth="true" hidden="false" outlineLevel="0" max="3" min="3" style="1" width="10"/>
    <col collapsed="false" customWidth="true" hidden="false" outlineLevel="0" max="4" min="4" style="1" width="7"/>
    <col collapsed="false" customWidth="true" hidden="false" outlineLevel="0" max="5" min="5" style="1" width="16"/>
    <col collapsed="false" customWidth="true" hidden="false" outlineLevel="0" max="6" min="6" style="1" width="12"/>
    <col collapsed="false" customWidth="true" hidden="false" outlineLevel="0" max="7" min="7" style="1" width="10"/>
    <col collapsed="false" customWidth="true" hidden="false" outlineLevel="0" max="8" min="8" style="1" width="11"/>
    <col collapsed="false" customWidth="true" hidden="false" outlineLevel="0" max="9" min="9" style="1" width="3"/>
    <col collapsed="false" customWidth="true" hidden="false" outlineLevel="0" max="10" min="10" style="1" width="7"/>
    <col collapsed="false" customWidth="true" hidden="false" outlineLevel="0" max="11" min="11" style="1" width="16"/>
    <col collapsed="false" customWidth="true" hidden="false" outlineLevel="0" max="12" min="12" style="1" width="70"/>
  </cols>
  <sheetData>
    <row r="1" customFormat="false" ht="15" hidden="false" customHeight="false" outlineLevel="0" collapsed="false">
      <c r="A1" s="20" t="s">
        <v>87</v>
      </c>
      <c r="B1" s="20" t="s">
        <v>88</v>
      </c>
      <c r="C1" s="20" t="s">
        <v>89</v>
      </c>
      <c r="D1" s="20" t="s">
        <v>90</v>
      </c>
      <c r="E1" s="20" t="s">
        <v>91</v>
      </c>
      <c r="F1" s="20" t="s">
        <v>92</v>
      </c>
      <c r="G1" s="20" t="s">
        <v>93</v>
      </c>
      <c r="H1" s="20" t="s">
        <v>94</v>
      </c>
      <c r="J1" s="20" t="s">
        <v>90</v>
      </c>
      <c r="K1" s="20" t="s">
        <v>91</v>
      </c>
      <c r="L1" s="20" t="s">
        <v>95</v>
      </c>
    </row>
    <row r="2" customFormat="false" ht="15" hidden="false" customHeight="false" outlineLevel="0" collapsed="false">
      <c r="A2" s="21" t="s">
        <v>16</v>
      </c>
      <c r="B2" s="21" t="s">
        <v>96</v>
      </c>
      <c r="C2" s="21" t="s">
        <v>77</v>
      </c>
      <c r="D2" s="21" t="n">
        <v>1</v>
      </c>
      <c r="E2" s="21" t="s">
        <v>97</v>
      </c>
      <c r="F2" s="21" t="s">
        <v>98</v>
      </c>
      <c r="G2" s="21" t="s">
        <v>99</v>
      </c>
      <c r="H2" s="21" t="s">
        <v>100</v>
      </c>
      <c r="J2" s="21" t="n">
        <v>1</v>
      </c>
      <c r="K2" s="21" t="s">
        <v>97</v>
      </c>
      <c r="L2" s="21" t="s">
        <v>101</v>
      </c>
    </row>
    <row r="3" customFormat="false" ht="15" hidden="false" customHeight="false" outlineLevel="0" collapsed="false">
      <c r="A3" s="21" t="s">
        <v>18</v>
      </c>
      <c r="B3" s="21" t="s">
        <v>102</v>
      </c>
      <c r="C3" s="21" t="s">
        <v>103</v>
      </c>
      <c r="D3" s="21" t="n">
        <v>2</v>
      </c>
      <c r="E3" s="21" t="s">
        <v>97</v>
      </c>
      <c r="F3" s="21" t="s">
        <v>104</v>
      </c>
      <c r="G3" s="21" t="s">
        <v>105</v>
      </c>
      <c r="H3" s="21" t="s">
        <v>106</v>
      </c>
      <c r="J3" s="21" t="n">
        <v>2</v>
      </c>
      <c r="K3" s="21" t="s">
        <v>97</v>
      </c>
      <c r="L3" s="21" t="s">
        <v>107</v>
      </c>
    </row>
    <row r="4" customFormat="false" ht="15" hidden="false" customHeight="false" outlineLevel="0" collapsed="false">
      <c r="A4" s="21" t="s">
        <v>20</v>
      </c>
      <c r="C4" s="21" t="s">
        <v>108</v>
      </c>
      <c r="D4" s="21" t="n">
        <v>3</v>
      </c>
      <c r="E4" s="21" t="s">
        <v>97</v>
      </c>
      <c r="F4" s="21" t="s">
        <v>109</v>
      </c>
      <c r="G4" s="21" t="s">
        <v>110</v>
      </c>
      <c r="H4" s="21" t="s">
        <v>111</v>
      </c>
      <c r="J4" s="21" t="n">
        <v>3</v>
      </c>
      <c r="K4" s="21" t="s">
        <v>97</v>
      </c>
      <c r="L4" s="21" t="s">
        <v>112</v>
      </c>
    </row>
    <row r="5" customFormat="false" ht="15" hidden="false" customHeight="false" outlineLevel="0" collapsed="false">
      <c r="A5" s="21" t="s">
        <v>22</v>
      </c>
      <c r="C5" s="21" t="s">
        <v>113</v>
      </c>
      <c r="D5" s="21" t="n">
        <v>4</v>
      </c>
      <c r="E5" s="21" t="s">
        <v>97</v>
      </c>
      <c r="F5" s="21" t="s">
        <v>114</v>
      </c>
      <c r="J5" s="21" t="n">
        <v>4</v>
      </c>
      <c r="K5" s="21" t="s">
        <v>97</v>
      </c>
      <c r="L5" s="21" t="s">
        <v>115</v>
      </c>
    </row>
    <row r="6" customFormat="false" ht="15" hidden="false" customHeight="false" outlineLevel="0" collapsed="false">
      <c r="C6" s="21" t="s">
        <v>116</v>
      </c>
      <c r="D6" s="21" t="n">
        <v>5</v>
      </c>
      <c r="E6" s="21" t="s">
        <v>117</v>
      </c>
      <c r="F6" s="21" t="s">
        <v>118</v>
      </c>
      <c r="J6" s="21" t="n">
        <v>5</v>
      </c>
      <c r="K6" s="21" t="s">
        <v>117</v>
      </c>
      <c r="L6" s="21" t="s">
        <v>119</v>
      </c>
    </row>
    <row r="7" customFormat="false" ht="15" hidden="false" customHeight="false" outlineLevel="0" collapsed="false">
      <c r="D7" s="21" t="n">
        <v>6</v>
      </c>
      <c r="E7" s="21" t="s">
        <v>120</v>
      </c>
      <c r="F7" s="21" t="s">
        <v>121</v>
      </c>
      <c r="J7" s="21" t="n">
        <v>6</v>
      </c>
      <c r="K7" s="21" t="s">
        <v>120</v>
      </c>
      <c r="L7" s="21" t="s">
        <v>122</v>
      </c>
    </row>
    <row r="8" customFormat="false" ht="15" hidden="false" customHeight="false" outlineLevel="0" collapsed="false">
      <c r="D8" s="21" t="n">
        <v>7</v>
      </c>
      <c r="E8" s="21" t="s">
        <v>123</v>
      </c>
      <c r="J8" s="21" t="n">
        <v>7</v>
      </c>
      <c r="K8" s="21" t="s">
        <v>123</v>
      </c>
      <c r="L8" s="21" t="s">
        <v>124</v>
      </c>
    </row>
    <row r="9" customFormat="false" ht="15" hidden="false" customHeight="false" outlineLevel="0" collapsed="false">
      <c r="D9" s="21" t="n">
        <v>8</v>
      </c>
      <c r="E9" s="21" t="s">
        <v>125</v>
      </c>
      <c r="J9" s="21" t="n">
        <v>8</v>
      </c>
      <c r="K9" s="21" t="s">
        <v>125</v>
      </c>
      <c r="L9" s="21" t="s">
        <v>126</v>
      </c>
    </row>
  </sheetData>
  <printOptions headings="false" gridLines="false" gridLinesSet="true" horizontalCentered="false" verticalCentered="false"/>
  <pageMargins left="0.4" right="0.4" top="0.5" bottom="0.5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BF8F00"/>
    <pageSetUpPr fitToPage="true"/>
  </sheetPr>
  <dimension ref="A1:E17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1" width="10"/>
    <col collapsed="false" customWidth="true" hidden="false" outlineLevel="0" max="2" min="2" style="1" width="7"/>
    <col collapsed="false" customWidth="true" hidden="false" outlineLevel="0" max="3" min="3" style="1" width="38"/>
    <col collapsed="false" customWidth="true" hidden="false" outlineLevel="0" max="4" min="4" style="1" width="95"/>
    <col collapsed="false" customWidth="true" hidden="false" outlineLevel="0" max="5" min="5" style="1" width="10"/>
  </cols>
  <sheetData>
    <row r="1" customFormat="false" ht="21.75" hidden="false" customHeight="true" outlineLevel="0" collapsed="false">
      <c r="A1" s="22" t="s">
        <v>127</v>
      </c>
      <c r="B1" s="22" t="s">
        <v>128</v>
      </c>
      <c r="C1" s="22" t="s">
        <v>129</v>
      </c>
      <c r="D1" s="22" t="s">
        <v>130</v>
      </c>
      <c r="E1" s="22" t="s">
        <v>93</v>
      </c>
    </row>
    <row r="2" customFormat="false" ht="15" hidden="false" customHeight="false" outlineLevel="0" collapsed="false">
      <c r="A2" s="10" t="s">
        <v>131</v>
      </c>
      <c r="B2" s="10" t="s">
        <v>132</v>
      </c>
      <c r="C2" s="10" t="s">
        <v>133</v>
      </c>
      <c r="D2" s="8" t="s">
        <v>134</v>
      </c>
      <c r="E2" s="10" t="s">
        <v>99</v>
      </c>
    </row>
    <row r="3" customFormat="false" ht="15" hidden="false" customHeight="false" outlineLevel="0" collapsed="false">
      <c r="A3" s="10" t="s">
        <v>135</v>
      </c>
      <c r="B3" s="10" t="s">
        <v>132</v>
      </c>
      <c r="C3" s="10" t="s">
        <v>133</v>
      </c>
      <c r="D3" s="8" t="s">
        <v>136</v>
      </c>
      <c r="E3" s="10" t="s">
        <v>99</v>
      </c>
    </row>
    <row r="4" customFormat="false" ht="15" hidden="false" customHeight="false" outlineLevel="0" collapsed="false">
      <c r="A4" s="10" t="s">
        <v>137</v>
      </c>
      <c r="B4" s="10" t="s">
        <v>132</v>
      </c>
      <c r="C4" s="10" t="s">
        <v>133</v>
      </c>
      <c r="D4" s="8" t="s">
        <v>138</v>
      </c>
      <c r="E4" s="10" t="s">
        <v>105</v>
      </c>
    </row>
    <row r="5" customFormat="false" ht="15" hidden="false" customHeight="false" outlineLevel="0" collapsed="false">
      <c r="A5" s="10" t="s">
        <v>139</v>
      </c>
      <c r="B5" s="10" t="s">
        <v>132</v>
      </c>
      <c r="C5" s="10" t="s">
        <v>140</v>
      </c>
      <c r="D5" s="8" t="s">
        <v>141</v>
      </c>
      <c r="E5" s="10" t="s">
        <v>99</v>
      </c>
    </row>
    <row r="6" customFormat="false" ht="15" hidden="false" customHeight="false" outlineLevel="0" collapsed="false">
      <c r="A6" s="10" t="s">
        <v>142</v>
      </c>
      <c r="B6" s="10" t="s">
        <v>132</v>
      </c>
      <c r="C6" s="10" t="s">
        <v>140</v>
      </c>
      <c r="D6" s="8" t="s">
        <v>143</v>
      </c>
      <c r="E6" s="10" t="s">
        <v>105</v>
      </c>
    </row>
    <row r="7" customFormat="false" ht="15" hidden="false" customHeight="false" outlineLevel="0" collapsed="false">
      <c r="A7" s="10" t="s">
        <v>144</v>
      </c>
      <c r="B7" s="10" t="s">
        <v>132</v>
      </c>
      <c r="C7" s="10" t="s">
        <v>140</v>
      </c>
      <c r="D7" s="8" t="s">
        <v>145</v>
      </c>
      <c r="E7" s="10" t="s">
        <v>99</v>
      </c>
    </row>
    <row r="8" customFormat="false" ht="15" hidden="false" customHeight="false" outlineLevel="0" collapsed="false">
      <c r="A8" s="10" t="s">
        <v>146</v>
      </c>
      <c r="B8" s="10" t="s">
        <v>132</v>
      </c>
      <c r="C8" s="10" t="s">
        <v>147</v>
      </c>
      <c r="D8" s="8" t="s">
        <v>148</v>
      </c>
      <c r="E8" s="10" t="s">
        <v>99</v>
      </c>
    </row>
    <row r="9" customFormat="false" ht="15" hidden="false" customHeight="false" outlineLevel="0" collapsed="false">
      <c r="A9" s="10" t="s">
        <v>149</v>
      </c>
      <c r="B9" s="10" t="s">
        <v>132</v>
      </c>
      <c r="C9" s="10" t="s">
        <v>147</v>
      </c>
      <c r="D9" s="8" t="s">
        <v>150</v>
      </c>
      <c r="E9" s="10" t="s">
        <v>105</v>
      </c>
    </row>
    <row r="10" customFormat="false" ht="15" hidden="false" customHeight="false" outlineLevel="0" collapsed="false">
      <c r="A10" s="10" t="s">
        <v>151</v>
      </c>
      <c r="B10" s="10" t="s">
        <v>132</v>
      </c>
      <c r="C10" s="10" t="s">
        <v>147</v>
      </c>
      <c r="D10" s="8" t="s">
        <v>152</v>
      </c>
      <c r="E10" s="10" t="s">
        <v>99</v>
      </c>
    </row>
    <row r="11" customFormat="false" ht="15" hidden="false" customHeight="false" outlineLevel="0" collapsed="false">
      <c r="A11" s="10" t="s">
        <v>153</v>
      </c>
      <c r="B11" s="10" t="s">
        <v>132</v>
      </c>
      <c r="C11" s="10" t="s">
        <v>154</v>
      </c>
      <c r="D11" s="8" t="s">
        <v>155</v>
      </c>
      <c r="E11" s="10" t="s">
        <v>105</v>
      </c>
    </row>
    <row r="12" customFormat="false" ht="15" hidden="false" customHeight="false" outlineLevel="0" collapsed="false">
      <c r="A12" s="10" t="s">
        <v>156</v>
      </c>
      <c r="B12" s="10" t="s">
        <v>132</v>
      </c>
      <c r="C12" s="10" t="s">
        <v>154</v>
      </c>
      <c r="D12" s="8" t="s">
        <v>157</v>
      </c>
      <c r="E12" s="10" t="s">
        <v>105</v>
      </c>
    </row>
    <row r="13" customFormat="false" ht="15" hidden="false" customHeight="false" outlineLevel="0" collapsed="false">
      <c r="A13" s="10" t="s">
        <v>158</v>
      </c>
      <c r="B13" s="10" t="s">
        <v>132</v>
      </c>
      <c r="C13" s="10" t="s">
        <v>159</v>
      </c>
      <c r="D13" s="8" t="s">
        <v>160</v>
      </c>
      <c r="E13" s="10" t="s">
        <v>99</v>
      </c>
    </row>
    <row r="14" customFormat="false" ht="15" hidden="false" customHeight="false" outlineLevel="0" collapsed="false">
      <c r="A14" s="10" t="s">
        <v>161</v>
      </c>
      <c r="B14" s="10" t="s">
        <v>132</v>
      </c>
      <c r="C14" s="10" t="s">
        <v>159</v>
      </c>
      <c r="D14" s="8" t="s">
        <v>162</v>
      </c>
      <c r="E14" s="10" t="s">
        <v>99</v>
      </c>
    </row>
    <row r="15" customFormat="false" ht="15" hidden="false" customHeight="false" outlineLevel="0" collapsed="false">
      <c r="A15" s="10" t="s">
        <v>163</v>
      </c>
      <c r="B15" s="10" t="s">
        <v>132</v>
      </c>
      <c r="C15" s="10" t="s">
        <v>159</v>
      </c>
      <c r="D15" s="8" t="s">
        <v>164</v>
      </c>
      <c r="E15" s="10" t="s">
        <v>110</v>
      </c>
    </row>
    <row r="16" customFormat="false" ht="15" hidden="false" customHeight="false" outlineLevel="0" collapsed="false">
      <c r="A16" s="10" t="s">
        <v>165</v>
      </c>
      <c r="B16" s="10" t="s">
        <v>132</v>
      </c>
      <c r="C16" s="10" t="s">
        <v>166</v>
      </c>
      <c r="D16" s="8" t="s">
        <v>167</v>
      </c>
      <c r="E16" s="10" t="s">
        <v>99</v>
      </c>
    </row>
    <row r="17" customFormat="false" ht="15" hidden="false" customHeight="false" outlineLevel="0" collapsed="false">
      <c r="A17" s="10" t="s">
        <v>168</v>
      </c>
      <c r="B17" s="10" t="s">
        <v>132</v>
      </c>
      <c r="C17" s="10" t="s">
        <v>166</v>
      </c>
      <c r="D17" s="8" t="s">
        <v>169</v>
      </c>
      <c r="E17" s="10" t="s">
        <v>105</v>
      </c>
    </row>
    <row r="18" customFormat="false" ht="15" hidden="false" customHeight="false" outlineLevel="0" collapsed="false">
      <c r="A18" s="10" t="s">
        <v>170</v>
      </c>
      <c r="B18" s="10" t="s">
        <v>132</v>
      </c>
      <c r="C18" s="10" t="s">
        <v>171</v>
      </c>
      <c r="D18" s="8" t="s">
        <v>172</v>
      </c>
      <c r="E18" s="10" t="s">
        <v>105</v>
      </c>
    </row>
    <row r="19" customFormat="false" ht="15" hidden="false" customHeight="false" outlineLevel="0" collapsed="false">
      <c r="A19" s="10" t="s">
        <v>173</v>
      </c>
      <c r="B19" s="10" t="s">
        <v>132</v>
      </c>
      <c r="C19" s="10" t="s">
        <v>171</v>
      </c>
      <c r="D19" s="8" t="s">
        <v>174</v>
      </c>
      <c r="E19" s="10" t="s">
        <v>99</v>
      </c>
    </row>
    <row r="20" customFormat="false" ht="15" hidden="false" customHeight="false" outlineLevel="0" collapsed="false">
      <c r="A20" s="10" t="s">
        <v>175</v>
      </c>
      <c r="B20" s="10" t="s">
        <v>132</v>
      </c>
      <c r="C20" s="10" t="s">
        <v>176</v>
      </c>
      <c r="D20" s="8" t="s">
        <v>177</v>
      </c>
      <c r="E20" s="10" t="s">
        <v>105</v>
      </c>
    </row>
    <row r="21" customFormat="false" ht="15" hidden="false" customHeight="false" outlineLevel="0" collapsed="false">
      <c r="A21" s="10" t="s">
        <v>178</v>
      </c>
      <c r="B21" s="10" t="s">
        <v>132</v>
      </c>
      <c r="C21" s="10" t="s">
        <v>176</v>
      </c>
      <c r="D21" s="8" t="s">
        <v>179</v>
      </c>
      <c r="E21" s="10" t="s">
        <v>105</v>
      </c>
    </row>
    <row r="22" customFormat="false" ht="15" hidden="false" customHeight="false" outlineLevel="0" collapsed="false">
      <c r="A22" s="10" t="s">
        <v>180</v>
      </c>
      <c r="B22" s="10" t="s">
        <v>132</v>
      </c>
      <c r="C22" s="10" t="s">
        <v>181</v>
      </c>
      <c r="D22" s="8" t="s">
        <v>182</v>
      </c>
      <c r="E22" s="10" t="s">
        <v>105</v>
      </c>
    </row>
    <row r="23" customFormat="false" ht="15" hidden="false" customHeight="false" outlineLevel="0" collapsed="false">
      <c r="A23" s="10" t="s">
        <v>183</v>
      </c>
      <c r="B23" s="10" t="s">
        <v>132</v>
      </c>
      <c r="C23" s="10" t="s">
        <v>181</v>
      </c>
      <c r="D23" s="8" t="s">
        <v>184</v>
      </c>
      <c r="E23" s="10" t="s">
        <v>99</v>
      </c>
    </row>
    <row r="24" customFormat="false" ht="15" hidden="false" customHeight="false" outlineLevel="0" collapsed="false">
      <c r="A24" s="10" t="s">
        <v>185</v>
      </c>
      <c r="B24" s="10" t="s">
        <v>132</v>
      </c>
      <c r="C24" s="10" t="s">
        <v>181</v>
      </c>
      <c r="D24" s="8" t="s">
        <v>186</v>
      </c>
      <c r="E24" s="10" t="s">
        <v>105</v>
      </c>
    </row>
    <row r="25" customFormat="false" ht="15" hidden="false" customHeight="false" outlineLevel="0" collapsed="false">
      <c r="A25" s="10" t="s">
        <v>187</v>
      </c>
      <c r="B25" s="10" t="s">
        <v>132</v>
      </c>
      <c r="C25" s="10" t="s">
        <v>181</v>
      </c>
      <c r="D25" s="8" t="s">
        <v>188</v>
      </c>
      <c r="E25" s="10" t="s">
        <v>105</v>
      </c>
    </row>
    <row r="26" customFormat="false" ht="15" hidden="false" customHeight="false" outlineLevel="0" collapsed="false">
      <c r="A26" s="10" t="s">
        <v>189</v>
      </c>
      <c r="B26" s="10" t="s">
        <v>132</v>
      </c>
      <c r="C26" s="10" t="s">
        <v>181</v>
      </c>
      <c r="D26" s="8" t="s">
        <v>190</v>
      </c>
      <c r="E26" s="10" t="s">
        <v>110</v>
      </c>
    </row>
    <row r="27" customFormat="false" ht="15" hidden="false" customHeight="false" outlineLevel="0" collapsed="false">
      <c r="A27" s="10" t="s">
        <v>191</v>
      </c>
      <c r="B27" s="10" t="s">
        <v>132</v>
      </c>
      <c r="C27" s="10" t="s">
        <v>192</v>
      </c>
      <c r="D27" s="8" t="s">
        <v>193</v>
      </c>
      <c r="E27" s="10" t="s">
        <v>99</v>
      </c>
    </row>
    <row r="28" customFormat="false" ht="15" hidden="false" customHeight="false" outlineLevel="0" collapsed="false">
      <c r="A28" s="10" t="s">
        <v>194</v>
      </c>
      <c r="B28" s="10" t="s">
        <v>132</v>
      </c>
      <c r="C28" s="10" t="s">
        <v>192</v>
      </c>
      <c r="D28" s="8" t="s">
        <v>195</v>
      </c>
      <c r="E28" s="10" t="s">
        <v>105</v>
      </c>
    </row>
    <row r="29" customFormat="false" ht="15" hidden="false" customHeight="false" outlineLevel="0" collapsed="false">
      <c r="A29" s="10" t="s">
        <v>196</v>
      </c>
      <c r="B29" s="10" t="s">
        <v>197</v>
      </c>
      <c r="C29" s="10" t="s">
        <v>133</v>
      </c>
      <c r="D29" s="8" t="s">
        <v>134</v>
      </c>
      <c r="E29" s="10" t="s">
        <v>99</v>
      </c>
    </row>
    <row r="30" customFormat="false" ht="15" hidden="false" customHeight="false" outlineLevel="0" collapsed="false">
      <c r="A30" s="10" t="s">
        <v>198</v>
      </c>
      <c r="B30" s="10" t="s">
        <v>197</v>
      </c>
      <c r="C30" s="10" t="s">
        <v>133</v>
      </c>
      <c r="D30" s="8" t="s">
        <v>136</v>
      </c>
      <c r="E30" s="10" t="s">
        <v>99</v>
      </c>
    </row>
    <row r="31" customFormat="false" ht="15" hidden="false" customHeight="false" outlineLevel="0" collapsed="false">
      <c r="A31" s="10" t="s">
        <v>199</v>
      </c>
      <c r="B31" s="10" t="s">
        <v>197</v>
      </c>
      <c r="C31" s="10" t="s">
        <v>133</v>
      </c>
      <c r="D31" s="8" t="s">
        <v>138</v>
      </c>
      <c r="E31" s="10" t="s">
        <v>105</v>
      </c>
    </row>
    <row r="32" customFormat="false" ht="15" hidden="false" customHeight="false" outlineLevel="0" collapsed="false">
      <c r="A32" s="10" t="s">
        <v>200</v>
      </c>
      <c r="B32" s="10" t="s">
        <v>197</v>
      </c>
      <c r="C32" s="10" t="s">
        <v>140</v>
      </c>
      <c r="D32" s="8" t="s">
        <v>141</v>
      </c>
      <c r="E32" s="10" t="s">
        <v>99</v>
      </c>
    </row>
    <row r="33" customFormat="false" ht="15" hidden="false" customHeight="false" outlineLevel="0" collapsed="false">
      <c r="A33" s="10" t="s">
        <v>201</v>
      </c>
      <c r="B33" s="10" t="s">
        <v>197</v>
      </c>
      <c r="C33" s="10" t="s">
        <v>140</v>
      </c>
      <c r="D33" s="8" t="s">
        <v>143</v>
      </c>
      <c r="E33" s="10" t="s">
        <v>105</v>
      </c>
    </row>
    <row r="34" customFormat="false" ht="15" hidden="false" customHeight="false" outlineLevel="0" collapsed="false">
      <c r="A34" s="10" t="s">
        <v>202</v>
      </c>
      <c r="B34" s="10" t="s">
        <v>197</v>
      </c>
      <c r="C34" s="10" t="s">
        <v>140</v>
      </c>
      <c r="D34" s="8" t="s">
        <v>145</v>
      </c>
      <c r="E34" s="10" t="s">
        <v>99</v>
      </c>
    </row>
    <row r="35" customFormat="false" ht="15" hidden="false" customHeight="false" outlineLevel="0" collapsed="false">
      <c r="A35" s="10" t="s">
        <v>203</v>
      </c>
      <c r="B35" s="10" t="s">
        <v>197</v>
      </c>
      <c r="C35" s="10" t="s">
        <v>147</v>
      </c>
      <c r="D35" s="8" t="s">
        <v>148</v>
      </c>
      <c r="E35" s="10" t="s">
        <v>99</v>
      </c>
    </row>
    <row r="36" customFormat="false" ht="15" hidden="false" customHeight="false" outlineLevel="0" collapsed="false">
      <c r="A36" s="10" t="s">
        <v>204</v>
      </c>
      <c r="B36" s="10" t="s">
        <v>197</v>
      </c>
      <c r="C36" s="10" t="s">
        <v>147</v>
      </c>
      <c r="D36" s="8" t="s">
        <v>150</v>
      </c>
      <c r="E36" s="10" t="s">
        <v>105</v>
      </c>
    </row>
    <row r="37" customFormat="false" ht="15" hidden="false" customHeight="false" outlineLevel="0" collapsed="false">
      <c r="A37" s="10" t="s">
        <v>205</v>
      </c>
      <c r="B37" s="10" t="s">
        <v>197</v>
      </c>
      <c r="C37" s="10" t="s">
        <v>147</v>
      </c>
      <c r="D37" s="8" t="s">
        <v>152</v>
      </c>
      <c r="E37" s="10" t="s">
        <v>99</v>
      </c>
    </row>
    <row r="38" customFormat="false" ht="15" hidden="false" customHeight="false" outlineLevel="0" collapsed="false">
      <c r="A38" s="10" t="s">
        <v>206</v>
      </c>
      <c r="B38" s="10" t="s">
        <v>197</v>
      </c>
      <c r="C38" s="10" t="s">
        <v>154</v>
      </c>
      <c r="D38" s="8" t="s">
        <v>155</v>
      </c>
      <c r="E38" s="10" t="s">
        <v>105</v>
      </c>
    </row>
    <row r="39" customFormat="false" ht="15" hidden="false" customHeight="false" outlineLevel="0" collapsed="false">
      <c r="A39" s="10" t="s">
        <v>207</v>
      </c>
      <c r="B39" s="10" t="s">
        <v>197</v>
      </c>
      <c r="C39" s="10" t="s">
        <v>154</v>
      </c>
      <c r="D39" s="8" t="s">
        <v>157</v>
      </c>
      <c r="E39" s="10" t="s">
        <v>105</v>
      </c>
    </row>
    <row r="40" customFormat="false" ht="15" hidden="false" customHeight="false" outlineLevel="0" collapsed="false">
      <c r="A40" s="10" t="s">
        <v>208</v>
      </c>
      <c r="B40" s="10" t="s">
        <v>197</v>
      </c>
      <c r="C40" s="10" t="s">
        <v>159</v>
      </c>
      <c r="D40" s="8" t="s">
        <v>160</v>
      </c>
      <c r="E40" s="10" t="s">
        <v>99</v>
      </c>
    </row>
    <row r="41" customFormat="false" ht="15" hidden="false" customHeight="false" outlineLevel="0" collapsed="false">
      <c r="A41" s="10" t="s">
        <v>209</v>
      </c>
      <c r="B41" s="10" t="s">
        <v>197</v>
      </c>
      <c r="C41" s="10" t="s">
        <v>159</v>
      </c>
      <c r="D41" s="8" t="s">
        <v>162</v>
      </c>
      <c r="E41" s="10" t="s">
        <v>99</v>
      </c>
    </row>
    <row r="42" customFormat="false" ht="15" hidden="false" customHeight="false" outlineLevel="0" collapsed="false">
      <c r="A42" s="10" t="s">
        <v>210</v>
      </c>
      <c r="B42" s="10" t="s">
        <v>197</v>
      </c>
      <c r="C42" s="10" t="s">
        <v>159</v>
      </c>
      <c r="D42" s="8" t="s">
        <v>164</v>
      </c>
      <c r="E42" s="10" t="s">
        <v>110</v>
      </c>
    </row>
    <row r="43" customFormat="false" ht="15" hidden="false" customHeight="false" outlineLevel="0" collapsed="false">
      <c r="A43" s="10" t="s">
        <v>211</v>
      </c>
      <c r="B43" s="10" t="s">
        <v>197</v>
      </c>
      <c r="C43" s="10" t="s">
        <v>166</v>
      </c>
      <c r="D43" s="8" t="s">
        <v>167</v>
      </c>
      <c r="E43" s="10" t="s">
        <v>99</v>
      </c>
    </row>
    <row r="44" customFormat="false" ht="15" hidden="false" customHeight="false" outlineLevel="0" collapsed="false">
      <c r="A44" s="10" t="s">
        <v>212</v>
      </c>
      <c r="B44" s="10" t="s">
        <v>197</v>
      </c>
      <c r="C44" s="10" t="s">
        <v>166</v>
      </c>
      <c r="D44" s="8" t="s">
        <v>169</v>
      </c>
      <c r="E44" s="10" t="s">
        <v>105</v>
      </c>
    </row>
    <row r="45" customFormat="false" ht="15" hidden="false" customHeight="false" outlineLevel="0" collapsed="false">
      <c r="A45" s="10" t="s">
        <v>213</v>
      </c>
      <c r="B45" s="10" t="s">
        <v>197</v>
      </c>
      <c r="C45" s="10" t="s">
        <v>171</v>
      </c>
      <c r="D45" s="8" t="s">
        <v>172</v>
      </c>
      <c r="E45" s="10" t="s">
        <v>105</v>
      </c>
    </row>
    <row r="46" customFormat="false" ht="15" hidden="false" customHeight="false" outlineLevel="0" collapsed="false">
      <c r="A46" s="10" t="s">
        <v>214</v>
      </c>
      <c r="B46" s="10" t="s">
        <v>197</v>
      </c>
      <c r="C46" s="10" t="s">
        <v>171</v>
      </c>
      <c r="D46" s="8" t="s">
        <v>174</v>
      </c>
      <c r="E46" s="10" t="s">
        <v>99</v>
      </c>
    </row>
    <row r="47" customFormat="false" ht="15" hidden="false" customHeight="false" outlineLevel="0" collapsed="false">
      <c r="A47" s="10" t="s">
        <v>215</v>
      </c>
      <c r="B47" s="10" t="s">
        <v>197</v>
      </c>
      <c r="C47" s="10" t="s">
        <v>176</v>
      </c>
      <c r="D47" s="8" t="s">
        <v>177</v>
      </c>
      <c r="E47" s="10" t="s">
        <v>105</v>
      </c>
    </row>
    <row r="48" customFormat="false" ht="15" hidden="false" customHeight="false" outlineLevel="0" collapsed="false">
      <c r="A48" s="10" t="s">
        <v>216</v>
      </c>
      <c r="B48" s="10" t="s">
        <v>197</v>
      </c>
      <c r="C48" s="10" t="s">
        <v>176</v>
      </c>
      <c r="D48" s="8" t="s">
        <v>179</v>
      </c>
      <c r="E48" s="10" t="s">
        <v>105</v>
      </c>
    </row>
    <row r="49" customFormat="false" ht="15" hidden="false" customHeight="false" outlineLevel="0" collapsed="false">
      <c r="A49" s="10" t="s">
        <v>217</v>
      </c>
      <c r="B49" s="10" t="s">
        <v>197</v>
      </c>
      <c r="C49" s="10" t="s">
        <v>218</v>
      </c>
      <c r="D49" s="8" t="s">
        <v>219</v>
      </c>
      <c r="E49" s="10" t="s">
        <v>105</v>
      </c>
    </row>
    <row r="50" customFormat="false" ht="15" hidden="false" customHeight="false" outlineLevel="0" collapsed="false">
      <c r="A50" s="10" t="s">
        <v>220</v>
      </c>
      <c r="B50" s="10" t="s">
        <v>197</v>
      </c>
      <c r="C50" s="10" t="s">
        <v>218</v>
      </c>
      <c r="D50" s="8" t="s">
        <v>221</v>
      </c>
      <c r="E50" s="10" t="s">
        <v>99</v>
      </c>
    </row>
    <row r="51" customFormat="false" ht="15" hidden="false" customHeight="false" outlineLevel="0" collapsed="false">
      <c r="A51" s="10" t="s">
        <v>222</v>
      </c>
      <c r="B51" s="10" t="s">
        <v>197</v>
      </c>
      <c r="C51" s="10" t="s">
        <v>218</v>
      </c>
      <c r="D51" s="8" t="s">
        <v>223</v>
      </c>
      <c r="E51" s="10" t="s">
        <v>105</v>
      </c>
    </row>
    <row r="52" customFormat="false" ht="15" hidden="false" customHeight="false" outlineLevel="0" collapsed="false">
      <c r="A52" s="10" t="s">
        <v>224</v>
      </c>
      <c r="B52" s="10" t="s">
        <v>197</v>
      </c>
      <c r="C52" s="10" t="s">
        <v>225</v>
      </c>
      <c r="D52" s="8" t="s">
        <v>226</v>
      </c>
      <c r="E52" s="10" t="s">
        <v>99</v>
      </c>
    </row>
    <row r="53" customFormat="false" ht="15" hidden="false" customHeight="false" outlineLevel="0" collapsed="false">
      <c r="A53" s="10" t="s">
        <v>227</v>
      </c>
      <c r="B53" s="10" t="s">
        <v>197</v>
      </c>
      <c r="C53" s="10" t="s">
        <v>225</v>
      </c>
      <c r="D53" s="8" t="s">
        <v>228</v>
      </c>
      <c r="E53" s="10" t="s">
        <v>99</v>
      </c>
    </row>
    <row r="54" customFormat="false" ht="15" hidden="false" customHeight="false" outlineLevel="0" collapsed="false">
      <c r="A54" s="10" t="s">
        <v>229</v>
      </c>
      <c r="B54" s="10" t="s">
        <v>197</v>
      </c>
      <c r="C54" s="10" t="s">
        <v>225</v>
      </c>
      <c r="D54" s="8" t="s">
        <v>230</v>
      </c>
      <c r="E54" s="10" t="s">
        <v>105</v>
      </c>
    </row>
    <row r="55" customFormat="false" ht="15" hidden="false" customHeight="false" outlineLevel="0" collapsed="false">
      <c r="A55" s="10" t="s">
        <v>231</v>
      </c>
      <c r="B55" s="10" t="s">
        <v>197</v>
      </c>
      <c r="C55" s="10" t="s">
        <v>225</v>
      </c>
      <c r="D55" s="8" t="s">
        <v>232</v>
      </c>
      <c r="E55" s="10" t="s">
        <v>105</v>
      </c>
    </row>
    <row r="56" customFormat="false" ht="15" hidden="false" customHeight="false" outlineLevel="0" collapsed="false">
      <c r="A56" s="10" t="s">
        <v>233</v>
      </c>
      <c r="B56" s="10" t="s">
        <v>234</v>
      </c>
      <c r="C56" s="10" t="s">
        <v>133</v>
      </c>
      <c r="D56" s="8" t="s">
        <v>134</v>
      </c>
      <c r="E56" s="10" t="s">
        <v>99</v>
      </c>
    </row>
    <row r="57" customFormat="false" ht="15" hidden="false" customHeight="false" outlineLevel="0" collapsed="false">
      <c r="A57" s="10" t="s">
        <v>235</v>
      </c>
      <c r="B57" s="10" t="s">
        <v>234</v>
      </c>
      <c r="C57" s="10" t="s">
        <v>133</v>
      </c>
      <c r="D57" s="8" t="s">
        <v>136</v>
      </c>
      <c r="E57" s="10" t="s">
        <v>99</v>
      </c>
    </row>
    <row r="58" customFormat="false" ht="15" hidden="false" customHeight="false" outlineLevel="0" collapsed="false">
      <c r="A58" s="10" t="s">
        <v>236</v>
      </c>
      <c r="B58" s="10" t="s">
        <v>234</v>
      </c>
      <c r="C58" s="10" t="s">
        <v>133</v>
      </c>
      <c r="D58" s="8" t="s">
        <v>138</v>
      </c>
      <c r="E58" s="10" t="s">
        <v>105</v>
      </c>
    </row>
    <row r="59" customFormat="false" ht="15" hidden="false" customHeight="false" outlineLevel="0" collapsed="false">
      <c r="A59" s="10" t="s">
        <v>237</v>
      </c>
      <c r="B59" s="10" t="s">
        <v>234</v>
      </c>
      <c r="C59" s="10" t="s">
        <v>140</v>
      </c>
      <c r="D59" s="8" t="s">
        <v>141</v>
      </c>
      <c r="E59" s="10" t="s">
        <v>99</v>
      </c>
    </row>
    <row r="60" customFormat="false" ht="15" hidden="false" customHeight="false" outlineLevel="0" collapsed="false">
      <c r="A60" s="10" t="s">
        <v>238</v>
      </c>
      <c r="B60" s="10" t="s">
        <v>234</v>
      </c>
      <c r="C60" s="10" t="s">
        <v>140</v>
      </c>
      <c r="D60" s="8" t="s">
        <v>143</v>
      </c>
      <c r="E60" s="10" t="s">
        <v>105</v>
      </c>
    </row>
    <row r="61" customFormat="false" ht="15" hidden="false" customHeight="false" outlineLevel="0" collapsed="false">
      <c r="A61" s="10" t="s">
        <v>239</v>
      </c>
      <c r="B61" s="10" t="s">
        <v>234</v>
      </c>
      <c r="C61" s="10" t="s">
        <v>140</v>
      </c>
      <c r="D61" s="8" t="s">
        <v>145</v>
      </c>
      <c r="E61" s="10" t="s">
        <v>99</v>
      </c>
    </row>
    <row r="62" customFormat="false" ht="15" hidden="false" customHeight="false" outlineLevel="0" collapsed="false">
      <c r="A62" s="10" t="s">
        <v>240</v>
      </c>
      <c r="B62" s="10" t="s">
        <v>234</v>
      </c>
      <c r="C62" s="10" t="s">
        <v>147</v>
      </c>
      <c r="D62" s="8" t="s">
        <v>148</v>
      </c>
      <c r="E62" s="10" t="s">
        <v>99</v>
      </c>
    </row>
    <row r="63" customFormat="false" ht="15" hidden="false" customHeight="false" outlineLevel="0" collapsed="false">
      <c r="A63" s="10" t="s">
        <v>241</v>
      </c>
      <c r="B63" s="10" t="s">
        <v>234</v>
      </c>
      <c r="C63" s="10" t="s">
        <v>147</v>
      </c>
      <c r="D63" s="8" t="s">
        <v>150</v>
      </c>
      <c r="E63" s="10" t="s">
        <v>105</v>
      </c>
    </row>
    <row r="64" customFormat="false" ht="15" hidden="false" customHeight="false" outlineLevel="0" collapsed="false">
      <c r="A64" s="10" t="s">
        <v>242</v>
      </c>
      <c r="B64" s="10" t="s">
        <v>234</v>
      </c>
      <c r="C64" s="10" t="s">
        <v>147</v>
      </c>
      <c r="D64" s="8" t="s">
        <v>152</v>
      </c>
      <c r="E64" s="10" t="s">
        <v>99</v>
      </c>
    </row>
    <row r="65" customFormat="false" ht="15" hidden="false" customHeight="false" outlineLevel="0" collapsed="false">
      <c r="A65" s="10" t="s">
        <v>243</v>
      </c>
      <c r="B65" s="10" t="s">
        <v>234</v>
      </c>
      <c r="C65" s="10" t="s">
        <v>154</v>
      </c>
      <c r="D65" s="8" t="s">
        <v>155</v>
      </c>
      <c r="E65" s="10" t="s">
        <v>105</v>
      </c>
    </row>
    <row r="66" customFormat="false" ht="15" hidden="false" customHeight="false" outlineLevel="0" collapsed="false">
      <c r="A66" s="10" t="s">
        <v>244</v>
      </c>
      <c r="B66" s="10" t="s">
        <v>234</v>
      </c>
      <c r="C66" s="10" t="s">
        <v>154</v>
      </c>
      <c r="D66" s="8" t="s">
        <v>157</v>
      </c>
      <c r="E66" s="10" t="s">
        <v>105</v>
      </c>
    </row>
    <row r="67" customFormat="false" ht="15" hidden="false" customHeight="false" outlineLevel="0" collapsed="false">
      <c r="A67" s="10" t="s">
        <v>245</v>
      </c>
      <c r="B67" s="10" t="s">
        <v>234</v>
      </c>
      <c r="C67" s="10" t="s">
        <v>159</v>
      </c>
      <c r="D67" s="8" t="s">
        <v>160</v>
      </c>
      <c r="E67" s="10" t="s">
        <v>99</v>
      </c>
    </row>
    <row r="68" customFormat="false" ht="15" hidden="false" customHeight="false" outlineLevel="0" collapsed="false">
      <c r="A68" s="10" t="s">
        <v>246</v>
      </c>
      <c r="B68" s="10" t="s">
        <v>234</v>
      </c>
      <c r="C68" s="10" t="s">
        <v>159</v>
      </c>
      <c r="D68" s="8" t="s">
        <v>162</v>
      </c>
      <c r="E68" s="10" t="s">
        <v>99</v>
      </c>
    </row>
    <row r="69" customFormat="false" ht="15" hidden="false" customHeight="false" outlineLevel="0" collapsed="false">
      <c r="A69" s="10" t="s">
        <v>247</v>
      </c>
      <c r="B69" s="10" t="s">
        <v>234</v>
      </c>
      <c r="C69" s="10" t="s">
        <v>159</v>
      </c>
      <c r="D69" s="8" t="s">
        <v>164</v>
      </c>
      <c r="E69" s="10" t="s">
        <v>110</v>
      </c>
    </row>
    <row r="70" customFormat="false" ht="15" hidden="false" customHeight="false" outlineLevel="0" collapsed="false">
      <c r="A70" s="10" t="s">
        <v>248</v>
      </c>
      <c r="B70" s="10" t="s">
        <v>234</v>
      </c>
      <c r="C70" s="10" t="s">
        <v>166</v>
      </c>
      <c r="D70" s="8" t="s">
        <v>167</v>
      </c>
      <c r="E70" s="10" t="s">
        <v>99</v>
      </c>
    </row>
    <row r="71" customFormat="false" ht="15" hidden="false" customHeight="false" outlineLevel="0" collapsed="false">
      <c r="A71" s="10" t="s">
        <v>249</v>
      </c>
      <c r="B71" s="10" t="s">
        <v>234</v>
      </c>
      <c r="C71" s="10" t="s">
        <v>166</v>
      </c>
      <c r="D71" s="8" t="s">
        <v>169</v>
      </c>
      <c r="E71" s="10" t="s">
        <v>105</v>
      </c>
    </row>
    <row r="72" customFormat="false" ht="15" hidden="false" customHeight="false" outlineLevel="0" collapsed="false">
      <c r="A72" s="10" t="s">
        <v>250</v>
      </c>
      <c r="B72" s="10" t="s">
        <v>234</v>
      </c>
      <c r="C72" s="10" t="s">
        <v>171</v>
      </c>
      <c r="D72" s="8" t="s">
        <v>172</v>
      </c>
      <c r="E72" s="10" t="s">
        <v>105</v>
      </c>
    </row>
    <row r="73" customFormat="false" ht="15" hidden="false" customHeight="false" outlineLevel="0" collapsed="false">
      <c r="A73" s="10" t="s">
        <v>251</v>
      </c>
      <c r="B73" s="10" t="s">
        <v>234</v>
      </c>
      <c r="C73" s="10" t="s">
        <v>171</v>
      </c>
      <c r="D73" s="8" t="s">
        <v>174</v>
      </c>
      <c r="E73" s="10" t="s">
        <v>99</v>
      </c>
    </row>
    <row r="74" customFormat="false" ht="15" hidden="false" customHeight="false" outlineLevel="0" collapsed="false">
      <c r="A74" s="10" t="s">
        <v>252</v>
      </c>
      <c r="B74" s="10" t="s">
        <v>234</v>
      </c>
      <c r="C74" s="10" t="s">
        <v>176</v>
      </c>
      <c r="D74" s="8" t="s">
        <v>177</v>
      </c>
      <c r="E74" s="10" t="s">
        <v>105</v>
      </c>
    </row>
    <row r="75" customFormat="false" ht="15" hidden="false" customHeight="false" outlineLevel="0" collapsed="false">
      <c r="A75" s="10" t="s">
        <v>253</v>
      </c>
      <c r="B75" s="10" t="s">
        <v>234</v>
      </c>
      <c r="C75" s="10" t="s">
        <v>176</v>
      </c>
      <c r="D75" s="8" t="s">
        <v>179</v>
      </c>
      <c r="E75" s="10" t="s">
        <v>105</v>
      </c>
    </row>
    <row r="76" customFormat="false" ht="15" hidden="false" customHeight="false" outlineLevel="0" collapsed="false">
      <c r="A76" s="10" t="s">
        <v>254</v>
      </c>
      <c r="B76" s="10" t="s">
        <v>234</v>
      </c>
      <c r="C76" s="10" t="s">
        <v>255</v>
      </c>
      <c r="D76" s="8" t="s">
        <v>256</v>
      </c>
      <c r="E76" s="10" t="s">
        <v>105</v>
      </c>
    </row>
    <row r="77" customFormat="false" ht="15" hidden="false" customHeight="false" outlineLevel="0" collapsed="false">
      <c r="A77" s="10" t="s">
        <v>257</v>
      </c>
      <c r="B77" s="10" t="s">
        <v>234</v>
      </c>
      <c r="C77" s="10" t="s">
        <v>255</v>
      </c>
      <c r="D77" s="8" t="s">
        <v>258</v>
      </c>
      <c r="E77" s="10" t="s">
        <v>105</v>
      </c>
    </row>
    <row r="78" customFormat="false" ht="15" hidden="false" customHeight="false" outlineLevel="0" collapsed="false">
      <c r="A78" s="10" t="s">
        <v>259</v>
      </c>
      <c r="B78" s="10" t="s">
        <v>234</v>
      </c>
      <c r="C78" s="10" t="s">
        <v>255</v>
      </c>
      <c r="D78" s="8" t="s">
        <v>260</v>
      </c>
      <c r="E78" s="10" t="s">
        <v>99</v>
      </c>
    </row>
    <row r="79" customFormat="false" ht="15" hidden="false" customHeight="false" outlineLevel="0" collapsed="false">
      <c r="A79" s="10" t="s">
        <v>261</v>
      </c>
      <c r="B79" s="10" t="s">
        <v>234</v>
      </c>
      <c r="C79" s="10" t="s">
        <v>255</v>
      </c>
      <c r="D79" s="8" t="s">
        <v>262</v>
      </c>
      <c r="E79" s="10" t="s">
        <v>99</v>
      </c>
    </row>
    <row r="80" customFormat="false" ht="15" hidden="false" customHeight="false" outlineLevel="0" collapsed="false">
      <c r="A80" s="10" t="s">
        <v>263</v>
      </c>
      <c r="B80" s="10" t="s">
        <v>234</v>
      </c>
      <c r="C80" s="10" t="s">
        <v>255</v>
      </c>
      <c r="D80" s="8" t="s">
        <v>264</v>
      </c>
      <c r="E80" s="10" t="s">
        <v>105</v>
      </c>
    </row>
    <row r="81" customFormat="false" ht="15" hidden="false" customHeight="false" outlineLevel="0" collapsed="false">
      <c r="A81" s="10" t="s">
        <v>265</v>
      </c>
      <c r="B81" s="10" t="s">
        <v>234</v>
      </c>
      <c r="C81" s="10" t="s">
        <v>255</v>
      </c>
      <c r="D81" s="8" t="s">
        <v>266</v>
      </c>
      <c r="E81" s="10" t="s">
        <v>99</v>
      </c>
    </row>
    <row r="82" customFormat="false" ht="15" hidden="false" customHeight="false" outlineLevel="0" collapsed="false">
      <c r="A82" s="10" t="s">
        <v>267</v>
      </c>
      <c r="B82" s="10" t="s">
        <v>268</v>
      </c>
      <c r="C82" s="10" t="s">
        <v>133</v>
      </c>
      <c r="D82" s="8" t="s">
        <v>134</v>
      </c>
      <c r="E82" s="10" t="s">
        <v>99</v>
      </c>
    </row>
    <row r="83" customFormat="false" ht="15" hidden="false" customHeight="false" outlineLevel="0" collapsed="false">
      <c r="A83" s="10" t="s">
        <v>269</v>
      </c>
      <c r="B83" s="10" t="s">
        <v>268</v>
      </c>
      <c r="C83" s="10" t="s">
        <v>133</v>
      </c>
      <c r="D83" s="8" t="s">
        <v>136</v>
      </c>
      <c r="E83" s="10" t="s">
        <v>99</v>
      </c>
    </row>
    <row r="84" customFormat="false" ht="15" hidden="false" customHeight="false" outlineLevel="0" collapsed="false">
      <c r="A84" s="10" t="s">
        <v>270</v>
      </c>
      <c r="B84" s="10" t="s">
        <v>268</v>
      </c>
      <c r="C84" s="10" t="s">
        <v>133</v>
      </c>
      <c r="D84" s="8" t="s">
        <v>138</v>
      </c>
      <c r="E84" s="10" t="s">
        <v>105</v>
      </c>
    </row>
    <row r="85" customFormat="false" ht="15" hidden="false" customHeight="false" outlineLevel="0" collapsed="false">
      <c r="A85" s="10" t="s">
        <v>271</v>
      </c>
      <c r="B85" s="10" t="s">
        <v>268</v>
      </c>
      <c r="C85" s="10" t="s">
        <v>140</v>
      </c>
      <c r="D85" s="8" t="s">
        <v>141</v>
      </c>
      <c r="E85" s="10" t="s">
        <v>99</v>
      </c>
    </row>
    <row r="86" customFormat="false" ht="15" hidden="false" customHeight="false" outlineLevel="0" collapsed="false">
      <c r="A86" s="10" t="s">
        <v>272</v>
      </c>
      <c r="B86" s="10" t="s">
        <v>268</v>
      </c>
      <c r="C86" s="10" t="s">
        <v>140</v>
      </c>
      <c r="D86" s="8" t="s">
        <v>143</v>
      </c>
      <c r="E86" s="10" t="s">
        <v>105</v>
      </c>
    </row>
    <row r="87" customFormat="false" ht="15" hidden="false" customHeight="false" outlineLevel="0" collapsed="false">
      <c r="A87" s="10" t="s">
        <v>273</v>
      </c>
      <c r="B87" s="10" t="s">
        <v>268</v>
      </c>
      <c r="C87" s="10" t="s">
        <v>140</v>
      </c>
      <c r="D87" s="8" t="s">
        <v>145</v>
      </c>
      <c r="E87" s="10" t="s">
        <v>99</v>
      </c>
    </row>
    <row r="88" customFormat="false" ht="15" hidden="false" customHeight="false" outlineLevel="0" collapsed="false">
      <c r="A88" s="10" t="s">
        <v>274</v>
      </c>
      <c r="B88" s="10" t="s">
        <v>268</v>
      </c>
      <c r="C88" s="10" t="s">
        <v>147</v>
      </c>
      <c r="D88" s="8" t="s">
        <v>148</v>
      </c>
      <c r="E88" s="10" t="s">
        <v>99</v>
      </c>
    </row>
    <row r="89" customFormat="false" ht="15" hidden="false" customHeight="false" outlineLevel="0" collapsed="false">
      <c r="A89" s="10" t="s">
        <v>275</v>
      </c>
      <c r="B89" s="10" t="s">
        <v>268</v>
      </c>
      <c r="C89" s="10" t="s">
        <v>147</v>
      </c>
      <c r="D89" s="8" t="s">
        <v>150</v>
      </c>
      <c r="E89" s="10" t="s">
        <v>105</v>
      </c>
    </row>
    <row r="90" customFormat="false" ht="15" hidden="false" customHeight="false" outlineLevel="0" collapsed="false">
      <c r="A90" s="10" t="s">
        <v>276</v>
      </c>
      <c r="B90" s="10" t="s">
        <v>268</v>
      </c>
      <c r="C90" s="10" t="s">
        <v>147</v>
      </c>
      <c r="D90" s="8" t="s">
        <v>152</v>
      </c>
      <c r="E90" s="10" t="s">
        <v>99</v>
      </c>
    </row>
    <row r="91" customFormat="false" ht="15" hidden="false" customHeight="false" outlineLevel="0" collapsed="false">
      <c r="A91" s="10" t="s">
        <v>277</v>
      </c>
      <c r="B91" s="10" t="s">
        <v>268</v>
      </c>
      <c r="C91" s="10" t="s">
        <v>154</v>
      </c>
      <c r="D91" s="8" t="s">
        <v>155</v>
      </c>
      <c r="E91" s="10" t="s">
        <v>105</v>
      </c>
    </row>
    <row r="92" customFormat="false" ht="15" hidden="false" customHeight="false" outlineLevel="0" collapsed="false">
      <c r="A92" s="10" t="s">
        <v>278</v>
      </c>
      <c r="B92" s="10" t="s">
        <v>268</v>
      </c>
      <c r="C92" s="10" t="s">
        <v>154</v>
      </c>
      <c r="D92" s="8" t="s">
        <v>157</v>
      </c>
      <c r="E92" s="10" t="s">
        <v>105</v>
      </c>
    </row>
    <row r="93" customFormat="false" ht="15" hidden="false" customHeight="false" outlineLevel="0" collapsed="false">
      <c r="A93" s="10" t="s">
        <v>279</v>
      </c>
      <c r="B93" s="10" t="s">
        <v>268</v>
      </c>
      <c r="C93" s="10" t="s">
        <v>159</v>
      </c>
      <c r="D93" s="8" t="s">
        <v>160</v>
      </c>
      <c r="E93" s="10" t="s">
        <v>99</v>
      </c>
    </row>
    <row r="94" customFormat="false" ht="15" hidden="false" customHeight="false" outlineLevel="0" collapsed="false">
      <c r="A94" s="10" t="s">
        <v>280</v>
      </c>
      <c r="B94" s="10" t="s">
        <v>268</v>
      </c>
      <c r="C94" s="10" t="s">
        <v>159</v>
      </c>
      <c r="D94" s="8" t="s">
        <v>162</v>
      </c>
      <c r="E94" s="10" t="s">
        <v>99</v>
      </c>
    </row>
    <row r="95" customFormat="false" ht="15" hidden="false" customHeight="false" outlineLevel="0" collapsed="false">
      <c r="A95" s="10" t="s">
        <v>281</v>
      </c>
      <c r="B95" s="10" t="s">
        <v>268</v>
      </c>
      <c r="C95" s="10" t="s">
        <v>159</v>
      </c>
      <c r="D95" s="8" t="s">
        <v>164</v>
      </c>
      <c r="E95" s="10" t="s">
        <v>110</v>
      </c>
    </row>
    <row r="96" customFormat="false" ht="15" hidden="false" customHeight="false" outlineLevel="0" collapsed="false">
      <c r="A96" s="10" t="s">
        <v>282</v>
      </c>
      <c r="B96" s="10" t="s">
        <v>268</v>
      </c>
      <c r="C96" s="10" t="s">
        <v>166</v>
      </c>
      <c r="D96" s="8" t="s">
        <v>167</v>
      </c>
      <c r="E96" s="10" t="s">
        <v>99</v>
      </c>
    </row>
    <row r="97" customFormat="false" ht="15" hidden="false" customHeight="false" outlineLevel="0" collapsed="false">
      <c r="A97" s="10" t="s">
        <v>283</v>
      </c>
      <c r="B97" s="10" t="s">
        <v>268</v>
      </c>
      <c r="C97" s="10" t="s">
        <v>166</v>
      </c>
      <c r="D97" s="8" t="s">
        <v>169</v>
      </c>
      <c r="E97" s="10" t="s">
        <v>105</v>
      </c>
    </row>
    <row r="98" customFormat="false" ht="15" hidden="false" customHeight="false" outlineLevel="0" collapsed="false">
      <c r="A98" s="10" t="s">
        <v>284</v>
      </c>
      <c r="B98" s="10" t="s">
        <v>268</v>
      </c>
      <c r="C98" s="10" t="s">
        <v>171</v>
      </c>
      <c r="D98" s="8" t="s">
        <v>172</v>
      </c>
      <c r="E98" s="10" t="s">
        <v>105</v>
      </c>
    </row>
    <row r="99" customFormat="false" ht="15" hidden="false" customHeight="false" outlineLevel="0" collapsed="false">
      <c r="A99" s="10" t="s">
        <v>285</v>
      </c>
      <c r="B99" s="10" t="s">
        <v>268</v>
      </c>
      <c r="C99" s="10" t="s">
        <v>171</v>
      </c>
      <c r="D99" s="8" t="s">
        <v>174</v>
      </c>
      <c r="E99" s="10" t="s">
        <v>99</v>
      </c>
    </row>
    <row r="100" customFormat="false" ht="15" hidden="false" customHeight="false" outlineLevel="0" collapsed="false">
      <c r="A100" s="10" t="s">
        <v>286</v>
      </c>
      <c r="B100" s="10" t="s">
        <v>268</v>
      </c>
      <c r="C100" s="10" t="s">
        <v>176</v>
      </c>
      <c r="D100" s="8" t="s">
        <v>177</v>
      </c>
      <c r="E100" s="10" t="s">
        <v>105</v>
      </c>
    </row>
    <row r="101" customFormat="false" ht="15" hidden="false" customHeight="false" outlineLevel="0" collapsed="false">
      <c r="A101" s="10" t="s">
        <v>287</v>
      </c>
      <c r="B101" s="10" t="s">
        <v>268</v>
      </c>
      <c r="C101" s="10" t="s">
        <v>176</v>
      </c>
      <c r="D101" s="8" t="s">
        <v>179</v>
      </c>
      <c r="E101" s="10" t="s">
        <v>105</v>
      </c>
    </row>
    <row r="102" customFormat="false" ht="15" hidden="false" customHeight="false" outlineLevel="0" collapsed="false">
      <c r="A102" s="10" t="s">
        <v>288</v>
      </c>
      <c r="B102" s="10" t="s">
        <v>268</v>
      </c>
      <c r="C102" s="10" t="s">
        <v>289</v>
      </c>
      <c r="D102" s="8" t="s">
        <v>290</v>
      </c>
      <c r="E102" s="10" t="s">
        <v>99</v>
      </c>
    </row>
    <row r="103" customFormat="false" ht="15" hidden="false" customHeight="false" outlineLevel="0" collapsed="false">
      <c r="A103" s="10" t="s">
        <v>291</v>
      </c>
      <c r="B103" s="10" t="s">
        <v>268</v>
      </c>
      <c r="C103" s="10" t="s">
        <v>289</v>
      </c>
      <c r="D103" s="8" t="s">
        <v>292</v>
      </c>
      <c r="E103" s="10" t="s">
        <v>99</v>
      </c>
    </row>
    <row r="104" customFormat="false" ht="15" hidden="false" customHeight="false" outlineLevel="0" collapsed="false">
      <c r="A104" s="10" t="s">
        <v>293</v>
      </c>
      <c r="B104" s="10" t="s">
        <v>268</v>
      </c>
      <c r="C104" s="10" t="s">
        <v>289</v>
      </c>
      <c r="D104" s="8" t="s">
        <v>294</v>
      </c>
      <c r="E104" s="10" t="s">
        <v>105</v>
      </c>
    </row>
    <row r="105" customFormat="false" ht="15" hidden="false" customHeight="false" outlineLevel="0" collapsed="false">
      <c r="A105" s="10" t="s">
        <v>295</v>
      </c>
      <c r="B105" s="10" t="s">
        <v>268</v>
      </c>
      <c r="C105" s="10" t="s">
        <v>289</v>
      </c>
      <c r="D105" s="8" t="s">
        <v>296</v>
      </c>
      <c r="E105" s="10" t="s">
        <v>99</v>
      </c>
    </row>
    <row r="106" customFormat="false" ht="15" hidden="false" customHeight="false" outlineLevel="0" collapsed="false">
      <c r="A106" s="10" t="s">
        <v>297</v>
      </c>
      <c r="B106" s="10" t="s">
        <v>268</v>
      </c>
      <c r="C106" s="10" t="s">
        <v>289</v>
      </c>
      <c r="D106" s="8" t="s">
        <v>298</v>
      </c>
      <c r="E106" s="10" t="s">
        <v>105</v>
      </c>
    </row>
    <row r="107" customFormat="false" ht="15" hidden="false" customHeight="false" outlineLevel="0" collapsed="false">
      <c r="A107" s="10" t="s">
        <v>299</v>
      </c>
      <c r="B107" s="10" t="s">
        <v>268</v>
      </c>
      <c r="C107" s="10" t="s">
        <v>289</v>
      </c>
      <c r="D107" s="8" t="s">
        <v>300</v>
      </c>
      <c r="E107" s="10" t="s">
        <v>105</v>
      </c>
    </row>
    <row r="108" customFormat="false" ht="15" hidden="false" customHeight="false" outlineLevel="0" collapsed="false">
      <c r="A108" s="10" t="s">
        <v>301</v>
      </c>
      <c r="B108" s="10" t="s">
        <v>302</v>
      </c>
      <c r="C108" s="10" t="s">
        <v>133</v>
      </c>
      <c r="D108" s="8" t="s">
        <v>134</v>
      </c>
      <c r="E108" s="10" t="s">
        <v>99</v>
      </c>
    </row>
    <row r="109" customFormat="false" ht="15" hidden="false" customHeight="false" outlineLevel="0" collapsed="false">
      <c r="A109" s="10" t="s">
        <v>303</v>
      </c>
      <c r="B109" s="10" t="s">
        <v>302</v>
      </c>
      <c r="C109" s="10" t="s">
        <v>133</v>
      </c>
      <c r="D109" s="8" t="s">
        <v>136</v>
      </c>
      <c r="E109" s="10" t="s">
        <v>99</v>
      </c>
    </row>
    <row r="110" customFormat="false" ht="15" hidden="false" customHeight="false" outlineLevel="0" collapsed="false">
      <c r="A110" s="10" t="s">
        <v>304</v>
      </c>
      <c r="B110" s="10" t="s">
        <v>302</v>
      </c>
      <c r="C110" s="10" t="s">
        <v>133</v>
      </c>
      <c r="D110" s="8" t="s">
        <v>138</v>
      </c>
      <c r="E110" s="10" t="s">
        <v>105</v>
      </c>
    </row>
    <row r="111" customFormat="false" ht="15" hidden="false" customHeight="false" outlineLevel="0" collapsed="false">
      <c r="A111" s="10" t="s">
        <v>305</v>
      </c>
      <c r="B111" s="10" t="s">
        <v>302</v>
      </c>
      <c r="C111" s="10" t="s">
        <v>140</v>
      </c>
      <c r="D111" s="8" t="s">
        <v>141</v>
      </c>
      <c r="E111" s="10" t="s">
        <v>99</v>
      </c>
    </row>
    <row r="112" customFormat="false" ht="15" hidden="false" customHeight="false" outlineLevel="0" collapsed="false">
      <c r="A112" s="10" t="s">
        <v>306</v>
      </c>
      <c r="B112" s="10" t="s">
        <v>302</v>
      </c>
      <c r="C112" s="10" t="s">
        <v>140</v>
      </c>
      <c r="D112" s="8" t="s">
        <v>143</v>
      </c>
      <c r="E112" s="10" t="s">
        <v>105</v>
      </c>
    </row>
    <row r="113" customFormat="false" ht="15" hidden="false" customHeight="false" outlineLevel="0" collapsed="false">
      <c r="A113" s="10" t="s">
        <v>307</v>
      </c>
      <c r="B113" s="10" t="s">
        <v>302</v>
      </c>
      <c r="C113" s="10" t="s">
        <v>140</v>
      </c>
      <c r="D113" s="8" t="s">
        <v>145</v>
      </c>
      <c r="E113" s="10" t="s">
        <v>99</v>
      </c>
    </row>
    <row r="114" customFormat="false" ht="15" hidden="false" customHeight="false" outlineLevel="0" collapsed="false">
      <c r="A114" s="10" t="s">
        <v>308</v>
      </c>
      <c r="B114" s="10" t="s">
        <v>302</v>
      </c>
      <c r="C114" s="10" t="s">
        <v>147</v>
      </c>
      <c r="D114" s="8" t="s">
        <v>148</v>
      </c>
      <c r="E114" s="10" t="s">
        <v>99</v>
      </c>
    </row>
    <row r="115" customFormat="false" ht="15" hidden="false" customHeight="false" outlineLevel="0" collapsed="false">
      <c r="A115" s="10" t="s">
        <v>309</v>
      </c>
      <c r="B115" s="10" t="s">
        <v>302</v>
      </c>
      <c r="C115" s="10" t="s">
        <v>147</v>
      </c>
      <c r="D115" s="8" t="s">
        <v>150</v>
      </c>
      <c r="E115" s="10" t="s">
        <v>105</v>
      </c>
    </row>
    <row r="116" customFormat="false" ht="15" hidden="false" customHeight="false" outlineLevel="0" collapsed="false">
      <c r="A116" s="10" t="s">
        <v>310</v>
      </c>
      <c r="B116" s="10" t="s">
        <v>302</v>
      </c>
      <c r="C116" s="10" t="s">
        <v>147</v>
      </c>
      <c r="D116" s="8" t="s">
        <v>152</v>
      </c>
      <c r="E116" s="10" t="s">
        <v>99</v>
      </c>
    </row>
    <row r="117" customFormat="false" ht="15" hidden="false" customHeight="false" outlineLevel="0" collapsed="false">
      <c r="A117" s="10" t="s">
        <v>311</v>
      </c>
      <c r="B117" s="10" t="s">
        <v>302</v>
      </c>
      <c r="C117" s="10" t="s">
        <v>154</v>
      </c>
      <c r="D117" s="8" t="s">
        <v>155</v>
      </c>
      <c r="E117" s="10" t="s">
        <v>105</v>
      </c>
    </row>
    <row r="118" customFormat="false" ht="15" hidden="false" customHeight="false" outlineLevel="0" collapsed="false">
      <c r="A118" s="10" t="s">
        <v>312</v>
      </c>
      <c r="B118" s="10" t="s">
        <v>302</v>
      </c>
      <c r="C118" s="10" t="s">
        <v>154</v>
      </c>
      <c r="D118" s="8" t="s">
        <v>157</v>
      </c>
      <c r="E118" s="10" t="s">
        <v>105</v>
      </c>
    </row>
    <row r="119" customFormat="false" ht="15" hidden="false" customHeight="false" outlineLevel="0" collapsed="false">
      <c r="A119" s="10" t="s">
        <v>313</v>
      </c>
      <c r="B119" s="10" t="s">
        <v>302</v>
      </c>
      <c r="C119" s="10" t="s">
        <v>159</v>
      </c>
      <c r="D119" s="8" t="s">
        <v>160</v>
      </c>
      <c r="E119" s="10" t="s">
        <v>99</v>
      </c>
    </row>
    <row r="120" customFormat="false" ht="15" hidden="false" customHeight="false" outlineLevel="0" collapsed="false">
      <c r="A120" s="10" t="s">
        <v>314</v>
      </c>
      <c r="B120" s="10" t="s">
        <v>302</v>
      </c>
      <c r="C120" s="10" t="s">
        <v>159</v>
      </c>
      <c r="D120" s="8" t="s">
        <v>162</v>
      </c>
      <c r="E120" s="10" t="s">
        <v>99</v>
      </c>
    </row>
    <row r="121" customFormat="false" ht="15" hidden="false" customHeight="false" outlineLevel="0" collapsed="false">
      <c r="A121" s="10" t="s">
        <v>315</v>
      </c>
      <c r="B121" s="10" t="s">
        <v>302</v>
      </c>
      <c r="C121" s="10" t="s">
        <v>159</v>
      </c>
      <c r="D121" s="8" t="s">
        <v>164</v>
      </c>
      <c r="E121" s="10" t="s">
        <v>110</v>
      </c>
    </row>
    <row r="122" customFormat="false" ht="15" hidden="false" customHeight="false" outlineLevel="0" collapsed="false">
      <c r="A122" s="10" t="s">
        <v>316</v>
      </c>
      <c r="B122" s="10" t="s">
        <v>302</v>
      </c>
      <c r="C122" s="10" t="s">
        <v>166</v>
      </c>
      <c r="D122" s="8" t="s">
        <v>167</v>
      </c>
      <c r="E122" s="10" t="s">
        <v>99</v>
      </c>
    </row>
    <row r="123" customFormat="false" ht="15" hidden="false" customHeight="false" outlineLevel="0" collapsed="false">
      <c r="A123" s="10" t="s">
        <v>317</v>
      </c>
      <c r="B123" s="10" t="s">
        <v>302</v>
      </c>
      <c r="C123" s="10" t="s">
        <v>166</v>
      </c>
      <c r="D123" s="8" t="s">
        <v>169</v>
      </c>
      <c r="E123" s="10" t="s">
        <v>105</v>
      </c>
    </row>
    <row r="124" customFormat="false" ht="15" hidden="false" customHeight="false" outlineLevel="0" collapsed="false">
      <c r="A124" s="10" t="s">
        <v>318</v>
      </c>
      <c r="B124" s="10" t="s">
        <v>302</v>
      </c>
      <c r="C124" s="10" t="s">
        <v>171</v>
      </c>
      <c r="D124" s="8" t="s">
        <v>172</v>
      </c>
      <c r="E124" s="10" t="s">
        <v>105</v>
      </c>
    </row>
    <row r="125" customFormat="false" ht="15" hidden="false" customHeight="false" outlineLevel="0" collapsed="false">
      <c r="A125" s="10" t="s">
        <v>319</v>
      </c>
      <c r="B125" s="10" t="s">
        <v>302</v>
      </c>
      <c r="C125" s="10" t="s">
        <v>171</v>
      </c>
      <c r="D125" s="8" t="s">
        <v>174</v>
      </c>
      <c r="E125" s="10" t="s">
        <v>99</v>
      </c>
    </row>
    <row r="126" customFormat="false" ht="15" hidden="false" customHeight="false" outlineLevel="0" collapsed="false">
      <c r="A126" s="10" t="s">
        <v>320</v>
      </c>
      <c r="B126" s="10" t="s">
        <v>302</v>
      </c>
      <c r="C126" s="10" t="s">
        <v>176</v>
      </c>
      <c r="D126" s="8" t="s">
        <v>177</v>
      </c>
      <c r="E126" s="10" t="s">
        <v>105</v>
      </c>
    </row>
    <row r="127" customFormat="false" ht="15" hidden="false" customHeight="false" outlineLevel="0" collapsed="false">
      <c r="A127" s="10" t="s">
        <v>321</v>
      </c>
      <c r="B127" s="10" t="s">
        <v>302</v>
      </c>
      <c r="C127" s="10" t="s">
        <v>176</v>
      </c>
      <c r="D127" s="8" t="s">
        <v>179</v>
      </c>
      <c r="E127" s="10" t="s">
        <v>105</v>
      </c>
    </row>
    <row r="128" customFormat="false" ht="15" hidden="false" customHeight="false" outlineLevel="0" collapsed="false">
      <c r="A128" s="10" t="s">
        <v>322</v>
      </c>
      <c r="B128" s="10" t="s">
        <v>302</v>
      </c>
      <c r="C128" s="10" t="s">
        <v>323</v>
      </c>
      <c r="D128" s="8" t="s">
        <v>324</v>
      </c>
      <c r="E128" s="10" t="s">
        <v>99</v>
      </c>
    </row>
    <row r="129" customFormat="false" ht="15" hidden="false" customHeight="false" outlineLevel="0" collapsed="false">
      <c r="A129" s="10" t="s">
        <v>325</v>
      </c>
      <c r="B129" s="10" t="s">
        <v>302</v>
      </c>
      <c r="C129" s="10" t="s">
        <v>323</v>
      </c>
      <c r="D129" s="8" t="s">
        <v>326</v>
      </c>
      <c r="E129" s="10" t="s">
        <v>99</v>
      </c>
    </row>
    <row r="130" customFormat="false" ht="15" hidden="false" customHeight="false" outlineLevel="0" collapsed="false">
      <c r="A130" s="10" t="s">
        <v>327</v>
      </c>
      <c r="B130" s="10" t="s">
        <v>302</v>
      </c>
      <c r="C130" s="10" t="s">
        <v>323</v>
      </c>
      <c r="D130" s="8" t="s">
        <v>328</v>
      </c>
      <c r="E130" s="10" t="s">
        <v>105</v>
      </c>
    </row>
    <row r="131" customFormat="false" ht="15" hidden="false" customHeight="false" outlineLevel="0" collapsed="false">
      <c r="A131" s="10" t="s">
        <v>329</v>
      </c>
      <c r="B131" s="10" t="s">
        <v>302</v>
      </c>
      <c r="C131" s="10" t="s">
        <v>323</v>
      </c>
      <c r="D131" s="8" t="s">
        <v>330</v>
      </c>
      <c r="E131" s="10" t="s">
        <v>99</v>
      </c>
    </row>
    <row r="132" customFormat="false" ht="15" hidden="false" customHeight="false" outlineLevel="0" collapsed="false">
      <c r="A132" s="10" t="s">
        <v>331</v>
      </c>
      <c r="B132" s="10" t="s">
        <v>302</v>
      </c>
      <c r="C132" s="10" t="s">
        <v>323</v>
      </c>
      <c r="D132" s="8" t="s">
        <v>332</v>
      </c>
      <c r="E132" s="10" t="s">
        <v>105</v>
      </c>
    </row>
    <row r="133" customFormat="false" ht="15" hidden="false" customHeight="false" outlineLevel="0" collapsed="false">
      <c r="A133" s="10" t="s">
        <v>333</v>
      </c>
      <c r="B133" s="10" t="s">
        <v>302</v>
      </c>
      <c r="C133" s="10" t="s">
        <v>323</v>
      </c>
      <c r="D133" s="8" t="s">
        <v>334</v>
      </c>
      <c r="E133" s="10" t="s">
        <v>105</v>
      </c>
    </row>
    <row r="134" customFormat="false" ht="15" hidden="false" customHeight="false" outlineLevel="0" collapsed="false">
      <c r="A134" s="10" t="s">
        <v>335</v>
      </c>
      <c r="B134" s="10" t="s">
        <v>302</v>
      </c>
      <c r="C134" s="10" t="s">
        <v>323</v>
      </c>
      <c r="D134" s="8" t="s">
        <v>336</v>
      </c>
      <c r="E134" s="10" t="s">
        <v>110</v>
      </c>
    </row>
    <row r="135" customFormat="false" ht="15" hidden="false" customHeight="false" outlineLevel="0" collapsed="false">
      <c r="A135" s="10" t="s">
        <v>337</v>
      </c>
      <c r="B135" s="10" t="s">
        <v>338</v>
      </c>
      <c r="C135" s="10" t="s">
        <v>339</v>
      </c>
      <c r="D135" s="8" t="s">
        <v>340</v>
      </c>
      <c r="E135" s="10" t="s">
        <v>99</v>
      </c>
    </row>
    <row r="136" customFormat="false" ht="15" hidden="false" customHeight="false" outlineLevel="0" collapsed="false">
      <c r="A136" s="10" t="s">
        <v>341</v>
      </c>
      <c r="B136" s="10" t="s">
        <v>338</v>
      </c>
      <c r="C136" s="10" t="s">
        <v>339</v>
      </c>
      <c r="D136" s="8" t="s">
        <v>342</v>
      </c>
      <c r="E136" s="10" t="s">
        <v>99</v>
      </c>
    </row>
    <row r="137" customFormat="false" ht="15" hidden="false" customHeight="false" outlineLevel="0" collapsed="false">
      <c r="A137" s="10" t="s">
        <v>343</v>
      </c>
      <c r="B137" s="10" t="s">
        <v>338</v>
      </c>
      <c r="C137" s="10" t="s">
        <v>339</v>
      </c>
      <c r="D137" s="8" t="s">
        <v>344</v>
      </c>
      <c r="E137" s="10" t="s">
        <v>105</v>
      </c>
    </row>
    <row r="138" customFormat="false" ht="15" hidden="false" customHeight="false" outlineLevel="0" collapsed="false">
      <c r="A138" s="10" t="s">
        <v>345</v>
      </c>
      <c r="B138" s="10" t="s">
        <v>338</v>
      </c>
      <c r="C138" s="10" t="s">
        <v>339</v>
      </c>
      <c r="D138" s="8" t="s">
        <v>346</v>
      </c>
      <c r="E138" s="10" t="s">
        <v>105</v>
      </c>
    </row>
    <row r="139" customFormat="false" ht="15" hidden="false" customHeight="false" outlineLevel="0" collapsed="false">
      <c r="A139" s="10" t="s">
        <v>347</v>
      </c>
      <c r="B139" s="10" t="s">
        <v>338</v>
      </c>
      <c r="C139" s="10" t="s">
        <v>348</v>
      </c>
      <c r="D139" s="8" t="s">
        <v>349</v>
      </c>
      <c r="E139" s="10" t="s">
        <v>99</v>
      </c>
    </row>
    <row r="140" customFormat="false" ht="15" hidden="false" customHeight="false" outlineLevel="0" collapsed="false">
      <c r="A140" s="10" t="s">
        <v>350</v>
      </c>
      <c r="B140" s="10" t="s">
        <v>338</v>
      </c>
      <c r="C140" s="10" t="s">
        <v>348</v>
      </c>
      <c r="D140" s="8" t="s">
        <v>351</v>
      </c>
      <c r="E140" s="10" t="s">
        <v>105</v>
      </c>
    </row>
    <row r="141" customFormat="false" ht="15" hidden="false" customHeight="false" outlineLevel="0" collapsed="false">
      <c r="A141" s="10" t="s">
        <v>352</v>
      </c>
      <c r="B141" s="10" t="s">
        <v>338</v>
      </c>
      <c r="C141" s="10" t="s">
        <v>348</v>
      </c>
      <c r="D141" s="8" t="s">
        <v>353</v>
      </c>
      <c r="E141" s="10" t="s">
        <v>99</v>
      </c>
    </row>
    <row r="142" customFormat="false" ht="15" hidden="false" customHeight="false" outlineLevel="0" collapsed="false">
      <c r="A142" s="10" t="s">
        <v>354</v>
      </c>
      <c r="B142" s="10" t="s">
        <v>338</v>
      </c>
      <c r="C142" s="10" t="s">
        <v>355</v>
      </c>
      <c r="D142" s="8" t="s">
        <v>356</v>
      </c>
      <c r="E142" s="10" t="s">
        <v>99</v>
      </c>
    </row>
    <row r="143" customFormat="false" ht="15" hidden="false" customHeight="false" outlineLevel="0" collapsed="false">
      <c r="A143" s="10" t="s">
        <v>357</v>
      </c>
      <c r="B143" s="10" t="s">
        <v>338</v>
      </c>
      <c r="C143" s="10" t="s">
        <v>355</v>
      </c>
      <c r="D143" s="8" t="s">
        <v>358</v>
      </c>
      <c r="E143" s="10" t="s">
        <v>105</v>
      </c>
    </row>
    <row r="144" customFormat="false" ht="15" hidden="false" customHeight="false" outlineLevel="0" collapsed="false">
      <c r="A144" s="10" t="s">
        <v>359</v>
      </c>
      <c r="B144" s="10" t="s">
        <v>338</v>
      </c>
      <c r="C144" s="10" t="s">
        <v>355</v>
      </c>
      <c r="D144" s="8" t="s">
        <v>360</v>
      </c>
      <c r="E144" s="10" t="s">
        <v>99</v>
      </c>
    </row>
    <row r="145" customFormat="false" ht="15" hidden="false" customHeight="false" outlineLevel="0" collapsed="false">
      <c r="A145" s="10" t="s">
        <v>361</v>
      </c>
      <c r="B145" s="10" t="s">
        <v>338</v>
      </c>
      <c r="C145" s="10" t="s">
        <v>355</v>
      </c>
      <c r="D145" s="8" t="s">
        <v>362</v>
      </c>
      <c r="E145" s="10" t="s">
        <v>105</v>
      </c>
    </row>
    <row r="146" customFormat="false" ht="15" hidden="false" customHeight="false" outlineLevel="0" collapsed="false">
      <c r="A146" s="10" t="s">
        <v>363</v>
      </c>
      <c r="B146" s="10" t="s">
        <v>338</v>
      </c>
      <c r="C146" s="10" t="s">
        <v>364</v>
      </c>
      <c r="D146" s="8" t="s">
        <v>365</v>
      </c>
      <c r="E146" s="10" t="s">
        <v>99</v>
      </c>
    </row>
    <row r="147" customFormat="false" ht="15" hidden="false" customHeight="false" outlineLevel="0" collapsed="false">
      <c r="A147" s="10" t="s">
        <v>366</v>
      </c>
      <c r="B147" s="10" t="s">
        <v>338</v>
      </c>
      <c r="C147" s="10" t="s">
        <v>364</v>
      </c>
      <c r="D147" s="8" t="s">
        <v>367</v>
      </c>
      <c r="E147" s="10" t="s">
        <v>105</v>
      </c>
    </row>
    <row r="148" customFormat="false" ht="15" hidden="false" customHeight="false" outlineLevel="0" collapsed="false">
      <c r="A148" s="10" t="s">
        <v>368</v>
      </c>
      <c r="B148" s="10" t="s">
        <v>338</v>
      </c>
      <c r="C148" s="10" t="s">
        <v>364</v>
      </c>
      <c r="D148" s="8" t="s">
        <v>369</v>
      </c>
      <c r="E148" s="10" t="s">
        <v>99</v>
      </c>
    </row>
    <row r="149" customFormat="false" ht="15" hidden="false" customHeight="false" outlineLevel="0" collapsed="false">
      <c r="A149" s="10" t="s">
        <v>370</v>
      </c>
      <c r="B149" s="10" t="s">
        <v>338</v>
      </c>
      <c r="C149" s="10" t="s">
        <v>371</v>
      </c>
      <c r="D149" s="8" t="s">
        <v>372</v>
      </c>
      <c r="E149" s="10" t="s">
        <v>99</v>
      </c>
    </row>
    <row r="150" customFormat="false" ht="15" hidden="false" customHeight="false" outlineLevel="0" collapsed="false">
      <c r="A150" s="10" t="s">
        <v>373</v>
      </c>
      <c r="B150" s="10" t="s">
        <v>338</v>
      </c>
      <c r="C150" s="10" t="s">
        <v>371</v>
      </c>
      <c r="D150" s="8" t="s">
        <v>374</v>
      </c>
      <c r="E150" s="10" t="s">
        <v>105</v>
      </c>
    </row>
    <row r="151" customFormat="false" ht="15" hidden="false" customHeight="false" outlineLevel="0" collapsed="false">
      <c r="A151" s="10" t="s">
        <v>375</v>
      </c>
      <c r="B151" s="10" t="s">
        <v>338</v>
      </c>
      <c r="C151" s="10" t="s">
        <v>371</v>
      </c>
      <c r="D151" s="8" t="s">
        <v>376</v>
      </c>
      <c r="E151" s="10" t="s">
        <v>99</v>
      </c>
    </row>
    <row r="152" customFormat="false" ht="15" hidden="false" customHeight="false" outlineLevel="0" collapsed="false">
      <c r="A152" s="10" t="s">
        <v>377</v>
      </c>
      <c r="B152" s="10" t="s">
        <v>338</v>
      </c>
      <c r="C152" s="10" t="s">
        <v>378</v>
      </c>
      <c r="D152" s="8" t="s">
        <v>379</v>
      </c>
      <c r="E152" s="10" t="s">
        <v>105</v>
      </c>
    </row>
    <row r="153" customFormat="false" ht="15" hidden="false" customHeight="false" outlineLevel="0" collapsed="false">
      <c r="A153" s="10" t="s">
        <v>380</v>
      </c>
      <c r="B153" s="10" t="s">
        <v>338</v>
      </c>
      <c r="C153" s="10" t="s">
        <v>378</v>
      </c>
      <c r="D153" s="8" t="s">
        <v>381</v>
      </c>
      <c r="E153" s="10" t="s">
        <v>99</v>
      </c>
    </row>
    <row r="154" customFormat="false" ht="15" hidden="false" customHeight="false" outlineLevel="0" collapsed="false">
      <c r="A154" s="10" t="s">
        <v>382</v>
      </c>
      <c r="B154" s="10" t="s">
        <v>383</v>
      </c>
      <c r="C154" s="10" t="s">
        <v>133</v>
      </c>
      <c r="D154" s="8" t="s">
        <v>134</v>
      </c>
      <c r="E154" s="10" t="s">
        <v>99</v>
      </c>
    </row>
    <row r="155" customFormat="false" ht="15" hidden="false" customHeight="false" outlineLevel="0" collapsed="false">
      <c r="A155" s="10" t="s">
        <v>384</v>
      </c>
      <c r="B155" s="10" t="s">
        <v>383</v>
      </c>
      <c r="C155" s="10" t="s">
        <v>133</v>
      </c>
      <c r="D155" s="8" t="s">
        <v>136</v>
      </c>
      <c r="E155" s="10" t="s">
        <v>99</v>
      </c>
    </row>
    <row r="156" customFormat="false" ht="15" hidden="false" customHeight="false" outlineLevel="0" collapsed="false">
      <c r="A156" s="10" t="s">
        <v>385</v>
      </c>
      <c r="B156" s="10" t="s">
        <v>383</v>
      </c>
      <c r="C156" s="10" t="s">
        <v>133</v>
      </c>
      <c r="D156" s="8" t="s">
        <v>138</v>
      </c>
      <c r="E156" s="10" t="s">
        <v>105</v>
      </c>
    </row>
    <row r="157" customFormat="false" ht="15" hidden="false" customHeight="false" outlineLevel="0" collapsed="false">
      <c r="A157" s="10" t="s">
        <v>386</v>
      </c>
      <c r="B157" s="10" t="s">
        <v>383</v>
      </c>
      <c r="C157" s="10" t="s">
        <v>140</v>
      </c>
      <c r="D157" s="8" t="s">
        <v>141</v>
      </c>
      <c r="E157" s="10" t="s">
        <v>99</v>
      </c>
    </row>
    <row r="158" customFormat="false" ht="15" hidden="false" customHeight="false" outlineLevel="0" collapsed="false">
      <c r="A158" s="10" t="s">
        <v>387</v>
      </c>
      <c r="B158" s="10" t="s">
        <v>383</v>
      </c>
      <c r="C158" s="10" t="s">
        <v>140</v>
      </c>
      <c r="D158" s="8" t="s">
        <v>143</v>
      </c>
      <c r="E158" s="10" t="s">
        <v>105</v>
      </c>
    </row>
    <row r="159" customFormat="false" ht="15" hidden="false" customHeight="false" outlineLevel="0" collapsed="false">
      <c r="A159" s="10" t="s">
        <v>388</v>
      </c>
      <c r="B159" s="10" t="s">
        <v>383</v>
      </c>
      <c r="C159" s="10" t="s">
        <v>140</v>
      </c>
      <c r="D159" s="8" t="s">
        <v>145</v>
      </c>
      <c r="E159" s="10" t="s">
        <v>99</v>
      </c>
    </row>
    <row r="160" customFormat="false" ht="15" hidden="false" customHeight="false" outlineLevel="0" collapsed="false">
      <c r="A160" s="10" t="s">
        <v>389</v>
      </c>
      <c r="B160" s="10" t="s">
        <v>383</v>
      </c>
      <c r="C160" s="10" t="s">
        <v>147</v>
      </c>
      <c r="D160" s="8" t="s">
        <v>148</v>
      </c>
      <c r="E160" s="10" t="s">
        <v>99</v>
      </c>
    </row>
    <row r="161" customFormat="false" ht="15" hidden="false" customHeight="false" outlineLevel="0" collapsed="false">
      <c r="A161" s="10" t="s">
        <v>390</v>
      </c>
      <c r="B161" s="10" t="s">
        <v>383</v>
      </c>
      <c r="C161" s="10" t="s">
        <v>147</v>
      </c>
      <c r="D161" s="8" t="s">
        <v>150</v>
      </c>
      <c r="E161" s="10" t="s">
        <v>105</v>
      </c>
    </row>
    <row r="162" customFormat="false" ht="15" hidden="false" customHeight="false" outlineLevel="0" collapsed="false">
      <c r="A162" s="10" t="s">
        <v>391</v>
      </c>
      <c r="B162" s="10" t="s">
        <v>383</v>
      </c>
      <c r="C162" s="10" t="s">
        <v>147</v>
      </c>
      <c r="D162" s="8" t="s">
        <v>152</v>
      </c>
      <c r="E162" s="10" t="s">
        <v>99</v>
      </c>
    </row>
    <row r="163" customFormat="false" ht="15" hidden="false" customHeight="false" outlineLevel="0" collapsed="false">
      <c r="A163" s="10" t="s">
        <v>392</v>
      </c>
      <c r="B163" s="10" t="s">
        <v>383</v>
      </c>
      <c r="C163" s="10" t="s">
        <v>154</v>
      </c>
      <c r="D163" s="8" t="s">
        <v>155</v>
      </c>
      <c r="E163" s="10" t="s">
        <v>105</v>
      </c>
    </row>
    <row r="164" customFormat="false" ht="15" hidden="false" customHeight="false" outlineLevel="0" collapsed="false">
      <c r="A164" s="10" t="s">
        <v>393</v>
      </c>
      <c r="B164" s="10" t="s">
        <v>383</v>
      </c>
      <c r="C164" s="10" t="s">
        <v>154</v>
      </c>
      <c r="D164" s="8" t="s">
        <v>157</v>
      </c>
      <c r="E164" s="10" t="s">
        <v>105</v>
      </c>
    </row>
    <row r="165" customFormat="false" ht="15" hidden="false" customHeight="false" outlineLevel="0" collapsed="false">
      <c r="A165" s="10" t="s">
        <v>394</v>
      </c>
      <c r="B165" s="10" t="s">
        <v>383</v>
      </c>
      <c r="C165" s="10" t="s">
        <v>159</v>
      </c>
      <c r="D165" s="8" t="s">
        <v>160</v>
      </c>
      <c r="E165" s="10" t="s">
        <v>99</v>
      </c>
    </row>
    <row r="166" customFormat="false" ht="15" hidden="false" customHeight="false" outlineLevel="0" collapsed="false">
      <c r="A166" s="10" t="s">
        <v>395</v>
      </c>
      <c r="B166" s="10" t="s">
        <v>383</v>
      </c>
      <c r="C166" s="10" t="s">
        <v>159</v>
      </c>
      <c r="D166" s="8" t="s">
        <v>162</v>
      </c>
      <c r="E166" s="10" t="s">
        <v>99</v>
      </c>
    </row>
    <row r="167" customFormat="false" ht="15" hidden="false" customHeight="false" outlineLevel="0" collapsed="false">
      <c r="A167" s="10" t="s">
        <v>396</v>
      </c>
      <c r="B167" s="10" t="s">
        <v>383</v>
      </c>
      <c r="C167" s="10" t="s">
        <v>159</v>
      </c>
      <c r="D167" s="8" t="s">
        <v>164</v>
      </c>
      <c r="E167" s="10" t="s">
        <v>110</v>
      </c>
    </row>
    <row r="168" customFormat="false" ht="15" hidden="false" customHeight="false" outlineLevel="0" collapsed="false">
      <c r="A168" s="10" t="s">
        <v>397</v>
      </c>
      <c r="B168" s="10" t="s">
        <v>383</v>
      </c>
      <c r="C168" s="10" t="s">
        <v>166</v>
      </c>
      <c r="D168" s="8" t="s">
        <v>167</v>
      </c>
      <c r="E168" s="10" t="s">
        <v>99</v>
      </c>
    </row>
    <row r="169" customFormat="false" ht="15" hidden="false" customHeight="false" outlineLevel="0" collapsed="false">
      <c r="A169" s="10" t="s">
        <v>398</v>
      </c>
      <c r="B169" s="10" t="s">
        <v>383</v>
      </c>
      <c r="C169" s="10" t="s">
        <v>166</v>
      </c>
      <c r="D169" s="8" t="s">
        <v>169</v>
      </c>
      <c r="E169" s="10" t="s">
        <v>105</v>
      </c>
    </row>
    <row r="170" customFormat="false" ht="15" hidden="false" customHeight="false" outlineLevel="0" collapsed="false">
      <c r="A170" s="10" t="s">
        <v>399</v>
      </c>
      <c r="B170" s="10" t="s">
        <v>383</v>
      </c>
      <c r="C170" s="10" t="s">
        <v>171</v>
      </c>
      <c r="D170" s="8" t="s">
        <v>172</v>
      </c>
      <c r="E170" s="10" t="s">
        <v>105</v>
      </c>
    </row>
    <row r="171" customFormat="false" ht="15" hidden="false" customHeight="false" outlineLevel="0" collapsed="false">
      <c r="A171" s="10" t="s">
        <v>400</v>
      </c>
      <c r="B171" s="10" t="s">
        <v>383</v>
      </c>
      <c r="C171" s="10" t="s">
        <v>171</v>
      </c>
      <c r="D171" s="8" t="s">
        <v>174</v>
      </c>
      <c r="E171" s="10" t="s">
        <v>99</v>
      </c>
    </row>
    <row r="172" customFormat="false" ht="15" hidden="false" customHeight="false" outlineLevel="0" collapsed="false">
      <c r="A172" s="10" t="s">
        <v>401</v>
      </c>
      <c r="B172" s="10" t="s">
        <v>383</v>
      </c>
      <c r="C172" s="10" t="s">
        <v>176</v>
      </c>
      <c r="D172" s="8" t="s">
        <v>177</v>
      </c>
      <c r="E172" s="10" t="s">
        <v>105</v>
      </c>
    </row>
    <row r="173" customFormat="false" ht="15" hidden="false" customHeight="false" outlineLevel="0" collapsed="false">
      <c r="A173" s="10" t="s">
        <v>402</v>
      </c>
      <c r="B173" s="10" t="s">
        <v>383</v>
      </c>
      <c r="C173" s="10" t="s">
        <v>176</v>
      </c>
      <c r="D173" s="8" t="s">
        <v>179</v>
      </c>
      <c r="E173" s="10" t="s">
        <v>105</v>
      </c>
    </row>
    <row r="174" customFormat="false" ht="15" hidden="false" customHeight="false" outlineLevel="0" collapsed="false">
      <c r="A174" s="10" t="s">
        <v>403</v>
      </c>
      <c r="B174" s="10" t="s">
        <v>383</v>
      </c>
      <c r="C174" s="10" t="s">
        <v>404</v>
      </c>
      <c r="D174" s="8" t="s">
        <v>405</v>
      </c>
      <c r="E174" s="10" t="s">
        <v>99</v>
      </c>
    </row>
    <row r="175" customFormat="false" ht="15" hidden="false" customHeight="false" outlineLevel="0" collapsed="false">
      <c r="A175" s="10" t="s">
        <v>406</v>
      </c>
      <c r="B175" s="10" t="s">
        <v>383</v>
      </c>
      <c r="C175" s="10" t="s">
        <v>404</v>
      </c>
      <c r="D175" s="8" t="s">
        <v>407</v>
      </c>
      <c r="E175" s="10" t="s">
        <v>105</v>
      </c>
    </row>
    <row r="176" customFormat="false" ht="15" hidden="false" customHeight="false" outlineLevel="0" collapsed="false">
      <c r="A176" s="10" t="s">
        <v>408</v>
      </c>
      <c r="B176" s="10" t="s">
        <v>383</v>
      </c>
      <c r="C176" s="10" t="s">
        <v>409</v>
      </c>
      <c r="D176" s="8" t="s">
        <v>410</v>
      </c>
      <c r="E176" s="10" t="s">
        <v>99</v>
      </c>
    </row>
    <row r="177" customFormat="false" ht="15" hidden="false" customHeight="false" outlineLevel="0" collapsed="false">
      <c r="A177" s="10" t="s">
        <v>411</v>
      </c>
      <c r="B177" s="10" t="s">
        <v>383</v>
      </c>
      <c r="C177" s="10" t="s">
        <v>409</v>
      </c>
      <c r="D177" s="8" t="s">
        <v>412</v>
      </c>
      <c r="E177" s="10" t="s">
        <v>105</v>
      </c>
    </row>
    <row r="178" customFormat="false" ht="15" hidden="false" customHeight="false" outlineLevel="0" collapsed="false">
      <c r="A178" s="10" t="s">
        <v>413</v>
      </c>
      <c r="B178" s="10" t="s">
        <v>383</v>
      </c>
      <c r="C178" s="10" t="s">
        <v>414</v>
      </c>
      <c r="D178" s="8" t="s">
        <v>415</v>
      </c>
      <c r="E178" s="10" t="s">
        <v>99</v>
      </c>
    </row>
    <row r="179" customFormat="false" ht="15" hidden="false" customHeight="false" outlineLevel="0" collapsed="false">
      <c r="A179" s="10" t="s">
        <v>416</v>
      </c>
      <c r="B179" s="10" t="s">
        <v>383</v>
      </c>
      <c r="C179" s="10" t="s">
        <v>414</v>
      </c>
      <c r="D179" s="8" t="s">
        <v>417</v>
      </c>
      <c r="E179" s="10" t="s">
        <v>105</v>
      </c>
    </row>
  </sheetData>
  <autoFilter ref="A1:E179"/>
  <printOptions headings="false" gridLines="false" gridLinesSet="true" horizontalCentered="false" verticalCentered="false"/>
  <pageMargins left="0.4" right="0.4" top="0.5" bottom="0.5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E5597"/>
    <pageSetUpPr fitToPage="true"/>
  </sheetPr>
  <dimension ref="A1:J10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1" width="8"/>
    <col collapsed="false" customWidth="true" hidden="false" outlineLevel="0" max="2" min="2" style="1" width="52"/>
    <col collapsed="false" customWidth="true" hidden="false" outlineLevel="0" max="4" min="3" style="1" width="14"/>
    <col collapsed="false" customWidth="true" hidden="false" outlineLevel="0" max="5" min="5" style="1" width="12"/>
    <col collapsed="false" customWidth="true" hidden="false" outlineLevel="0" max="7" min="6" style="1" width="14"/>
    <col collapsed="false" customWidth="true" hidden="false" outlineLevel="0" max="8" min="8" style="1" width="16"/>
    <col collapsed="false" customWidth="true" hidden="false" outlineLevel="0" max="9" min="9" style="1" width="12"/>
    <col collapsed="false" customWidth="true" hidden="false" outlineLevel="0" max="10" min="10" style="1" width="30"/>
  </cols>
  <sheetData>
    <row r="1" customFormat="false" ht="30" hidden="false" customHeight="true" outlineLevel="0" collapsed="false">
      <c r="B1" s="2" t="s">
        <v>418</v>
      </c>
    </row>
    <row r="2" customFormat="false" ht="13.5" hidden="false" customHeight="true" outlineLevel="0" collapsed="false">
      <c r="B2" s="3" t="s">
        <v>419</v>
      </c>
    </row>
    <row r="3" customFormat="false" ht="3" hidden="false" customHeight="true" outlineLevel="0" collapsed="false">
      <c r="B3" s="4"/>
      <c r="C3" s="4"/>
      <c r="D3" s="4"/>
      <c r="E3" s="4"/>
      <c r="F3" s="4"/>
      <c r="G3" s="4"/>
      <c r="H3" s="4"/>
      <c r="I3" s="4"/>
      <c r="J3" s="5"/>
    </row>
    <row r="4" customFormat="false" ht="16.5" hidden="false" customHeight="true" outlineLevel="0" collapsed="false">
      <c r="A4" s="4"/>
      <c r="B4" s="23" t="s">
        <v>420</v>
      </c>
      <c r="C4" s="24"/>
      <c r="D4" s="24"/>
      <c r="E4" s="24"/>
      <c r="F4" s="24"/>
      <c r="G4" s="24"/>
      <c r="H4" s="24"/>
      <c r="I4" s="24"/>
      <c r="J4" s="24"/>
    </row>
    <row r="5" customFormat="false" ht="15" hidden="false" customHeight="false" outlineLevel="0" collapsed="false">
      <c r="B5" s="25" t="s">
        <v>421</v>
      </c>
      <c r="C5" s="18" t="s">
        <v>422</v>
      </c>
      <c r="E5" s="25" t="s">
        <v>423</v>
      </c>
      <c r="F5" s="16" t="n">
        <v>45883</v>
      </c>
      <c r="H5" s="25" t="s">
        <v>424</v>
      </c>
      <c r="I5" s="18" t="n">
        <v>2</v>
      </c>
    </row>
    <row r="6" customFormat="false" ht="15" hidden="false" customHeight="false" outlineLevel="0" collapsed="false">
      <c r="B6" s="25" t="s">
        <v>425</v>
      </c>
      <c r="C6" s="18" t="s">
        <v>426</v>
      </c>
      <c r="E6" s="25" t="s">
        <v>427</v>
      </c>
      <c r="F6" s="16" t="n">
        <v>45808</v>
      </c>
      <c r="H6" s="25" t="s">
        <v>428</v>
      </c>
      <c r="I6" s="18" t="n">
        <v>2</v>
      </c>
    </row>
    <row r="7" customFormat="false" ht="15" hidden="false" customHeight="false" outlineLevel="0" collapsed="false">
      <c r="B7" s="25" t="s">
        <v>429</v>
      </c>
      <c r="C7" s="19" t="n">
        <v>25000</v>
      </c>
      <c r="E7" s="25" t="s">
        <v>430</v>
      </c>
      <c r="F7" s="18" t="s">
        <v>431</v>
      </c>
      <c r="H7" s="25" t="s">
        <v>432</v>
      </c>
      <c r="I7" s="26" t="str">
        <f aca="false">IF($I$6="","",VLOOKUP($I$6,Lists!$D$2:$E$9,2,0))</f>
        <v>Pass</v>
      </c>
    </row>
    <row r="8" customFormat="false" ht="15" hidden="false" customHeight="false" outlineLevel="0" collapsed="false">
      <c r="B8" s="25" t="s">
        <v>433</v>
      </c>
      <c r="C8" s="18" t="s">
        <v>100</v>
      </c>
      <c r="E8" s="25" t="s">
        <v>434</v>
      </c>
      <c r="F8" s="18"/>
      <c r="H8" s="25" t="s">
        <v>435</v>
      </c>
      <c r="I8" s="27" t="str">
        <f aca="false">IF(OR($I$5="",$I$6=""),"",IF($I$5=$I$6,"Concur","Grade Change"))</f>
        <v>Concur</v>
      </c>
    </row>
    <row r="10" customFormat="false" ht="16.5" hidden="false" customHeight="true" outlineLevel="0" collapsed="false">
      <c r="A10" s="4"/>
      <c r="B10" s="23" t="s">
        <v>436</v>
      </c>
      <c r="C10" s="24"/>
      <c r="D10" s="24"/>
      <c r="E10" s="24"/>
      <c r="F10" s="24"/>
      <c r="G10" s="24"/>
      <c r="H10" s="24"/>
      <c r="I10" s="24"/>
      <c r="J10" s="24"/>
    </row>
    <row r="11" customFormat="false" ht="13.5" hidden="false" customHeight="true" outlineLevel="0" collapsed="false">
      <c r="A11" s="28"/>
      <c r="B11" s="28" t="s">
        <v>437</v>
      </c>
      <c r="C11" s="28" t="s">
        <v>438</v>
      </c>
      <c r="D11" s="28" t="s">
        <v>439</v>
      </c>
    </row>
    <row r="12" customFormat="false" ht="15" hidden="false" customHeight="false" outlineLevel="0" collapsed="false">
      <c r="B12" s="10" t="s">
        <v>440</v>
      </c>
      <c r="C12" s="19" t="n">
        <v>96400</v>
      </c>
      <c r="D12" s="17"/>
    </row>
    <row r="13" customFormat="false" ht="15" hidden="false" customHeight="false" outlineLevel="0" collapsed="false">
      <c r="B13" s="10" t="s">
        <v>441</v>
      </c>
      <c r="C13" s="19" t="n">
        <v>17100</v>
      </c>
      <c r="D13" s="17"/>
    </row>
    <row r="14" customFormat="false" ht="15" hidden="false" customHeight="false" outlineLevel="0" collapsed="false">
      <c r="B14" s="10" t="s">
        <v>442</v>
      </c>
      <c r="C14" s="19" t="n">
        <v>3400</v>
      </c>
      <c r="D14" s="17"/>
    </row>
    <row r="15" customFormat="false" ht="15" hidden="false" customHeight="false" outlineLevel="0" collapsed="false">
      <c r="B15" s="10" t="s">
        <v>443</v>
      </c>
      <c r="C15" s="19" t="n">
        <v>4980</v>
      </c>
      <c r="D15" s="17" t="s">
        <v>444</v>
      </c>
    </row>
    <row r="16" customFormat="false" ht="15" hidden="false" customHeight="false" outlineLevel="0" collapsed="false">
      <c r="B16" s="10" t="s">
        <v>445</v>
      </c>
      <c r="C16" s="19" t="n">
        <v>2400</v>
      </c>
      <c r="D16" s="17"/>
    </row>
    <row r="17" customFormat="false" ht="15" hidden="false" customHeight="false" outlineLevel="0" collapsed="false">
      <c r="B17" s="10" t="s">
        <v>446</v>
      </c>
      <c r="C17" s="19" t="n">
        <v>1800</v>
      </c>
      <c r="D17" s="17"/>
    </row>
    <row r="18" customFormat="false" ht="15" hidden="false" customHeight="false" outlineLevel="0" collapsed="false">
      <c r="B18" s="10" t="s">
        <v>447</v>
      </c>
      <c r="C18" s="19" t="n">
        <v>1000</v>
      </c>
      <c r="D18" s="17"/>
    </row>
    <row r="19" customFormat="false" ht="15" hidden="false" customHeight="false" outlineLevel="0" collapsed="false">
      <c r="B19" s="10" t="s">
        <v>448</v>
      </c>
      <c r="C19" s="19" t="n">
        <v>65000</v>
      </c>
      <c r="D19" s="17"/>
    </row>
    <row r="20" customFormat="false" ht="15" hidden="false" customHeight="false" outlineLevel="0" collapsed="false">
      <c r="B20" s="10" t="s">
        <v>449</v>
      </c>
      <c r="C20" s="19" t="n">
        <v>49590</v>
      </c>
      <c r="D20" s="17"/>
    </row>
    <row r="21" customFormat="false" ht="15" hidden="false" customHeight="false" outlineLevel="0" collapsed="false">
      <c r="B21" s="10" t="s">
        <v>450</v>
      </c>
      <c r="C21" s="19" t="n">
        <v>31200</v>
      </c>
      <c r="D21" s="17"/>
    </row>
    <row r="22" customFormat="false" ht="15" hidden="false" customHeight="false" outlineLevel="0" collapsed="false">
      <c r="B22" s="10" t="s">
        <v>451</v>
      </c>
      <c r="C22" s="19" t="n">
        <v>18350</v>
      </c>
      <c r="D22" s="17"/>
    </row>
    <row r="23" customFormat="false" ht="15" hidden="false" customHeight="false" outlineLevel="0" collapsed="false">
      <c r="B23" s="10" t="s">
        <v>452</v>
      </c>
      <c r="C23" s="19" t="n">
        <v>14800</v>
      </c>
      <c r="D23" s="17"/>
    </row>
    <row r="24" customFormat="false" ht="15" hidden="false" customHeight="false" outlineLevel="0" collapsed="false">
      <c r="B24" s="10" t="s">
        <v>453</v>
      </c>
      <c r="C24" s="19" t="n">
        <v>9650</v>
      </c>
      <c r="D24" s="17"/>
    </row>
    <row r="25" customFormat="false" ht="15" hidden="false" customHeight="false" outlineLevel="0" collapsed="false">
      <c r="B25" s="10" t="s">
        <v>454</v>
      </c>
      <c r="C25" s="19" t="n">
        <v>7900</v>
      </c>
      <c r="D25" s="17"/>
    </row>
    <row r="26" customFormat="false" ht="15" hidden="false" customHeight="false" outlineLevel="0" collapsed="false">
      <c r="B26" s="10" t="s">
        <v>455</v>
      </c>
      <c r="C26" s="19" t="n">
        <v>66500</v>
      </c>
      <c r="D26" s="17"/>
    </row>
    <row r="27" customFormat="false" ht="15" hidden="false" customHeight="false" outlineLevel="0" collapsed="false">
      <c r="B27" s="10" t="s">
        <v>456</v>
      </c>
      <c r="C27" s="19" t="n">
        <v>28900</v>
      </c>
      <c r="D27" s="17"/>
    </row>
    <row r="28" customFormat="false" ht="15" hidden="false" customHeight="false" outlineLevel="0" collapsed="false">
      <c r="B28" s="10" t="s">
        <v>457</v>
      </c>
      <c r="C28" s="19" t="n">
        <v>1200</v>
      </c>
      <c r="D28" s="17" t="s">
        <v>458</v>
      </c>
    </row>
    <row r="29" customFormat="false" ht="15" hidden="false" customHeight="false" outlineLevel="0" collapsed="false">
      <c r="B29" s="10" t="s">
        <v>459</v>
      </c>
      <c r="C29" s="19" t="n">
        <v>600</v>
      </c>
      <c r="D29" s="17"/>
    </row>
    <row r="31" customFormat="false" ht="16.5" hidden="false" customHeight="true" outlineLevel="0" collapsed="false">
      <c r="A31" s="4"/>
      <c r="B31" s="23" t="s">
        <v>460</v>
      </c>
      <c r="C31" s="24"/>
      <c r="D31" s="24"/>
      <c r="E31" s="24"/>
      <c r="F31" s="24"/>
      <c r="G31" s="24"/>
      <c r="H31" s="24"/>
      <c r="I31" s="24"/>
      <c r="J31" s="24"/>
    </row>
    <row r="32" customFormat="false" ht="21.75" hidden="false" customHeight="true" outlineLevel="0" collapsed="false">
      <c r="A32" s="28" t="s">
        <v>461</v>
      </c>
      <c r="B32" s="28" t="s">
        <v>462</v>
      </c>
      <c r="C32" s="28" t="s">
        <v>463</v>
      </c>
      <c r="D32" s="28" t="s">
        <v>464</v>
      </c>
      <c r="E32" s="28" t="s">
        <v>465</v>
      </c>
      <c r="F32" s="28" t="s">
        <v>466</v>
      </c>
      <c r="G32" s="28" t="s">
        <v>467</v>
      </c>
      <c r="H32" s="28" t="s">
        <v>468</v>
      </c>
      <c r="I32" s="28"/>
      <c r="J32" s="28" t="s">
        <v>469</v>
      </c>
    </row>
    <row r="33" customFormat="false" ht="15" hidden="false" customHeight="false" outlineLevel="0" collapsed="false">
      <c r="A33" s="17" t="s">
        <v>470</v>
      </c>
      <c r="B33" s="10" t="s">
        <v>471</v>
      </c>
      <c r="C33" s="29" t="n">
        <f aca="false">IF($C$13&lt;=0,"n/m",$C$19/$C$13)</f>
        <v>3.80116959064328</v>
      </c>
      <c r="D33" s="30" t="n">
        <v>3.8</v>
      </c>
      <c r="E33" s="29" t="n">
        <f aca="false">IF(OR(ISTEXT(C33),C33="",D33=""),"",C33-D33)</f>
        <v>0.00116959064327515</v>
      </c>
      <c r="F33" s="27" t="str">
        <f aca="false">IF(E33="","",IF(ABS(E33)&lt;=0.05*MAX(ABS(D33),0.0001),"Aligned","Variance"))</f>
        <v>Aligned</v>
      </c>
      <c r="G33" s="31" t="n">
        <f aca="false">IF(SUMPRODUCT(MAX((Crosswalk!$O$2:$O$300="Total Debt / EBITDA|"&amp;PrimaryAgency)*(Crosswalk!$H$2:$H$300&lt;&gt;"")*(Crosswalk!$H$2:$H$300&lt;=$F$5)*((Crosswalk!$I$2:$I$300="")+(Crosswalk!$I$2:$I$300&gt;$F$5))*Crosswalk!$C$2:$C$300))=0,"",SUMPRODUCT(MAX((Crosswalk!$O$2:$O$300="Total Debt / EBITDA|"&amp;PrimaryAgency)*(Crosswalk!$H$2:$H$300&lt;&gt;"")*(Crosswalk!$H$2:$H$300&lt;=$F$5)*((Crosswalk!$I$2:$I$300="")+(Crosswalk!$I$2:$I$300&gt;$F$5))*Crosswalk!$C$2:$C$300)))</f>
        <v>6</v>
      </c>
      <c r="H33" s="27" t="str">
        <f aca="false">IF(OR(G33="",ISTEXT(C33),C33=""),"n/a",IF(C33&gt;G33,"Exception","Pass"))</f>
        <v>Pass</v>
      </c>
      <c r="J33" s="32"/>
    </row>
    <row r="34" customFormat="false" ht="15" hidden="false" customHeight="false" outlineLevel="0" collapsed="false">
      <c r="A34" s="17" t="s">
        <v>472</v>
      </c>
      <c r="B34" s="10" t="s">
        <v>473</v>
      </c>
      <c r="C34" s="29" t="n">
        <f aca="false">IF($C$13&lt;=0,"n/m",$C$20/$C$13)</f>
        <v>2.9</v>
      </c>
      <c r="D34" s="30" t="n">
        <v>2.9</v>
      </c>
      <c r="E34" s="29" t="n">
        <f aca="false">IF(OR(ISTEXT(C34),C34="",D34=""),"",C34-D34)</f>
        <v>0</v>
      </c>
      <c r="F34" s="27" t="str">
        <f aca="false">IF(E34="","",IF(ABS(E34)&lt;=0.05*MAX(ABS(D34),0.0001),"Aligned","Variance"))</f>
        <v>Aligned</v>
      </c>
      <c r="G34" s="31" t="n">
        <f aca="false">IF(SUMPRODUCT(MAX((Crosswalk!$O$2:$O$300="Senior Debt / EBITDA|"&amp;PrimaryAgency)*(Crosswalk!$H$2:$H$300&lt;&gt;"")*(Crosswalk!$H$2:$H$300&lt;=$F$5)*((Crosswalk!$I$2:$I$300="")+(Crosswalk!$I$2:$I$300&gt;$F$5))*Crosswalk!$C$2:$C$300))=0,"",SUMPRODUCT(MAX((Crosswalk!$O$2:$O$300="Senior Debt / EBITDA|"&amp;PrimaryAgency)*(Crosswalk!$H$2:$H$300&lt;&gt;"")*(Crosswalk!$H$2:$H$300&lt;=$F$5)*((Crosswalk!$I$2:$I$300="")+(Crosswalk!$I$2:$I$300&gt;$F$5))*Crosswalk!$C$2:$C$300)))</f>
        <v>3</v>
      </c>
      <c r="H34" s="27" t="str">
        <f aca="false">IF(OR(G34="",ISTEXT(C34),C34=""),"n/a",IF(C34&gt;G34,"Exception","Pass"))</f>
        <v>Pass</v>
      </c>
      <c r="J34" s="32"/>
    </row>
    <row r="35" customFormat="false" ht="15" hidden="false" customHeight="false" outlineLevel="0" collapsed="false">
      <c r="A35" s="17" t="s">
        <v>474</v>
      </c>
      <c r="B35" s="10" t="s">
        <v>475</v>
      </c>
      <c r="C35" s="33" t="n">
        <f aca="false">IF(($C$14+$C$15)=0,"n/m",($C$13-$C$16-$C$17-$C$18)/($C$14+$C$15))</f>
        <v>1.4200477326969</v>
      </c>
      <c r="D35" s="34" t="n">
        <v>1.42</v>
      </c>
      <c r="E35" s="33" t="n">
        <f aca="false">IF(OR(ISTEXT(C35),C35="",D35=""),"",C35-D35)</f>
        <v>4.77326968975067E-005</v>
      </c>
      <c r="F35" s="27" t="str">
        <f aca="false">IF(E35="","",IF(ABS(E35)&lt;=0.05*MAX(ABS(D35),0.0001),"Aligned","Variance"))</f>
        <v>Aligned</v>
      </c>
      <c r="G35" s="35" t="n">
        <f aca="false">IF(SUMPRODUCT(MAX((Crosswalk!$O$2:$O$300="Minimum DSCR|"&amp;"Internal")*(Crosswalk!$H$2:$H$300&lt;&gt;"")*(Crosswalk!$H$2:$H$300&lt;=$F$5)*((Crosswalk!$I$2:$I$300="")+(Crosswalk!$I$2:$I$300&gt;$F$5))*Crosswalk!$C$2:$C$300))=0,"",SUMPRODUCT(MAX((Crosswalk!$O$2:$O$300="Minimum DSCR|"&amp;"Internal")*(Crosswalk!$H$2:$H$300&lt;&gt;"")*(Crosswalk!$H$2:$H$300&lt;=$F$5)*((Crosswalk!$I$2:$I$300="")+(Crosswalk!$I$2:$I$300&gt;$F$5))*Crosswalk!$C$2:$C$300)))</f>
        <v>1.25</v>
      </c>
      <c r="H35" s="27" t="str">
        <f aca="false">IF(OR(G35="",ISTEXT(C35),C35=""),"n/a",IF(C35&lt;G35,"Exception","Pass"))</f>
        <v>Pass</v>
      </c>
      <c r="J35" s="32"/>
    </row>
    <row r="36" customFormat="false" ht="15" hidden="false" customHeight="false" outlineLevel="0" collapsed="false">
      <c r="A36" s="17" t="s">
        <v>476</v>
      </c>
      <c r="B36" s="10" t="s">
        <v>477</v>
      </c>
      <c r="C36" s="33" t="n">
        <f aca="false">IF(($C$14+$C$15)=0,"n/m",($C$13-$C$16-$C$18)/($C$14+$C$15))</f>
        <v>1.63484486873508</v>
      </c>
      <c r="D36" s="34" t="n">
        <v>1.25</v>
      </c>
      <c r="E36" s="33" t="n">
        <f aca="false">IF(OR(ISTEXT(C36),C36="",D36=""),"",C36-D36)</f>
        <v>0.384844868735084</v>
      </c>
      <c r="F36" s="27" t="str">
        <f aca="false">IF(E36="","",IF(ABS(E36)&lt;=0.05*MAX(ABS(D36),0.0001),"Aligned","Variance"))</f>
        <v>Variance</v>
      </c>
      <c r="G36" s="21"/>
      <c r="H36" s="36" t="s">
        <v>478</v>
      </c>
      <c r="J36" s="32"/>
    </row>
    <row r="37" customFormat="false" ht="15" hidden="false" customHeight="false" outlineLevel="0" collapsed="false">
      <c r="A37" s="17" t="s">
        <v>479</v>
      </c>
      <c r="B37" s="10" t="s">
        <v>480</v>
      </c>
      <c r="C37" s="29" t="n">
        <f aca="false">IF($C$14=0,"n/m",$C$13/$C$14)</f>
        <v>5.02941176470588</v>
      </c>
      <c r="D37" s="30" t="n">
        <v>3.6</v>
      </c>
      <c r="E37" s="29" t="n">
        <f aca="false">IF(OR(ISTEXT(C37),C37="",D37=""),"",C37-D37)</f>
        <v>1.42941176470588</v>
      </c>
      <c r="F37" s="27" t="str">
        <f aca="false">IF(E37="","",IF(ABS(E37)&lt;=0.05*MAX(ABS(D37),0.0001),"Aligned","Variance"))</f>
        <v>Variance</v>
      </c>
      <c r="G37" s="21"/>
      <c r="H37" s="36" t="s">
        <v>478</v>
      </c>
      <c r="J37" s="32"/>
    </row>
    <row r="38" customFormat="false" ht="15" hidden="false" customHeight="false" outlineLevel="0" collapsed="false">
      <c r="A38" s="17" t="s">
        <v>481</v>
      </c>
      <c r="B38" s="10" t="s">
        <v>482</v>
      </c>
      <c r="C38" s="33" t="n">
        <f aca="false">IF($C$22=0,"n/m",$C$21/$C$22)</f>
        <v>1.70027247956403</v>
      </c>
      <c r="D38" s="34" t="n">
        <v>1.7</v>
      </c>
      <c r="E38" s="33" t="n">
        <f aca="false">IF(OR(ISTEXT(C38),C38="",D38=""),"",C38-D38)</f>
        <v>0.000272479564032757</v>
      </c>
      <c r="F38" s="27" t="str">
        <f aca="false">IF(E38="","",IF(ABS(E38)&lt;=0.05*MAX(ABS(D38),0.0001),"Aligned","Variance"))</f>
        <v>Aligned</v>
      </c>
      <c r="G38" s="21"/>
      <c r="H38" s="36" t="s">
        <v>478</v>
      </c>
      <c r="J38" s="32"/>
    </row>
    <row r="39" customFormat="false" ht="15" hidden="false" customHeight="false" outlineLevel="0" collapsed="false">
      <c r="A39" s="17" t="s">
        <v>483</v>
      </c>
      <c r="B39" s="10" t="s">
        <v>484</v>
      </c>
      <c r="C39" s="37" t="n">
        <f aca="false">IF(OR($C$12=0,$C$26=0),"n/m",365*$C$23/$C$12+365*$C$24/$C$26-365*$C$25/$C$26)</f>
        <v>65.642607556235</v>
      </c>
      <c r="D39" s="38"/>
      <c r="E39" s="37" t="str">
        <f aca="false">IF(OR(ISTEXT(C39),C39="",D39=""),"",C39-D39)</f>
        <v/>
      </c>
      <c r="F39" s="27" t="str">
        <f aca="false">IF(E39="","",IF(ABS(E39)&lt;=0.05*MAX(ABS(D39),0.0001),"Aligned","Variance"))</f>
        <v/>
      </c>
      <c r="G39" s="21"/>
      <c r="H39" s="36" t="s">
        <v>478</v>
      </c>
      <c r="J39" s="32"/>
    </row>
    <row r="40" customFormat="false" ht="15" hidden="false" customHeight="false" outlineLevel="0" collapsed="false">
      <c r="A40" s="17" t="s">
        <v>485</v>
      </c>
      <c r="B40" s="10" t="s">
        <v>486</v>
      </c>
      <c r="C40" s="33" t="n">
        <f aca="false">IF($C$27&lt;=0,"n/m",$C$19/$C$27)</f>
        <v>2.24913494809689</v>
      </c>
      <c r="D40" s="34"/>
      <c r="E40" s="33" t="str">
        <f aca="false">IF(OR(ISTEXT(C40),C40="",D40=""),"",C40-D40)</f>
        <v/>
      </c>
      <c r="F40" s="27" t="str">
        <f aca="false">IF(E40="","",IF(ABS(E40)&lt;=0.05*MAX(ABS(D40),0.0001),"Aligned","Variance"))</f>
        <v/>
      </c>
      <c r="G40" s="21"/>
      <c r="H40" s="36" t="s">
        <v>478</v>
      </c>
      <c r="J40" s="32"/>
    </row>
    <row r="41" customFormat="false" ht="15" hidden="false" customHeight="false" outlineLevel="0" collapsed="false">
      <c r="A41" s="17" t="s">
        <v>487</v>
      </c>
      <c r="B41" s="10" t="s">
        <v>488</v>
      </c>
      <c r="C41" s="33" t="n">
        <f aca="false">IF(($C$14+$C$15+$C$29)=0,"n/m",($C$13-$C$16-$C$17-$C$18+$C$28)/($C$14+$C$15+$C$29))</f>
        <v>1.45879732739421</v>
      </c>
      <c r="D41" s="34" t="n">
        <v>1.55</v>
      </c>
      <c r="E41" s="33" t="n">
        <f aca="false">IF(OR(ISTEXT(C41),C41="",D41=""),"",C41-D41)</f>
        <v>-0.0912026726057906</v>
      </c>
      <c r="F41" s="27" t="str">
        <f aca="false">IF(E41="","",IF(ABS(E41)&lt;=0.05*MAX(ABS(D41),0.0001),"Aligned","Variance"))</f>
        <v>Variance</v>
      </c>
      <c r="G41" s="21"/>
      <c r="H41" s="36" t="s">
        <v>478</v>
      </c>
      <c r="J41" s="32"/>
    </row>
    <row r="43" customFormat="false" ht="16.5" hidden="false" customHeight="true" outlineLevel="0" collapsed="false">
      <c r="A43" s="4"/>
      <c r="B43" s="23" t="s">
        <v>489</v>
      </c>
      <c r="C43" s="24"/>
      <c r="D43" s="24"/>
      <c r="E43" s="24"/>
      <c r="F43" s="24"/>
      <c r="G43" s="24"/>
      <c r="H43" s="24"/>
      <c r="I43" s="24"/>
      <c r="J43" s="24"/>
    </row>
    <row r="44" customFormat="false" ht="21.75" hidden="false" customHeight="true" outlineLevel="0" collapsed="false">
      <c r="A44" s="28" t="s">
        <v>461</v>
      </c>
      <c r="B44" s="28" t="s">
        <v>490</v>
      </c>
      <c r="C44" s="28" t="s">
        <v>93</v>
      </c>
      <c r="D44" s="28" t="s">
        <v>491</v>
      </c>
      <c r="E44" s="28" t="s">
        <v>492</v>
      </c>
      <c r="F44" s="28"/>
      <c r="G44" s="28"/>
      <c r="H44" s="28"/>
      <c r="I44" s="28"/>
      <c r="J44" s="28" t="s">
        <v>493</v>
      </c>
    </row>
    <row r="45" customFormat="false" ht="25.5" hidden="false" customHeight="true" outlineLevel="0" collapsed="false">
      <c r="A45" s="39" t="s">
        <v>131</v>
      </c>
      <c r="B45" s="40" t="s">
        <v>134</v>
      </c>
      <c r="C45" s="41" t="s">
        <v>99</v>
      </c>
      <c r="D45" s="42" t="s">
        <v>16</v>
      </c>
      <c r="E45" s="43"/>
      <c r="F45" s="43"/>
      <c r="G45" s="43"/>
      <c r="H45" s="43"/>
      <c r="I45" s="43"/>
      <c r="J45" s="44" t="str">
        <f aca="false">IF(AND(D45="Obs",E45=""),"Note required",IF(AND(D45="No",E45=""),"Rationale required",""))</f>
        <v/>
      </c>
    </row>
    <row r="46" customFormat="false" ht="25.5" hidden="false" customHeight="true" outlineLevel="0" collapsed="false">
      <c r="A46" s="39" t="s">
        <v>135</v>
      </c>
      <c r="B46" s="40" t="s">
        <v>136</v>
      </c>
      <c r="C46" s="41" t="s">
        <v>99</v>
      </c>
      <c r="D46" s="42" t="s">
        <v>16</v>
      </c>
      <c r="E46" s="43"/>
      <c r="F46" s="43"/>
      <c r="G46" s="43"/>
      <c r="H46" s="43"/>
      <c r="I46" s="43"/>
      <c r="J46" s="44" t="str">
        <f aca="false">IF(AND(D46="Obs",E46=""),"Note required",IF(AND(D46="No",E46=""),"Rationale required",""))</f>
        <v/>
      </c>
    </row>
    <row r="47" customFormat="false" ht="25.5" hidden="false" customHeight="true" outlineLevel="0" collapsed="false">
      <c r="A47" s="39" t="s">
        <v>137</v>
      </c>
      <c r="B47" s="40" t="s">
        <v>138</v>
      </c>
      <c r="C47" s="41" t="s">
        <v>105</v>
      </c>
      <c r="D47" s="42" t="s">
        <v>20</v>
      </c>
      <c r="E47" s="43"/>
      <c r="F47" s="43"/>
      <c r="G47" s="43"/>
      <c r="H47" s="43"/>
      <c r="I47" s="43"/>
      <c r="J47" s="44" t="str">
        <f aca="false">IF(AND(D47="Obs",E47=""),"Note required",IF(AND(D47="No",E47=""),"Rationale required",""))</f>
        <v/>
      </c>
    </row>
    <row r="48" customFormat="false" ht="16.5" hidden="false" customHeight="true" outlineLevel="0" collapsed="false">
      <c r="A48" s="4"/>
      <c r="B48" s="23" t="s">
        <v>494</v>
      </c>
      <c r="C48" s="24"/>
      <c r="D48" s="24"/>
      <c r="E48" s="24"/>
      <c r="F48" s="24"/>
      <c r="G48" s="24"/>
      <c r="H48" s="24"/>
      <c r="I48" s="24"/>
      <c r="J48" s="24"/>
    </row>
    <row r="49" customFormat="false" ht="21.75" hidden="false" customHeight="true" outlineLevel="0" collapsed="false">
      <c r="A49" s="28" t="s">
        <v>461</v>
      </c>
      <c r="B49" s="28" t="s">
        <v>490</v>
      </c>
      <c r="C49" s="28" t="s">
        <v>93</v>
      </c>
      <c r="D49" s="28" t="s">
        <v>491</v>
      </c>
      <c r="E49" s="28" t="s">
        <v>492</v>
      </c>
      <c r="F49" s="28"/>
      <c r="G49" s="28"/>
      <c r="H49" s="28"/>
      <c r="I49" s="28"/>
      <c r="J49" s="28" t="s">
        <v>493</v>
      </c>
    </row>
    <row r="50" customFormat="false" ht="25.5" hidden="false" customHeight="true" outlineLevel="0" collapsed="false">
      <c r="A50" s="39" t="s">
        <v>139</v>
      </c>
      <c r="B50" s="40" t="s">
        <v>141</v>
      </c>
      <c r="C50" s="41" t="s">
        <v>99</v>
      </c>
      <c r="D50" s="42" t="s">
        <v>16</v>
      </c>
      <c r="E50" s="43"/>
      <c r="F50" s="43"/>
      <c r="G50" s="43"/>
      <c r="H50" s="43"/>
      <c r="I50" s="43"/>
      <c r="J50" s="44" t="str">
        <f aca="false">IF(AND(D50="Obs",E50=""),"Note required",IF(AND(D50="No",E50=""),"Rationale required",""))</f>
        <v/>
      </c>
    </row>
    <row r="51" customFormat="false" ht="25.5" hidden="false" customHeight="true" outlineLevel="0" collapsed="false">
      <c r="A51" s="39" t="s">
        <v>142</v>
      </c>
      <c r="B51" s="40" t="s">
        <v>143</v>
      </c>
      <c r="C51" s="41" t="s">
        <v>105</v>
      </c>
      <c r="D51" s="42" t="s">
        <v>16</v>
      </c>
      <c r="E51" s="43"/>
      <c r="F51" s="43"/>
      <c r="G51" s="43"/>
      <c r="H51" s="43"/>
      <c r="I51" s="43"/>
      <c r="J51" s="44" t="str">
        <f aca="false">IF(AND(D51="Obs",E51=""),"Note required",IF(AND(D51="No",E51=""),"Rationale required",""))</f>
        <v/>
      </c>
    </row>
    <row r="52" customFormat="false" ht="25.5" hidden="false" customHeight="true" outlineLevel="0" collapsed="false">
      <c r="A52" s="39" t="s">
        <v>144</v>
      </c>
      <c r="B52" s="40" t="s">
        <v>145</v>
      </c>
      <c r="C52" s="41" t="s">
        <v>99</v>
      </c>
      <c r="D52" s="42" t="s">
        <v>16</v>
      </c>
      <c r="E52" s="43"/>
      <c r="F52" s="43"/>
      <c r="G52" s="43"/>
      <c r="H52" s="43"/>
      <c r="I52" s="43"/>
      <c r="J52" s="44" t="str">
        <f aca="false">IF(AND(D52="Obs",E52=""),"Note required",IF(AND(D52="No",E52=""),"Rationale required",""))</f>
        <v/>
      </c>
    </row>
    <row r="53" customFormat="false" ht="16.5" hidden="false" customHeight="true" outlineLevel="0" collapsed="false">
      <c r="A53" s="4"/>
      <c r="B53" s="23" t="s">
        <v>495</v>
      </c>
      <c r="C53" s="24"/>
      <c r="D53" s="24"/>
      <c r="E53" s="24"/>
      <c r="F53" s="24"/>
      <c r="G53" s="24"/>
      <c r="H53" s="24"/>
      <c r="I53" s="24"/>
      <c r="J53" s="24"/>
    </row>
    <row r="54" customFormat="false" ht="21.75" hidden="false" customHeight="true" outlineLevel="0" collapsed="false">
      <c r="A54" s="28" t="s">
        <v>461</v>
      </c>
      <c r="B54" s="28" t="s">
        <v>490</v>
      </c>
      <c r="C54" s="28" t="s">
        <v>93</v>
      </c>
      <c r="D54" s="28" t="s">
        <v>491</v>
      </c>
      <c r="E54" s="28" t="s">
        <v>492</v>
      </c>
      <c r="F54" s="28"/>
      <c r="G54" s="28"/>
      <c r="H54" s="28"/>
      <c r="I54" s="28"/>
      <c r="J54" s="28" t="s">
        <v>493</v>
      </c>
    </row>
    <row r="55" customFormat="false" ht="25.5" hidden="false" customHeight="true" outlineLevel="0" collapsed="false">
      <c r="A55" s="39" t="s">
        <v>146</v>
      </c>
      <c r="B55" s="40" t="s">
        <v>148</v>
      </c>
      <c r="C55" s="41" t="s">
        <v>99</v>
      </c>
      <c r="D55" s="42" t="s">
        <v>16</v>
      </c>
      <c r="E55" s="43"/>
      <c r="F55" s="43"/>
      <c r="G55" s="43"/>
      <c r="H55" s="43"/>
      <c r="I55" s="43"/>
      <c r="J55" s="44" t="str">
        <f aca="false">IF(AND(D55="Obs",E55=""),"Note required",IF(AND(D55="No",E55=""),"Rationale required",""))</f>
        <v/>
      </c>
    </row>
    <row r="56" customFormat="false" ht="25.5" hidden="false" customHeight="true" outlineLevel="0" collapsed="false">
      <c r="A56" s="39" t="s">
        <v>149</v>
      </c>
      <c r="B56" s="40" t="s">
        <v>150</v>
      </c>
      <c r="C56" s="41" t="s">
        <v>105</v>
      </c>
      <c r="D56" s="42" t="s">
        <v>16</v>
      </c>
      <c r="E56" s="43"/>
      <c r="F56" s="43"/>
      <c r="G56" s="43"/>
      <c r="H56" s="43"/>
      <c r="I56" s="43"/>
      <c r="J56" s="44" t="str">
        <f aca="false">IF(AND(D56="Obs",E56=""),"Note required",IF(AND(D56="No",E56=""),"Rationale required",""))</f>
        <v/>
      </c>
    </row>
    <row r="57" customFormat="false" ht="25.5" hidden="false" customHeight="true" outlineLevel="0" collapsed="false">
      <c r="A57" s="39" t="s">
        <v>151</v>
      </c>
      <c r="B57" s="40" t="s">
        <v>152</v>
      </c>
      <c r="C57" s="41" t="s">
        <v>99</v>
      </c>
      <c r="D57" s="42" t="s">
        <v>18</v>
      </c>
      <c r="E57" s="43" t="s">
        <v>496</v>
      </c>
      <c r="F57" s="43"/>
      <c r="G57" s="43"/>
      <c r="H57" s="43"/>
      <c r="I57" s="43"/>
      <c r="J57" s="44" t="str">
        <f aca="false">IF(AND(D57="Obs",E57=""),"Note required",IF(AND(D57="No",E57=""),"Rationale required",""))</f>
        <v/>
      </c>
    </row>
    <row r="58" customFormat="false" ht="16.5" hidden="false" customHeight="true" outlineLevel="0" collapsed="false">
      <c r="A58" s="4"/>
      <c r="B58" s="23" t="s">
        <v>497</v>
      </c>
      <c r="C58" s="24"/>
      <c r="D58" s="24"/>
      <c r="E58" s="24"/>
      <c r="F58" s="24"/>
      <c r="G58" s="24"/>
      <c r="H58" s="24"/>
      <c r="I58" s="24"/>
      <c r="J58" s="24"/>
    </row>
    <row r="59" customFormat="false" ht="21.75" hidden="false" customHeight="true" outlineLevel="0" collapsed="false">
      <c r="A59" s="28" t="s">
        <v>461</v>
      </c>
      <c r="B59" s="28" t="s">
        <v>490</v>
      </c>
      <c r="C59" s="28" t="s">
        <v>93</v>
      </c>
      <c r="D59" s="28" t="s">
        <v>491</v>
      </c>
      <c r="E59" s="28" t="s">
        <v>492</v>
      </c>
      <c r="F59" s="28"/>
      <c r="G59" s="28"/>
      <c r="H59" s="28"/>
      <c r="I59" s="28"/>
      <c r="J59" s="28" t="s">
        <v>493</v>
      </c>
    </row>
    <row r="60" customFormat="false" ht="25.5" hidden="false" customHeight="true" outlineLevel="0" collapsed="false">
      <c r="A60" s="39" t="s">
        <v>153</v>
      </c>
      <c r="B60" s="40" t="s">
        <v>155</v>
      </c>
      <c r="C60" s="41" t="s">
        <v>105</v>
      </c>
      <c r="D60" s="42" t="s">
        <v>20</v>
      </c>
      <c r="E60" s="43"/>
      <c r="F60" s="43"/>
      <c r="G60" s="43"/>
      <c r="H60" s="43"/>
      <c r="I60" s="43"/>
      <c r="J60" s="44" t="str">
        <f aca="false">IF(AND(D60="Obs",E60=""),"Note required",IF(AND(D60="No",E60=""),"Rationale required",""))</f>
        <v/>
      </c>
    </row>
    <row r="61" customFormat="false" ht="25.5" hidden="false" customHeight="true" outlineLevel="0" collapsed="false">
      <c r="A61" s="39" t="s">
        <v>156</v>
      </c>
      <c r="B61" s="40" t="s">
        <v>157</v>
      </c>
      <c r="C61" s="41" t="s">
        <v>105</v>
      </c>
      <c r="D61" s="42" t="s">
        <v>16</v>
      </c>
      <c r="E61" s="43"/>
      <c r="F61" s="43"/>
      <c r="G61" s="43"/>
      <c r="H61" s="43"/>
      <c r="I61" s="43"/>
      <c r="J61" s="44" t="str">
        <f aca="false">IF(AND(D61="Obs",E61=""),"Note required",IF(AND(D61="No",E61=""),"Rationale required",""))</f>
        <v/>
      </c>
    </row>
    <row r="62" customFormat="false" ht="16.5" hidden="false" customHeight="true" outlineLevel="0" collapsed="false">
      <c r="A62" s="4"/>
      <c r="B62" s="23" t="s">
        <v>498</v>
      </c>
      <c r="C62" s="24"/>
      <c r="D62" s="24"/>
      <c r="E62" s="24"/>
      <c r="F62" s="24"/>
      <c r="G62" s="24"/>
      <c r="H62" s="24"/>
      <c r="I62" s="24"/>
      <c r="J62" s="24"/>
    </row>
    <row r="63" customFormat="false" ht="21.75" hidden="false" customHeight="true" outlineLevel="0" collapsed="false">
      <c r="A63" s="28" t="s">
        <v>461</v>
      </c>
      <c r="B63" s="28" t="s">
        <v>490</v>
      </c>
      <c r="C63" s="28" t="s">
        <v>93</v>
      </c>
      <c r="D63" s="28" t="s">
        <v>491</v>
      </c>
      <c r="E63" s="28" t="s">
        <v>492</v>
      </c>
      <c r="F63" s="28"/>
      <c r="G63" s="28"/>
      <c r="H63" s="28"/>
      <c r="I63" s="28"/>
      <c r="J63" s="28" t="s">
        <v>493</v>
      </c>
    </row>
    <row r="64" customFormat="false" ht="25.5" hidden="false" customHeight="true" outlineLevel="0" collapsed="false">
      <c r="A64" s="39" t="s">
        <v>158</v>
      </c>
      <c r="B64" s="40" t="s">
        <v>160</v>
      </c>
      <c r="C64" s="41" t="s">
        <v>99</v>
      </c>
      <c r="D64" s="42" t="s">
        <v>16</v>
      </c>
      <c r="E64" s="43"/>
      <c r="F64" s="43"/>
      <c r="G64" s="43"/>
      <c r="H64" s="43"/>
      <c r="I64" s="43"/>
      <c r="J64" s="44" t="str">
        <f aca="false">IF(AND(D64="Obs",E64=""),"Note required",IF(AND(D64="No",E64=""),"Rationale required",""))</f>
        <v/>
      </c>
    </row>
    <row r="65" customFormat="false" ht="25.5" hidden="false" customHeight="true" outlineLevel="0" collapsed="false">
      <c r="A65" s="39" t="s">
        <v>161</v>
      </c>
      <c r="B65" s="40" t="s">
        <v>162</v>
      </c>
      <c r="C65" s="41" t="s">
        <v>99</v>
      </c>
      <c r="D65" s="42" t="s">
        <v>16</v>
      </c>
      <c r="E65" s="43"/>
      <c r="F65" s="43"/>
      <c r="G65" s="43"/>
      <c r="H65" s="43"/>
      <c r="I65" s="43"/>
      <c r="J65" s="44" t="str">
        <f aca="false">IF(AND(D65="Obs",E65=""),"Note required",IF(AND(D65="No",E65=""),"Rationale required",""))</f>
        <v/>
      </c>
    </row>
    <row r="66" customFormat="false" ht="25.5" hidden="false" customHeight="true" outlineLevel="0" collapsed="false">
      <c r="A66" s="39" t="s">
        <v>163</v>
      </c>
      <c r="B66" s="40" t="s">
        <v>164</v>
      </c>
      <c r="C66" s="41" t="s">
        <v>110</v>
      </c>
      <c r="D66" s="42" t="s">
        <v>18</v>
      </c>
      <c r="E66" s="43" t="s">
        <v>496</v>
      </c>
      <c r="F66" s="43"/>
      <c r="G66" s="43"/>
      <c r="H66" s="43"/>
      <c r="I66" s="43"/>
      <c r="J66" s="44" t="str">
        <f aca="false">IF(AND(D66="Obs",E66=""),"Note required",IF(AND(D66="No",E66=""),"Rationale required",""))</f>
        <v/>
      </c>
    </row>
    <row r="67" customFormat="false" ht="16.5" hidden="false" customHeight="true" outlineLevel="0" collapsed="false">
      <c r="A67" s="4"/>
      <c r="B67" s="23" t="s">
        <v>499</v>
      </c>
      <c r="C67" s="24"/>
      <c r="D67" s="24"/>
      <c r="E67" s="24"/>
      <c r="F67" s="24"/>
      <c r="G67" s="24"/>
      <c r="H67" s="24"/>
      <c r="I67" s="24"/>
      <c r="J67" s="24"/>
    </row>
    <row r="68" customFormat="false" ht="21.75" hidden="false" customHeight="true" outlineLevel="0" collapsed="false">
      <c r="A68" s="28" t="s">
        <v>461</v>
      </c>
      <c r="B68" s="28" t="s">
        <v>490</v>
      </c>
      <c r="C68" s="28" t="s">
        <v>93</v>
      </c>
      <c r="D68" s="28" t="s">
        <v>491</v>
      </c>
      <c r="E68" s="28" t="s">
        <v>492</v>
      </c>
      <c r="F68" s="28"/>
      <c r="G68" s="28"/>
      <c r="H68" s="28"/>
      <c r="I68" s="28"/>
      <c r="J68" s="28" t="s">
        <v>493</v>
      </c>
    </row>
    <row r="69" customFormat="false" ht="25.5" hidden="false" customHeight="true" outlineLevel="0" collapsed="false">
      <c r="A69" s="39" t="s">
        <v>165</v>
      </c>
      <c r="B69" s="40" t="s">
        <v>167</v>
      </c>
      <c r="C69" s="41" t="s">
        <v>99</v>
      </c>
      <c r="D69" s="42" t="s">
        <v>16</v>
      </c>
      <c r="E69" s="43"/>
      <c r="F69" s="43"/>
      <c r="G69" s="43"/>
      <c r="H69" s="43"/>
      <c r="I69" s="43"/>
      <c r="J69" s="44" t="str">
        <f aca="false">IF(AND(D69="Obs",E69=""),"Note required",IF(AND(D69="No",E69=""),"Rationale required",""))</f>
        <v/>
      </c>
    </row>
    <row r="70" customFormat="false" ht="25.5" hidden="false" customHeight="true" outlineLevel="0" collapsed="false">
      <c r="A70" s="39" t="s">
        <v>168</v>
      </c>
      <c r="B70" s="40" t="s">
        <v>169</v>
      </c>
      <c r="C70" s="41" t="s">
        <v>105</v>
      </c>
      <c r="D70" s="42" t="s">
        <v>16</v>
      </c>
      <c r="E70" s="43"/>
      <c r="F70" s="43"/>
      <c r="G70" s="43"/>
      <c r="H70" s="43"/>
      <c r="I70" s="43"/>
      <c r="J70" s="44" t="str">
        <f aca="false">IF(AND(D70="Obs",E70=""),"Note required",IF(AND(D70="No",E70=""),"Rationale required",""))</f>
        <v/>
      </c>
    </row>
    <row r="71" customFormat="false" ht="16.5" hidden="false" customHeight="true" outlineLevel="0" collapsed="false">
      <c r="A71" s="4"/>
      <c r="B71" s="23" t="s">
        <v>500</v>
      </c>
      <c r="C71" s="24"/>
      <c r="D71" s="24"/>
      <c r="E71" s="24"/>
      <c r="F71" s="24"/>
      <c r="G71" s="24"/>
      <c r="H71" s="24"/>
      <c r="I71" s="24"/>
      <c r="J71" s="24"/>
    </row>
    <row r="72" customFormat="false" ht="21.75" hidden="false" customHeight="true" outlineLevel="0" collapsed="false">
      <c r="A72" s="28" t="s">
        <v>461</v>
      </c>
      <c r="B72" s="28" t="s">
        <v>490</v>
      </c>
      <c r="C72" s="28" t="s">
        <v>93</v>
      </c>
      <c r="D72" s="28" t="s">
        <v>491</v>
      </c>
      <c r="E72" s="28" t="s">
        <v>492</v>
      </c>
      <c r="F72" s="28"/>
      <c r="G72" s="28"/>
      <c r="H72" s="28"/>
      <c r="I72" s="28"/>
      <c r="J72" s="28" t="s">
        <v>493</v>
      </c>
    </row>
    <row r="73" customFormat="false" ht="25.5" hidden="false" customHeight="true" outlineLevel="0" collapsed="false">
      <c r="A73" s="39" t="s">
        <v>170</v>
      </c>
      <c r="B73" s="40" t="s">
        <v>172</v>
      </c>
      <c r="C73" s="41" t="s">
        <v>105</v>
      </c>
      <c r="D73" s="42" t="s">
        <v>16</v>
      </c>
      <c r="E73" s="43"/>
      <c r="F73" s="43"/>
      <c r="G73" s="43"/>
      <c r="H73" s="43"/>
      <c r="I73" s="43"/>
      <c r="J73" s="44" t="str">
        <f aca="false">IF(AND(D73="Obs",E73=""),"Note required",IF(AND(D73="No",E73=""),"Rationale required",""))</f>
        <v/>
      </c>
    </row>
    <row r="74" customFormat="false" ht="25.5" hidden="false" customHeight="true" outlineLevel="0" collapsed="false">
      <c r="A74" s="39" t="s">
        <v>173</v>
      </c>
      <c r="B74" s="40" t="s">
        <v>174</v>
      </c>
      <c r="C74" s="41" t="s">
        <v>99</v>
      </c>
      <c r="D74" s="42" t="s">
        <v>16</v>
      </c>
      <c r="E74" s="43"/>
      <c r="F74" s="43"/>
      <c r="G74" s="43"/>
      <c r="H74" s="43"/>
      <c r="I74" s="43"/>
      <c r="J74" s="44" t="str">
        <f aca="false">IF(AND(D74="Obs",E74=""),"Note required",IF(AND(D74="No",E74=""),"Rationale required",""))</f>
        <v/>
      </c>
    </row>
    <row r="75" customFormat="false" ht="16.5" hidden="false" customHeight="true" outlineLevel="0" collapsed="false">
      <c r="A75" s="4"/>
      <c r="B75" s="23" t="s">
        <v>501</v>
      </c>
      <c r="C75" s="24"/>
      <c r="D75" s="24"/>
      <c r="E75" s="24"/>
      <c r="F75" s="24"/>
      <c r="G75" s="24"/>
      <c r="H75" s="24"/>
      <c r="I75" s="24"/>
      <c r="J75" s="24"/>
    </row>
    <row r="76" customFormat="false" ht="21.75" hidden="false" customHeight="true" outlineLevel="0" collapsed="false">
      <c r="A76" s="28" t="s">
        <v>461</v>
      </c>
      <c r="B76" s="28" t="s">
        <v>490</v>
      </c>
      <c r="C76" s="28" t="s">
        <v>93</v>
      </c>
      <c r="D76" s="28" t="s">
        <v>491</v>
      </c>
      <c r="E76" s="28" t="s">
        <v>492</v>
      </c>
      <c r="F76" s="28"/>
      <c r="G76" s="28"/>
      <c r="H76" s="28"/>
      <c r="I76" s="28"/>
      <c r="J76" s="28" t="s">
        <v>493</v>
      </c>
    </row>
    <row r="77" customFormat="false" ht="25.5" hidden="false" customHeight="true" outlineLevel="0" collapsed="false">
      <c r="A77" s="39" t="s">
        <v>175</v>
      </c>
      <c r="B77" s="40" t="s">
        <v>177</v>
      </c>
      <c r="C77" s="41" t="s">
        <v>105</v>
      </c>
      <c r="D77" s="42" t="s">
        <v>16</v>
      </c>
      <c r="E77" s="43"/>
      <c r="F77" s="43"/>
      <c r="G77" s="43"/>
      <c r="H77" s="43"/>
      <c r="I77" s="43"/>
      <c r="J77" s="44" t="str">
        <f aca="false">IF(AND(D77="Obs",E77=""),"Note required",IF(AND(D77="No",E77=""),"Rationale required",""))</f>
        <v/>
      </c>
    </row>
    <row r="78" customFormat="false" ht="25.5" hidden="false" customHeight="true" outlineLevel="0" collapsed="false">
      <c r="A78" s="39" t="s">
        <v>178</v>
      </c>
      <c r="B78" s="40" t="s">
        <v>179</v>
      </c>
      <c r="C78" s="41" t="s">
        <v>105</v>
      </c>
      <c r="D78" s="42" t="s">
        <v>20</v>
      </c>
      <c r="E78" s="43"/>
      <c r="F78" s="43"/>
      <c r="G78" s="43"/>
      <c r="H78" s="43"/>
      <c r="I78" s="43"/>
      <c r="J78" s="44" t="str">
        <f aca="false">IF(AND(D78="Obs",E78=""),"Note required",IF(AND(D78="No",E78=""),"Rationale required",""))</f>
        <v/>
      </c>
    </row>
    <row r="79" customFormat="false" ht="16.5" hidden="false" customHeight="true" outlineLevel="0" collapsed="false">
      <c r="A79" s="4"/>
      <c r="B79" s="23" t="s">
        <v>502</v>
      </c>
      <c r="C79" s="24"/>
      <c r="D79" s="24"/>
      <c r="E79" s="24"/>
      <c r="F79" s="24"/>
      <c r="G79" s="24"/>
      <c r="H79" s="24"/>
      <c r="I79" s="24"/>
      <c r="J79" s="24"/>
    </row>
    <row r="80" customFormat="false" ht="21.75" hidden="false" customHeight="true" outlineLevel="0" collapsed="false">
      <c r="A80" s="28" t="s">
        <v>461</v>
      </c>
      <c r="B80" s="28" t="s">
        <v>490</v>
      </c>
      <c r="C80" s="28" t="s">
        <v>93</v>
      </c>
      <c r="D80" s="28" t="s">
        <v>491</v>
      </c>
      <c r="E80" s="28" t="s">
        <v>492</v>
      </c>
      <c r="F80" s="28"/>
      <c r="G80" s="28"/>
      <c r="H80" s="28"/>
      <c r="I80" s="28"/>
      <c r="J80" s="28" t="s">
        <v>493</v>
      </c>
    </row>
    <row r="81" customFormat="false" ht="25.5" hidden="false" customHeight="true" outlineLevel="0" collapsed="false">
      <c r="A81" s="39" t="s">
        <v>180</v>
      </c>
      <c r="B81" s="40" t="s">
        <v>182</v>
      </c>
      <c r="C81" s="41" t="s">
        <v>105</v>
      </c>
      <c r="D81" s="42" t="s">
        <v>16</v>
      </c>
      <c r="E81" s="43"/>
      <c r="F81" s="43"/>
      <c r="G81" s="43"/>
      <c r="H81" s="43"/>
      <c r="I81" s="43"/>
      <c r="J81" s="44" t="str">
        <f aca="false">IF(AND(D81="Obs",E81=""),"Note required",IF(AND(D81="No",E81=""),"Rationale required",""))</f>
        <v/>
      </c>
    </row>
    <row r="82" customFormat="false" ht="25.5" hidden="false" customHeight="true" outlineLevel="0" collapsed="false">
      <c r="A82" s="39" t="s">
        <v>183</v>
      </c>
      <c r="B82" s="40" t="s">
        <v>184</v>
      </c>
      <c r="C82" s="41" t="s">
        <v>99</v>
      </c>
      <c r="D82" s="42" t="s">
        <v>16</v>
      </c>
      <c r="E82" s="43"/>
      <c r="F82" s="43"/>
      <c r="G82" s="43"/>
      <c r="H82" s="43"/>
      <c r="I82" s="43"/>
      <c r="J82" s="44" t="str">
        <f aca="false">IF(AND(D82="Obs",E82=""),"Note required",IF(AND(D82="No",E82=""),"Rationale required",""))</f>
        <v/>
      </c>
    </row>
    <row r="83" customFormat="false" ht="25.5" hidden="false" customHeight="true" outlineLevel="0" collapsed="false">
      <c r="A83" s="39" t="s">
        <v>185</v>
      </c>
      <c r="B83" s="40" t="s">
        <v>186</v>
      </c>
      <c r="C83" s="41" t="s">
        <v>105</v>
      </c>
      <c r="D83" s="42" t="s">
        <v>16</v>
      </c>
      <c r="E83" s="43"/>
      <c r="F83" s="43"/>
      <c r="G83" s="43"/>
      <c r="H83" s="43"/>
      <c r="I83" s="43"/>
      <c r="J83" s="44" t="str">
        <f aca="false">IF(AND(D83="Obs",E83=""),"Note required",IF(AND(D83="No",E83=""),"Rationale required",""))</f>
        <v/>
      </c>
    </row>
    <row r="84" customFormat="false" ht="25.5" hidden="false" customHeight="true" outlineLevel="0" collapsed="false">
      <c r="A84" s="39" t="s">
        <v>187</v>
      </c>
      <c r="B84" s="40" t="s">
        <v>188</v>
      </c>
      <c r="C84" s="41" t="s">
        <v>105</v>
      </c>
      <c r="D84" s="42" t="s">
        <v>16</v>
      </c>
      <c r="E84" s="43"/>
      <c r="F84" s="43"/>
      <c r="G84" s="43"/>
      <c r="H84" s="43"/>
      <c r="I84" s="43"/>
      <c r="J84" s="44" t="str">
        <f aca="false">IF(AND(D84="Obs",E84=""),"Note required",IF(AND(D84="No",E84=""),"Rationale required",""))</f>
        <v/>
      </c>
    </row>
    <row r="85" customFormat="false" ht="25.5" hidden="false" customHeight="true" outlineLevel="0" collapsed="false">
      <c r="A85" s="39" t="s">
        <v>189</v>
      </c>
      <c r="B85" s="40" t="s">
        <v>190</v>
      </c>
      <c r="C85" s="41" t="s">
        <v>110</v>
      </c>
      <c r="D85" s="42" t="s">
        <v>20</v>
      </c>
      <c r="E85" s="43"/>
      <c r="F85" s="43"/>
      <c r="G85" s="43"/>
      <c r="H85" s="43"/>
      <c r="I85" s="43"/>
      <c r="J85" s="44" t="str">
        <f aca="false">IF(AND(D85="Obs",E85=""),"Note required",IF(AND(D85="No",E85=""),"Rationale required",""))</f>
        <v/>
      </c>
    </row>
    <row r="86" customFormat="false" ht="16.5" hidden="false" customHeight="true" outlineLevel="0" collapsed="false">
      <c r="A86" s="4"/>
      <c r="B86" s="23" t="s">
        <v>503</v>
      </c>
      <c r="C86" s="24"/>
      <c r="D86" s="24"/>
      <c r="E86" s="24"/>
      <c r="F86" s="24"/>
      <c r="G86" s="24"/>
      <c r="H86" s="24"/>
      <c r="I86" s="24"/>
      <c r="J86" s="24"/>
    </row>
    <row r="87" customFormat="false" ht="21.75" hidden="false" customHeight="true" outlineLevel="0" collapsed="false">
      <c r="A87" s="28" t="s">
        <v>461</v>
      </c>
      <c r="B87" s="28" t="s">
        <v>490</v>
      </c>
      <c r="C87" s="28" t="s">
        <v>93</v>
      </c>
      <c r="D87" s="28" t="s">
        <v>491</v>
      </c>
      <c r="E87" s="28" t="s">
        <v>492</v>
      </c>
      <c r="F87" s="28"/>
      <c r="G87" s="28"/>
      <c r="H87" s="28"/>
      <c r="I87" s="28"/>
      <c r="J87" s="28" t="s">
        <v>493</v>
      </c>
    </row>
    <row r="88" customFormat="false" ht="25.5" hidden="false" customHeight="true" outlineLevel="0" collapsed="false">
      <c r="A88" s="39" t="s">
        <v>191</v>
      </c>
      <c r="B88" s="40" t="s">
        <v>193</v>
      </c>
      <c r="C88" s="41" t="s">
        <v>99</v>
      </c>
      <c r="D88" s="42" t="s">
        <v>16</v>
      </c>
      <c r="E88" s="43"/>
      <c r="F88" s="43"/>
      <c r="G88" s="43"/>
      <c r="H88" s="43"/>
      <c r="I88" s="43"/>
      <c r="J88" s="44" t="str">
        <f aca="false">IF(AND(D88="Obs",E88=""),"Note required",IF(AND(D88="No",E88=""),"Rationale required",""))</f>
        <v/>
      </c>
    </row>
    <row r="89" customFormat="false" ht="25.5" hidden="false" customHeight="true" outlineLevel="0" collapsed="false">
      <c r="A89" s="39" t="s">
        <v>194</v>
      </c>
      <c r="B89" s="40" t="s">
        <v>195</v>
      </c>
      <c r="C89" s="41" t="s">
        <v>105</v>
      </c>
      <c r="D89" s="42" t="s">
        <v>16</v>
      </c>
      <c r="E89" s="43"/>
      <c r="F89" s="43"/>
      <c r="G89" s="43"/>
      <c r="H89" s="43"/>
      <c r="I89" s="43"/>
      <c r="J89" s="44" t="str">
        <f aca="false">IF(AND(D89="Obs",E89=""),"Note required",IF(AND(D89="No",E89=""),"Rationale required",""))</f>
        <v/>
      </c>
    </row>
    <row r="91" customFormat="false" ht="16.5" hidden="false" customHeight="true" outlineLevel="0" collapsed="false">
      <c r="A91" s="4"/>
      <c r="B91" s="23" t="s">
        <v>504</v>
      </c>
      <c r="C91" s="24"/>
      <c r="D91" s="24"/>
      <c r="E91" s="24"/>
      <c r="F91" s="24"/>
      <c r="G91" s="24"/>
      <c r="H91" s="24"/>
      <c r="I91" s="24"/>
      <c r="J91" s="24"/>
    </row>
    <row r="92" customFormat="false" ht="15" hidden="false" customHeight="false" outlineLevel="0" collapsed="false">
      <c r="B92" s="7" t="s">
        <v>505</v>
      </c>
      <c r="C92" s="45" t="n">
        <f aca="false">27</f>
        <v>27</v>
      </c>
    </row>
    <row r="93" customFormat="false" ht="15" hidden="false" customHeight="false" outlineLevel="0" collapsed="false">
      <c r="B93" s="7" t="s">
        <v>506</v>
      </c>
      <c r="C93" s="45" t="n">
        <f aca="false">COUNTIF(D45:D89,"Yes")+COUNTIF(D45:D89,"No")+COUNTIF(D45:D89,"N/A")+COUNTIF(D45:D89,"Obs")</f>
        <v>27</v>
      </c>
    </row>
    <row r="94" customFormat="false" ht="15" hidden="false" customHeight="false" outlineLevel="0" collapsed="false">
      <c r="B94" s="7" t="s">
        <v>507</v>
      </c>
      <c r="C94" s="46" t="n">
        <f aca="false">IF(C92=0,"",C93/C92)</f>
        <v>1</v>
      </c>
    </row>
    <row r="95" customFormat="false" ht="15" hidden="false" customHeight="false" outlineLevel="0" collapsed="false">
      <c r="B95" s="7" t="s">
        <v>508</v>
      </c>
      <c r="C95" s="45" t="n">
        <f aca="false">C93-COUNTIF(D45:D89,"N/A")</f>
        <v>23</v>
      </c>
    </row>
    <row r="96" customFormat="false" ht="15" hidden="false" customHeight="false" outlineLevel="0" collapsed="false">
      <c r="B96" s="7" t="s">
        <v>509</v>
      </c>
      <c r="C96" s="45" t="n">
        <f aca="false">COUNTIF(D45:D89,"No")</f>
        <v>2</v>
      </c>
    </row>
    <row r="97" customFormat="false" ht="15" hidden="false" customHeight="false" outlineLevel="0" collapsed="false">
      <c r="B97" s="7" t="s">
        <v>510</v>
      </c>
      <c r="C97" s="45" t="n">
        <f aca="false">COUNTIF(D45:D89,"Obs")</f>
        <v>0</v>
      </c>
    </row>
    <row r="98" customFormat="false" ht="15" hidden="false" customHeight="false" outlineLevel="0" collapsed="false">
      <c r="B98" s="7" t="s">
        <v>511</v>
      </c>
      <c r="C98" s="46" t="n">
        <f aca="false">IF(C95=0,"",C96/C95)</f>
        <v>0.0869565217391304</v>
      </c>
    </row>
    <row r="99" customFormat="false" ht="15" hidden="false" customHeight="false" outlineLevel="0" collapsed="false">
      <c r="B99" s="7" t="s">
        <v>512</v>
      </c>
      <c r="C99" s="45" t="n">
        <f aca="false">COUNTIF(J45:J89,"*required*")</f>
        <v>0</v>
      </c>
    </row>
    <row r="101" customFormat="false" ht="15" hidden="false" customHeight="false" outlineLevel="0" collapsed="false">
      <c r="B101" s="7" t="s">
        <v>513</v>
      </c>
    </row>
    <row r="102" customFormat="false" ht="15" hidden="false" customHeight="false" outlineLevel="0" collapsed="false">
      <c r="B102" s="43"/>
      <c r="C102" s="43"/>
      <c r="D102" s="43"/>
      <c r="E102" s="43"/>
      <c r="F102" s="43"/>
      <c r="G102" s="43"/>
      <c r="H102" s="43"/>
      <c r="I102" s="43"/>
    </row>
    <row r="103" customFormat="false" ht="15" hidden="false" customHeight="false" outlineLevel="0" collapsed="false">
      <c r="B103" s="43"/>
      <c r="C103" s="43"/>
      <c r="D103" s="43"/>
      <c r="E103" s="43"/>
      <c r="F103" s="43"/>
      <c r="G103" s="43"/>
      <c r="H103" s="43"/>
      <c r="I103" s="43"/>
    </row>
    <row r="104" customFormat="false" ht="15" hidden="false" customHeight="false" outlineLevel="0" collapsed="false">
      <c r="B104" s="43"/>
      <c r="C104" s="43"/>
      <c r="D104" s="43"/>
      <c r="E104" s="43"/>
      <c r="F104" s="43"/>
      <c r="G104" s="43"/>
      <c r="H104" s="43"/>
      <c r="I104" s="43"/>
    </row>
  </sheetData>
  <mergeCells count="38">
    <mergeCell ref="E44:I44"/>
    <mergeCell ref="E45:I45"/>
    <mergeCell ref="E46:I46"/>
    <mergeCell ref="E47:I47"/>
    <mergeCell ref="E49:I49"/>
    <mergeCell ref="E50:I50"/>
    <mergeCell ref="E51:I51"/>
    <mergeCell ref="E52:I52"/>
    <mergeCell ref="E54:I54"/>
    <mergeCell ref="E55:I55"/>
    <mergeCell ref="E56:I56"/>
    <mergeCell ref="E57:I57"/>
    <mergeCell ref="E59:I59"/>
    <mergeCell ref="E60:I60"/>
    <mergeCell ref="E61:I61"/>
    <mergeCell ref="E63:I63"/>
    <mergeCell ref="E64:I64"/>
    <mergeCell ref="E65:I65"/>
    <mergeCell ref="E66:I66"/>
    <mergeCell ref="E68:I68"/>
    <mergeCell ref="E69:I69"/>
    <mergeCell ref="E70:I70"/>
    <mergeCell ref="E72:I72"/>
    <mergeCell ref="E73:I73"/>
    <mergeCell ref="E74:I74"/>
    <mergeCell ref="E76:I76"/>
    <mergeCell ref="E77:I77"/>
    <mergeCell ref="E78:I78"/>
    <mergeCell ref="E80:I80"/>
    <mergeCell ref="E81:I81"/>
    <mergeCell ref="E82:I82"/>
    <mergeCell ref="E83:I83"/>
    <mergeCell ref="E84:I84"/>
    <mergeCell ref="E85:I85"/>
    <mergeCell ref="E87:I87"/>
    <mergeCell ref="E88:I88"/>
    <mergeCell ref="E89:I89"/>
    <mergeCell ref="B102:I104"/>
  </mergeCells>
  <conditionalFormatting sqref="A33:J41">
    <cfRule type="expression" priority="2" aboveAverage="0" equalAverage="0" bottom="0" percent="0" rank="0" text="" dxfId="4">
      <formula>$H33="Exception"</formula>
    </cfRule>
    <cfRule type="expression" priority="3" aboveAverage="0" equalAverage="0" bottom="0" percent="0" rank="0" text="" dxfId="5">
      <formula>$F33="Variance"</formula>
    </cfRule>
  </conditionalFormatting>
  <conditionalFormatting sqref="A45:J89">
    <cfRule type="expression" priority="4" aboveAverage="0" equalAverage="0" bottom="0" percent="0" rank="0" text="" dxfId="4">
      <formula>$D45="No"</formula>
    </cfRule>
    <cfRule type="expression" priority="5" aboveAverage="0" equalAverage="0" bottom="0" percent="0" rank="0" text="" dxfId="5">
      <formula>AND($D45="Obs",$E45="")</formula>
    </cfRule>
  </conditionalFormatting>
  <dataValidations count="4">
    <dataValidation allowBlank="true" errorStyle="stop" operator="between" showDropDown="false" showErrorMessage="false" showInputMessage="false" sqref="I5:I6" type="list">
      <formula1>GradeList</formula1>
      <formula2>0</formula2>
    </dataValidation>
    <dataValidation allowBlank="true" errorStyle="stop" operator="between" showDropDown="false" showErrorMessage="false" showInputMessage="false" sqref="C8" type="list">
      <formula1>"Periodic,Targeted,Continuous"</formula1>
      <formula2>0</formula2>
    </dataValidation>
    <dataValidation allowBlank="true" errorStyle="stop" operator="between" showDropDown="false" showErrorMessage="false" showInputMessage="false" sqref="F8" type="list">
      <formula1>PropTypeList</formula1>
      <formula2>0</formula2>
    </dataValidation>
    <dataValidation allowBlank="true" errorStyle="stop" operator="between" showDropDown="false" showErrorMessage="false" showInputMessage="false" sqref="D45:D47 D50:D52 D55:D57 D60:D61 D64:D66 D69:D70 D73:D74 D77:D78 D81:D85 D88:D89" type="list">
      <formula1>AnswerList</formula1>
      <formula2>0</formula2>
    </dataValidation>
  </dataValidations>
  <printOptions headings="false" gridLines="false" gridLinesSet="true" horizontalCentered="false" verticalCentered="false"/>
  <pageMargins left="0.4" right="0.4" top="0.5" bottom="0.5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E5597"/>
    <pageSetUpPr fitToPage="true"/>
  </sheetPr>
  <dimension ref="A1:J9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1" width="8"/>
    <col collapsed="false" customWidth="true" hidden="false" outlineLevel="0" max="2" min="2" style="1" width="52"/>
    <col collapsed="false" customWidth="true" hidden="false" outlineLevel="0" max="4" min="3" style="1" width="14"/>
    <col collapsed="false" customWidth="true" hidden="false" outlineLevel="0" max="5" min="5" style="1" width="12"/>
    <col collapsed="false" customWidth="true" hidden="false" outlineLevel="0" max="7" min="6" style="1" width="14"/>
    <col collapsed="false" customWidth="true" hidden="false" outlineLevel="0" max="8" min="8" style="1" width="16"/>
    <col collapsed="false" customWidth="true" hidden="false" outlineLevel="0" max="9" min="9" style="1" width="12"/>
    <col collapsed="false" customWidth="true" hidden="false" outlineLevel="0" max="10" min="10" style="1" width="30"/>
  </cols>
  <sheetData>
    <row r="1" customFormat="false" ht="30" hidden="false" customHeight="true" outlineLevel="0" collapsed="false">
      <c r="B1" s="2" t="s">
        <v>514</v>
      </c>
    </row>
    <row r="2" customFormat="false" ht="13.5" hidden="false" customHeight="true" outlineLevel="0" collapsed="false">
      <c r="B2" s="3" t="s">
        <v>419</v>
      </c>
    </row>
    <row r="3" customFormat="false" ht="3" hidden="false" customHeight="true" outlineLevel="0" collapsed="false">
      <c r="B3" s="4"/>
      <c r="C3" s="4"/>
      <c r="D3" s="4"/>
      <c r="E3" s="4"/>
      <c r="F3" s="4"/>
      <c r="G3" s="4"/>
      <c r="H3" s="4"/>
      <c r="I3" s="4"/>
      <c r="J3" s="5"/>
    </row>
    <row r="4" customFormat="false" ht="16.5" hidden="false" customHeight="true" outlineLevel="0" collapsed="false">
      <c r="A4" s="4"/>
      <c r="B4" s="23" t="s">
        <v>420</v>
      </c>
      <c r="C4" s="24"/>
      <c r="D4" s="24"/>
      <c r="E4" s="24"/>
      <c r="F4" s="24"/>
      <c r="G4" s="24"/>
      <c r="H4" s="24"/>
      <c r="I4" s="24"/>
      <c r="J4" s="24"/>
    </row>
    <row r="5" customFormat="false" ht="15" hidden="false" customHeight="false" outlineLevel="0" collapsed="false">
      <c r="B5" s="25" t="s">
        <v>421</v>
      </c>
      <c r="C5" s="18" t="s">
        <v>515</v>
      </c>
      <c r="E5" s="25" t="s">
        <v>423</v>
      </c>
      <c r="F5" s="16" t="n">
        <v>45883</v>
      </c>
      <c r="H5" s="25" t="s">
        <v>424</v>
      </c>
      <c r="I5" s="18" t="n">
        <v>4</v>
      </c>
    </row>
    <row r="6" customFormat="false" ht="15" hidden="false" customHeight="false" outlineLevel="0" collapsed="false">
      <c r="B6" s="25" t="s">
        <v>425</v>
      </c>
      <c r="C6" s="18" t="s">
        <v>516</v>
      </c>
      <c r="E6" s="25" t="s">
        <v>427</v>
      </c>
      <c r="F6" s="16" t="n">
        <v>45808</v>
      </c>
      <c r="H6" s="25" t="s">
        <v>428</v>
      </c>
      <c r="I6" s="18" t="n">
        <v>4</v>
      </c>
    </row>
    <row r="7" customFormat="false" ht="15" hidden="false" customHeight="false" outlineLevel="0" collapsed="false">
      <c r="B7" s="25" t="s">
        <v>429</v>
      </c>
      <c r="C7" s="19" t="n">
        <v>32500</v>
      </c>
      <c r="E7" s="25" t="s">
        <v>430</v>
      </c>
      <c r="F7" s="18" t="s">
        <v>431</v>
      </c>
      <c r="H7" s="25" t="s">
        <v>432</v>
      </c>
      <c r="I7" s="26" t="str">
        <f aca="false">IF($I$6="","",VLOOKUP($I$6,Lists!$D$2:$E$9,2,0))</f>
        <v>Pass</v>
      </c>
    </row>
    <row r="8" customFormat="false" ht="15" hidden="false" customHeight="false" outlineLevel="0" collapsed="false">
      <c r="B8" s="25" t="s">
        <v>433</v>
      </c>
      <c r="C8" s="18" t="s">
        <v>100</v>
      </c>
      <c r="E8" s="25" t="s">
        <v>434</v>
      </c>
      <c r="F8" s="18" t="s">
        <v>98</v>
      </c>
      <c r="H8" s="25" t="s">
        <v>435</v>
      </c>
      <c r="I8" s="27" t="str">
        <f aca="false">IF(OR($I$5="",$I$6=""),"",IF($I$5=$I$6,"Concur","Grade Change"))</f>
        <v>Concur</v>
      </c>
    </row>
    <row r="10" customFormat="false" ht="16.5" hidden="false" customHeight="true" outlineLevel="0" collapsed="false">
      <c r="A10" s="4"/>
      <c r="B10" s="23" t="s">
        <v>436</v>
      </c>
      <c r="C10" s="24"/>
      <c r="D10" s="24"/>
      <c r="E10" s="24"/>
      <c r="F10" s="24"/>
      <c r="G10" s="24"/>
      <c r="H10" s="24"/>
      <c r="I10" s="24"/>
      <c r="J10" s="24"/>
    </row>
    <row r="11" customFormat="false" ht="13.5" hidden="false" customHeight="true" outlineLevel="0" collapsed="false">
      <c r="A11" s="28"/>
      <c r="B11" s="28" t="s">
        <v>437</v>
      </c>
      <c r="C11" s="28" t="s">
        <v>438</v>
      </c>
      <c r="D11" s="28" t="s">
        <v>439</v>
      </c>
    </row>
    <row r="12" customFormat="false" ht="15" hidden="false" customHeight="false" outlineLevel="0" collapsed="false">
      <c r="B12" s="10" t="s">
        <v>517</v>
      </c>
      <c r="C12" s="19" t="n">
        <v>4150</v>
      </c>
      <c r="D12" s="17" t="s">
        <v>518</v>
      </c>
    </row>
    <row r="13" customFormat="false" ht="15" hidden="false" customHeight="false" outlineLevel="0" collapsed="false">
      <c r="B13" s="10" t="s">
        <v>519</v>
      </c>
      <c r="C13" s="19" t="n">
        <v>3120</v>
      </c>
      <c r="D13" s="17"/>
    </row>
    <row r="14" customFormat="false" ht="15" hidden="false" customHeight="false" outlineLevel="0" collapsed="false">
      <c r="B14" s="10" t="s">
        <v>520</v>
      </c>
      <c r="C14" s="19" t="n">
        <v>42000</v>
      </c>
      <c r="D14" s="17"/>
    </row>
    <row r="15" customFormat="false" ht="15" hidden="false" customHeight="false" outlineLevel="0" collapsed="false">
      <c r="B15" s="10" t="s">
        <v>521</v>
      </c>
      <c r="C15" s="19" t="n">
        <v>58500</v>
      </c>
      <c r="D15" s="17"/>
    </row>
    <row r="16" customFormat="false" ht="15" hidden="false" customHeight="false" outlineLevel="0" collapsed="false">
      <c r="B16" s="10" t="s">
        <v>522</v>
      </c>
      <c r="C16" s="47" t="n">
        <v>0.88</v>
      </c>
      <c r="D16" s="17"/>
    </row>
    <row r="17" customFormat="false" ht="15" hidden="false" customHeight="false" outlineLevel="0" collapsed="false">
      <c r="B17" s="10" t="s">
        <v>523</v>
      </c>
      <c r="C17" s="47" t="n">
        <v>0.31</v>
      </c>
      <c r="D17" s="17"/>
    </row>
    <row r="18" customFormat="false" ht="15" hidden="false" customHeight="false" outlineLevel="0" collapsed="false">
      <c r="B18" s="10" t="s">
        <v>524</v>
      </c>
      <c r="C18" s="47" t="n">
        <v>0.071</v>
      </c>
      <c r="D18" s="17"/>
    </row>
    <row r="19" customFormat="false" ht="15" hidden="false" customHeight="false" outlineLevel="0" collapsed="false">
      <c r="B19" s="10" t="s">
        <v>525</v>
      </c>
      <c r="C19" s="48" t="n">
        <v>0.085</v>
      </c>
      <c r="D19" s="17" t="s">
        <v>526</v>
      </c>
    </row>
    <row r="21" customFormat="false" ht="16.5" hidden="false" customHeight="true" outlineLevel="0" collapsed="false">
      <c r="A21" s="4"/>
      <c r="B21" s="23" t="s">
        <v>460</v>
      </c>
      <c r="C21" s="24"/>
      <c r="D21" s="24"/>
      <c r="E21" s="24"/>
      <c r="F21" s="24"/>
      <c r="G21" s="24"/>
      <c r="H21" s="24"/>
      <c r="I21" s="24"/>
      <c r="J21" s="24"/>
    </row>
    <row r="22" customFormat="false" ht="21.75" hidden="false" customHeight="true" outlineLevel="0" collapsed="false">
      <c r="A22" s="28" t="s">
        <v>461</v>
      </c>
      <c r="B22" s="28" t="s">
        <v>462</v>
      </c>
      <c r="C22" s="28" t="s">
        <v>463</v>
      </c>
      <c r="D22" s="28" t="s">
        <v>464</v>
      </c>
      <c r="E22" s="28" t="s">
        <v>465</v>
      </c>
      <c r="F22" s="28" t="s">
        <v>466</v>
      </c>
      <c r="G22" s="28" t="s">
        <v>467</v>
      </c>
      <c r="H22" s="28" t="s">
        <v>468</v>
      </c>
      <c r="I22" s="28"/>
      <c r="J22" s="28" t="s">
        <v>469</v>
      </c>
    </row>
    <row r="23" customFormat="false" ht="15" hidden="false" customHeight="false" outlineLevel="0" collapsed="false">
      <c r="A23" s="17" t="s">
        <v>527</v>
      </c>
      <c r="B23" s="10" t="s">
        <v>475</v>
      </c>
      <c r="C23" s="33" t="n">
        <f aca="false">IF($C$13=0,"n/m",$C$12/$C$13)</f>
        <v>1.33012820512821</v>
      </c>
      <c r="D23" s="34" t="n">
        <v>1.33</v>
      </c>
      <c r="E23" s="33" t="n">
        <f aca="false">IF(OR(ISTEXT(C23),C23="",D23=""),"",C23-D23)</f>
        <v>0.000128205128204995</v>
      </c>
      <c r="F23" s="27" t="str">
        <f aca="false">IF(E23="","",IF(ABS(E23)&lt;=0.05*MAX(ABS(D23),0.0001),"Aligned","Variance"))</f>
        <v>Aligned</v>
      </c>
      <c r="G23" s="35" t="n">
        <f aca="false">IF(SUMPRODUCT(MAX((Crosswalk!$O$2:$O$300="Minimum DSCR|"&amp;"Internal")*(Crosswalk!$H$2:$H$300&lt;&gt;"")*(Crosswalk!$H$2:$H$300&lt;=$F$5)*((Crosswalk!$I$2:$I$300="")+(Crosswalk!$I$2:$I$300&gt;$F$5))*Crosswalk!$C$2:$C$300))=0,"",SUMPRODUCT(MAX((Crosswalk!$O$2:$O$300="Minimum DSCR|"&amp;"Internal")*(Crosswalk!$H$2:$H$300&lt;&gt;"")*(Crosswalk!$H$2:$H$300&lt;=$F$5)*((Crosswalk!$I$2:$I$300="")+(Crosswalk!$I$2:$I$300&gt;$F$5))*Crosswalk!$C$2:$C$300)))</f>
        <v>1.25</v>
      </c>
      <c r="H23" s="27" t="str">
        <f aca="false">IF(OR(G23="",ISTEXT(C23),C23=""),"n/a",IF(C23&lt;G23,"Exception","Pass"))</f>
        <v>Pass</v>
      </c>
      <c r="J23" s="32"/>
    </row>
    <row r="24" customFormat="false" ht="15" hidden="false" customHeight="false" outlineLevel="0" collapsed="false">
      <c r="A24" s="17" t="s">
        <v>528</v>
      </c>
      <c r="B24" s="10" t="s">
        <v>529</v>
      </c>
      <c r="C24" s="49" t="n">
        <f aca="false">IF($C$15=0,"n/m",$C$14/$C$15)</f>
        <v>0.717948717948718</v>
      </c>
      <c r="D24" s="47" t="n">
        <v>0.718</v>
      </c>
      <c r="E24" s="49" t="n">
        <f aca="false">IF(OR(ISTEXT(C24),C24="",D24=""),"",C24-D24)</f>
        <v>-5.128205128202E-005</v>
      </c>
      <c r="F24" s="27" t="str">
        <f aca="false">IF(E24="","",IF(ABS(E24)&lt;=0.05*MAX(ABS(D24),0.0001),"Aligned","Variance"))</f>
        <v>Aligned</v>
      </c>
      <c r="G24" s="50" t="n">
        <f aca="false">IF(SUMPRODUCT(MAX((Crosswalk!$O$2:$O$300="Maximum LTV|"&amp;"Internal")*(Crosswalk!$H$2:$H$300&lt;&gt;"")*(Crosswalk!$H$2:$H$300&lt;=$F$5)*((Crosswalk!$I$2:$I$300="")+(Crosswalk!$I$2:$I$300&gt;$F$5))*Crosswalk!$C$2:$C$300))=0,"",SUMPRODUCT(MAX((Crosswalk!$O$2:$O$300="Maximum LTV|"&amp;"Internal")*(Crosswalk!$H$2:$H$300&lt;&gt;"")*(Crosswalk!$H$2:$H$300&lt;=$F$5)*((Crosswalk!$I$2:$I$300="")+(Crosswalk!$I$2:$I$300&gt;$F$5))*Crosswalk!$C$2:$C$300))/100)</f>
        <v>0.75</v>
      </c>
      <c r="H24" s="27" t="str">
        <f aca="false">IF(OR(G24="",ISTEXT(C24),C24=""),"n/a",IF(C24&gt;G24,"Exception","Pass"))</f>
        <v>Pass</v>
      </c>
      <c r="J24" s="32"/>
    </row>
    <row r="25" customFormat="false" ht="15" hidden="false" customHeight="false" outlineLevel="0" collapsed="false">
      <c r="A25" s="17" t="s">
        <v>530</v>
      </c>
      <c r="B25" s="10" t="s">
        <v>531</v>
      </c>
      <c r="C25" s="49" t="n">
        <f aca="false">IF($C$14=0,"n/m",$C$12/$C$14)</f>
        <v>0.0988095238095238</v>
      </c>
      <c r="D25" s="47" t="n">
        <v>0.099</v>
      </c>
      <c r="E25" s="49" t="n">
        <f aca="false">IF(OR(ISTEXT(C25),C25="",D25=""),"",C25-D25)</f>
        <v>-0.000190476190476199</v>
      </c>
      <c r="F25" s="27" t="str">
        <f aca="false">IF(E25="","",IF(ABS(E25)&lt;=0.05*MAX(ABS(D25),0.0001),"Aligned","Variance"))</f>
        <v>Aligned</v>
      </c>
      <c r="G25" s="21"/>
      <c r="H25" s="36" t="s">
        <v>478</v>
      </c>
      <c r="J25" s="32"/>
    </row>
    <row r="26" customFormat="false" ht="15" hidden="false" customHeight="false" outlineLevel="0" collapsed="false">
      <c r="A26" s="17" t="s">
        <v>532</v>
      </c>
      <c r="B26" s="10" t="s">
        <v>533</v>
      </c>
      <c r="C26" s="51" t="n">
        <f aca="false">IF($C$19=0,"n/m",$C$12/$C$19)</f>
        <v>48823.5294117647</v>
      </c>
      <c r="D26" s="19"/>
      <c r="E26" s="51" t="str">
        <f aca="false">IF(OR(ISTEXT(C26),C26="",D26=""),"",C26-D26)</f>
        <v/>
      </c>
      <c r="F26" s="27" t="str">
        <f aca="false">IF(E26="","",IF(ABS(E26)&lt;=0.05*MAX(ABS(D26),0.0001),"Aligned","Variance"))</f>
        <v/>
      </c>
      <c r="G26" s="21"/>
      <c r="H26" s="36" t="s">
        <v>478</v>
      </c>
      <c r="J26" s="32"/>
    </row>
    <row r="27" customFormat="false" ht="15" hidden="false" customHeight="false" outlineLevel="0" collapsed="false">
      <c r="A27" s="17" t="s">
        <v>534</v>
      </c>
      <c r="B27" s="10" t="s">
        <v>535</v>
      </c>
      <c r="C27" s="49" t="n">
        <f aca="false">IF(OR($C$19=0,$C$12=0),"n/m",$C$14/($C$12/$C$19))</f>
        <v>0.860240963855422</v>
      </c>
      <c r="D27" s="47"/>
      <c r="E27" s="49" t="str">
        <f aca="false">IF(OR(ISTEXT(C27),C27="",D27=""),"",C27-D27)</f>
        <v/>
      </c>
      <c r="F27" s="27" t="str">
        <f aca="false">IF(E27="","",IF(ABS(E27)&lt;=0.05*MAX(ABS(D27),0.0001),"Aligned","Variance"))</f>
        <v/>
      </c>
      <c r="G27" s="21"/>
      <c r="H27" s="36" t="s">
        <v>478</v>
      </c>
      <c r="J27" s="32"/>
    </row>
    <row r="29" customFormat="false" ht="16.5" hidden="false" customHeight="true" outlineLevel="0" collapsed="false">
      <c r="A29" s="4"/>
      <c r="B29" s="23" t="s">
        <v>489</v>
      </c>
      <c r="C29" s="24"/>
      <c r="D29" s="24"/>
      <c r="E29" s="24"/>
      <c r="F29" s="24"/>
      <c r="G29" s="24"/>
      <c r="H29" s="24"/>
      <c r="I29" s="24"/>
      <c r="J29" s="24"/>
    </row>
    <row r="30" customFormat="false" ht="21.75" hidden="false" customHeight="true" outlineLevel="0" collapsed="false">
      <c r="A30" s="28" t="s">
        <v>461</v>
      </c>
      <c r="B30" s="28" t="s">
        <v>490</v>
      </c>
      <c r="C30" s="28" t="s">
        <v>93</v>
      </c>
      <c r="D30" s="28" t="s">
        <v>491</v>
      </c>
      <c r="E30" s="28" t="s">
        <v>492</v>
      </c>
      <c r="F30" s="28"/>
      <c r="G30" s="28"/>
      <c r="H30" s="28"/>
      <c r="I30" s="28"/>
      <c r="J30" s="28" t="s">
        <v>493</v>
      </c>
    </row>
    <row r="31" customFormat="false" ht="25.5" hidden="false" customHeight="true" outlineLevel="0" collapsed="false">
      <c r="A31" s="39" t="s">
        <v>196</v>
      </c>
      <c r="B31" s="40" t="s">
        <v>134</v>
      </c>
      <c r="C31" s="41" t="s">
        <v>99</v>
      </c>
      <c r="D31" s="42" t="s">
        <v>16</v>
      </c>
      <c r="E31" s="43"/>
      <c r="F31" s="43"/>
      <c r="G31" s="43"/>
      <c r="H31" s="43"/>
      <c r="I31" s="43"/>
      <c r="J31" s="44" t="str">
        <f aca="false">IF(AND(D31="Obs",E31=""),"Note required",IF(AND(D31="No",E31=""),"Rationale required",""))</f>
        <v/>
      </c>
    </row>
    <row r="32" customFormat="false" ht="25.5" hidden="false" customHeight="true" outlineLevel="0" collapsed="false">
      <c r="A32" s="39" t="s">
        <v>198</v>
      </c>
      <c r="B32" s="40" t="s">
        <v>136</v>
      </c>
      <c r="C32" s="41" t="s">
        <v>99</v>
      </c>
      <c r="D32" s="42" t="s">
        <v>16</v>
      </c>
      <c r="E32" s="43"/>
      <c r="F32" s="43"/>
      <c r="G32" s="43"/>
      <c r="H32" s="43"/>
      <c r="I32" s="43"/>
      <c r="J32" s="44" t="str">
        <f aca="false">IF(AND(D32="Obs",E32=""),"Note required",IF(AND(D32="No",E32=""),"Rationale required",""))</f>
        <v/>
      </c>
    </row>
    <row r="33" customFormat="false" ht="25.5" hidden="false" customHeight="true" outlineLevel="0" collapsed="false">
      <c r="A33" s="39" t="s">
        <v>199</v>
      </c>
      <c r="B33" s="40" t="s">
        <v>138</v>
      </c>
      <c r="C33" s="41" t="s">
        <v>105</v>
      </c>
      <c r="D33" s="42" t="s">
        <v>16</v>
      </c>
      <c r="E33" s="43"/>
      <c r="F33" s="43"/>
      <c r="G33" s="43"/>
      <c r="H33" s="43"/>
      <c r="I33" s="43"/>
      <c r="J33" s="44" t="str">
        <f aca="false">IF(AND(D33="Obs",E33=""),"Note required",IF(AND(D33="No",E33=""),"Rationale required",""))</f>
        <v/>
      </c>
    </row>
    <row r="34" customFormat="false" ht="16.5" hidden="false" customHeight="true" outlineLevel="0" collapsed="false">
      <c r="A34" s="4"/>
      <c r="B34" s="23" t="s">
        <v>494</v>
      </c>
      <c r="C34" s="24"/>
      <c r="D34" s="24"/>
      <c r="E34" s="24"/>
      <c r="F34" s="24"/>
      <c r="G34" s="24"/>
      <c r="H34" s="24"/>
      <c r="I34" s="24"/>
      <c r="J34" s="24"/>
    </row>
    <row r="35" customFormat="false" ht="21.75" hidden="false" customHeight="true" outlineLevel="0" collapsed="false">
      <c r="A35" s="28" t="s">
        <v>461</v>
      </c>
      <c r="B35" s="28" t="s">
        <v>490</v>
      </c>
      <c r="C35" s="28" t="s">
        <v>93</v>
      </c>
      <c r="D35" s="28" t="s">
        <v>491</v>
      </c>
      <c r="E35" s="28" t="s">
        <v>492</v>
      </c>
      <c r="F35" s="28"/>
      <c r="G35" s="28"/>
      <c r="H35" s="28"/>
      <c r="I35" s="28"/>
      <c r="J35" s="28" t="s">
        <v>493</v>
      </c>
    </row>
    <row r="36" customFormat="false" ht="25.5" hidden="false" customHeight="true" outlineLevel="0" collapsed="false">
      <c r="A36" s="39" t="s">
        <v>200</v>
      </c>
      <c r="B36" s="40" t="s">
        <v>141</v>
      </c>
      <c r="C36" s="41" t="s">
        <v>99</v>
      </c>
      <c r="D36" s="42" t="s">
        <v>16</v>
      </c>
      <c r="E36" s="43"/>
      <c r="F36" s="43"/>
      <c r="G36" s="43"/>
      <c r="H36" s="43"/>
      <c r="I36" s="43"/>
      <c r="J36" s="44" t="str">
        <f aca="false">IF(AND(D36="Obs",E36=""),"Note required",IF(AND(D36="No",E36=""),"Rationale required",""))</f>
        <v/>
      </c>
    </row>
    <row r="37" customFormat="false" ht="25.5" hidden="false" customHeight="true" outlineLevel="0" collapsed="false">
      <c r="A37" s="39" t="s">
        <v>201</v>
      </c>
      <c r="B37" s="40" t="s">
        <v>143</v>
      </c>
      <c r="C37" s="41" t="s">
        <v>105</v>
      </c>
      <c r="D37" s="42" t="s">
        <v>16</v>
      </c>
      <c r="E37" s="43"/>
      <c r="F37" s="43"/>
      <c r="G37" s="43"/>
      <c r="H37" s="43"/>
      <c r="I37" s="43"/>
      <c r="J37" s="44" t="str">
        <f aca="false">IF(AND(D37="Obs",E37=""),"Note required",IF(AND(D37="No",E37=""),"Rationale required",""))</f>
        <v/>
      </c>
    </row>
    <row r="38" customFormat="false" ht="25.5" hidden="false" customHeight="true" outlineLevel="0" collapsed="false">
      <c r="A38" s="39" t="s">
        <v>202</v>
      </c>
      <c r="B38" s="40" t="s">
        <v>145</v>
      </c>
      <c r="C38" s="41" t="s">
        <v>99</v>
      </c>
      <c r="D38" s="42" t="s">
        <v>16</v>
      </c>
      <c r="E38" s="43"/>
      <c r="F38" s="43"/>
      <c r="G38" s="43"/>
      <c r="H38" s="43"/>
      <c r="I38" s="43"/>
      <c r="J38" s="44" t="str">
        <f aca="false">IF(AND(D38="Obs",E38=""),"Note required",IF(AND(D38="No",E38=""),"Rationale required",""))</f>
        <v/>
      </c>
    </row>
    <row r="39" customFormat="false" ht="16.5" hidden="false" customHeight="true" outlineLevel="0" collapsed="false">
      <c r="A39" s="4"/>
      <c r="B39" s="23" t="s">
        <v>495</v>
      </c>
      <c r="C39" s="24"/>
      <c r="D39" s="24"/>
      <c r="E39" s="24"/>
      <c r="F39" s="24"/>
      <c r="G39" s="24"/>
      <c r="H39" s="24"/>
      <c r="I39" s="24"/>
      <c r="J39" s="24"/>
    </row>
    <row r="40" customFormat="false" ht="21.75" hidden="false" customHeight="true" outlineLevel="0" collapsed="false">
      <c r="A40" s="28" t="s">
        <v>461</v>
      </c>
      <c r="B40" s="28" t="s">
        <v>490</v>
      </c>
      <c r="C40" s="28" t="s">
        <v>93</v>
      </c>
      <c r="D40" s="28" t="s">
        <v>491</v>
      </c>
      <c r="E40" s="28" t="s">
        <v>492</v>
      </c>
      <c r="F40" s="28"/>
      <c r="G40" s="28"/>
      <c r="H40" s="28"/>
      <c r="I40" s="28"/>
      <c r="J40" s="28" t="s">
        <v>493</v>
      </c>
    </row>
    <row r="41" customFormat="false" ht="25.5" hidden="false" customHeight="true" outlineLevel="0" collapsed="false">
      <c r="A41" s="39" t="s">
        <v>203</v>
      </c>
      <c r="B41" s="40" t="s">
        <v>148</v>
      </c>
      <c r="C41" s="41" t="s">
        <v>99</v>
      </c>
      <c r="D41" s="42" t="s">
        <v>16</v>
      </c>
      <c r="E41" s="43"/>
      <c r="F41" s="43"/>
      <c r="G41" s="43"/>
      <c r="H41" s="43"/>
      <c r="I41" s="43"/>
      <c r="J41" s="44" t="str">
        <f aca="false">IF(AND(D41="Obs",E41=""),"Note required",IF(AND(D41="No",E41=""),"Rationale required",""))</f>
        <v/>
      </c>
    </row>
    <row r="42" customFormat="false" ht="25.5" hidden="false" customHeight="true" outlineLevel="0" collapsed="false">
      <c r="A42" s="39" t="s">
        <v>204</v>
      </c>
      <c r="B42" s="40" t="s">
        <v>150</v>
      </c>
      <c r="C42" s="41" t="s">
        <v>105</v>
      </c>
      <c r="D42" s="42" t="s">
        <v>16</v>
      </c>
      <c r="E42" s="43"/>
      <c r="F42" s="43"/>
      <c r="G42" s="43"/>
      <c r="H42" s="43"/>
      <c r="I42" s="43"/>
      <c r="J42" s="44" t="str">
        <f aca="false">IF(AND(D42="Obs",E42=""),"Note required",IF(AND(D42="No",E42=""),"Rationale required",""))</f>
        <v/>
      </c>
    </row>
    <row r="43" customFormat="false" ht="25.5" hidden="false" customHeight="true" outlineLevel="0" collapsed="false">
      <c r="A43" s="39" t="s">
        <v>205</v>
      </c>
      <c r="B43" s="40" t="s">
        <v>152</v>
      </c>
      <c r="C43" s="41" t="s">
        <v>99</v>
      </c>
      <c r="D43" s="42" t="s">
        <v>20</v>
      </c>
      <c r="E43" s="43"/>
      <c r="F43" s="43"/>
      <c r="G43" s="43"/>
      <c r="H43" s="43"/>
      <c r="I43" s="43"/>
      <c r="J43" s="44" t="str">
        <f aca="false">IF(AND(D43="Obs",E43=""),"Note required",IF(AND(D43="No",E43=""),"Rationale required",""))</f>
        <v/>
      </c>
    </row>
    <row r="44" customFormat="false" ht="16.5" hidden="false" customHeight="true" outlineLevel="0" collapsed="false">
      <c r="A44" s="4"/>
      <c r="B44" s="23" t="s">
        <v>497</v>
      </c>
      <c r="C44" s="24"/>
      <c r="D44" s="24"/>
      <c r="E44" s="24"/>
      <c r="F44" s="24"/>
      <c r="G44" s="24"/>
      <c r="H44" s="24"/>
      <c r="I44" s="24"/>
      <c r="J44" s="24"/>
    </row>
    <row r="45" customFormat="false" ht="21.75" hidden="false" customHeight="true" outlineLevel="0" collapsed="false">
      <c r="A45" s="28" t="s">
        <v>461</v>
      </c>
      <c r="B45" s="28" t="s">
        <v>490</v>
      </c>
      <c r="C45" s="28" t="s">
        <v>93</v>
      </c>
      <c r="D45" s="28" t="s">
        <v>491</v>
      </c>
      <c r="E45" s="28" t="s">
        <v>492</v>
      </c>
      <c r="F45" s="28"/>
      <c r="G45" s="28"/>
      <c r="H45" s="28"/>
      <c r="I45" s="28"/>
      <c r="J45" s="28" t="s">
        <v>493</v>
      </c>
    </row>
    <row r="46" customFormat="false" ht="25.5" hidden="false" customHeight="true" outlineLevel="0" collapsed="false">
      <c r="A46" s="39" t="s">
        <v>206</v>
      </c>
      <c r="B46" s="40" t="s">
        <v>155</v>
      </c>
      <c r="C46" s="41" t="s">
        <v>105</v>
      </c>
      <c r="D46" s="42" t="s">
        <v>22</v>
      </c>
      <c r="E46" s="43" t="s">
        <v>536</v>
      </c>
      <c r="F46" s="43"/>
      <c r="G46" s="43"/>
      <c r="H46" s="43"/>
      <c r="I46" s="43"/>
      <c r="J46" s="44" t="str">
        <f aca="false">IF(AND(D46="Obs",E46=""),"Note required",IF(AND(D46="No",E46=""),"Rationale required",""))</f>
        <v/>
      </c>
    </row>
    <row r="47" customFormat="false" ht="25.5" hidden="false" customHeight="true" outlineLevel="0" collapsed="false">
      <c r="A47" s="39" t="s">
        <v>207</v>
      </c>
      <c r="B47" s="40" t="s">
        <v>157</v>
      </c>
      <c r="C47" s="41" t="s">
        <v>105</v>
      </c>
      <c r="D47" s="42" t="s">
        <v>20</v>
      </c>
      <c r="E47" s="43"/>
      <c r="F47" s="43"/>
      <c r="G47" s="43"/>
      <c r="H47" s="43"/>
      <c r="I47" s="43"/>
      <c r="J47" s="44" t="str">
        <f aca="false">IF(AND(D47="Obs",E47=""),"Note required",IF(AND(D47="No",E47=""),"Rationale required",""))</f>
        <v/>
      </c>
    </row>
    <row r="48" customFormat="false" ht="16.5" hidden="false" customHeight="true" outlineLevel="0" collapsed="false">
      <c r="A48" s="4"/>
      <c r="B48" s="23" t="s">
        <v>498</v>
      </c>
      <c r="C48" s="24"/>
      <c r="D48" s="24"/>
      <c r="E48" s="24"/>
      <c r="F48" s="24"/>
      <c r="G48" s="24"/>
      <c r="H48" s="24"/>
      <c r="I48" s="24"/>
      <c r="J48" s="24"/>
    </row>
    <row r="49" customFormat="false" ht="21.75" hidden="false" customHeight="true" outlineLevel="0" collapsed="false">
      <c r="A49" s="28" t="s">
        <v>461</v>
      </c>
      <c r="B49" s="28" t="s">
        <v>490</v>
      </c>
      <c r="C49" s="28" t="s">
        <v>93</v>
      </c>
      <c r="D49" s="28" t="s">
        <v>491</v>
      </c>
      <c r="E49" s="28" t="s">
        <v>492</v>
      </c>
      <c r="F49" s="28"/>
      <c r="G49" s="28"/>
      <c r="H49" s="28"/>
      <c r="I49" s="28"/>
      <c r="J49" s="28" t="s">
        <v>493</v>
      </c>
    </row>
    <row r="50" customFormat="false" ht="25.5" hidden="false" customHeight="true" outlineLevel="0" collapsed="false">
      <c r="A50" s="39" t="s">
        <v>208</v>
      </c>
      <c r="B50" s="40" t="s">
        <v>160</v>
      </c>
      <c r="C50" s="41" t="s">
        <v>99</v>
      </c>
      <c r="D50" s="42" t="s">
        <v>16</v>
      </c>
      <c r="E50" s="43"/>
      <c r="F50" s="43"/>
      <c r="G50" s="43"/>
      <c r="H50" s="43"/>
      <c r="I50" s="43"/>
      <c r="J50" s="44" t="str">
        <f aca="false">IF(AND(D50="Obs",E50=""),"Note required",IF(AND(D50="No",E50=""),"Rationale required",""))</f>
        <v/>
      </c>
    </row>
    <row r="51" customFormat="false" ht="25.5" hidden="false" customHeight="true" outlineLevel="0" collapsed="false">
      <c r="A51" s="39" t="s">
        <v>209</v>
      </c>
      <c r="B51" s="40" t="s">
        <v>162</v>
      </c>
      <c r="C51" s="41" t="s">
        <v>99</v>
      </c>
      <c r="D51" s="42" t="s">
        <v>16</v>
      </c>
      <c r="E51" s="43"/>
      <c r="F51" s="43"/>
      <c r="G51" s="43"/>
      <c r="H51" s="43"/>
      <c r="I51" s="43"/>
      <c r="J51" s="44" t="str">
        <f aca="false">IF(AND(D51="Obs",E51=""),"Note required",IF(AND(D51="No",E51=""),"Rationale required",""))</f>
        <v/>
      </c>
    </row>
    <row r="52" customFormat="false" ht="25.5" hidden="false" customHeight="true" outlineLevel="0" collapsed="false">
      <c r="A52" s="39" t="s">
        <v>210</v>
      </c>
      <c r="B52" s="40" t="s">
        <v>164</v>
      </c>
      <c r="C52" s="41" t="s">
        <v>110</v>
      </c>
      <c r="D52" s="42" t="s">
        <v>16</v>
      </c>
      <c r="E52" s="43"/>
      <c r="F52" s="43"/>
      <c r="G52" s="43"/>
      <c r="H52" s="43"/>
      <c r="I52" s="43"/>
      <c r="J52" s="44" t="str">
        <f aca="false">IF(AND(D52="Obs",E52=""),"Note required",IF(AND(D52="No",E52=""),"Rationale required",""))</f>
        <v/>
      </c>
    </row>
    <row r="53" customFormat="false" ht="16.5" hidden="false" customHeight="true" outlineLevel="0" collapsed="false">
      <c r="A53" s="4"/>
      <c r="B53" s="23" t="s">
        <v>499</v>
      </c>
      <c r="C53" s="24"/>
      <c r="D53" s="24"/>
      <c r="E53" s="24"/>
      <c r="F53" s="24"/>
      <c r="G53" s="24"/>
      <c r="H53" s="24"/>
      <c r="I53" s="24"/>
      <c r="J53" s="24"/>
    </row>
    <row r="54" customFormat="false" ht="21.75" hidden="false" customHeight="true" outlineLevel="0" collapsed="false">
      <c r="A54" s="28" t="s">
        <v>461</v>
      </c>
      <c r="B54" s="28" t="s">
        <v>490</v>
      </c>
      <c r="C54" s="28" t="s">
        <v>93</v>
      </c>
      <c r="D54" s="28" t="s">
        <v>491</v>
      </c>
      <c r="E54" s="28" t="s">
        <v>492</v>
      </c>
      <c r="F54" s="28"/>
      <c r="G54" s="28"/>
      <c r="H54" s="28"/>
      <c r="I54" s="28"/>
      <c r="J54" s="28" t="s">
        <v>493</v>
      </c>
    </row>
    <row r="55" customFormat="false" ht="25.5" hidden="false" customHeight="true" outlineLevel="0" collapsed="false">
      <c r="A55" s="39" t="s">
        <v>211</v>
      </c>
      <c r="B55" s="40" t="s">
        <v>167</v>
      </c>
      <c r="C55" s="41" t="s">
        <v>99</v>
      </c>
      <c r="D55" s="42" t="s">
        <v>16</v>
      </c>
      <c r="E55" s="43"/>
      <c r="F55" s="43"/>
      <c r="G55" s="43"/>
      <c r="H55" s="43"/>
      <c r="I55" s="43"/>
      <c r="J55" s="44" t="str">
        <f aca="false">IF(AND(D55="Obs",E55=""),"Note required",IF(AND(D55="No",E55=""),"Rationale required",""))</f>
        <v/>
      </c>
    </row>
    <row r="56" customFormat="false" ht="25.5" hidden="false" customHeight="true" outlineLevel="0" collapsed="false">
      <c r="A56" s="39" t="s">
        <v>212</v>
      </c>
      <c r="B56" s="40" t="s">
        <v>169</v>
      </c>
      <c r="C56" s="41" t="s">
        <v>105</v>
      </c>
      <c r="D56" s="42" t="s">
        <v>18</v>
      </c>
      <c r="E56" s="43" t="s">
        <v>537</v>
      </c>
      <c r="F56" s="43"/>
      <c r="G56" s="43"/>
      <c r="H56" s="43"/>
      <c r="I56" s="43"/>
      <c r="J56" s="44" t="str">
        <f aca="false">IF(AND(D56="Obs",E56=""),"Note required",IF(AND(D56="No",E56=""),"Rationale required",""))</f>
        <v/>
      </c>
    </row>
    <row r="57" customFormat="false" ht="16.5" hidden="false" customHeight="true" outlineLevel="0" collapsed="false">
      <c r="A57" s="4"/>
      <c r="B57" s="23" t="s">
        <v>500</v>
      </c>
      <c r="C57" s="24"/>
      <c r="D57" s="24"/>
      <c r="E57" s="24"/>
      <c r="F57" s="24"/>
      <c r="G57" s="24"/>
      <c r="H57" s="24"/>
      <c r="I57" s="24"/>
      <c r="J57" s="24"/>
    </row>
    <row r="58" customFormat="false" ht="21.75" hidden="false" customHeight="true" outlineLevel="0" collapsed="false">
      <c r="A58" s="28" t="s">
        <v>461</v>
      </c>
      <c r="B58" s="28" t="s">
        <v>490</v>
      </c>
      <c r="C58" s="28" t="s">
        <v>93</v>
      </c>
      <c r="D58" s="28" t="s">
        <v>491</v>
      </c>
      <c r="E58" s="28" t="s">
        <v>492</v>
      </c>
      <c r="F58" s="28"/>
      <c r="G58" s="28"/>
      <c r="H58" s="28"/>
      <c r="I58" s="28"/>
      <c r="J58" s="28" t="s">
        <v>493</v>
      </c>
    </row>
    <row r="59" customFormat="false" ht="25.5" hidden="false" customHeight="true" outlineLevel="0" collapsed="false">
      <c r="A59" s="39" t="s">
        <v>213</v>
      </c>
      <c r="B59" s="40" t="s">
        <v>172</v>
      </c>
      <c r="C59" s="41" t="s">
        <v>105</v>
      </c>
      <c r="D59" s="42" t="s">
        <v>20</v>
      </c>
      <c r="E59" s="43"/>
      <c r="F59" s="43"/>
      <c r="G59" s="43"/>
      <c r="H59" s="43"/>
      <c r="I59" s="43"/>
      <c r="J59" s="44" t="str">
        <f aca="false">IF(AND(D59="Obs",E59=""),"Note required",IF(AND(D59="No",E59=""),"Rationale required",""))</f>
        <v/>
      </c>
    </row>
    <row r="60" customFormat="false" ht="25.5" hidden="false" customHeight="true" outlineLevel="0" collapsed="false">
      <c r="A60" s="39" t="s">
        <v>214</v>
      </c>
      <c r="B60" s="40" t="s">
        <v>174</v>
      </c>
      <c r="C60" s="41" t="s">
        <v>99</v>
      </c>
      <c r="D60" s="42" t="s">
        <v>16</v>
      </c>
      <c r="E60" s="43"/>
      <c r="F60" s="43"/>
      <c r="G60" s="43"/>
      <c r="H60" s="43"/>
      <c r="I60" s="43"/>
      <c r="J60" s="44" t="str">
        <f aca="false">IF(AND(D60="Obs",E60=""),"Note required",IF(AND(D60="No",E60=""),"Rationale required",""))</f>
        <v/>
      </c>
    </row>
    <row r="61" customFormat="false" ht="16.5" hidden="false" customHeight="true" outlineLevel="0" collapsed="false">
      <c r="A61" s="4"/>
      <c r="B61" s="23" t="s">
        <v>501</v>
      </c>
      <c r="C61" s="24"/>
      <c r="D61" s="24"/>
      <c r="E61" s="24"/>
      <c r="F61" s="24"/>
      <c r="G61" s="24"/>
      <c r="H61" s="24"/>
      <c r="I61" s="24"/>
      <c r="J61" s="24"/>
    </row>
    <row r="62" customFormat="false" ht="21.75" hidden="false" customHeight="true" outlineLevel="0" collapsed="false">
      <c r="A62" s="28" t="s">
        <v>461</v>
      </c>
      <c r="B62" s="28" t="s">
        <v>490</v>
      </c>
      <c r="C62" s="28" t="s">
        <v>93</v>
      </c>
      <c r="D62" s="28" t="s">
        <v>491</v>
      </c>
      <c r="E62" s="28" t="s">
        <v>492</v>
      </c>
      <c r="F62" s="28"/>
      <c r="G62" s="28"/>
      <c r="H62" s="28"/>
      <c r="I62" s="28"/>
      <c r="J62" s="28" t="s">
        <v>493</v>
      </c>
    </row>
    <row r="63" customFormat="false" ht="25.5" hidden="false" customHeight="true" outlineLevel="0" collapsed="false">
      <c r="A63" s="39" t="s">
        <v>215</v>
      </c>
      <c r="B63" s="40" t="s">
        <v>177</v>
      </c>
      <c r="C63" s="41" t="s">
        <v>105</v>
      </c>
      <c r="D63" s="42" t="s">
        <v>16</v>
      </c>
      <c r="E63" s="43"/>
      <c r="F63" s="43"/>
      <c r="G63" s="43"/>
      <c r="H63" s="43"/>
      <c r="I63" s="43"/>
      <c r="J63" s="44" t="str">
        <f aca="false">IF(AND(D63="Obs",E63=""),"Note required",IF(AND(D63="No",E63=""),"Rationale required",""))</f>
        <v/>
      </c>
    </row>
    <row r="64" customFormat="false" ht="25.5" hidden="false" customHeight="true" outlineLevel="0" collapsed="false">
      <c r="A64" s="39" t="s">
        <v>216</v>
      </c>
      <c r="B64" s="40" t="s">
        <v>179</v>
      </c>
      <c r="C64" s="41" t="s">
        <v>105</v>
      </c>
      <c r="D64" s="42" t="s">
        <v>16</v>
      </c>
      <c r="E64" s="43"/>
      <c r="F64" s="43"/>
      <c r="G64" s="43"/>
      <c r="H64" s="43"/>
      <c r="I64" s="43"/>
      <c r="J64" s="44" t="str">
        <f aca="false">IF(AND(D64="Obs",E64=""),"Note required",IF(AND(D64="No",E64=""),"Rationale required",""))</f>
        <v/>
      </c>
    </row>
    <row r="65" customFormat="false" ht="16.5" hidden="false" customHeight="true" outlineLevel="0" collapsed="false">
      <c r="A65" s="4"/>
      <c r="B65" s="23" t="s">
        <v>538</v>
      </c>
      <c r="C65" s="24"/>
      <c r="D65" s="24"/>
      <c r="E65" s="24"/>
      <c r="F65" s="24"/>
      <c r="G65" s="24"/>
      <c r="H65" s="24"/>
      <c r="I65" s="24"/>
      <c r="J65" s="24"/>
    </row>
    <row r="66" customFormat="false" ht="21.75" hidden="false" customHeight="true" outlineLevel="0" collapsed="false">
      <c r="A66" s="28" t="s">
        <v>461</v>
      </c>
      <c r="B66" s="28" t="s">
        <v>490</v>
      </c>
      <c r="C66" s="28" t="s">
        <v>93</v>
      </c>
      <c r="D66" s="28" t="s">
        <v>491</v>
      </c>
      <c r="E66" s="28" t="s">
        <v>492</v>
      </c>
      <c r="F66" s="28"/>
      <c r="G66" s="28"/>
      <c r="H66" s="28"/>
      <c r="I66" s="28"/>
      <c r="J66" s="28" t="s">
        <v>493</v>
      </c>
    </row>
    <row r="67" customFormat="false" ht="25.5" hidden="false" customHeight="true" outlineLevel="0" collapsed="false">
      <c r="A67" s="39" t="s">
        <v>217</v>
      </c>
      <c r="B67" s="40" t="s">
        <v>219</v>
      </c>
      <c r="C67" s="41" t="s">
        <v>105</v>
      </c>
      <c r="D67" s="42" t="s">
        <v>16</v>
      </c>
      <c r="E67" s="43"/>
      <c r="F67" s="43"/>
      <c r="G67" s="43"/>
      <c r="H67" s="43"/>
      <c r="I67" s="43"/>
      <c r="J67" s="44" t="str">
        <f aca="false">IF(AND(D67="Obs",E67=""),"Note required",IF(AND(D67="No",E67=""),"Rationale required",""))</f>
        <v/>
      </c>
    </row>
    <row r="68" customFormat="false" ht="25.5" hidden="false" customHeight="true" outlineLevel="0" collapsed="false">
      <c r="A68" s="39" t="s">
        <v>220</v>
      </c>
      <c r="B68" s="40" t="s">
        <v>221</v>
      </c>
      <c r="C68" s="41" t="s">
        <v>99</v>
      </c>
      <c r="D68" s="42" t="s">
        <v>16</v>
      </c>
      <c r="E68" s="43"/>
      <c r="F68" s="43"/>
      <c r="G68" s="43"/>
      <c r="H68" s="43"/>
      <c r="I68" s="43"/>
      <c r="J68" s="44" t="str">
        <f aca="false">IF(AND(D68="Obs",E68=""),"Note required",IF(AND(D68="No",E68=""),"Rationale required",""))</f>
        <v/>
      </c>
    </row>
    <row r="69" customFormat="false" ht="25.5" hidden="false" customHeight="true" outlineLevel="0" collapsed="false">
      <c r="A69" s="39" t="s">
        <v>222</v>
      </c>
      <c r="B69" s="40" t="s">
        <v>223</v>
      </c>
      <c r="C69" s="41" t="s">
        <v>105</v>
      </c>
      <c r="D69" s="42" t="s">
        <v>16</v>
      </c>
      <c r="E69" s="43"/>
      <c r="F69" s="43"/>
      <c r="G69" s="43"/>
      <c r="H69" s="43"/>
      <c r="I69" s="43"/>
      <c r="J69" s="44" t="str">
        <f aca="false">IF(AND(D69="Obs",E69=""),"Note required",IF(AND(D69="No",E69=""),"Rationale required",""))</f>
        <v/>
      </c>
    </row>
    <row r="70" customFormat="false" ht="16.5" hidden="false" customHeight="true" outlineLevel="0" collapsed="false">
      <c r="A70" s="4"/>
      <c r="B70" s="23" t="s">
        <v>539</v>
      </c>
      <c r="C70" s="24"/>
      <c r="D70" s="24"/>
      <c r="E70" s="24"/>
      <c r="F70" s="24"/>
      <c r="G70" s="24"/>
      <c r="H70" s="24"/>
      <c r="I70" s="24"/>
      <c r="J70" s="24"/>
    </row>
    <row r="71" customFormat="false" ht="21.75" hidden="false" customHeight="true" outlineLevel="0" collapsed="false">
      <c r="A71" s="28" t="s">
        <v>461</v>
      </c>
      <c r="B71" s="28" t="s">
        <v>490</v>
      </c>
      <c r="C71" s="28" t="s">
        <v>93</v>
      </c>
      <c r="D71" s="28" t="s">
        <v>491</v>
      </c>
      <c r="E71" s="28" t="s">
        <v>492</v>
      </c>
      <c r="F71" s="28"/>
      <c r="G71" s="28"/>
      <c r="H71" s="28"/>
      <c r="I71" s="28"/>
      <c r="J71" s="28" t="s">
        <v>493</v>
      </c>
    </row>
    <row r="72" customFormat="false" ht="25.5" hidden="false" customHeight="true" outlineLevel="0" collapsed="false">
      <c r="A72" s="39" t="s">
        <v>224</v>
      </c>
      <c r="B72" s="40" t="s">
        <v>226</v>
      </c>
      <c r="C72" s="41" t="s">
        <v>99</v>
      </c>
      <c r="D72" s="42" t="s">
        <v>16</v>
      </c>
      <c r="E72" s="43"/>
      <c r="F72" s="43"/>
      <c r="G72" s="43"/>
      <c r="H72" s="43"/>
      <c r="I72" s="43"/>
      <c r="J72" s="44" t="str">
        <f aca="false">IF(AND(D72="Obs",E72=""),"Note required",IF(AND(D72="No",E72=""),"Rationale required",""))</f>
        <v/>
      </c>
    </row>
    <row r="73" customFormat="false" ht="25.5" hidden="false" customHeight="true" outlineLevel="0" collapsed="false">
      <c r="A73" s="39" t="s">
        <v>227</v>
      </c>
      <c r="B73" s="40" t="s">
        <v>228</v>
      </c>
      <c r="C73" s="41" t="s">
        <v>99</v>
      </c>
      <c r="D73" s="42" t="s">
        <v>16</v>
      </c>
      <c r="E73" s="43"/>
      <c r="F73" s="43"/>
      <c r="G73" s="43"/>
      <c r="H73" s="43"/>
      <c r="I73" s="43"/>
      <c r="J73" s="44" t="str">
        <f aca="false">IF(AND(D73="Obs",E73=""),"Note required",IF(AND(D73="No",E73=""),"Rationale required",""))</f>
        <v/>
      </c>
    </row>
    <row r="74" customFormat="false" ht="25.5" hidden="false" customHeight="true" outlineLevel="0" collapsed="false">
      <c r="A74" s="39" t="s">
        <v>229</v>
      </c>
      <c r="B74" s="40" t="s">
        <v>230</v>
      </c>
      <c r="C74" s="41" t="s">
        <v>105</v>
      </c>
      <c r="D74" s="42" t="s">
        <v>16</v>
      </c>
      <c r="E74" s="43"/>
      <c r="F74" s="43"/>
      <c r="G74" s="43"/>
      <c r="H74" s="43"/>
      <c r="I74" s="43"/>
      <c r="J74" s="44" t="str">
        <f aca="false">IF(AND(D74="Obs",E74=""),"Note required",IF(AND(D74="No",E74=""),"Rationale required",""))</f>
        <v/>
      </c>
    </row>
    <row r="75" customFormat="false" ht="25.5" hidden="false" customHeight="true" outlineLevel="0" collapsed="false">
      <c r="A75" s="39" t="s">
        <v>231</v>
      </c>
      <c r="B75" s="40" t="s">
        <v>232</v>
      </c>
      <c r="C75" s="41" t="s">
        <v>105</v>
      </c>
      <c r="D75" s="42" t="s">
        <v>16</v>
      </c>
      <c r="E75" s="43"/>
      <c r="F75" s="43"/>
      <c r="G75" s="43"/>
      <c r="H75" s="43"/>
      <c r="I75" s="43"/>
      <c r="J75" s="44" t="str">
        <f aca="false">IF(AND(D75="Obs",E75=""),"Note required",IF(AND(D75="No",E75=""),"Rationale required",""))</f>
        <v/>
      </c>
    </row>
    <row r="77" customFormat="false" ht="16.5" hidden="false" customHeight="true" outlineLevel="0" collapsed="false">
      <c r="A77" s="4"/>
      <c r="B77" s="23" t="s">
        <v>504</v>
      </c>
      <c r="C77" s="24"/>
      <c r="D77" s="24"/>
      <c r="E77" s="24"/>
      <c r="F77" s="24"/>
      <c r="G77" s="24"/>
      <c r="H77" s="24"/>
      <c r="I77" s="24"/>
      <c r="J77" s="24"/>
    </row>
    <row r="78" customFormat="false" ht="15" hidden="false" customHeight="false" outlineLevel="0" collapsed="false">
      <c r="B78" s="7" t="s">
        <v>505</v>
      </c>
      <c r="C78" s="45" t="n">
        <f aca="false">27</f>
        <v>27</v>
      </c>
    </row>
    <row r="79" customFormat="false" ht="15" hidden="false" customHeight="false" outlineLevel="0" collapsed="false">
      <c r="B79" s="7" t="s">
        <v>506</v>
      </c>
      <c r="C79" s="45" t="n">
        <f aca="false">COUNTIF(D31:D75,"Yes")+COUNTIF(D31:D75,"No")+COUNTIF(D31:D75,"N/A")+COUNTIF(D31:D75,"Obs")</f>
        <v>27</v>
      </c>
    </row>
    <row r="80" customFormat="false" ht="15" hidden="false" customHeight="false" outlineLevel="0" collapsed="false">
      <c r="B80" s="7" t="s">
        <v>507</v>
      </c>
      <c r="C80" s="46" t="n">
        <f aca="false">IF(C78=0,"",C79/C78)</f>
        <v>1</v>
      </c>
    </row>
    <row r="81" customFormat="false" ht="15" hidden="false" customHeight="false" outlineLevel="0" collapsed="false">
      <c r="B81" s="7" t="s">
        <v>508</v>
      </c>
      <c r="C81" s="45" t="n">
        <f aca="false">C79-COUNTIF(D31:D75,"N/A")</f>
        <v>24</v>
      </c>
    </row>
    <row r="82" customFormat="false" ht="15" hidden="false" customHeight="false" outlineLevel="0" collapsed="false">
      <c r="B82" s="7" t="s">
        <v>509</v>
      </c>
      <c r="C82" s="45" t="n">
        <f aca="false">COUNTIF(D31:D75,"No")</f>
        <v>1</v>
      </c>
    </row>
    <row r="83" customFormat="false" ht="15" hidden="false" customHeight="false" outlineLevel="0" collapsed="false">
      <c r="B83" s="7" t="s">
        <v>510</v>
      </c>
      <c r="C83" s="45" t="n">
        <f aca="false">COUNTIF(D31:D75,"Obs")</f>
        <v>1</v>
      </c>
    </row>
    <row r="84" customFormat="false" ht="15" hidden="false" customHeight="false" outlineLevel="0" collapsed="false">
      <c r="B84" s="7" t="s">
        <v>511</v>
      </c>
      <c r="C84" s="46" t="n">
        <f aca="false">IF(C81=0,"",C82/C81)</f>
        <v>0.0416666666666667</v>
      </c>
    </row>
    <row r="85" customFormat="false" ht="15" hidden="false" customHeight="false" outlineLevel="0" collapsed="false">
      <c r="B85" s="7" t="s">
        <v>512</v>
      </c>
      <c r="C85" s="45" t="n">
        <f aca="false">COUNTIF(J31:J75,"*required*")</f>
        <v>0</v>
      </c>
    </row>
    <row r="87" customFormat="false" ht="15" hidden="false" customHeight="false" outlineLevel="0" collapsed="false">
      <c r="B87" s="7" t="s">
        <v>513</v>
      </c>
    </row>
    <row r="88" customFormat="false" ht="15" hidden="false" customHeight="false" outlineLevel="0" collapsed="false">
      <c r="B88" s="43"/>
      <c r="C88" s="43"/>
      <c r="D88" s="43"/>
      <c r="E88" s="43"/>
      <c r="F88" s="43"/>
      <c r="G88" s="43"/>
      <c r="H88" s="43"/>
      <c r="I88" s="43"/>
    </row>
    <row r="89" customFormat="false" ht="15" hidden="false" customHeight="false" outlineLevel="0" collapsed="false">
      <c r="B89" s="43"/>
      <c r="C89" s="43"/>
      <c r="D89" s="43"/>
      <c r="E89" s="43"/>
      <c r="F89" s="43"/>
      <c r="G89" s="43"/>
      <c r="H89" s="43"/>
      <c r="I89" s="43"/>
    </row>
    <row r="90" customFormat="false" ht="15" hidden="false" customHeight="false" outlineLevel="0" collapsed="false">
      <c r="B90" s="43"/>
      <c r="C90" s="43"/>
      <c r="D90" s="43"/>
      <c r="E90" s="43"/>
      <c r="F90" s="43"/>
      <c r="G90" s="43"/>
      <c r="H90" s="43"/>
      <c r="I90" s="43"/>
    </row>
  </sheetData>
  <mergeCells count="38">
    <mergeCell ref="E30:I30"/>
    <mergeCell ref="E31:I31"/>
    <mergeCell ref="E32:I32"/>
    <mergeCell ref="E33:I33"/>
    <mergeCell ref="E35:I35"/>
    <mergeCell ref="E36:I36"/>
    <mergeCell ref="E37:I37"/>
    <mergeCell ref="E38:I38"/>
    <mergeCell ref="E40:I40"/>
    <mergeCell ref="E41:I41"/>
    <mergeCell ref="E42:I42"/>
    <mergeCell ref="E43:I43"/>
    <mergeCell ref="E45:I45"/>
    <mergeCell ref="E46:I46"/>
    <mergeCell ref="E47:I47"/>
    <mergeCell ref="E49:I49"/>
    <mergeCell ref="E50:I50"/>
    <mergeCell ref="E51:I51"/>
    <mergeCell ref="E52:I52"/>
    <mergeCell ref="E54:I54"/>
    <mergeCell ref="E55:I55"/>
    <mergeCell ref="E56:I56"/>
    <mergeCell ref="E58:I58"/>
    <mergeCell ref="E59:I59"/>
    <mergeCell ref="E60:I60"/>
    <mergeCell ref="E62:I62"/>
    <mergeCell ref="E63:I63"/>
    <mergeCell ref="E64:I64"/>
    <mergeCell ref="E66:I66"/>
    <mergeCell ref="E67:I67"/>
    <mergeCell ref="E68:I68"/>
    <mergeCell ref="E69:I69"/>
    <mergeCell ref="E71:I71"/>
    <mergeCell ref="E72:I72"/>
    <mergeCell ref="E73:I73"/>
    <mergeCell ref="E74:I74"/>
    <mergeCell ref="E75:I75"/>
    <mergeCell ref="B88:I90"/>
  </mergeCells>
  <conditionalFormatting sqref="A23:J27">
    <cfRule type="expression" priority="2" aboveAverage="0" equalAverage="0" bottom="0" percent="0" rank="0" text="" dxfId="4">
      <formula>$H23="Exception"</formula>
    </cfRule>
    <cfRule type="expression" priority="3" aboveAverage="0" equalAverage="0" bottom="0" percent="0" rank="0" text="" dxfId="5">
      <formula>$F23="Variance"</formula>
    </cfRule>
  </conditionalFormatting>
  <conditionalFormatting sqref="A31:J75">
    <cfRule type="expression" priority="4" aboveAverage="0" equalAverage="0" bottom="0" percent="0" rank="0" text="" dxfId="4">
      <formula>$D31="No"</formula>
    </cfRule>
    <cfRule type="expression" priority="5" aboveAverage="0" equalAverage="0" bottom="0" percent="0" rank="0" text="" dxfId="5">
      <formula>AND($D31="Obs",$E31="")</formula>
    </cfRule>
  </conditionalFormatting>
  <dataValidations count="4">
    <dataValidation allowBlank="true" errorStyle="stop" operator="between" showDropDown="false" showErrorMessage="false" showInputMessage="false" sqref="I5:I6" type="list">
      <formula1>GradeList</formula1>
      <formula2>0</formula2>
    </dataValidation>
    <dataValidation allowBlank="true" errorStyle="stop" operator="between" showDropDown="false" showErrorMessage="false" showInputMessage="false" sqref="C8" type="list">
      <formula1>"Periodic,Targeted,Continuous"</formula1>
      <formula2>0</formula2>
    </dataValidation>
    <dataValidation allowBlank="true" errorStyle="stop" operator="between" showDropDown="false" showErrorMessage="false" showInputMessage="false" sqref="F8" type="list">
      <formula1>PropTypeList</formula1>
      <formula2>0</formula2>
    </dataValidation>
    <dataValidation allowBlank="true" errorStyle="stop" operator="between" showDropDown="false" showErrorMessage="false" showInputMessage="false" sqref="D31:D33 D36:D38 D41:D43 D46:D47 D50:D52 D55:D56 D59:D60 D63:D64 D67:D69 D72:D75" type="list">
      <formula1>AnswerList</formula1>
      <formula2>0</formula2>
    </dataValidation>
  </dataValidations>
  <printOptions headings="false" gridLines="false" gridLinesSet="true" horizontalCentered="false" verticalCentered="false"/>
  <pageMargins left="0.4" right="0.4" top="0.5" bottom="0.5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E5597"/>
    <pageSetUpPr fitToPage="true"/>
  </sheetPr>
  <dimension ref="A1:J8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1" width="8"/>
    <col collapsed="false" customWidth="true" hidden="false" outlineLevel="0" max="2" min="2" style="1" width="52"/>
    <col collapsed="false" customWidth="true" hidden="false" outlineLevel="0" max="4" min="3" style="1" width="14"/>
    <col collapsed="false" customWidth="true" hidden="false" outlineLevel="0" max="5" min="5" style="1" width="12"/>
    <col collapsed="false" customWidth="true" hidden="false" outlineLevel="0" max="7" min="6" style="1" width="14"/>
    <col collapsed="false" customWidth="true" hidden="false" outlineLevel="0" max="8" min="8" style="1" width="16"/>
    <col collapsed="false" customWidth="true" hidden="false" outlineLevel="0" max="9" min="9" style="1" width="12"/>
    <col collapsed="false" customWidth="true" hidden="false" outlineLevel="0" max="10" min="10" style="1" width="30"/>
  </cols>
  <sheetData>
    <row r="1" customFormat="false" ht="30" hidden="false" customHeight="true" outlineLevel="0" collapsed="false">
      <c r="B1" s="2" t="s">
        <v>540</v>
      </c>
    </row>
    <row r="2" customFormat="false" ht="13.5" hidden="false" customHeight="true" outlineLevel="0" collapsed="false">
      <c r="B2" s="3" t="s">
        <v>419</v>
      </c>
    </row>
    <row r="3" customFormat="false" ht="3" hidden="false" customHeight="true" outlineLevel="0" collapsed="false">
      <c r="B3" s="4"/>
      <c r="C3" s="4"/>
      <c r="D3" s="4"/>
      <c r="E3" s="4"/>
      <c r="F3" s="4"/>
      <c r="G3" s="4"/>
      <c r="H3" s="4"/>
      <c r="I3" s="4"/>
      <c r="J3" s="5"/>
    </row>
    <row r="4" customFormat="false" ht="16.5" hidden="false" customHeight="true" outlineLevel="0" collapsed="false">
      <c r="A4" s="4"/>
      <c r="B4" s="23" t="s">
        <v>420</v>
      </c>
      <c r="C4" s="24"/>
      <c r="D4" s="24"/>
      <c r="E4" s="24"/>
      <c r="F4" s="24"/>
      <c r="G4" s="24"/>
      <c r="H4" s="24"/>
      <c r="I4" s="24"/>
      <c r="J4" s="24"/>
    </row>
    <row r="5" customFormat="false" ht="15" hidden="false" customHeight="false" outlineLevel="0" collapsed="false">
      <c r="B5" s="25" t="s">
        <v>421</v>
      </c>
      <c r="C5" s="18" t="s">
        <v>541</v>
      </c>
      <c r="E5" s="25" t="s">
        <v>423</v>
      </c>
      <c r="F5" s="16" t="n">
        <v>45883</v>
      </c>
      <c r="H5" s="25" t="s">
        <v>424</v>
      </c>
      <c r="I5" s="18" t="n">
        <v>4</v>
      </c>
    </row>
    <row r="6" customFormat="false" ht="15" hidden="false" customHeight="false" outlineLevel="0" collapsed="false">
      <c r="B6" s="25" t="s">
        <v>425</v>
      </c>
      <c r="C6" s="18" t="s">
        <v>542</v>
      </c>
      <c r="E6" s="25" t="s">
        <v>427</v>
      </c>
      <c r="F6" s="16" t="n">
        <v>45808</v>
      </c>
      <c r="H6" s="25" t="s">
        <v>428</v>
      </c>
      <c r="I6" s="18" t="n">
        <v>4</v>
      </c>
    </row>
    <row r="7" customFormat="false" ht="15" hidden="false" customHeight="false" outlineLevel="0" collapsed="false">
      <c r="B7" s="25" t="s">
        <v>429</v>
      </c>
      <c r="C7" s="19" t="n">
        <v>27500</v>
      </c>
      <c r="E7" s="25" t="s">
        <v>430</v>
      </c>
      <c r="F7" s="18" t="s">
        <v>431</v>
      </c>
      <c r="H7" s="25" t="s">
        <v>432</v>
      </c>
      <c r="I7" s="26" t="str">
        <f aca="false">IF($I$6="","",VLOOKUP($I$6,Lists!$D$2:$E$9,2,0))</f>
        <v>Pass</v>
      </c>
    </row>
    <row r="8" customFormat="false" ht="15" hidden="false" customHeight="false" outlineLevel="0" collapsed="false">
      <c r="B8" s="25" t="s">
        <v>433</v>
      </c>
      <c r="C8" s="18" t="s">
        <v>100</v>
      </c>
      <c r="E8" s="25" t="s">
        <v>434</v>
      </c>
      <c r="F8" s="18"/>
      <c r="H8" s="25" t="s">
        <v>435</v>
      </c>
      <c r="I8" s="27" t="str">
        <f aca="false">IF(OR($I$5="",$I$6=""),"",IF($I$5=$I$6,"Concur","Grade Change"))</f>
        <v>Concur</v>
      </c>
    </row>
    <row r="10" customFormat="false" ht="16.5" hidden="false" customHeight="true" outlineLevel="0" collapsed="false">
      <c r="A10" s="4"/>
      <c r="B10" s="23" t="s">
        <v>436</v>
      </c>
      <c r="C10" s="24"/>
      <c r="D10" s="24"/>
      <c r="E10" s="24"/>
      <c r="F10" s="24"/>
      <c r="G10" s="24"/>
      <c r="H10" s="24"/>
      <c r="I10" s="24"/>
      <c r="J10" s="24"/>
    </row>
    <row r="11" customFormat="false" ht="13.5" hidden="false" customHeight="true" outlineLevel="0" collapsed="false">
      <c r="A11" s="28"/>
      <c r="B11" s="28" t="s">
        <v>437</v>
      </c>
      <c r="C11" s="28" t="s">
        <v>438</v>
      </c>
      <c r="D11" s="28" t="s">
        <v>439</v>
      </c>
    </row>
    <row r="12" customFormat="false" ht="15" hidden="false" customHeight="false" outlineLevel="0" collapsed="false">
      <c r="B12" s="10" t="s">
        <v>543</v>
      </c>
      <c r="C12" s="19" t="n">
        <v>22400</v>
      </c>
      <c r="D12" s="17"/>
    </row>
    <row r="13" customFormat="false" ht="15" hidden="false" customHeight="false" outlineLevel="0" collapsed="false">
      <c r="B13" s="10" t="s">
        <v>544</v>
      </c>
      <c r="C13" s="52" t="n">
        <v>4300</v>
      </c>
      <c r="D13" s="17" t="s">
        <v>545</v>
      </c>
    </row>
    <row r="14" customFormat="false" ht="15" hidden="false" customHeight="false" outlineLevel="0" collapsed="false">
      <c r="B14" s="10" t="s">
        <v>448</v>
      </c>
      <c r="C14" s="19" t="n">
        <v>152000</v>
      </c>
      <c r="D14" s="17"/>
    </row>
    <row r="15" customFormat="false" ht="15" hidden="false" customHeight="false" outlineLevel="0" collapsed="false">
      <c r="B15" s="10" t="s">
        <v>449</v>
      </c>
      <c r="C15" s="19" t="n">
        <v>98000</v>
      </c>
      <c r="D15" s="17"/>
    </row>
    <row r="16" customFormat="false" ht="15" hidden="false" customHeight="false" outlineLevel="0" collapsed="false">
      <c r="B16" s="10" t="s">
        <v>546</v>
      </c>
      <c r="C16" s="19" t="n">
        <v>11500</v>
      </c>
      <c r="D16" s="17" t="s">
        <v>547</v>
      </c>
    </row>
    <row r="17" customFormat="false" ht="15" hidden="false" customHeight="false" outlineLevel="0" collapsed="false">
      <c r="B17" s="10" t="s">
        <v>548</v>
      </c>
      <c r="C17" s="19" t="n">
        <v>240000</v>
      </c>
      <c r="D17" s="17"/>
    </row>
    <row r="18" customFormat="false" ht="15" hidden="false" customHeight="false" outlineLevel="0" collapsed="false">
      <c r="B18" s="10" t="s">
        <v>442</v>
      </c>
      <c r="C18" s="19" t="n">
        <v>13900</v>
      </c>
      <c r="D18" s="17"/>
    </row>
    <row r="20" customFormat="false" ht="16.5" hidden="false" customHeight="true" outlineLevel="0" collapsed="false">
      <c r="A20" s="4"/>
      <c r="B20" s="23" t="s">
        <v>460</v>
      </c>
      <c r="C20" s="24"/>
      <c r="D20" s="24"/>
      <c r="E20" s="24"/>
      <c r="F20" s="24"/>
      <c r="G20" s="24"/>
      <c r="H20" s="24"/>
      <c r="I20" s="24"/>
      <c r="J20" s="24"/>
    </row>
    <row r="21" customFormat="false" ht="21.75" hidden="false" customHeight="true" outlineLevel="0" collapsed="false">
      <c r="A21" s="28" t="s">
        <v>461</v>
      </c>
      <c r="B21" s="28" t="s">
        <v>462</v>
      </c>
      <c r="C21" s="28" t="s">
        <v>463</v>
      </c>
      <c r="D21" s="28" t="s">
        <v>464</v>
      </c>
      <c r="E21" s="28" t="s">
        <v>465</v>
      </c>
      <c r="F21" s="28" t="s">
        <v>466</v>
      </c>
      <c r="G21" s="28" t="s">
        <v>467</v>
      </c>
      <c r="H21" s="28" t="s">
        <v>468</v>
      </c>
      <c r="I21" s="28"/>
      <c r="J21" s="28" t="s">
        <v>469</v>
      </c>
    </row>
    <row r="22" customFormat="false" ht="15" hidden="false" customHeight="false" outlineLevel="0" collapsed="false">
      <c r="A22" s="17" t="s">
        <v>549</v>
      </c>
      <c r="B22" s="10" t="s">
        <v>550</v>
      </c>
      <c r="C22" s="51" t="n">
        <f aca="false">$C$12+$C$13</f>
        <v>26700</v>
      </c>
      <c r="D22" s="19"/>
      <c r="E22" s="51" t="str">
        <f aca="false">IF(OR(ISTEXT(C22),C22="",D22=""),"",C22-D22)</f>
        <v/>
      </c>
      <c r="F22" s="27" t="str">
        <f aca="false">IF(E22="","",IF(ABS(E22)&lt;=0.05*MAX(ABS(D22),0.0001),"Aligned","Variance"))</f>
        <v/>
      </c>
      <c r="G22" s="21"/>
      <c r="H22" s="36" t="s">
        <v>478</v>
      </c>
      <c r="J22" s="32"/>
    </row>
    <row r="23" customFormat="false" ht="15" hidden="false" customHeight="false" outlineLevel="0" collapsed="false">
      <c r="A23" s="17" t="s">
        <v>551</v>
      </c>
      <c r="B23" s="10" t="s">
        <v>552</v>
      </c>
      <c r="C23" s="49" t="n">
        <f aca="false">IF(($C$12+$C$13)=0,"n/m",$C$13/($C$12+$C$13))</f>
        <v>0.161048689138577</v>
      </c>
      <c r="D23" s="47"/>
      <c r="E23" s="49" t="str">
        <f aca="false">IF(OR(ISTEXT(C23),C23="",D23=""),"",C23-D23)</f>
        <v/>
      </c>
      <c r="F23" s="27" t="str">
        <f aca="false">IF(E23="","",IF(ABS(E23)&lt;=0.05*MAX(ABS(D23),0.0001),"Aligned","Variance"))</f>
        <v/>
      </c>
      <c r="G23" s="21"/>
      <c r="H23" s="36" t="s">
        <v>478</v>
      </c>
      <c r="J23" s="32"/>
    </row>
    <row r="24" customFormat="false" ht="15" hidden="false" customHeight="false" outlineLevel="0" collapsed="false">
      <c r="A24" s="17" t="s">
        <v>553</v>
      </c>
      <c r="B24" s="10" t="s">
        <v>554</v>
      </c>
      <c r="C24" s="29" t="n">
        <f aca="false">IF(($C$12+$C$13)&lt;=0,"n/m",$C$14/($C$12+$C$13))</f>
        <v>5.69288389513109</v>
      </c>
      <c r="D24" s="30" t="n">
        <v>5.7</v>
      </c>
      <c r="E24" s="29" t="n">
        <f aca="false">IF(OR(ISTEXT(C24),C24="",D24=""),"",C24-D24)</f>
        <v>-0.00711610486891434</v>
      </c>
      <c r="F24" s="27" t="str">
        <f aca="false">IF(E24="","",IF(ABS(E24)&lt;=0.05*MAX(ABS(D24),0.0001),"Aligned","Variance"))</f>
        <v>Aligned</v>
      </c>
      <c r="G24" s="31" t="n">
        <f aca="false">IF(SUMPRODUCT(MAX((Crosswalk!$O$2:$O$300="Total Debt / EBITDA|"&amp;PrimaryAgency)*(Crosswalk!$H$2:$H$300&lt;&gt;"")*(Crosswalk!$H$2:$H$300&lt;=$F$5)*((Crosswalk!$I$2:$I$300="")+(Crosswalk!$I$2:$I$300&gt;$F$5))*Crosswalk!$C$2:$C$300))=0,"",SUMPRODUCT(MAX((Crosswalk!$O$2:$O$300="Total Debt / EBITDA|"&amp;PrimaryAgency)*(Crosswalk!$H$2:$H$300&lt;&gt;"")*(Crosswalk!$H$2:$H$300&lt;=$F$5)*((Crosswalk!$I$2:$I$300="")+(Crosswalk!$I$2:$I$300&gt;$F$5))*Crosswalk!$C$2:$C$300)))</f>
        <v>6</v>
      </c>
      <c r="H24" s="27" t="str">
        <f aca="false">IF(OR(G24="",ISTEXT(C24),C24=""),"n/a",IF(C24&gt;G24,"Exception","Pass"))</f>
        <v>Pass</v>
      </c>
      <c r="J24" s="32"/>
    </row>
    <row r="25" customFormat="false" ht="15" hidden="false" customHeight="false" outlineLevel="0" collapsed="false">
      <c r="A25" s="17" t="s">
        <v>555</v>
      </c>
      <c r="B25" s="10" t="s">
        <v>556</v>
      </c>
      <c r="C25" s="29" t="n">
        <f aca="false">IF(($C$12+$C$13)&lt;=0,"n/m",$C$15/($C$12+$C$13))</f>
        <v>3.67041198501873</v>
      </c>
      <c r="D25" s="30" t="n">
        <v>3.7</v>
      </c>
      <c r="E25" s="29" t="n">
        <f aca="false">IF(OR(ISTEXT(C25),C25="",D25=""),"",C25-D25)</f>
        <v>-0.0295880149812735</v>
      </c>
      <c r="F25" s="27" t="str">
        <f aca="false">IF(E25="","",IF(ABS(E25)&lt;=0.05*MAX(ABS(D25),0.0001),"Aligned","Variance"))</f>
        <v>Aligned</v>
      </c>
      <c r="G25" s="31" t="n">
        <f aca="false">IF(SUMPRODUCT(MAX((Crosswalk!$O$2:$O$300="Senior Debt / EBITDA|"&amp;PrimaryAgency)*(Crosswalk!$H$2:$H$300&lt;&gt;"")*(Crosswalk!$H$2:$H$300&lt;=$F$5)*((Crosswalk!$I$2:$I$300="")+(Crosswalk!$I$2:$I$300&gt;$F$5))*Crosswalk!$C$2:$C$300))=0,"",SUMPRODUCT(MAX((Crosswalk!$O$2:$O$300="Senior Debt / EBITDA|"&amp;PrimaryAgency)*(Crosswalk!$H$2:$H$300&lt;&gt;"")*(Crosswalk!$H$2:$H$300&lt;=$F$5)*((Crosswalk!$I$2:$I$300="")+(Crosswalk!$I$2:$I$300&gt;$F$5))*Crosswalk!$C$2:$C$300)))</f>
        <v>3</v>
      </c>
      <c r="H25" s="27" t="str">
        <f aca="false">IF(OR(G25="",ISTEXT(C25),C25=""),"n/a",IF(C25&gt;G25,"Exception","Pass"))</f>
        <v>Exception</v>
      </c>
      <c r="J25" s="32"/>
    </row>
    <row r="26" customFormat="false" ht="15" hidden="false" customHeight="false" outlineLevel="0" collapsed="false">
      <c r="A26" s="17" t="s">
        <v>557</v>
      </c>
      <c r="B26" s="10" t="s">
        <v>480</v>
      </c>
      <c r="C26" s="29" t="n">
        <f aca="false">IF($C$18=0,"n/m",($C$12+$C$13)/$C$18)</f>
        <v>1.92086330935252</v>
      </c>
      <c r="D26" s="30"/>
      <c r="E26" s="29" t="str">
        <f aca="false">IF(OR(ISTEXT(C26),C26="",D26=""),"",C26-D26)</f>
        <v/>
      </c>
      <c r="F26" s="27" t="str">
        <f aca="false">IF(E26="","",IF(ABS(E26)&lt;=0.05*MAX(ABS(D26),0.0001),"Aligned","Variance"))</f>
        <v/>
      </c>
      <c r="G26" s="21"/>
      <c r="H26" s="36" t="s">
        <v>478</v>
      </c>
      <c r="J26" s="32"/>
    </row>
    <row r="27" customFormat="false" ht="15" hidden="false" customHeight="false" outlineLevel="0" collapsed="false">
      <c r="A27" s="17" t="s">
        <v>558</v>
      </c>
      <c r="B27" s="10" t="s">
        <v>559</v>
      </c>
      <c r="C27" s="53" t="n">
        <f aca="false">IF($C$16&lt;=0,"n/m",0.5*$C$14/$C$16)</f>
        <v>6.60869565217391</v>
      </c>
      <c r="D27" s="54" t="n">
        <v>6.6</v>
      </c>
      <c r="E27" s="53" t="n">
        <f aca="false">IF(OR(ISTEXT(C27),C27="",D27=""),"",C27-D27)</f>
        <v>0.00869565217391344</v>
      </c>
      <c r="F27" s="27" t="str">
        <f aca="false">IF(E27="","",IF(ABS(E27)&lt;=0.05*MAX(ABS(D27),0.0001),"Aligned","Variance"))</f>
        <v>Aligned</v>
      </c>
      <c r="G27" s="21"/>
      <c r="H27" s="36" t="s">
        <v>478</v>
      </c>
      <c r="J27" s="32"/>
    </row>
    <row r="28" customFormat="false" ht="15" hidden="false" customHeight="false" outlineLevel="0" collapsed="false">
      <c r="A28" s="17" t="s">
        <v>560</v>
      </c>
      <c r="B28" s="10" t="s">
        <v>561</v>
      </c>
      <c r="C28" s="49" t="n">
        <f aca="false">IF($C$17=0,"n/m",($C$17-$C$14)/$C$17)</f>
        <v>0.366666666666667</v>
      </c>
      <c r="D28" s="47"/>
      <c r="E28" s="49" t="str">
        <f aca="false">IF(OR(ISTEXT(C28),C28="",D28=""),"",C28-D28)</f>
        <v/>
      </c>
      <c r="F28" s="27" t="str">
        <f aca="false">IF(E28="","",IF(ABS(E28)&lt;=0.05*MAX(ABS(D28),0.0001),"Aligned","Variance"))</f>
        <v/>
      </c>
      <c r="G28" s="21"/>
      <c r="H28" s="36" t="s">
        <v>478</v>
      </c>
      <c r="J28" s="32"/>
    </row>
    <row r="30" customFormat="false" ht="16.5" hidden="false" customHeight="true" outlineLevel="0" collapsed="false">
      <c r="A30" s="4"/>
      <c r="B30" s="23" t="s">
        <v>489</v>
      </c>
      <c r="C30" s="24"/>
      <c r="D30" s="24"/>
      <c r="E30" s="24"/>
      <c r="F30" s="24"/>
      <c r="G30" s="24"/>
      <c r="H30" s="24"/>
      <c r="I30" s="24"/>
      <c r="J30" s="24"/>
    </row>
    <row r="31" customFormat="false" ht="21.75" hidden="false" customHeight="true" outlineLevel="0" collapsed="false">
      <c r="A31" s="28" t="s">
        <v>461</v>
      </c>
      <c r="B31" s="28" t="s">
        <v>490</v>
      </c>
      <c r="C31" s="28" t="s">
        <v>93</v>
      </c>
      <c r="D31" s="28" t="s">
        <v>491</v>
      </c>
      <c r="E31" s="28" t="s">
        <v>492</v>
      </c>
      <c r="F31" s="28"/>
      <c r="G31" s="28"/>
      <c r="H31" s="28"/>
      <c r="I31" s="28"/>
      <c r="J31" s="28" t="s">
        <v>493</v>
      </c>
    </row>
    <row r="32" customFormat="false" ht="25.5" hidden="false" customHeight="true" outlineLevel="0" collapsed="false">
      <c r="A32" s="39" t="s">
        <v>233</v>
      </c>
      <c r="B32" s="40" t="s">
        <v>134</v>
      </c>
      <c r="C32" s="41" t="s">
        <v>99</v>
      </c>
      <c r="D32" s="42" t="s">
        <v>16</v>
      </c>
      <c r="E32" s="43"/>
      <c r="F32" s="43"/>
      <c r="G32" s="43"/>
      <c r="H32" s="43"/>
      <c r="I32" s="43"/>
      <c r="J32" s="44" t="str">
        <f aca="false">IF(AND(D32="Obs",E32=""),"Note required",IF(AND(D32="No",E32=""),"Rationale required",""))</f>
        <v/>
      </c>
    </row>
    <row r="33" customFormat="false" ht="25.5" hidden="false" customHeight="true" outlineLevel="0" collapsed="false">
      <c r="A33" s="39" t="s">
        <v>235</v>
      </c>
      <c r="B33" s="40" t="s">
        <v>136</v>
      </c>
      <c r="C33" s="41" t="s">
        <v>99</v>
      </c>
      <c r="D33" s="42" t="s">
        <v>16</v>
      </c>
      <c r="E33" s="43"/>
      <c r="F33" s="43"/>
      <c r="G33" s="43"/>
      <c r="H33" s="43"/>
      <c r="I33" s="43"/>
      <c r="J33" s="44" t="str">
        <f aca="false">IF(AND(D33="Obs",E33=""),"Note required",IF(AND(D33="No",E33=""),"Rationale required",""))</f>
        <v/>
      </c>
    </row>
    <row r="34" customFormat="false" ht="25.5" hidden="false" customHeight="true" outlineLevel="0" collapsed="false">
      <c r="A34" s="39" t="s">
        <v>236</v>
      </c>
      <c r="B34" s="40" t="s">
        <v>138</v>
      </c>
      <c r="C34" s="41" t="s">
        <v>105</v>
      </c>
      <c r="D34" s="42" t="s">
        <v>16</v>
      </c>
      <c r="E34" s="43"/>
      <c r="F34" s="43"/>
      <c r="G34" s="43"/>
      <c r="H34" s="43"/>
      <c r="I34" s="43"/>
      <c r="J34" s="44" t="str">
        <f aca="false">IF(AND(D34="Obs",E34=""),"Note required",IF(AND(D34="No",E34=""),"Rationale required",""))</f>
        <v/>
      </c>
    </row>
    <row r="35" customFormat="false" ht="16.5" hidden="false" customHeight="true" outlineLevel="0" collapsed="false">
      <c r="A35" s="4"/>
      <c r="B35" s="23" t="s">
        <v>494</v>
      </c>
      <c r="C35" s="24"/>
      <c r="D35" s="24"/>
      <c r="E35" s="24"/>
      <c r="F35" s="24"/>
      <c r="G35" s="24"/>
      <c r="H35" s="24"/>
      <c r="I35" s="24"/>
      <c r="J35" s="24"/>
    </row>
    <row r="36" customFormat="false" ht="21.75" hidden="false" customHeight="true" outlineLevel="0" collapsed="false">
      <c r="A36" s="28" t="s">
        <v>461</v>
      </c>
      <c r="B36" s="28" t="s">
        <v>490</v>
      </c>
      <c r="C36" s="28" t="s">
        <v>93</v>
      </c>
      <c r="D36" s="28" t="s">
        <v>491</v>
      </c>
      <c r="E36" s="28" t="s">
        <v>492</v>
      </c>
      <c r="F36" s="28"/>
      <c r="G36" s="28"/>
      <c r="H36" s="28"/>
      <c r="I36" s="28"/>
      <c r="J36" s="28" t="s">
        <v>493</v>
      </c>
    </row>
    <row r="37" customFormat="false" ht="25.5" hidden="false" customHeight="true" outlineLevel="0" collapsed="false">
      <c r="A37" s="39" t="s">
        <v>237</v>
      </c>
      <c r="B37" s="40" t="s">
        <v>141</v>
      </c>
      <c r="C37" s="41" t="s">
        <v>99</v>
      </c>
      <c r="D37" s="42" t="s">
        <v>16</v>
      </c>
      <c r="E37" s="43"/>
      <c r="F37" s="43"/>
      <c r="G37" s="43"/>
      <c r="H37" s="43"/>
      <c r="I37" s="43"/>
      <c r="J37" s="44" t="str">
        <f aca="false">IF(AND(D37="Obs",E37=""),"Note required",IF(AND(D37="No",E37=""),"Rationale required",""))</f>
        <v/>
      </c>
    </row>
    <row r="38" customFormat="false" ht="25.5" hidden="false" customHeight="true" outlineLevel="0" collapsed="false">
      <c r="A38" s="39" t="s">
        <v>238</v>
      </c>
      <c r="B38" s="40" t="s">
        <v>143</v>
      </c>
      <c r="C38" s="41" t="s">
        <v>105</v>
      </c>
      <c r="D38" s="42" t="s">
        <v>16</v>
      </c>
      <c r="E38" s="43"/>
      <c r="F38" s="43"/>
      <c r="G38" s="43"/>
      <c r="H38" s="43"/>
      <c r="I38" s="43"/>
      <c r="J38" s="44" t="str">
        <f aca="false">IF(AND(D38="Obs",E38=""),"Note required",IF(AND(D38="No",E38=""),"Rationale required",""))</f>
        <v/>
      </c>
    </row>
    <row r="39" customFormat="false" ht="25.5" hidden="false" customHeight="true" outlineLevel="0" collapsed="false">
      <c r="A39" s="39" t="s">
        <v>239</v>
      </c>
      <c r="B39" s="40" t="s">
        <v>145</v>
      </c>
      <c r="C39" s="41" t="s">
        <v>99</v>
      </c>
      <c r="D39" s="42" t="s">
        <v>16</v>
      </c>
      <c r="E39" s="43"/>
      <c r="F39" s="43"/>
      <c r="G39" s="43"/>
      <c r="H39" s="43"/>
      <c r="I39" s="43"/>
      <c r="J39" s="44" t="str">
        <f aca="false">IF(AND(D39="Obs",E39=""),"Note required",IF(AND(D39="No",E39=""),"Rationale required",""))</f>
        <v/>
      </c>
    </row>
    <row r="40" customFormat="false" ht="16.5" hidden="false" customHeight="true" outlineLevel="0" collapsed="false">
      <c r="A40" s="4"/>
      <c r="B40" s="23" t="s">
        <v>495</v>
      </c>
      <c r="C40" s="24"/>
      <c r="D40" s="24"/>
      <c r="E40" s="24"/>
      <c r="F40" s="24"/>
      <c r="G40" s="24"/>
      <c r="H40" s="24"/>
      <c r="I40" s="24"/>
      <c r="J40" s="24"/>
    </row>
    <row r="41" customFormat="false" ht="21.75" hidden="false" customHeight="true" outlineLevel="0" collapsed="false">
      <c r="A41" s="28" t="s">
        <v>461</v>
      </c>
      <c r="B41" s="28" t="s">
        <v>490</v>
      </c>
      <c r="C41" s="28" t="s">
        <v>93</v>
      </c>
      <c r="D41" s="28" t="s">
        <v>491</v>
      </c>
      <c r="E41" s="28" t="s">
        <v>492</v>
      </c>
      <c r="F41" s="28"/>
      <c r="G41" s="28"/>
      <c r="H41" s="28"/>
      <c r="I41" s="28"/>
      <c r="J41" s="28" t="s">
        <v>493</v>
      </c>
    </row>
    <row r="42" customFormat="false" ht="25.5" hidden="false" customHeight="true" outlineLevel="0" collapsed="false">
      <c r="A42" s="39" t="s">
        <v>240</v>
      </c>
      <c r="B42" s="40" t="s">
        <v>148</v>
      </c>
      <c r="C42" s="41" t="s">
        <v>99</v>
      </c>
      <c r="D42" s="42" t="s">
        <v>16</v>
      </c>
      <c r="E42" s="43"/>
      <c r="F42" s="43"/>
      <c r="G42" s="43"/>
      <c r="H42" s="43"/>
      <c r="I42" s="43"/>
      <c r="J42" s="44" t="str">
        <f aca="false">IF(AND(D42="Obs",E42=""),"Note required",IF(AND(D42="No",E42=""),"Rationale required",""))</f>
        <v/>
      </c>
    </row>
    <row r="43" customFormat="false" ht="25.5" hidden="false" customHeight="true" outlineLevel="0" collapsed="false">
      <c r="A43" s="39" t="s">
        <v>241</v>
      </c>
      <c r="B43" s="40" t="s">
        <v>150</v>
      </c>
      <c r="C43" s="41" t="s">
        <v>105</v>
      </c>
      <c r="D43" s="42" t="s">
        <v>16</v>
      </c>
      <c r="E43" s="43"/>
      <c r="F43" s="43"/>
      <c r="G43" s="43"/>
      <c r="H43" s="43"/>
      <c r="I43" s="43"/>
      <c r="J43" s="44" t="str">
        <f aca="false">IF(AND(D43="Obs",E43=""),"Note required",IF(AND(D43="No",E43=""),"Rationale required",""))</f>
        <v/>
      </c>
    </row>
    <row r="44" customFormat="false" ht="25.5" hidden="false" customHeight="true" outlineLevel="0" collapsed="false">
      <c r="A44" s="39" t="s">
        <v>242</v>
      </c>
      <c r="B44" s="40" t="s">
        <v>152</v>
      </c>
      <c r="C44" s="41" t="s">
        <v>99</v>
      </c>
      <c r="D44" s="42" t="s">
        <v>16</v>
      </c>
      <c r="E44" s="43"/>
      <c r="F44" s="43"/>
      <c r="G44" s="43"/>
      <c r="H44" s="43"/>
      <c r="I44" s="43"/>
      <c r="J44" s="44" t="str">
        <f aca="false">IF(AND(D44="Obs",E44=""),"Note required",IF(AND(D44="No",E44=""),"Rationale required",""))</f>
        <v/>
      </c>
    </row>
    <row r="45" customFormat="false" ht="16.5" hidden="false" customHeight="true" outlineLevel="0" collapsed="false">
      <c r="A45" s="4"/>
      <c r="B45" s="23" t="s">
        <v>497</v>
      </c>
      <c r="C45" s="24"/>
      <c r="D45" s="24"/>
      <c r="E45" s="24"/>
      <c r="F45" s="24"/>
      <c r="G45" s="24"/>
      <c r="H45" s="24"/>
      <c r="I45" s="24"/>
      <c r="J45" s="24"/>
    </row>
    <row r="46" customFormat="false" ht="21.75" hidden="false" customHeight="true" outlineLevel="0" collapsed="false">
      <c r="A46" s="28" t="s">
        <v>461</v>
      </c>
      <c r="B46" s="28" t="s">
        <v>490</v>
      </c>
      <c r="C46" s="28" t="s">
        <v>93</v>
      </c>
      <c r="D46" s="28" t="s">
        <v>491</v>
      </c>
      <c r="E46" s="28" t="s">
        <v>492</v>
      </c>
      <c r="F46" s="28"/>
      <c r="G46" s="28"/>
      <c r="H46" s="28"/>
      <c r="I46" s="28"/>
      <c r="J46" s="28" t="s">
        <v>493</v>
      </c>
    </row>
    <row r="47" customFormat="false" ht="25.5" hidden="false" customHeight="true" outlineLevel="0" collapsed="false">
      <c r="A47" s="39" t="s">
        <v>243</v>
      </c>
      <c r="B47" s="40" t="s">
        <v>155</v>
      </c>
      <c r="C47" s="41" t="s">
        <v>105</v>
      </c>
      <c r="D47" s="42" t="s">
        <v>20</v>
      </c>
      <c r="E47" s="43"/>
      <c r="F47" s="43"/>
      <c r="G47" s="43"/>
      <c r="H47" s="43"/>
      <c r="I47" s="43"/>
      <c r="J47" s="44" t="str">
        <f aca="false">IF(AND(D47="Obs",E47=""),"Note required",IF(AND(D47="No",E47=""),"Rationale required",""))</f>
        <v/>
      </c>
    </row>
    <row r="48" customFormat="false" ht="25.5" hidden="false" customHeight="true" outlineLevel="0" collapsed="false">
      <c r="A48" s="39" t="s">
        <v>244</v>
      </c>
      <c r="B48" s="40" t="s">
        <v>157</v>
      </c>
      <c r="C48" s="41" t="s">
        <v>105</v>
      </c>
      <c r="D48" s="42" t="s">
        <v>16</v>
      </c>
      <c r="E48" s="43"/>
      <c r="F48" s="43"/>
      <c r="G48" s="43"/>
      <c r="H48" s="43"/>
      <c r="I48" s="43"/>
      <c r="J48" s="44" t="str">
        <f aca="false">IF(AND(D48="Obs",E48=""),"Note required",IF(AND(D48="No",E48=""),"Rationale required",""))</f>
        <v/>
      </c>
    </row>
    <row r="49" customFormat="false" ht="16.5" hidden="false" customHeight="true" outlineLevel="0" collapsed="false">
      <c r="A49" s="4"/>
      <c r="B49" s="23" t="s">
        <v>498</v>
      </c>
      <c r="C49" s="24"/>
      <c r="D49" s="24"/>
      <c r="E49" s="24"/>
      <c r="F49" s="24"/>
      <c r="G49" s="24"/>
      <c r="H49" s="24"/>
      <c r="I49" s="24"/>
      <c r="J49" s="24"/>
    </row>
    <row r="50" customFormat="false" ht="21.75" hidden="false" customHeight="true" outlineLevel="0" collapsed="false">
      <c r="A50" s="28" t="s">
        <v>461</v>
      </c>
      <c r="B50" s="28" t="s">
        <v>490</v>
      </c>
      <c r="C50" s="28" t="s">
        <v>93</v>
      </c>
      <c r="D50" s="28" t="s">
        <v>491</v>
      </c>
      <c r="E50" s="28" t="s">
        <v>492</v>
      </c>
      <c r="F50" s="28"/>
      <c r="G50" s="28"/>
      <c r="H50" s="28"/>
      <c r="I50" s="28"/>
      <c r="J50" s="28" t="s">
        <v>493</v>
      </c>
    </row>
    <row r="51" customFormat="false" ht="25.5" hidden="false" customHeight="true" outlineLevel="0" collapsed="false">
      <c r="A51" s="39" t="s">
        <v>245</v>
      </c>
      <c r="B51" s="40" t="s">
        <v>160</v>
      </c>
      <c r="C51" s="41" t="s">
        <v>99</v>
      </c>
      <c r="D51" s="42" t="s">
        <v>22</v>
      </c>
      <c r="E51" s="43" t="s">
        <v>562</v>
      </c>
      <c r="F51" s="43"/>
      <c r="G51" s="43"/>
      <c r="H51" s="43"/>
      <c r="I51" s="43"/>
      <c r="J51" s="44" t="str">
        <f aca="false">IF(AND(D51="Obs",E51=""),"Note required",IF(AND(D51="No",E51=""),"Rationale required",""))</f>
        <v/>
      </c>
    </row>
    <row r="52" customFormat="false" ht="25.5" hidden="false" customHeight="true" outlineLevel="0" collapsed="false">
      <c r="A52" s="39" t="s">
        <v>246</v>
      </c>
      <c r="B52" s="40" t="s">
        <v>162</v>
      </c>
      <c r="C52" s="41" t="s">
        <v>99</v>
      </c>
      <c r="D52" s="42" t="s">
        <v>18</v>
      </c>
      <c r="E52" s="43" t="s">
        <v>563</v>
      </c>
      <c r="F52" s="43"/>
      <c r="G52" s="43"/>
      <c r="H52" s="43"/>
      <c r="I52" s="43"/>
      <c r="J52" s="44" t="str">
        <f aca="false">IF(AND(D52="Obs",E52=""),"Note required",IF(AND(D52="No",E52=""),"Rationale required",""))</f>
        <v/>
      </c>
    </row>
    <row r="53" customFormat="false" ht="25.5" hidden="false" customHeight="true" outlineLevel="0" collapsed="false">
      <c r="A53" s="39" t="s">
        <v>247</v>
      </c>
      <c r="B53" s="40" t="s">
        <v>164</v>
      </c>
      <c r="C53" s="41" t="s">
        <v>110</v>
      </c>
      <c r="D53" s="42" t="s">
        <v>16</v>
      </c>
      <c r="E53" s="43"/>
      <c r="F53" s="43"/>
      <c r="G53" s="43"/>
      <c r="H53" s="43"/>
      <c r="I53" s="43"/>
      <c r="J53" s="44" t="str">
        <f aca="false">IF(AND(D53="Obs",E53=""),"Note required",IF(AND(D53="No",E53=""),"Rationale required",""))</f>
        <v/>
      </c>
    </row>
    <row r="54" customFormat="false" ht="16.5" hidden="false" customHeight="true" outlineLevel="0" collapsed="false">
      <c r="A54" s="4"/>
      <c r="B54" s="23" t="s">
        <v>499</v>
      </c>
      <c r="C54" s="24"/>
      <c r="D54" s="24"/>
      <c r="E54" s="24"/>
      <c r="F54" s="24"/>
      <c r="G54" s="24"/>
      <c r="H54" s="24"/>
      <c r="I54" s="24"/>
      <c r="J54" s="24"/>
    </row>
    <row r="55" customFormat="false" ht="21.75" hidden="false" customHeight="true" outlineLevel="0" collapsed="false">
      <c r="A55" s="28" t="s">
        <v>461</v>
      </c>
      <c r="B55" s="28" t="s">
        <v>490</v>
      </c>
      <c r="C55" s="28" t="s">
        <v>93</v>
      </c>
      <c r="D55" s="28" t="s">
        <v>491</v>
      </c>
      <c r="E55" s="28" t="s">
        <v>492</v>
      </c>
      <c r="F55" s="28"/>
      <c r="G55" s="28"/>
      <c r="H55" s="28"/>
      <c r="I55" s="28"/>
      <c r="J55" s="28" t="s">
        <v>493</v>
      </c>
    </row>
    <row r="56" customFormat="false" ht="25.5" hidden="false" customHeight="true" outlineLevel="0" collapsed="false">
      <c r="A56" s="39" t="s">
        <v>248</v>
      </c>
      <c r="B56" s="40" t="s">
        <v>167</v>
      </c>
      <c r="C56" s="41" t="s">
        <v>99</v>
      </c>
      <c r="D56" s="42" t="s">
        <v>16</v>
      </c>
      <c r="E56" s="43"/>
      <c r="F56" s="43"/>
      <c r="G56" s="43"/>
      <c r="H56" s="43"/>
      <c r="I56" s="43"/>
      <c r="J56" s="44" t="str">
        <f aca="false">IF(AND(D56="Obs",E56=""),"Note required",IF(AND(D56="No",E56=""),"Rationale required",""))</f>
        <v/>
      </c>
    </row>
    <row r="57" customFormat="false" ht="25.5" hidden="false" customHeight="true" outlineLevel="0" collapsed="false">
      <c r="A57" s="39" t="s">
        <v>249</v>
      </c>
      <c r="B57" s="40" t="s">
        <v>169</v>
      </c>
      <c r="C57" s="41" t="s">
        <v>105</v>
      </c>
      <c r="D57" s="42" t="s">
        <v>16</v>
      </c>
      <c r="E57" s="43"/>
      <c r="F57" s="43"/>
      <c r="G57" s="43"/>
      <c r="H57" s="43"/>
      <c r="I57" s="43"/>
      <c r="J57" s="44" t="str">
        <f aca="false">IF(AND(D57="Obs",E57=""),"Note required",IF(AND(D57="No",E57=""),"Rationale required",""))</f>
        <v/>
      </c>
    </row>
    <row r="58" customFormat="false" ht="16.5" hidden="false" customHeight="true" outlineLevel="0" collapsed="false">
      <c r="A58" s="4"/>
      <c r="B58" s="23" t="s">
        <v>500</v>
      </c>
      <c r="C58" s="24"/>
      <c r="D58" s="24"/>
      <c r="E58" s="24"/>
      <c r="F58" s="24"/>
      <c r="G58" s="24"/>
      <c r="H58" s="24"/>
      <c r="I58" s="24"/>
      <c r="J58" s="24"/>
    </row>
    <row r="59" customFormat="false" ht="21.75" hidden="false" customHeight="true" outlineLevel="0" collapsed="false">
      <c r="A59" s="28" t="s">
        <v>461</v>
      </c>
      <c r="B59" s="28" t="s">
        <v>490</v>
      </c>
      <c r="C59" s="28" t="s">
        <v>93</v>
      </c>
      <c r="D59" s="28" t="s">
        <v>491</v>
      </c>
      <c r="E59" s="28" t="s">
        <v>492</v>
      </c>
      <c r="F59" s="28"/>
      <c r="G59" s="28"/>
      <c r="H59" s="28"/>
      <c r="I59" s="28"/>
      <c r="J59" s="28" t="s">
        <v>493</v>
      </c>
    </row>
    <row r="60" customFormat="false" ht="25.5" hidden="false" customHeight="true" outlineLevel="0" collapsed="false">
      <c r="A60" s="39" t="s">
        <v>250</v>
      </c>
      <c r="B60" s="40" t="s">
        <v>172</v>
      </c>
      <c r="C60" s="41" t="s">
        <v>105</v>
      </c>
      <c r="D60" s="42" t="s">
        <v>16</v>
      </c>
      <c r="E60" s="43"/>
      <c r="F60" s="43"/>
      <c r="G60" s="43"/>
      <c r="H60" s="43"/>
      <c r="I60" s="43"/>
      <c r="J60" s="44" t="str">
        <f aca="false">IF(AND(D60="Obs",E60=""),"Note required",IF(AND(D60="No",E60=""),"Rationale required",""))</f>
        <v/>
      </c>
    </row>
    <row r="61" customFormat="false" ht="25.5" hidden="false" customHeight="true" outlineLevel="0" collapsed="false">
      <c r="A61" s="39" t="s">
        <v>251</v>
      </c>
      <c r="B61" s="40" t="s">
        <v>174</v>
      </c>
      <c r="C61" s="41" t="s">
        <v>99</v>
      </c>
      <c r="D61" s="42" t="s">
        <v>16</v>
      </c>
      <c r="E61" s="43"/>
      <c r="F61" s="43"/>
      <c r="G61" s="43"/>
      <c r="H61" s="43"/>
      <c r="I61" s="43"/>
      <c r="J61" s="44" t="str">
        <f aca="false">IF(AND(D61="Obs",E61=""),"Note required",IF(AND(D61="No",E61=""),"Rationale required",""))</f>
        <v/>
      </c>
    </row>
    <row r="62" customFormat="false" ht="16.5" hidden="false" customHeight="true" outlineLevel="0" collapsed="false">
      <c r="A62" s="4"/>
      <c r="B62" s="23" t="s">
        <v>501</v>
      </c>
      <c r="C62" s="24"/>
      <c r="D62" s="24"/>
      <c r="E62" s="24"/>
      <c r="F62" s="24"/>
      <c r="G62" s="24"/>
      <c r="H62" s="24"/>
      <c r="I62" s="24"/>
      <c r="J62" s="24"/>
    </row>
    <row r="63" customFormat="false" ht="21.75" hidden="false" customHeight="true" outlineLevel="0" collapsed="false">
      <c r="A63" s="28" t="s">
        <v>461</v>
      </c>
      <c r="B63" s="28" t="s">
        <v>490</v>
      </c>
      <c r="C63" s="28" t="s">
        <v>93</v>
      </c>
      <c r="D63" s="28" t="s">
        <v>491</v>
      </c>
      <c r="E63" s="28" t="s">
        <v>492</v>
      </c>
      <c r="F63" s="28"/>
      <c r="G63" s="28"/>
      <c r="H63" s="28"/>
      <c r="I63" s="28"/>
      <c r="J63" s="28" t="s">
        <v>493</v>
      </c>
    </row>
    <row r="64" customFormat="false" ht="25.5" hidden="false" customHeight="true" outlineLevel="0" collapsed="false">
      <c r="A64" s="39" t="s">
        <v>252</v>
      </c>
      <c r="B64" s="40" t="s">
        <v>177</v>
      </c>
      <c r="C64" s="41" t="s">
        <v>105</v>
      </c>
      <c r="D64" s="42" t="s">
        <v>16</v>
      </c>
      <c r="E64" s="43"/>
      <c r="F64" s="43"/>
      <c r="G64" s="43"/>
      <c r="H64" s="43"/>
      <c r="I64" s="43"/>
      <c r="J64" s="44" t="str">
        <f aca="false">IF(AND(D64="Obs",E64=""),"Note required",IF(AND(D64="No",E64=""),"Rationale required",""))</f>
        <v/>
      </c>
    </row>
    <row r="65" customFormat="false" ht="25.5" hidden="false" customHeight="true" outlineLevel="0" collapsed="false">
      <c r="A65" s="39" t="s">
        <v>253</v>
      </c>
      <c r="B65" s="40" t="s">
        <v>179</v>
      </c>
      <c r="C65" s="41" t="s">
        <v>105</v>
      </c>
      <c r="D65" s="42" t="s">
        <v>16</v>
      </c>
      <c r="E65" s="43"/>
      <c r="F65" s="43"/>
      <c r="G65" s="43"/>
      <c r="H65" s="43"/>
      <c r="I65" s="43"/>
      <c r="J65" s="44" t="str">
        <f aca="false">IF(AND(D65="Obs",E65=""),"Note required",IF(AND(D65="No",E65=""),"Rationale required",""))</f>
        <v/>
      </c>
    </row>
    <row r="66" customFormat="false" ht="16.5" hidden="false" customHeight="true" outlineLevel="0" collapsed="false">
      <c r="A66" s="4"/>
      <c r="B66" s="23" t="s">
        <v>564</v>
      </c>
      <c r="C66" s="24"/>
      <c r="D66" s="24"/>
      <c r="E66" s="24"/>
      <c r="F66" s="24"/>
      <c r="G66" s="24"/>
      <c r="H66" s="24"/>
      <c r="I66" s="24"/>
      <c r="J66" s="24"/>
    </row>
    <row r="67" customFormat="false" ht="21.75" hidden="false" customHeight="true" outlineLevel="0" collapsed="false">
      <c r="A67" s="28" t="s">
        <v>461</v>
      </c>
      <c r="B67" s="28" t="s">
        <v>490</v>
      </c>
      <c r="C67" s="28" t="s">
        <v>93</v>
      </c>
      <c r="D67" s="28" t="s">
        <v>491</v>
      </c>
      <c r="E67" s="28" t="s">
        <v>492</v>
      </c>
      <c r="F67" s="28"/>
      <c r="G67" s="28"/>
      <c r="H67" s="28"/>
      <c r="I67" s="28"/>
      <c r="J67" s="28" t="s">
        <v>493</v>
      </c>
    </row>
    <row r="68" customFormat="false" ht="25.5" hidden="false" customHeight="true" outlineLevel="0" collapsed="false">
      <c r="A68" s="39" t="s">
        <v>254</v>
      </c>
      <c r="B68" s="40" t="s">
        <v>256</v>
      </c>
      <c r="C68" s="41" t="s">
        <v>105</v>
      </c>
      <c r="D68" s="42" t="s">
        <v>16</v>
      </c>
      <c r="E68" s="43"/>
      <c r="F68" s="43"/>
      <c r="G68" s="43"/>
      <c r="H68" s="43"/>
      <c r="I68" s="43"/>
      <c r="J68" s="44" t="str">
        <f aca="false">IF(AND(D68="Obs",E68=""),"Note required",IF(AND(D68="No",E68=""),"Rationale required",""))</f>
        <v/>
      </c>
    </row>
    <row r="69" customFormat="false" ht="25.5" hidden="false" customHeight="true" outlineLevel="0" collapsed="false">
      <c r="A69" s="39" t="s">
        <v>257</v>
      </c>
      <c r="B69" s="40" t="s">
        <v>258</v>
      </c>
      <c r="C69" s="41" t="s">
        <v>105</v>
      </c>
      <c r="D69" s="42" t="s">
        <v>16</v>
      </c>
      <c r="E69" s="43"/>
      <c r="F69" s="43"/>
      <c r="G69" s="43"/>
      <c r="H69" s="43"/>
      <c r="I69" s="43"/>
      <c r="J69" s="44" t="str">
        <f aca="false">IF(AND(D69="Obs",E69=""),"Note required",IF(AND(D69="No",E69=""),"Rationale required",""))</f>
        <v/>
      </c>
    </row>
    <row r="70" customFormat="false" ht="25.5" hidden="false" customHeight="true" outlineLevel="0" collapsed="false">
      <c r="A70" s="39" t="s">
        <v>259</v>
      </c>
      <c r="B70" s="40" t="s">
        <v>260</v>
      </c>
      <c r="C70" s="41" t="s">
        <v>99</v>
      </c>
      <c r="D70" s="42" t="s">
        <v>20</v>
      </c>
      <c r="E70" s="43"/>
      <c r="F70" s="43"/>
      <c r="G70" s="43"/>
      <c r="H70" s="43"/>
      <c r="I70" s="43"/>
      <c r="J70" s="44" t="str">
        <f aca="false">IF(AND(D70="Obs",E70=""),"Note required",IF(AND(D70="No",E70=""),"Rationale required",""))</f>
        <v/>
      </c>
    </row>
    <row r="71" customFormat="false" ht="25.5" hidden="false" customHeight="true" outlineLevel="0" collapsed="false">
      <c r="A71" s="39" t="s">
        <v>261</v>
      </c>
      <c r="B71" s="40" t="s">
        <v>262</v>
      </c>
      <c r="C71" s="41" t="s">
        <v>99</v>
      </c>
      <c r="D71" s="42" t="s">
        <v>18</v>
      </c>
      <c r="E71" s="43" t="s">
        <v>563</v>
      </c>
      <c r="F71" s="43"/>
      <c r="G71" s="43"/>
      <c r="H71" s="43"/>
      <c r="I71" s="43"/>
      <c r="J71" s="44" t="str">
        <f aca="false">IF(AND(D71="Obs",E71=""),"Note required",IF(AND(D71="No",E71=""),"Rationale required",""))</f>
        <v/>
      </c>
    </row>
    <row r="72" customFormat="false" ht="25.5" hidden="false" customHeight="true" outlineLevel="0" collapsed="false">
      <c r="A72" s="39" t="s">
        <v>263</v>
      </c>
      <c r="B72" s="40" t="s">
        <v>264</v>
      </c>
      <c r="C72" s="41" t="s">
        <v>105</v>
      </c>
      <c r="D72" s="42" t="s">
        <v>16</v>
      </c>
      <c r="E72" s="43"/>
      <c r="F72" s="43"/>
      <c r="G72" s="43"/>
      <c r="H72" s="43"/>
      <c r="I72" s="43"/>
      <c r="J72" s="44" t="str">
        <f aca="false">IF(AND(D72="Obs",E72=""),"Note required",IF(AND(D72="No",E72=""),"Rationale required",""))</f>
        <v/>
      </c>
    </row>
    <row r="73" customFormat="false" ht="25.5" hidden="false" customHeight="true" outlineLevel="0" collapsed="false">
      <c r="A73" s="39" t="s">
        <v>265</v>
      </c>
      <c r="B73" s="40" t="s">
        <v>266</v>
      </c>
      <c r="C73" s="41" t="s">
        <v>99</v>
      </c>
      <c r="D73" s="42" t="s">
        <v>16</v>
      </c>
      <c r="E73" s="43"/>
      <c r="F73" s="43"/>
      <c r="G73" s="43"/>
      <c r="H73" s="43"/>
      <c r="I73" s="43"/>
      <c r="J73" s="44" t="str">
        <f aca="false">IF(AND(D73="Obs",E73=""),"Note required",IF(AND(D73="No",E73=""),"Rationale required",""))</f>
        <v/>
      </c>
    </row>
    <row r="75" customFormat="false" ht="16.5" hidden="false" customHeight="true" outlineLevel="0" collapsed="false">
      <c r="A75" s="4"/>
      <c r="B75" s="23" t="s">
        <v>504</v>
      </c>
      <c r="C75" s="24"/>
      <c r="D75" s="24"/>
      <c r="E75" s="24"/>
      <c r="F75" s="24"/>
      <c r="G75" s="24"/>
      <c r="H75" s="24"/>
      <c r="I75" s="24"/>
      <c r="J75" s="24"/>
    </row>
    <row r="76" customFormat="false" ht="15" hidden="false" customHeight="false" outlineLevel="0" collapsed="false">
      <c r="B76" s="7" t="s">
        <v>505</v>
      </c>
      <c r="C76" s="45" t="n">
        <f aca="false">26</f>
        <v>26</v>
      </c>
    </row>
    <row r="77" customFormat="false" ht="15" hidden="false" customHeight="false" outlineLevel="0" collapsed="false">
      <c r="B77" s="7" t="s">
        <v>506</v>
      </c>
      <c r="C77" s="45" t="n">
        <f aca="false">COUNTIF(D32:D73,"Yes")+COUNTIF(D32:D73,"No")+COUNTIF(D32:D73,"N/A")+COUNTIF(D32:D73,"Obs")</f>
        <v>26</v>
      </c>
    </row>
    <row r="78" customFormat="false" ht="15" hidden="false" customHeight="false" outlineLevel="0" collapsed="false">
      <c r="B78" s="7" t="s">
        <v>507</v>
      </c>
      <c r="C78" s="46" t="n">
        <f aca="false">IF(C76=0,"",C77/C76)</f>
        <v>1</v>
      </c>
    </row>
    <row r="79" customFormat="false" ht="15" hidden="false" customHeight="false" outlineLevel="0" collapsed="false">
      <c r="B79" s="7" t="s">
        <v>508</v>
      </c>
      <c r="C79" s="45" t="n">
        <f aca="false">C77-COUNTIF(D32:D73,"N/A")</f>
        <v>24</v>
      </c>
    </row>
    <row r="80" customFormat="false" ht="15" hidden="false" customHeight="false" outlineLevel="0" collapsed="false">
      <c r="B80" s="7" t="s">
        <v>509</v>
      </c>
      <c r="C80" s="45" t="n">
        <f aca="false">COUNTIF(D32:D73,"No")</f>
        <v>2</v>
      </c>
    </row>
    <row r="81" customFormat="false" ht="15" hidden="false" customHeight="false" outlineLevel="0" collapsed="false">
      <c r="B81" s="7" t="s">
        <v>510</v>
      </c>
      <c r="C81" s="45" t="n">
        <f aca="false">COUNTIF(D32:D73,"Obs")</f>
        <v>1</v>
      </c>
    </row>
    <row r="82" customFormat="false" ht="15" hidden="false" customHeight="false" outlineLevel="0" collapsed="false">
      <c r="B82" s="7" t="s">
        <v>511</v>
      </c>
      <c r="C82" s="46" t="n">
        <f aca="false">IF(C79=0,"",C80/C79)</f>
        <v>0.0833333333333333</v>
      </c>
    </row>
    <row r="83" customFormat="false" ht="15" hidden="false" customHeight="false" outlineLevel="0" collapsed="false">
      <c r="B83" s="7" t="s">
        <v>512</v>
      </c>
      <c r="C83" s="45" t="n">
        <f aca="false">COUNTIF(J32:J73,"*required*")</f>
        <v>0</v>
      </c>
    </row>
    <row r="85" customFormat="false" ht="15" hidden="false" customHeight="false" outlineLevel="0" collapsed="false">
      <c r="B85" s="7" t="s">
        <v>513</v>
      </c>
    </row>
    <row r="86" customFormat="false" ht="15" hidden="false" customHeight="false" outlineLevel="0" collapsed="false">
      <c r="B86" s="43"/>
      <c r="C86" s="43"/>
      <c r="D86" s="43"/>
      <c r="E86" s="43"/>
      <c r="F86" s="43"/>
      <c r="G86" s="43"/>
      <c r="H86" s="43"/>
      <c r="I86" s="43"/>
    </row>
    <row r="87" customFormat="false" ht="15" hidden="false" customHeight="false" outlineLevel="0" collapsed="false">
      <c r="B87" s="43"/>
      <c r="C87" s="43"/>
      <c r="D87" s="43"/>
      <c r="E87" s="43"/>
      <c r="F87" s="43"/>
      <c r="G87" s="43"/>
      <c r="H87" s="43"/>
      <c r="I87" s="43"/>
    </row>
    <row r="88" customFormat="false" ht="15" hidden="false" customHeight="false" outlineLevel="0" collapsed="false">
      <c r="B88" s="43"/>
      <c r="C88" s="43"/>
      <c r="D88" s="43"/>
      <c r="E88" s="43"/>
      <c r="F88" s="43"/>
      <c r="G88" s="43"/>
      <c r="H88" s="43"/>
      <c r="I88" s="43"/>
    </row>
  </sheetData>
  <mergeCells count="36">
    <mergeCell ref="E31:I31"/>
    <mergeCell ref="E32:I32"/>
    <mergeCell ref="E33:I33"/>
    <mergeCell ref="E34:I34"/>
    <mergeCell ref="E36:I36"/>
    <mergeCell ref="E37:I37"/>
    <mergeCell ref="E38:I38"/>
    <mergeCell ref="E39:I39"/>
    <mergeCell ref="E41:I41"/>
    <mergeCell ref="E42:I42"/>
    <mergeCell ref="E43:I43"/>
    <mergeCell ref="E44:I44"/>
    <mergeCell ref="E46:I46"/>
    <mergeCell ref="E47:I47"/>
    <mergeCell ref="E48:I48"/>
    <mergeCell ref="E50:I50"/>
    <mergeCell ref="E51:I51"/>
    <mergeCell ref="E52:I52"/>
    <mergeCell ref="E53:I53"/>
    <mergeCell ref="E55:I55"/>
    <mergeCell ref="E56:I56"/>
    <mergeCell ref="E57:I57"/>
    <mergeCell ref="E59:I59"/>
    <mergeCell ref="E60:I60"/>
    <mergeCell ref="E61:I61"/>
    <mergeCell ref="E63:I63"/>
    <mergeCell ref="E64:I64"/>
    <mergeCell ref="E65:I65"/>
    <mergeCell ref="E67:I67"/>
    <mergeCell ref="E68:I68"/>
    <mergeCell ref="E69:I69"/>
    <mergeCell ref="E70:I70"/>
    <mergeCell ref="E71:I71"/>
    <mergeCell ref="E72:I72"/>
    <mergeCell ref="E73:I73"/>
    <mergeCell ref="B86:I88"/>
  </mergeCells>
  <conditionalFormatting sqref="A22:J28">
    <cfRule type="expression" priority="2" aboveAverage="0" equalAverage="0" bottom="0" percent="0" rank="0" text="" dxfId="4">
      <formula>$H22="Exception"</formula>
    </cfRule>
    <cfRule type="expression" priority="3" aboveAverage="0" equalAverage="0" bottom="0" percent="0" rank="0" text="" dxfId="5">
      <formula>$F22="Variance"</formula>
    </cfRule>
  </conditionalFormatting>
  <conditionalFormatting sqref="A32:J73">
    <cfRule type="expression" priority="4" aboveAverage="0" equalAverage="0" bottom="0" percent="0" rank="0" text="" dxfId="4">
      <formula>$D32="No"</formula>
    </cfRule>
    <cfRule type="expression" priority="5" aboveAverage="0" equalAverage="0" bottom="0" percent="0" rank="0" text="" dxfId="5">
      <formula>AND($D32="Obs",$E32="")</formula>
    </cfRule>
  </conditionalFormatting>
  <dataValidations count="4">
    <dataValidation allowBlank="true" errorStyle="stop" operator="between" showDropDown="false" showErrorMessage="false" showInputMessage="false" sqref="I5:I6" type="list">
      <formula1>GradeList</formula1>
      <formula2>0</formula2>
    </dataValidation>
    <dataValidation allowBlank="true" errorStyle="stop" operator="between" showDropDown="false" showErrorMessage="false" showInputMessage="false" sqref="C8" type="list">
      <formula1>"Periodic,Targeted,Continuous"</formula1>
      <formula2>0</formula2>
    </dataValidation>
    <dataValidation allowBlank="true" errorStyle="stop" operator="between" showDropDown="false" showErrorMessage="false" showInputMessage="false" sqref="F8" type="list">
      <formula1>PropTypeList</formula1>
      <formula2>0</formula2>
    </dataValidation>
    <dataValidation allowBlank="true" errorStyle="stop" operator="between" showDropDown="false" showErrorMessage="false" showInputMessage="false" sqref="D32:D34 D37:D39 D42:D44 D47:D48 D51:D53 D56:D57 D60:D61 D64:D65 D68:D73" type="list">
      <formula1>AnswerList</formula1>
      <formula2>0</formula2>
    </dataValidation>
  </dataValidations>
  <printOptions headings="false" gridLines="false" gridLinesSet="true" horizontalCentered="false" verticalCentered="false"/>
  <pageMargins left="0.4" right="0.4" top="0.5" bottom="0.5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E5597"/>
    <pageSetUpPr fitToPage="true"/>
  </sheetPr>
  <dimension ref="A1:J8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1" width="8"/>
    <col collapsed="false" customWidth="true" hidden="false" outlineLevel="0" max="2" min="2" style="1" width="52"/>
    <col collapsed="false" customWidth="true" hidden="false" outlineLevel="0" max="4" min="3" style="1" width="14"/>
    <col collapsed="false" customWidth="true" hidden="false" outlineLevel="0" max="5" min="5" style="1" width="12"/>
    <col collapsed="false" customWidth="true" hidden="false" outlineLevel="0" max="7" min="6" style="1" width="14"/>
    <col collapsed="false" customWidth="true" hidden="false" outlineLevel="0" max="8" min="8" style="1" width="16"/>
    <col collapsed="false" customWidth="true" hidden="false" outlineLevel="0" max="9" min="9" style="1" width="12"/>
    <col collapsed="false" customWidth="true" hidden="false" outlineLevel="0" max="10" min="10" style="1" width="30"/>
  </cols>
  <sheetData>
    <row r="1" customFormat="false" ht="30" hidden="false" customHeight="true" outlineLevel="0" collapsed="false">
      <c r="B1" s="2" t="s">
        <v>565</v>
      </c>
    </row>
    <row r="2" customFormat="false" ht="13.5" hidden="false" customHeight="true" outlineLevel="0" collapsed="false">
      <c r="B2" s="3" t="s">
        <v>419</v>
      </c>
    </row>
    <row r="3" customFormat="false" ht="3" hidden="false" customHeight="true" outlineLevel="0" collapsed="false">
      <c r="B3" s="4"/>
      <c r="C3" s="4"/>
      <c r="D3" s="4"/>
      <c r="E3" s="4"/>
      <c r="F3" s="4"/>
      <c r="G3" s="4"/>
      <c r="H3" s="4"/>
      <c r="I3" s="4"/>
      <c r="J3" s="5"/>
    </row>
    <row r="4" customFormat="false" ht="16.5" hidden="false" customHeight="true" outlineLevel="0" collapsed="false">
      <c r="A4" s="4"/>
      <c r="B4" s="23" t="s">
        <v>420</v>
      </c>
      <c r="C4" s="24"/>
      <c r="D4" s="24"/>
      <c r="E4" s="24"/>
      <c r="F4" s="24"/>
      <c r="G4" s="24"/>
      <c r="H4" s="24"/>
      <c r="I4" s="24"/>
      <c r="J4" s="24"/>
    </row>
    <row r="5" customFormat="false" ht="15" hidden="false" customHeight="false" outlineLevel="0" collapsed="false">
      <c r="B5" s="25" t="s">
        <v>421</v>
      </c>
      <c r="C5" s="18" t="s">
        <v>566</v>
      </c>
      <c r="E5" s="25" t="s">
        <v>423</v>
      </c>
      <c r="F5" s="16" t="n">
        <v>45883</v>
      </c>
      <c r="H5" s="25" t="s">
        <v>424</v>
      </c>
      <c r="I5" s="18" t="n">
        <v>4</v>
      </c>
    </row>
    <row r="6" customFormat="false" ht="15" hidden="false" customHeight="false" outlineLevel="0" collapsed="false">
      <c r="B6" s="25" t="s">
        <v>425</v>
      </c>
      <c r="C6" s="18" t="s">
        <v>567</v>
      </c>
      <c r="E6" s="25" t="s">
        <v>427</v>
      </c>
      <c r="F6" s="16" t="n">
        <v>45808</v>
      </c>
      <c r="H6" s="25" t="s">
        <v>428</v>
      </c>
      <c r="I6" s="18" t="n">
        <v>4</v>
      </c>
    </row>
    <row r="7" customFormat="false" ht="15" hidden="false" customHeight="false" outlineLevel="0" collapsed="false">
      <c r="B7" s="25" t="s">
        <v>429</v>
      </c>
      <c r="C7" s="19" t="n">
        <v>10000</v>
      </c>
      <c r="E7" s="25" t="s">
        <v>430</v>
      </c>
      <c r="F7" s="18" t="s">
        <v>431</v>
      </c>
      <c r="H7" s="25" t="s">
        <v>432</v>
      </c>
      <c r="I7" s="26" t="str">
        <f aca="false">IF($I$6="","",VLOOKUP($I$6,Lists!$D$2:$E$9,2,0))</f>
        <v>Pass</v>
      </c>
    </row>
    <row r="8" customFormat="false" ht="15" hidden="false" customHeight="false" outlineLevel="0" collapsed="false">
      <c r="B8" s="25" t="s">
        <v>433</v>
      </c>
      <c r="C8" s="18" t="s">
        <v>100</v>
      </c>
      <c r="E8" s="25" t="s">
        <v>434</v>
      </c>
      <c r="F8" s="18"/>
      <c r="H8" s="25" t="s">
        <v>435</v>
      </c>
      <c r="I8" s="27" t="str">
        <f aca="false">IF(OR($I$5="",$I$6=""),"",IF($I$5=$I$6,"Concur","Grade Change"))</f>
        <v>Concur</v>
      </c>
    </row>
    <row r="10" customFormat="false" ht="16.5" hidden="false" customHeight="true" outlineLevel="0" collapsed="false">
      <c r="A10" s="4"/>
      <c r="B10" s="23" t="s">
        <v>436</v>
      </c>
      <c r="C10" s="24"/>
      <c r="D10" s="24"/>
      <c r="E10" s="24"/>
      <c r="F10" s="24"/>
      <c r="G10" s="24"/>
      <c r="H10" s="24"/>
      <c r="I10" s="24"/>
      <c r="J10" s="24"/>
    </row>
    <row r="11" customFormat="false" ht="13.5" hidden="false" customHeight="true" outlineLevel="0" collapsed="false">
      <c r="A11" s="28"/>
      <c r="B11" s="28" t="s">
        <v>437</v>
      </c>
      <c r="C11" s="28" t="s">
        <v>438</v>
      </c>
      <c r="D11" s="28" t="s">
        <v>439</v>
      </c>
    </row>
    <row r="12" customFormat="false" ht="15" hidden="false" customHeight="false" outlineLevel="0" collapsed="false">
      <c r="B12" s="10" t="s">
        <v>568</v>
      </c>
      <c r="C12" s="19" t="n">
        <v>38500</v>
      </c>
      <c r="D12" s="17"/>
    </row>
    <row r="13" customFormat="false" ht="15" hidden="false" customHeight="false" outlineLevel="0" collapsed="false">
      <c r="B13" s="10" t="s">
        <v>569</v>
      </c>
      <c r="C13" s="19" t="n">
        <v>6200</v>
      </c>
      <c r="D13" s="17"/>
    </row>
    <row r="14" customFormat="false" ht="15" hidden="false" customHeight="false" outlineLevel="0" collapsed="false">
      <c r="B14" s="10" t="s">
        <v>570</v>
      </c>
      <c r="C14" s="47" t="n">
        <v>0.85</v>
      </c>
      <c r="D14" s="17" t="s">
        <v>571</v>
      </c>
    </row>
    <row r="15" customFormat="false" ht="15" hidden="false" customHeight="false" outlineLevel="0" collapsed="false">
      <c r="B15" s="10" t="s">
        <v>572</v>
      </c>
      <c r="C15" s="19" t="n">
        <v>27400</v>
      </c>
      <c r="D15" s="17"/>
    </row>
    <row r="16" customFormat="false" ht="15" hidden="false" customHeight="false" outlineLevel="0" collapsed="false">
      <c r="B16" s="10" t="s">
        <v>573</v>
      </c>
      <c r="C16" s="19" t="n">
        <v>8100</v>
      </c>
      <c r="D16" s="17"/>
    </row>
    <row r="17" customFormat="false" ht="15" hidden="false" customHeight="false" outlineLevel="0" collapsed="false">
      <c r="B17" s="10" t="s">
        <v>574</v>
      </c>
      <c r="C17" s="47" t="n">
        <v>0.6</v>
      </c>
      <c r="D17" s="17" t="s">
        <v>571</v>
      </c>
    </row>
    <row r="18" customFormat="false" ht="15" hidden="false" customHeight="false" outlineLevel="0" collapsed="false">
      <c r="B18" s="10" t="s">
        <v>575</v>
      </c>
      <c r="C18" s="19" t="n">
        <v>2500</v>
      </c>
      <c r="D18" s="17" t="s">
        <v>576</v>
      </c>
    </row>
    <row r="19" customFormat="false" ht="15" hidden="false" customHeight="false" outlineLevel="0" collapsed="false">
      <c r="B19" s="10" t="s">
        <v>577</v>
      </c>
      <c r="C19" s="19" t="n">
        <v>31750</v>
      </c>
      <c r="D19" s="17"/>
    </row>
    <row r="20" customFormat="false" ht="15" hidden="false" customHeight="false" outlineLevel="0" collapsed="false">
      <c r="B20" s="10" t="s">
        <v>578</v>
      </c>
      <c r="C20" s="47" t="n">
        <v>0.043</v>
      </c>
      <c r="D20" s="17" t="s">
        <v>579</v>
      </c>
    </row>
    <row r="22" customFormat="false" ht="16.5" hidden="false" customHeight="true" outlineLevel="0" collapsed="false">
      <c r="A22" s="4"/>
      <c r="B22" s="23" t="s">
        <v>460</v>
      </c>
      <c r="C22" s="24"/>
      <c r="D22" s="24"/>
      <c r="E22" s="24"/>
      <c r="F22" s="24"/>
      <c r="G22" s="24"/>
      <c r="H22" s="24"/>
      <c r="I22" s="24"/>
      <c r="J22" s="24"/>
    </row>
    <row r="23" customFormat="false" ht="21.75" hidden="false" customHeight="true" outlineLevel="0" collapsed="false">
      <c r="A23" s="28" t="s">
        <v>461</v>
      </c>
      <c r="B23" s="28" t="s">
        <v>462</v>
      </c>
      <c r="C23" s="28" t="s">
        <v>463</v>
      </c>
      <c r="D23" s="28" t="s">
        <v>464</v>
      </c>
      <c r="E23" s="28" t="s">
        <v>465</v>
      </c>
      <c r="F23" s="28" t="s">
        <v>466</v>
      </c>
      <c r="G23" s="28" t="s">
        <v>467</v>
      </c>
      <c r="H23" s="28" t="s">
        <v>468</v>
      </c>
      <c r="I23" s="28"/>
      <c r="J23" s="28" t="s">
        <v>469</v>
      </c>
    </row>
    <row r="24" customFormat="false" ht="15" hidden="false" customHeight="false" outlineLevel="0" collapsed="false">
      <c r="A24" s="17" t="s">
        <v>580</v>
      </c>
      <c r="B24" s="10" t="s">
        <v>581</v>
      </c>
      <c r="C24" s="51" t="n">
        <f aca="false">$C$12-$C$13</f>
        <v>32300</v>
      </c>
      <c r="D24" s="19"/>
      <c r="E24" s="51" t="str">
        <f aca="false">IF(OR(ISTEXT(C24),C24="",D24=""),"",C24-D24)</f>
        <v/>
      </c>
      <c r="F24" s="27" t="str">
        <f aca="false">IF(E24="","",IF(ABS(E24)&lt;=0.05*MAX(ABS(D24),0.0001),"Aligned","Variance"))</f>
        <v/>
      </c>
      <c r="G24" s="21"/>
      <c r="H24" s="36" t="s">
        <v>478</v>
      </c>
      <c r="J24" s="32"/>
    </row>
    <row r="25" customFormat="false" ht="15" hidden="false" customHeight="false" outlineLevel="0" collapsed="false">
      <c r="A25" s="17" t="s">
        <v>582</v>
      </c>
      <c r="B25" s="10" t="s">
        <v>583</v>
      </c>
      <c r="C25" s="51" t="n">
        <f aca="false">$C$15-$C$16</f>
        <v>19300</v>
      </c>
      <c r="D25" s="19"/>
      <c r="E25" s="51" t="str">
        <f aca="false">IF(OR(ISTEXT(C25),C25="",D25=""),"",C25-D25)</f>
        <v/>
      </c>
      <c r="F25" s="27" t="str">
        <f aca="false">IF(E25="","",IF(ABS(E25)&lt;=0.05*MAX(ABS(D25),0.0001),"Aligned","Variance"))</f>
        <v/>
      </c>
      <c r="G25" s="21"/>
      <c r="H25" s="36" t="s">
        <v>478</v>
      </c>
      <c r="J25" s="32"/>
    </row>
    <row r="26" customFormat="false" ht="15" hidden="false" customHeight="false" outlineLevel="0" collapsed="false">
      <c r="A26" s="17" t="s">
        <v>584</v>
      </c>
      <c r="B26" s="10" t="s">
        <v>585</v>
      </c>
      <c r="C26" s="51" t="n">
        <f aca="false">($C$12-$C$13)*$C$14+($C$15-$C$16)*$C$17-$C$18</f>
        <v>36535</v>
      </c>
      <c r="D26" s="19" t="n">
        <v>36000</v>
      </c>
      <c r="E26" s="51" t="n">
        <f aca="false">IF(OR(ISTEXT(C26),C26="",D26=""),"",C26-D26)</f>
        <v>535</v>
      </c>
      <c r="F26" s="27" t="str">
        <f aca="false">IF(E26="","",IF(ABS(E26)&lt;=0.05*MAX(ABS(D26),0.0001),"Aligned","Variance"))</f>
        <v>Aligned</v>
      </c>
      <c r="G26" s="21"/>
      <c r="H26" s="36" t="s">
        <v>478</v>
      </c>
      <c r="J26" s="32"/>
    </row>
    <row r="27" customFormat="false" ht="15" hidden="false" customHeight="false" outlineLevel="0" collapsed="false">
      <c r="A27" s="17" t="s">
        <v>586</v>
      </c>
      <c r="B27" s="10" t="s">
        <v>587</v>
      </c>
      <c r="C27" s="51" t="n">
        <f aca="false">($C$12-$C$13)*$C$14+($C$15-$C$16)*$C$17-$C$18-$C$19</f>
        <v>4785</v>
      </c>
      <c r="D27" s="19"/>
      <c r="E27" s="51" t="str">
        <f aca="false">IF(OR(ISTEXT(C27),C27="",D27=""),"",C27-D27)</f>
        <v/>
      </c>
      <c r="F27" s="27" t="str">
        <f aca="false">IF(E27="","",IF(ABS(E27)&lt;=0.05*MAX(ABS(D27),0.0001),"Aligned","Variance"))</f>
        <v/>
      </c>
      <c r="G27" s="21"/>
      <c r="H27" s="36" t="s">
        <v>478</v>
      </c>
      <c r="J27" s="32"/>
    </row>
    <row r="28" customFormat="false" ht="15" hidden="false" customHeight="false" outlineLevel="0" collapsed="false">
      <c r="A28" s="17" t="s">
        <v>588</v>
      </c>
      <c r="B28" s="10" t="s">
        <v>589</v>
      </c>
      <c r="C28" s="33" t="n">
        <f aca="false">IF($C$19=0,"n/m",(($C$12-$C$13)*$C$14+($C$15-$C$16)*$C$17-$C$18)/$C$19)</f>
        <v>1.15070866141732</v>
      </c>
      <c r="D28" s="34" t="n">
        <v>1.13</v>
      </c>
      <c r="E28" s="33" t="n">
        <f aca="false">IF(OR(ISTEXT(C28),C28="",D28=""),"",C28-D28)</f>
        <v>0.0207086614173229</v>
      </c>
      <c r="F28" s="27" t="str">
        <f aca="false">IF(E28="","",IF(ABS(E28)&lt;=0.05*MAX(ABS(D28),0.0001),"Aligned","Variance"))</f>
        <v>Aligned</v>
      </c>
      <c r="G28" s="21"/>
      <c r="H28" s="36" t="s">
        <v>478</v>
      </c>
      <c r="J28" s="32"/>
    </row>
    <row r="29" customFormat="false" ht="15" hidden="false" customHeight="false" outlineLevel="0" collapsed="false">
      <c r="A29" s="17" t="s">
        <v>590</v>
      </c>
      <c r="B29" s="10" t="s">
        <v>591</v>
      </c>
      <c r="C29" s="49" t="n">
        <f aca="false">IF($C$12=0,"n/m",$C$13/$C$12)</f>
        <v>0.161038961038961</v>
      </c>
      <c r="D29" s="47"/>
      <c r="E29" s="49" t="str">
        <f aca="false">IF(OR(ISTEXT(C29),C29="",D29=""),"",C29-D29)</f>
        <v/>
      </c>
      <c r="F29" s="27" t="str">
        <f aca="false">IF(E29="","",IF(ABS(E29)&lt;=0.05*MAX(ABS(D29),0.0001),"Aligned","Variance"))</f>
        <v/>
      </c>
      <c r="G29" s="21"/>
      <c r="H29" s="36" t="s">
        <v>478</v>
      </c>
      <c r="J29" s="32"/>
    </row>
    <row r="31" customFormat="false" ht="16.5" hidden="false" customHeight="true" outlineLevel="0" collapsed="false">
      <c r="A31" s="4"/>
      <c r="B31" s="23" t="s">
        <v>489</v>
      </c>
      <c r="C31" s="24"/>
      <c r="D31" s="24"/>
      <c r="E31" s="24"/>
      <c r="F31" s="24"/>
      <c r="G31" s="24"/>
      <c r="H31" s="24"/>
      <c r="I31" s="24"/>
      <c r="J31" s="24"/>
    </row>
    <row r="32" customFormat="false" ht="21.75" hidden="false" customHeight="true" outlineLevel="0" collapsed="false">
      <c r="A32" s="28" t="s">
        <v>461</v>
      </c>
      <c r="B32" s="28" t="s">
        <v>490</v>
      </c>
      <c r="C32" s="28" t="s">
        <v>93</v>
      </c>
      <c r="D32" s="28" t="s">
        <v>491</v>
      </c>
      <c r="E32" s="28" t="s">
        <v>492</v>
      </c>
      <c r="F32" s="28"/>
      <c r="G32" s="28"/>
      <c r="H32" s="28"/>
      <c r="I32" s="28"/>
      <c r="J32" s="28" t="s">
        <v>493</v>
      </c>
    </row>
    <row r="33" customFormat="false" ht="25.5" hidden="false" customHeight="true" outlineLevel="0" collapsed="false">
      <c r="A33" s="39" t="s">
        <v>267</v>
      </c>
      <c r="B33" s="40" t="s">
        <v>134</v>
      </c>
      <c r="C33" s="41" t="s">
        <v>99</v>
      </c>
      <c r="D33" s="42" t="s">
        <v>16</v>
      </c>
      <c r="E33" s="43"/>
      <c r="F33" s="43"/>
      <c r="G33" s="43"/>
      <c r="H33" s="43"/>
      <c r="I33" s="43"/>
      <c r="J33" s="44" t="str">
        <f aca="false">IF(AND(D33="Obs",E33=""),"Note required",IF(AND(D33="No",E33=""),"Rationale required",""))</f>
        <v/>
      </c>
    </row>
    <row r="34" customFormat="false" ht="25.5" hidden="false" customHeight="true" outlineLevel="0" collapsed="false">
      <c r="A34" s="39" t="s">
        <v>269</v>
      </c>
      <c r="B34" s="40" t="s">
        <v>136</v>
      </c>
      <c r="C34" s="41" t="s">
        <v>99</v>
      </c>
      <c r="D34" s="42" t="s">
        <v>16</v>
      </c>
      <c r="E34" s="43"/>
      <c r="F34" s="43"/>
      <c r="G34" s="43"/>
      <c r="H34" s="43"/>
      <c r="I34" s="43"/>
      <c r="J34" s="44" t="str">
        <f aca="false">IF(AND(D34="Obs",E34=""),"Note required",IF(AND(D34="No",E34=""),"Rationale required",""))</f>
        <v/>
      </c>
    </row>
    <row r="35" customFormat="false" ht="25.5" hidden="false" customHeight="true" outlineLevel="0" collapsed="false">
      <c r="A35" s="39" t="s">
        <v>270</v>
      </c>
      <c r="B35" s="40" t="s">
        <v>138</v>
      </c>
      <c r="C35" s="41" t="s">
        <v>105</v>
      </c>
      <c r="D35" s="42" t="s">
        <v>16</v>
      </c>
      <c r="E35" s="43"/>
      <c r="F35" s="43"/>
      <c r="G35" s="43"/>
      <c r="H35" s="43"/>
      <c r="I35" s="43"/>
      <c r="J35" s="44" t="str">
        <f aca="false">IF(AND(D35="Obs",E35=""),"Note required",IF(AND(D35="No",E35=""),"Rationale required",""))</f>
        <v/>
      </c>
    </row>
    <row r="36" customFormat="false" ht="16.5" hidden="false" customHeight="true" outlineLevel="0" collapsed="false">
      <c r="A36" s="4"/>
      <c r="B36" s="23" t="s">
        <v>494</v>
      </c>
      <c r="C36" s="24"/>
      <c r="D36" s="24"/>
      <c r="E36" s="24"/>
      <c r="F36" s="24"/>
      <c r="G36" s="24"/>
      <c r="H36" s="24"/>
      <c r="I36" s="24"/>
      <c r="J36" s="24"/>
    </row>
    <row r="37" customFormat="false" ht="21.75" hidden="false" customHeight="true" outlineLevel="0" collapsed="false">
      <c r="A37" s="28" t="s">
        <v>461</v>
      </c>
      <c r="B37" s="28" t="s">
        <v>490</v>
      </c>
      <c r="C37" s="28" t="s">
        <v>93</v>
      </c>
      <c r="D37" s="28" t="s">
        <v>491</v>
      </c>
      <c r="E37" s="28" t="s">
        <v>492</v>
      </c>
      <c r="F37" s="28"/>
      <c r="G37" s="28"/>
      <c r="H37" s="28"/>
      <c r="I37" s="28"/>
      <c r="J37" s="28" t="s">
        <v>493</v>
      </c>
    </row>
    <row r="38" customFormat="false" ht="25.5" hidden="false" customHeight="true" outlineLevel="0" collapsed="false">
      <c r="A38" s="39" t="s">
        <v>271</v>
      </c>
      <c r="B38" s="40" t="s">
        <v>141</v>
      </c>
      <c r="C38" s="41" t="s">
        <v>99</v>
      </c>
      <c r="D38" s="42" t="s">
        <v>16</v>
      </c>
      <c r="E38" s="43"/>
      <c r="F38" s="43"/>
      <c r="G38" s="43"/>
      <c r="H38" s="43"/>
      <c r="I38" s="43"/>
      <c r="J38" s="44" t="str">
        <f aca="false">IF(AND(D38="Obs",E38=""),"Note required",IF(AND(D38="No",E38=""),"Rationale required",""))</f>
        <v/>
      </c>
    </row>
    <row r="39" customFormat="false" ht="25.5" hidden="false" customHeight="true" outlineLevel="0" collapsed="false">
      <c r="A39" s="39" t="s">
        <v>272</v>
      </c>
      <c r="B39" s="40" t="s">
        <v>143</v>
      </c>
      <c r="C39" s="41" t="s">
        <v>105</v>
      </c>
      <c r="D39" s="42" t="s">
        <v>16</v>
      </c>
      <c r="E39" s="43"/>
      <c r="F39" s="43"/>
      <c r="G39" s="43"/>
      <c r="H39" s="43"/>
      <c r="I39" s="43"/>
      <c r="J39" s="44" t="str">
        <f aca="false">IF(AND(D39="Obs",E39=""),"Note required",IF(AND(D39="No",E39=""),"Rationale required",""))</f>
        <v/>
      </c>
    </row>
    <row r="40" customFormat="false" ht="25.5" hidden="false" customHeight="true" outlineLevel="0" collapsed="false">
      <c r="A40" s="39" t="s">
        <v>273</v>
      </c>
      <c r="B40" s="40" t="s">
        <v>145</v>
      </c>
      <c r="C40" s="41" t="s">
        <v>99</v>
      </c>
      <c r="D40" s="42" t="s">
        <v>22</v>
      </c>
      <c r="E40" s="43" t="s">
        <v>592</v>
      </c>
      <c r="F40" s="43"/>
      <c r="G40" s="43"/>
      <c r="H40" s="43"/>
      <c r="I40" s="43"/>
      <c r="J40" s="44" t="str">
        <f aca="false">IF(AND(D40="Obs",E40=""),"Note required",IF(AND(D40="No",E40=""),"Rationale required",""))</f>
        <v/>
      </c>
    </row>
    <row r="41" customFormat="false" ht="16.5" hidden="false" customHeight="true" outlineLevel="0" collapsed="false">
      <c r="A41" s="4"/>
      <c r="B41" s="23" t="s">
        <v>495</v>
      </c>
      <c r="C41" s="24"/>
      <c r="D41" s="24"/>
      <c r="E41" s="24"/>
      <c r="F41" s="24"/>
      <c r="G41" s="24"/>
      <c r="H41" s="24"/>
      <c r="I41" s="24"/>
      <c r="J41" s="24"/>
    </row>
    <row r="42" customFormat="false" ht="21.75" hidden="false" customHeight="true" outlineLevel="0" collapsed="false">
      <c r="A42" s="28" t="s">
        <v>461</v>
      </c>
      <c r="B42" s="28" t="s">
        <v>490</v>
      </c>
      <c r="C42" s="28" t="s">
        <v>93</v>
      </c>
      <c r="D42" s="28" t="s">
        <v>491</v>
      </c>
      <c r="E42" s="28" t="s">
        <v>492</v>
      </c>
      <c r="F42" s="28"/>
      <c r="G42" s="28"/>
      <c r="H42" s="28"/>
      <c r="I42" s="28"/>
      <c r="J42" s="28" t="s">
        <v>493</v>
      </c>
    </row>
    <row r="43" customFormat="false" ht="25.5" hidden="false" customHeight="true" outlineLevel="0" collapsed="false">
      <c r="A43" s="39" t="s">
        <v>274</v>
      </c>
      <c r="B43" s="40" t="s">
        <v>148</v>
      </c>
      <c r="C43" s="41" t="s">
        <v>99</v>
      </c>
      <c r="D43" s="42" t="s">
        <v>16</v>
      </c>
      <c r="E43" s="43"/>
      <c r="F43" s="43"/>
      <c r="G43" s="43"/>
      <c r="H43" s="43"/>
      <c r="I43" s="43"/>
      <c r="J43" s="44" t="str">
        <f aca="false">IF(AND(D43="Obs",E43=""),"Note required",IF(AND(D43="No",E43=""),"Rationale required",""))</f>
        <v/>
      </c>
    </row>
    <row r="44" customFormat="false" ht="25.5" hidden="false" customHeight="true" outlineLevel="0" collapsed="false">
      <c r="A44" s="39" t="s">
        <v>275</v>
      </c>
      <c r="B44" s="40" t="s">
        <v>150</v>
      </c>
      <c r="C44" s="41" t="s">
        <v>105</v>
      </c>
      <c r="D44" s="42" t="s">
        <v>16</v>
      </c>
      <c r="E44" s="43"/>
      <c r="F44" s="43"/>
      <c r="G44" s="43"/>
      <c r="H44" s="43"/>
      <c r="I44" s="43"/>
      <c r="J44" s="44" t="str">
        <f aca="false">IF(AND(D44="Obs",E44=""),"Note required",IF(AND(D44="No",E44=""),"Rationale required",""))</f>
        <v/>
      </c>
    </row>
    <row r="45" customFormat="false" ht="25.5" hidden="false" customHeight="true" outlineLevel="0" collapsed="false">
      <c r="A45" s="39" t="s">
        <v>276</v>
      </c>
      <c r="B45" s="40" t="s">
        <v>152</v>
      </c>
      <c r="C45" s="41" t="s">
        <v>99</v>
      </c>
      <c r="D45" s="42" t="s">
        <v>16</v>
      </c>
      <c r="E45" s="43"/>
      <c r="F45" s="43"/>
      <c r="G45" s="43"/>
      <c r="H45" s="43"/>
      <c r="I45" s="43"/>
      <c r="J45" s="44" t="str">
        <f aca="false">IF(AND(D45="Obs",E45=""),"Note required",IF(AND(D45="No",E45=""),"Rationale required",""))</f>
        <v/>
      </c>
    </row>
    <row r="46" customFormat="false" ht="16.5" hidden="false" customHeight="true" outlineLevel="0" collapsed="false">
      <c r="A46" s="4"/>
      <c r="B46" s="23" t="s">
        <v>497</v>
      </c>
      <c r="C46" s="24"/>
      <c r="D46" s="24"/>
      <c r="E46" s="24"/>
      <c r="F46" s="24"/>
      <c r="G46" s="24"/>
      <c r="H46" s="24"/>
      <c r="I46" s="24"/>
      <c r="J46" s="24"/>
    </row>
    <row r="47" customFormat="false" ht="21.75" hidden="false" customHeight="true" outlineLevel="0" collapsed="false">
      <c r="A47" s="28" t="s">
        <v>461</v>
      </c>
      <c r="B47" s="28" t="s">
        <v>490</v>
      </c>
      <c r="C47" s="28" t="s">
        <v>93</v>
      </c>
      <c r="D47" s="28" t="s">
        <v>491</v>
      </c>
      <c r="E47" s="28" t="s">
        <v>492</v>
      </c>
      <c r="F47" s="28"/>
      <c r="G47" s="28"/>
      <c r="H47" s="28"/>
      <c r="I47" s="28"/>
      <c r="J47" s="28" t="s">
        <v>493</v>
      </c>
    </row>
    <row r="48" customFormat="false" ht="25.5" hidden="false" customHeight="true" outlineLevel="0" collapsed="false">
      <c r="A48" s="39" t="s">
        <v>277</v>
      </c>
      <c r="B48" s="40" t="s">
        <v>155</v>
      </c>
      <c r="C48" s="41" t="s">
        <v>105</v>
      </c>
      <c r="D48" s="42" t="s">
        <v>16</v>
      </c>
      <c r="E48" s="43"/>
      <c r="F48" s="43"/>
      <c r="G48" s="43"/>
      <c r="H48" s="43"/>
      <c r="I48" s="43"/>
      <c r="J48" s="44" t="str">
        <f aca="false">IF(AND(D48="Obs",E48=""),"Note required",IF(AND(D48="No",E48=""),"Rationale required",""))</f>
        <v/>
      </c>
    </row>
    <row r="49" customFormat="false" ht="25.5" hidden="false" customHeight="true" outlineLevel="0" collapsed="false">
      <c r="A49" s="39" t="s">
        <v>278</v>
      </c>
      <c r="B49" s="40" t="s">
        <v>157</v>
      </c>
      <c r="C49" s="41" t="s">
        <v>105</v>
      </c>
      <c r="D49" s="42" t="s">
        <v>20</v>
      </c>
      <c r="E49" s="43"/>
      <c r="F49" s="43"/>
      <c r="G49" s="43"/>
      <c r="H49" s="43"/>
      <c r="I49" s="43"/>
      <c r="J49" s="44" t="str">
        <f aca="false">IF(AND(D49="Obs",E49=""),"Note required",IF(AND(D49="No",E49=""),"Rationale required",""))</f>
        <v/>
      </c>
    </row>
    <row r="50" customFormat="false" ht="16.5" hidden="false" customHeight="true" outlineLevel="0" collapsed="false">
      <c r="A50" s="4"/>
      <c r="B50" s="23" t="s">
        <v>498</v>
      </c>
      <c r="C50" s="24"/>
      <c r="D50" s="24"/>
      <c r="E50" s="24"/>
      <c r="F50" s="24"/>
      <c r="G50" s="24"/>
      <c r="H50" s="24"/>
      <c r="I50" s="24"/>
      <c r="J50" s="24"/>
    </row>
    <row r="51" customFormat="false" ht="21.75" hidden="false" customHeight="true" outlineLevel="0" collapsed="false">
      <c r="A51" s="28" t="s">
        <v>461</v>
      </c>
      <c r="B51" s="28" t="s">
        <v>490</v>
      </c>
      <c r="C51" s="28" t="s">
        <v>93</v>
      </c>
      <c r="D51" s="28" t="s">
        <v>491</v>
      </c>
      <c r="E51" s="28" t="s">
        <v>492</v>
      </c>
      <c r="F51" s="28"/>
      <c r="G51" s="28"/>
      <c r="H51" s="28"/>
      <c r="I51" s="28"/>
      <c r="J51" s="28" t="s">
        <v>493</v>
      </c>
    </row>
    <row r="52" customFormat="false" ht="25.5" hidden="false" customHeight="true" outlineLevel="0" collapsed="false">
      <c r="A52" s="39" t="s">
        <v>279</v>
      </c>
      <c r="B52" s="40" t="s">
        <v>160</v>
      </c>
      <c r="C52" s="41" t="s">
        <v>99</v>
      </c>
      <c r="D52" s="42" t="s">
        <v>16</v>
      </c>
      <c r="E52" s="43"/>
      <c r="F52" s="43"/>
      <c r="G52" s="43"/>
      <c r="H52" s="43"/>
      <c r="I52" s="43"/>
      <c r="J52" s="44" t="str">
        <f aca="false">IF(AND(D52="Obs",E52=""),"Note required",IF(AND(D52="No",E52=""),"Rationale required",""))</f>
        <v/>
      </c>
    </row>
    <row r="53" customFormat="false" ht="25.5" hidden="false" customHeight="true" outlineLevel="0" collapsed="false">
      <c r="A53" s="39" t="s">
        <v>280</v>
      </c>
      <c r="B53" s="40" t="s">
        <v>162</v>
      </c>
      <c r="C53" s="41" t="s">
        <v>99</v>
      </c>
      <c r="D53" s="42" t="s">
        <v>16</v>
      </c>
      <c r="E53" s="43"/>
      <c r="F53" s="43"/>
      <c r="G53" s="43"/>
      <c r="H53" s="43"/>
      <c r="I53" s="43"/>
      <c r="J53" s="44" t="str">
        <f aca="false">IF(AND(D53="Obs",E53=""),"Note required",IF(AND(D53="No",E53=""),"Rationale required",""))</f>
        <v/>
      </c>
    </row>
    <row r="54" customFormat="false" ht="25.5" hidden="false" customHeight="true" outlineLevel="0" collapsed="false">
      <c r="A54" s="39" t="s">
        <v>281</v>
      </c>
      <c r="B54" s="40" t="s">
        <v>164</v>
      </c>
      <c r="C54" s="41" t="s">
        <v>110</v>
      </c>
      <c r="D54" s="42" t="s">
        <v>16</v>
      </c>
      <c r="E54" s="43"/>
      <c r="F54" s="43"/>
      <c r="G54" s="43"/>
      <c r="H54" s="43"/>
      <c r="I54" s="43"/>
      <c r="J54" s="44" t="str">
        <f aca="false">IF(AND(D54="Obs",E54=""),"Note required",IF(AND(D54="No",E54=""),"Rationale required",""))</f>
        <v/>
      </c>
    </row>
    <row r="55" customFormat="false" ht="16.5" hidden="false" customHeight="true" outlineLevel="0" collapsed="false">
      <c r="A55" s="4"/>
      <c r="B55" s="23" t="s">
        <v>499</v>
      </c>
      <c r="C55" s="24"/>
      <c r="D55" s="24"/>
      <c r="E55" s="24"/>
      <c r="F55" s="24"/>
      <c r="G55" s="24"/>
      <c r="H55" s="24"/>
      <c r="I55" s="24"/>
      <c r="J55" s="24"/>
    </row>
    <row r="56" customFormat="false" ht="21.75" hidden="false" customHeight="true" outlineLevel="0" collapsed="false">
      <c r="A56" s="28" t="s">
        <v>461</v>
      </c>
      <c r="B56" s="28" t="s">
        <v>490</v>
      </c>
      <c r="C56" s="28" t="s">
        <v>93</v>
      </c>
      <c r="D56" s="28" t="s">
        <v>491</v>
      </c>
      <c r="E56" s="28" t="s">
        <v>492</v>
      </c>
      <c r="F56" s="28"/>
      <c r="G56" s="28"/>
      <c r="H56" s="28"/>
      <c r="I56" s="28"/>
      <c r="J56" s="28" t="s">
        <v>493</v>
      </c>
    </row>
    <row r="57" customFormat="false" ht="25.5" hidden="false" customHeight="true" outlineLevel="0" collapsed="false">
      <c r="A57" s="39" t="s">
        <v>282</v>
      </c>
      <c r="B57" s="40" t="s">
        <v>167</v>
      </c>
      <c r="C57" s="41" t="s">
        <v>99</v>
      </c>
      <c r="D57" s="42" t="s">
        <v>16</v>
      </c>
      <c r="E57" s="43"/>
      <c r="F57" s="43"/>
      <c r="G57" s="43"/>
      <c r="H57" s="43"/>
      <c r="I57" s="43"/>
      <c r="J57" s="44" t="str">
        <f aca="false">IF(AND(D57="Obs",E57=""),"Note required",IF(AND(D57="No",E57=""),"Rationale required",""))</f>
        <v/>
      </c>
    </row>
    <row r="58" customFormat="false" ht="25.5" hidden="false" customHeight="true" outlineLevel="0" collapsed="false">
      <c r="A58" s="39" t="s">
        <v>283</v>
      </c>
      <c r="B58" s="40" t="s">
        <v>169</v>
      </c>
      <c r="C58" s="41" t="s">
        <v>105</v>
      </c>
      <c r="D58" s="42" t="s">
        <v>16</v>
      </c>
      <c r="E58" s="43"/>
      <c r="F58" s="43"/>
      <c r="G58" s="43"/>
      <c r="H58" s="43"/>
      <c r="I58" s="43"/>
      <c r="J58" s="44" t="str">
        <f aca="false">IF(AND(D58="Obs",E58=""),"Note required",IF(AND(D58="No",E58=""),"Rationale required",""))</f>
        <v/>
      </c>
    </row>
    <row r="59" customFormat="false" ht="16.5" hidden="false" customHeight="true" outlineLevel="0" collapsed="false">
      <c r="A59" s="4"/>
      <c r="B59" s="23" t="s">
        <v>500</v>
      </c>
      <c r="C59" s="24"/>
      <c r="D59" s="24"/>
      <c r="E59" s="24"/>
      <c r="F59" s="24"/>
      <c r="G59" s="24"/>
      <c r="H59" s="24"/>
      <c r="I59" s="24"/>
      <c r="J59" s="24"/>
    </row>
    <row r="60" customFormat="false" ht="21.75" hidden="false" customHeight="true" outlineLevel="0" collapsed="false">
      <c r="A60" s="28" t="s">
        <v>461</v>
      </c>
      <c r="B60" s="28" t="s">
        <v>490</v>
      </c>
      <c r="C60" s="28" t="s">
        <v>93</v>
      </c>
      <c r="D60" s="28" t="s">
        <v>491</v>
      </c>
      <c r="E60" s="28" t="s">
        <v>492</v>
      </c>
      <c r="F60" s="28"/>
      <c r="G60" s="28"/>
      <c r="H60" s="28"/>
      <c r="I60" s="28"/>
      <c r="J60" s="28" t="s">
        <v>493</v>
      </c>
    </row>
    <row r="61" customFormat="false" ht="25.5" hidden="false" customHeight="true" outlineLevel="0" collapsed="false">
      <c r="A61" s="39" t="s">
        <v>284</v>
      </c>
      <c r="B61" s="40" t="s">
        <v>172</v>
      </c>
      <c r="C61" s="41" t="s">
        <v>105</v>
      </c>
      <c r="D61" s="42" t="s">
        <v>22</v>
      </c>
      <c r="E61" s="43" t="s">
        <v>592</v>
      </c>
      <c r="F61" s="43"/>
      <c r="G61" s="43"/>
      <c r="H61" s="43"/>
      <c r="I61" s="43"/>
      <c r="J61" s="44" t="str">
        <f aca="false">IF(AND(D61="Obs",E61=""),"Note required",IF(AND(D61="No",E61=""),"Rationale required",""))</f>
        <v/>
      </c>
    </row>
    <row r="62" customFormat="false" ht="25.5" hidden="false" customHeight="true" outlineLevel="0" collapsed="false">
      <c r="A62" s="39" t="s">
        <v>285</v>
      </c>
      <c r="B62" s="40" t="s">
        <v>174</v>
      </c>
      <c r="C62" s="41" t="s">
        <v>99</v>
      </c>
      <c r="D62" s="42" t="s">
        <v>18</v>
      </c>
      <c r="E62" s="43" t="s">
        <v>537</v>
      </c>
      <c r="F62" s="43"/>
      <c r="G62" s="43"/>
      <c r="H62" s="43"/>
      <c r="I62" s="43"/>
      <c r="J62" s="44" t="str">
        <f aca="false">IF(AND(D62="Obs",E62=""),"Note required",IF(AND(D62="No",E62=""),"Rationale required",""))</f>
        <v/>
      </c>
    </row>
    <row r="63" customFormat="false" ht="16.5" hidden="false" customHeight="true" outlineLevel="0" collapsed="false">
      <c r="A63" s="4"/>
      <c r="B63" s="23" t="s">
        <v>501</v>
      </c>
      <c r="C63" s="24"/>
      <c r="D63" s="24"/>
      <c r="E63" s="24"/>
      <c r="F63" s="24"/>
      <c r="G63" s="24"/>
      <c r="H63" s="24"/>
      <c r="I63" s="24"/>
      <c r="J63" s="24"/>
    </row>
    <row r="64" customFormat="false" ht="21.75" hidden="false" customHeight="true" outlineLevel="0" collapsed="false">
      <c r="A64" s="28" t="s">
        <v>461</v>
      </c>
      <c r="B64" s="28" t="s">
        <v>490</v>
      </c>
      <c r="C64" s="28" t="s">
        <v>93</v>
      </c>
      <c r="D64" s="28" t="s">
        <v>491</v>
      </c>
      <c r="E64" s="28" t="s">
        <v>492</v>
      </c>
      <c r="F64" s="28"/>
      <c r="G64" s="28"/>
      <c r="H64" s="28"/>
      <c r="I64" s="28"/>
      <c r="J64" s="28" t="s">
        <v>493</v>
      </c>
    </row>
    <row r="65" customFormat="false" ht="25.5" hidden="false" customHeight="true" outlineLevel="0" collapsed="false">
      <c r="A65" s="39" t="s">
        <v>286</v>
      </c>
      <c r="B65" s="40" t="s">
        <v>177</v>
      </c>
      <c r="C65" s="41" t="s">
        <v>105</v>
      </c>
      <c r="D65" s="42" t="s">
        <v>16</v>
      </c>
      <c r="E65" s="43"/>
      <c r="F65" s="43"/>
      <c r="G65" s="43"/>
      <c r="H65" s="43"/>
      <c r="I65" s="43"/>
      <c r="J65" s="44" t="str">
        <f aca="false">IF(AND(D65="Obs",E65=""),"Note required",IF(AND(D65="No",E65=""),"Rationale required",""))</f>
        <v/>
      </c>
    </row>
    <row r="66" customFormat="false" ht="25.5" hidden="false" customHeight="true" outlineLevel="0" collapsed="false">
      <c r="A66" s="39" t="s">
        <v>287</v>
      </c>
      <c r="B66" s="40" t="s">
        <v>179</v>
      </c>
      <c r="C66" s="41" t="s">
        <v>105</v>
      </c>
      <c r="D66" s="42" t="s">
        <v>16</v>
      </c>
      <c r="E66" s="43"/>
      <c r="F66" s="43"/>
      <c r="G66" s="43"/>
      <c r="H66" s="43"/>
      <c r="I66" s="43"/>
      <c r="J66" s="44" t="str">
        <f aca="false">IF(AND(D66="Obs",E66=""),"Note required",IF(AND(D66="No",E66=""),"Rationale required",""))</f>
        <v/>
      </c>
    </row>
    <row r="67" customFormat="false" ht="16.5" hidden="false" customHeight="true" outlineLevel="0" collapsed="false">
      <c r="A67" s="4"/>
      <c r="B67" s="23" t="s">
        <v>593</v>
      </c>
      <c r="C67" s="24"/>
      <c r="D67" s="24"/>
      <c r="E67" s="24"/>
      <c r="F67" s="24"/>
      <c r="G67" s="24"/>
      <c r="H67" s="24"/>
      <c r="I67" s="24"/>
      <c r="J67" s="24"/>
    </row>
    <row r="68" customFormat="false" ht="21.75" hidden="false" customHeight="true" outlineLevel="0" collapsed="false">
      <c r="A68" s="28" t="s">
        <v>461</v>
      </c>
      <c r="B68" s="28" t="s">
        <v>490</v>
      </c>
      <c r="C68" s="28" t="s">
        <v>93</v>
      </c>
      <c r="D68" s="28" t="s">
        <v>491</v>
      </c>
      <c r="E68" s="28" t="s">
        <v>492</v>
      </c>
      <c r="F68" s="28"/>
      <c r="G68" s="28"/>
      <c r="H68" s="28"/>
      <c r="I68" s="28"/>
      <c r="J68" s="28" t="s">
        <v>493</v>
      </c>
    </row>
    <row r="69" customFormat="false" ht="25.5" hidden="false" customHeight="true" outlineLevel="0" collapsed="false">
      <c r="A69" s="39" t="s">
        <v>288</v>
      </c>
      <c r="B69" s="40" t="s">
        <v>290</v>
      </c>
      <c r="C69" s="41" t="s">
        <v>99</v>
      </c>
      <c r="D69" s="42" t="s">
        <v>16</v>
      </c>
      <c r="E69" s="43"/>
      <c r="F69" s="43"/>
      <c r="G69" s="43"/>
      <c r="H69" s="43"/>
      <c r="I69" s="43"/>
      <c r="J69" s="44" t="str">
        <f aca="false">IF(AND(D69="Obs",E69=""),"Note required",IF(AND(D69="No",E69=""),"Rationale required",""))</f>
        <v/>
      </c>
    </row>
    <row r="70" customFormat="false" ht="25.5" hidden="false" customHeight="true" outlineLevel="0" collapsed="false">
      <c r="A70" s="39" t="s">
        <v>291</v>
      </c>
      <c r="B70" s="40" t="s">
        <v>292</v>
      </c>
      <c r="C70" s="41" t="s">
        <v>99</v>
      </c>
      <c r="D70" s="42" t="s">
        <v>16</v>
      </c>
      <c r="E70" s="43"/>
      <c r="F70" s="43"/>
      <c r="G70" s="43"/>
      <c r="H70" s="43"/>
      <c r="I70" s="43"/>
      <c r="J70" s="44" t="str">
        <f aca="false">IF(AND(D70="Obs",E70=""),"Note required",IF(AND(D70="No",E70=""),"Rationale required",""))</f>
        <v/>
      </c>
    </row>
    <row r="71" customFormat="false" ht="25.5" hidden="false" customHeight="true" outlineLevel="0" collapsed="false">
      <c r="A71" s="39" t="s">
        <v>293</v>
      </c>
      <c r="B71" s="40" t="s">
        <v>294</v>
      </c>
      <c r="C71" s="41" t="s">
        <v>105</v>
      </c>
      <c r="D71" s="42" t="s">
        <v>16</v>
      </c>
      <c r="E71" s="43"/>
      <c r="F71" s="43"/>
      <c r="G71" s="43"/>
      <c r="H71" s="43"/>
      <c r="I71" s="43"/>
      <c r="J71" s="44" t="str">
        <f aca="false">IF(AND(D71="Obs",E71=""),"Note required",IF(AND(D71="No",E71=""),"Rationale required",""))</f>
        <v/>
      </c>
    </row>
    <row r="72" customFormat="false" ht="25.5" hidden="false" customHeight="true" outlineLevel="0" collapsed="false">
      <c r="A72" s="39" t="s">
        <v>295</v>
      </c>
      <c r="B72" s="40" t="s">
        <v>296</v>
      </c>
      <c r="C72" s="41" t="s">
        <v>99</v>
      </c>
      <c r="D72" s="42" t="s">
        <v>16</v>
      </c>
      <c r="E72" s="43"/>
      <c r="F72" s="43"/>
      <c r="G72" s="43"/>
      <c r="H72" s="43"/>
      <c r="I72" s="43"/>
      <c r="J72" s="44" t="str">
        <f aca="false">IF(AND(D72="Obs",E72=""),"Note required",IF(AND(D72="No",E72=""),"Rationale required",""))</f>
        <v/>
      </c>
    </row>
    <row r="73" customFormat="false" ht="25.5" hidden="false" customHeight="true" outlineLevel="0" collapsed="false">
      <c r="A73" s="39" t="s">
        <v>297</v>
      </c>
      <c r="B73" s="40" t="s">
        <v>298</v>
      </c>
      <c r="C73" s="41" t="s">
        <v>105</v>
      </c>
      <c r="D73" s="42" t="s">
        <v>16</v>
      </c>
      <c r="E73" s="43"/>
      <c r="F73" s="43"/>
      <c r="G73" s="43"/>
      <c r="H73" s="43"/>
      <c r="I73" s="43"/>
      <c r="J73" s="44" t="str">
        <f aca="false">IF(AND(D73="Obs",E73=""),"Note required",IF(AND(D73="No",E73=""),"Rationale required",""))</f>
        <v/>
      </c>
    </row>
    <row r="74" customFormat="false" ht="25.5" hidden="false" customHeight="true" outlineLevel="0" collapsed="false">
      <c r="A74" s="39" t="s">
        <v>299</v>
      </c>
      <c r="B74" s="40" t="s">
        <v>300</v>
      </c>
      <c r="C74" s="41" t="s">
        <v>105</v>
      </c>
      <c r="D74" s="42" t="s">
        <v>16</v>
      </c>
      <c r="E74" s="43"/>
      <c r="F74" s="43"/>
      <c r="G74" s="43"/>
      <c r="H74" s="43"/>
      <c r="I74" s="43"/>
      <c r="J74" s="44" t="str">
        <f aca="false">IF(AND(D74="Obs",E74=""),"Note required",IF(AND(D74="No",E74=""),"Rationale required",""))</f>
        <v/>
      </c>
    </row>
    <row r="76" customFormat="false" ht="16.5" hidden="false" customHeight="true" outlineLevel="0" collapsed="false">
      <c r="A76" s="4"/>
      <c r="B76" s="23" t="s">
        <v>504</v>
      </c>
      <c r="C76" s="24"/>
      <c r="D76" s="24"/>
      <c r="E76" s="24"/>
      <c r="F76" s="24"/>
      <c r="G76" s="24"/>
      <c r="H76" s="24"/>
      <c r="I76" s="24"/>
      <c r="J76" s="24"/>
    </row>
    <row r="77" customFormat="false" ht="15" hidden="false" customHeight="false" outlineLevel="0" collapsed="false">
      <c r="B77" s="7" t="s">
        <v>505</v>
      </c>
      <c r="C77" s="45" t="n">
        <f aca="false">26</f>
        <v>26</v>
      </c>
    </row>
    <row r="78" customFormat="false" ht="15" hidden="false" customHeight="false" outlineLevel="0" collapsed="false">
      <c r="B78" s="7" t="s">
        <v>506</v>
      </c>
      <c r="C78" s="45" t="n">
        <f aca="false">COUNTIF(D33:D74,"Yes")+COUNTIF(D33:D74,"No")+COUNTIF(D33:D74,"N/A")+COUNTIF(D33:D74,"Obs")</f>
        <v>26</v>
      </c>
    </row>
    <row r="79" customFormat="false" ht="15" hidden="false" customHeight="false" outlineLevel="0" collapsed="false">
      <c r="B79" s="7" t="s">
        <v>507</v>
      </c>
      <c r="C79" s="46" t="n">
        <f aca="false">IF(C77=0,"",C78/C77)</f>
        <v>1</v>
      </c>
    </row>
    <row r="80" customFormat="false" ht="15" hidden="false" customHeight="false" outlineLevel="0" collapsed="false">
      <c r="B80" s="7" t="s">
        <v>508</v>
      </c>
      <c r="C80" s="45" t="n">
        <f aca="false">C78-COUNTIF(D33:D74,"N/A")</f>
        <v>25</v>
      </c>
    </row>
    <row r="81" customFormat="false" ht="15" hidden="false" customHeight="false" outlineLevel="0" collapsed="false">
      <c r="B81" s="7" t="s">
        <v>509</v>
      </c>
      <c r="C81" s="45" t="n">
        <f aca="false">COUNTIF(D33:D74,"No")</f>
        <v>1</v>
      </c>
    </row>
    <row r="82" customFormat="false" ht="15" hidden="false" customHeight="false" outlineLevel="0" collapsed="false">
      <c r="B82" s="7" t="s">
        <v>510</v>
      </c>
      <c r="C82" s="45" t="n">
        <f aca="false">COUNTIF(D33:D74,"Obs")</f>
        <v>2</v>
      </c>
    </row>
    <row r="83" customFormat="false" ht="15" hidden="false" customHeight="false" outlineLevel="0" collapsed="false">
      <c r="B83" s="7" t="s">
        <v>511</v>
      </c>
      <c r="C83" s="46" t="n">
        <f aca="false">IF(C80=0,"",C81/C80)</f>
        <v>0.04</v>
      </c>
    </row>
    <row r="84" customFormat="false" ht="15" hidden="false" customHeight="false" outlineLevel="0" collapsed="false">
      <c r="B84" s="7" t="s">
        <v>512</v>
      </c>
      <c r="C84" s="45" t="n">
        <f aca="false">COUNTIF(J33:J74,"*required*")</f>
        <v>0</v>
      </c>
    </row>
    <row r="86" customFormat="false" ht="15" hidden="false" customHeight="false" outlineLevel="0" collapsed="false">
      <c r="B86" s="7" t="s">
        <v>513</v>
      </c>
    </row>
    <row r="87" customFormat="false" ht="15" hidden="false" customHeight="false" outlineLevel="0" collapsed="false">
      <c r="B87" s="43"/>
      <c r="C87" s="43"/>
      <c r="D87" s="43"/>
      <c r="E87" s="43"/>
      <c r="F87" s="43"/>
      <c r="G87" s="43"/>
      <c r="H87" s="43"/>
      <c r="I87" s="43"/>
    </row>
    <row r="88" customFormat="false" ht="15" hidden="false" customHeight="false" outlineLevel="0" collapsed="false">
      <c r="B88" s="43"/>
      <c r="C88" s="43"/>
      <c r="D88" s="43"/>
      <c r="E88" s="43"/>
      <c r="F88" s="43"/>
      <c r="G88" s="43"/>
      <c r="H88" s="43"/>
      <c r="I88" s="43"/>
    </row>
    <row r="89" customFormat="false" ht="15" hidden="false" customHeight="false" outlineLevel="0" collapsed="false">
      <c r="B89" s="43"/>
      <c r="C89" s="43"/>
      <c r="D89" s="43"/>
      <c r="E89" s="43"/>
      <c r="F89" s="43"/>
      <c r="G89" s="43"/>
      <c r="H89" s="43"/>
      <c r="I89" s="43"/>
    </row>
  </sheetData>
  <mergeCells count="36">
    <mergeCell ref="E32:I32"/>
    <mergeCell ref="E33:I33"/>
    <mergeCell ref="E34:I34"/>
    <mergeCell ref="E35:I35"/>
    <mergeCell ref="E37:I37"/>
    <mergeCell ref="E38:I38"/>
    <mergeCell ref="E39:I39"/>
    <mergeCell ref="E40:I40"/>
    <mergeCell ref="E42:I42"/>
    <mergeCell ref="E43:I43"/>
    <mergeCell ref="E44:I44"/>
    <mergeCell ref="E45:I45"/>
    <mergeCell ref="E47:I47"/>
    <mergeCell ref="E48:I48"/>
    <mergeCell ref="E49:I49"/>
    <mergeCell ref="E51:I51"/>
    <mergeCell ref="E52:I52"/>
    <mergeCell ref="E53:I53"/>
    <mergeCell ref="E54:I54"/>
    <mergeCell ref="E56:I56"/>
    <mergeCell ref="E57:I57"/>
    <mergeCell ref="E58:I58"/>
    <mergeCell ref="E60:I60"/>
    <mergeCell ref="E61:I61"/>
    <mergeCell ref="E62:I62"/>
    <mergeCell ref="E64:I64"/>
    <mergeCell ref="E65:I65"/>
    <mergeCell ref="E66:I66"/>
    <mergeCell ref="E68:I68"/>
    <mergeCell ref="E69:I69"/>
    <mergeCell ref="E70:I70"/>
    <mergeCell ref="E71:I71"/>
    <mergeCell ref="E72:I72"/>
    <mergeCell ref="E73:I73"/>
    <mergeCell ref="E74:I74"/>
    <mergeCell ref="B87:I89"/>
  </mergeCells>
  <conditionalFormatting sqref="A24:J29">
    <cfRule type="expression" priority="2" aboveAverage="0" equalAverage="0" bottom="0" percent="0" rank="0" text="" dxfId="4">
      <formula>$H24="Exception"</formula>
    </cfRule>
    <cfRule type="expression" priority="3" aboveAverage="0" equalAverage="0" bottom="0" percent="0" rank="0" text="" dxfId="5">
      <formula>$F24="Variance"</formula>
    </cfRule>
  </conditionalFormatting>
  <conditionalFormatting sqref="A33:J74">
    <cfRule type="expression" priority="4" aboveAverage="0" equalAverage="0" bottom="0" percent="0" rank="0" text="" dxfId="4">
      <formula>$D33="No"</formula>
    </cfRule>
    <cfRule type="expression" priority="5" aboveAverage="0" equalAverage="0" bottom="0" percent="0" rank="0" text="" dxfId="5">
      <formula>AND($D33="Obs",$E33="")</formula>
    </cfRule>
  </conditionalFormatting>
  <dataValidations count="4">
    <dataValidation allowBlank="true" errorStyle="stop" operator="between" showDropDown="false" showErrorMessage="false" showInputMessage="false" sqref="I5:I6" type="list">
      <formula1>GradeList</formula1>
      <formula2>0</formula2>
    </dataValidation>
    <dataValidation allowBlank="true" errorStyle="stop" operator="between" showDropDown="false" showErrorMessage="false" showInputMessage="false" sqref="C8" type="list">
      <formula1>"Periodic,Targeted,Continuous"</formula1>
      <formula2>0</formula2>
    </dataValidation>
    <dataValidation allowBlank="true" errorStyle="stop" operator="between" showDropDown="false" showErrorMessage="false" showInputMessage="false" sqref="F8" type="list">
      <formula1>PropTypeList</formula1>
      <formula2>0</formula2>
    </dataValidation>
    <dataValidation allowBlank="true" errorStyle="stop" operator="between" showDropDown="false" showErrorMessage="false" showInputMessage="false" sqref="D33:D35 D38:D40 D43:D45 D48:D49 D52:D54 D57:D58 D61:D62 D65:D66 D69:D74" type="list">
      <formula1>AnswerList</formula1>
      <formula2>0</formula2>
    </dataValidation>
  </dataValidations>
  <printOptions headings="false" gridLines="false" gridLinesSet="true" horizontalCentered="false" verticalCentered="false"/>
  <pageMargins left="0.4" right="0.4" top="0.5" bottom="0.5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E5597"/>
    <pageSetUpPr fitToPage="true"/>
  </sheetPr>
  <dimension ref="A1:J8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1" width="8"/>
    <col collapsed="false" customWidth="true" hidden="false" outlineLevel="0" max="2" min="2" style="1" width="52"/>
    <col collapsed="false" customWidth="true" hidden="false" outlineLevel="0" max="4" min="3" style="1" width="14"/>
    <col collapsed="false" customWidth="true" hidden="false" outlineLevel="0" max="5" min="5" style="1" width="12"/>
    <col collapsed="false" customWidth="true" hidden="false" outlineLevel="0" max="7" min="6" style="1" width="14"/>
    <col collapsed="false" customWidth="true" hidden="false" outlineLevel="0" max="8" min="8" style="1" width="16"/>
    <col collapsed="false" customWidth="true" hidden="false" outlineLevel="0" max="9" min="9" style="1" width="12"/>
    <col collapsed="false" customWidth="true" hidden="false" outlineLevel="0" max="10" min="10" style="1" width="30"/>
  </cols>
  <sheetData>
    <row r="1" customFormat="false" ht="30" hidden="false" customHeight="true" outlineLevel="0" collapsed="false">
      <c r="B1" s="2" t="s">
        <v>594</v>
      </c>
    </row>
    <row r="2" customFormat="false" ht="13.5" hidden="false" customHeight="true" outlineLevel="0" collapsed="false">
      <c r="B2" s="3" t="s">
        <v>419</v>
      </c>
    </row>
    <row r="3" customFormat="false" ht="3" hidden="false" customHeight="true" outlineLevel="0" collapsed="false">
      <c r="B3" s="4"/>
      <c r="C3" s="4"/>
      <c r="D3" s="4"/>
      <c r="E3" s="4"/>
      <c r="F3" s="4"/>
      <c r="G3" s="4"/>
      <c r="H3" s="4"/>
      <c r="I3" s="4"/>
      <c r="J3" s="5"/>
    </row>
    <row r="4" customFormat="false" ht="16.5" hidden="false" customHeight="true" outlineLevel="0" collapsed="false">
      <c r="A4" s="4"/>
      <c r="B4" s="23" t="s">
        <v>420</v>
      </c>
      <c r="C4" s="24"/>
      <c r="D4" s="24"/>
      <c r="E4" s="24"/>
      <c r="F4" s="24"/>
      <c r="G4" s="24"/>
      <c r="H4" s="24"/>
      <c r="I4" s="24"/>
      <c r="J4" s="24"/>
    </row>
    <row r="5" customFormat="false" ht="15" hidden="false" customHeight="false" outlineLevel="0" collapsed="false">
      <c r="B5" s="25" t="s">
        <v>421</v>
      </c>
      <c r="C5" s="18" t="s">
        <v>595</v>
      </c>
      <c r="E5" s="25" t="s">
        <v>423</v>
      </c>
      <c r="F5" s="16" t="n">
        <v>45883</v>
      </c>
      <c r="H5" s="25" t="s">
        <v>424</v>
      </c>
      <c r="I5" s="18" t="n">
        <v>6</v>
      </c>
    </row>
    <row r="6" customFormat="false" ht="15" hidden="false" customHeight="false" outlineLevel="0" collapsed="false">
      <c r="B6" s="25" t="s">
        <v>425</v>
      </c>
      <c r="C6" s="18" t="s">
        <v>596</v>
      </c>
      <c r="E6" s="25" t="s">
        <v>427</v>
      </c>
      <c r="F6" s="16" t="n">
        <v>45808</v>
      </c>
      <c r="H6" s="25" t="s">
        <v>428</v>
      </c>
      <c r="I6" s="18" t="n">
        <v>6</v>
      </c>
    </row>
    <row r="7" customFormat="false" ht="15" hidden="false" customHeight="false" outlineLevel="0" collapsed="false">
      <c r="B7" s="25" t="s">
        <v>429</v>
      </c>
      <c r="C7" s="19" t="n">
        <v>42500</v>
      </c>
      <c r="E7" s="25" t="s">
        <v>430</v>
      </c>
      <c r="F7" s="18" t="s">
        <v>431</v>
      </c>
      <c r="H7" s="25" t="s">
        <v>432</v>
      </c>
      <c r="I7" s="26" t="str">
        <f aca="false">IF($I$6="","",VLOOKUP($I$6,Lists!$D$2:$E$9,2,0))</f>
        <v>Substandard</v>
      </c>
    </row>
    <row r="8" customFormat="false" ht="15" hidden="false" customHeight="false" outlineLevel="0" collapsed="false">
      <c r="B8" s="25" t="s">
        <v>433</v>
      </c>
      <c r="C8" s="18" t="s">
        <v>100</v>
      </c>
      <c r="E8" s="25" t="s">
        <v>434</v>
      </c>
      <c r="F8" s="18"/>
      <c r="H8" s="25" t="s">
        <v>435</v>
      </c>
      <c r="I8" s="27" t="str">
        <f aca="false">IF(OR($I$5="",$I$6=""),"",IF($I$5=$I$6,"Concur","Grade Change"))</f>
        <v>Concur</v>
      </c>
    </row>
    <row r="10" customFormat="false" ht="16.5" hidden="false" customHeight="true" outlineLevel="0" collapsed="false">
      <c r="A10" s="4"/>
      <c r="B10" s="23" t="s">
        <v>436</v>
      </c>
      <c r="C10" s="24"/>
      <c r="D10" s="24"/>
      <c r="E10" s="24"/>
      <c r="F10" s="24"/>
      <c r="G10" s="24"/>
      <c r="H10" s="24"/>
      <c r="I10" s="24"/>
      <c r="J10" s="24"/>
    </row>
    <row r="11" customFormat="false" ht="13.5" hidden="false" customHeight="true" outlineLevel="0" collapsed="false">
      <c r="A11" s="28"/>
      <c r="B11" s="28" t="s">
        <v>437</v>
      </c>
      <c r="C11" s="28" t="s">
        <v>438</v>
      </c>
      <c r="D11" s="28" t="s">
        <v>439</v>
      </c>
    </row>
    <row r="12" customFormat="false" ht="15" hidden="false" customHeight="false" outlineLevel="0" collapsed="false">
      <c r="B12" s="10" t="s">
        <v>597</v>
      </c>
      <c r="C12" s="19" t="n">
        <v>18600</v>
      </c>
      <c r="D12" s="17"/>
    </row>
    <row r="13" customFormat="false" ht="15" hidden="false" customHeight="false" outlineLevel="0" collapsed="false">
      <c r="B13" s="10" t="s">
        <v>598</v>
      </c>
      <c r="C13" s="19" t="n">
        <v>3100</v>
      </c>
      <c r="D13" s="17"/>
    </row>
    <row r="14" customFormat="false" ht="15" hidden="false" customHeight="false" outlineLevel="0" collapsed="false">
      <c r="B14" s="10" t="s">
        <v>599</v>
      </c>
      <c r="C14" s="19" t="n">
        <v>2400</v>
      </c>
      <c r="D14" s="17"/>
    </row>
    <row r="15" customFormat="false" ht="15" hidden="false" customHeight="false" outlineLevel="0" collapsed="false">
      <c r="B15" s="10" t="s">
        <v>600</v>
      </c>
      <c r="C15" s="19" t="n">
        <v>350</v>
      </c>
      <c r="D15" s="17"/>
    </row>
    <row r="16" customFormat="false" ht="15" hidden="false" customHeight="false" outlineLevel="0" collapsed="false">
      <c r="B16" s="10" t="s">
        <v>601</v>
      </c>
      <c r="C16" s="19" t="n">
        <v>21000</v>
      </c>
      <c r="D16" s="17" t="s">
        <v>602</v>
      </c>
    </row>
    <row r="17" customFormat="false" ht="15" hidden="false" customHeight="false" outlineLevel="0" collapsed="false">
      <c r="B17" s="10" t="s">
        <v>603</v>
      </c>
      <c r="C17" s="48" t="n">
        <v>0.25</v>
      </c>
      <c r="D17" s="17" t="s">
        <v>526</v>
      </c>
    </row>
    <row r="18" customFormat="false" ht="15" hidden="false" customHeight="false" outlineLevel="0" collapsed="false">
      <c r="B18" s="10" t="s">
        <v>604</v>
      </c>
      <c r="C18" s="47" t="n">
        <v>0.08</v>
      </c>
      <c r="D18" s="17"/>
    </row>
    <row r="20" customFormat="false" ht="16.5" hidden="false" customHeight="true" outlineLevel="0" collapsed="false">
      <c r="A20" s="4"/>
      <c r="B20" s="23" t="s">
        <v>460</v>
      </c>
      <c r="C20" s="24"/>
      <c r="D20" s="24"/>
      <c r="E20" s="24"/>
      <c r="F20" s="24"/>
      <c r="G20" s="24"/>
      <c r="H20" s="24"/>
      <c r="I20" s="24"/>
      <c r="J20" s="24"/>
    </row>
    <row r="21" customFormat="false" ht="21.75" hidden="false" customHeight="true" outlineLevel="0" collapsed="false">
      <c r="A21" s="28" t="s">
        <v>461</v>
      </c>
      <c r="B21" s="28" t="s">
        <v>462</v>
      </c>
      <c r="C21" s="28" t="s">
        <v>463</v>
      </c>
      <c r="D21" s="28" t="s">
        <v>464</v>
      </c>
      <c r="E21" s="28" t="s">
        <v>465</v>
      </c>
      <c r="F21" s="28" t="s">
        <v>466</v>
      </c>
      <c r="G21" s="28" t="s">
        <v>467</v>
      </c>
      <c r="H21" s="28" t="s">
        <v>468</v>
      </c>
      <c r="I21" s="28"/>
      <c r="J21" s="28" t="s">
        <v>469</v>
      </c>
    </row>
    <row r="22" customFormat="false" ht="15" hidden="false" customHeight="false" outlineLevel="0" collapsed="false">
      <c r="A22" s="17" t="s">
        <v>605</v>
      </c>
      <c r="B22" s="10" t="s">
        <v>606</v>
      </c>
      <c r="C22" s="51" t="n">
        <f aca="false">$C$16*(1-$C$17)*(1-$C$18)</f>
        <v>14490</v>
      </c>
      <c r="D22" s="19"/>
      <c r="E22" s="51" t="str">
        <f aca="false">IF(OR(ISTEXT(C22),C22="",D22=""),"",C22-D22)</f>
        <v/>
      </c>
      <c r="F22" s="27" t="str">
        <f aca="false">IF(E22="","",IF(ABS(E22)&lt;=0.05*MAX(ABS(D22),0.0001),"Aligned","Variance"))</f>
        <v/>
      </c>
      <c r="G22" s="21"/>
      <c r="H22" s="36" t="s">
        <v>478</v>
      </c>
      <c r="J22" s="32"/>
    </row>
    <row r="23" customFormat="false" ht="15" hidden="false" customHeight="false" outlineLevel="0" collapsed="false">
      <c r="A23" s="17" t="s">
        <v>607</v>
      </c>
      <c r="B23" s="10" t="s">
        <v>608</v>
      </c>
      <c r="C23" s="33" t="n">
        <f aca="false">IF($C$12=0,"n/m",$C$16*(1-$C$17)*(1-$C$18)/$C$12)</f>
        <v>0.779032258064516</v>
      </c>
      <c r="D23" s="34" t="n">
        <v>0.78</v>
      </c>
      <c r="E23" s="33" t="n">
        <f aca="false">IF(OR(ISTEXT(C23),C23="",D23=""),"",C23-D23)</f>
        <v>-0.000967741935483879</v>
      </c>
      <c r="F23" s="27" t="str">
        <f aca="false">IF(E23="","",IF(ABS(E23)&lt;=0.05*MAX(ABS(D23),0.0001),"Aligned","Variance"))</f>
        <v>Aligned</v>
      </c>
      <c r="G23" s="21"/>
      <c r="H23" s="36" t="s">
        <v>478</v>
      </c>
      <c r="J23" s="32"/>
    </row>
    <row r="24" customFormat="false" ht="15" hidden="false" customHeight="false" outlineLevel="0" collapsed="false">
      <c r="A24" s="17" t="s">
        <v>609</v>
      </c>
      <c r="B24" s="10" t="s">
        <v>610</v>
      </c>
      <c r="C24" s="51" t="n">
        <f aca="false">MAX(0,$C$12-$C$16*(1-$C$17)*(1-$C$18))</f>
        <v>4110</v>
      </c>
      <c r="D24" s="19"/>
      <c r="E24" s="51" t="str">
        <f aca="false">IF(OR(ISTEXT(C24),C24="",D24=""),"",C24-D24)</f>
        <v/>
      </c>
      <c r="F24" s="27" t="str">
        <f aca="false">IF(E24="","",IF(ABS(E24)&lt;=0.05*MAX(ABS(D24),0.0001),"Aligned","Variance"))</f>
        <v/>
      </c>
      <c r="G24" s="21"/>
      <c r="H24" s="36" t="s">
        <v>478</v>
      </c>
      <c r="J24" s="32"/>
    </row>
    <row r="25" customFormat="false" ht="15" hidden="false" customHeight="false" outlineLevel="0" collapsed="false">
      <c r="A25" s="17" t="s">
        <v>611</v>
      </c>
      <c r="B25" s="10" t="s">
        <v>612</v>
      </c>
      <c r="C25" s="49" t="n">
        <f aca="false">IF(MAX(0,$C$12-$C$16*(1-$C$17)*(1-$C$18))=0,"n/a",$C$13/MAX(0.001,$C$12-$C$16*(1-$C$17)*(1-$C$18)))</f>
        <v>0.754257907542579</v>
      </c>
      <c r="D25" s="47"/>
      <c r="E25" s="49" t="str">
        <f aca="false">IF(OR(ISTEXT(C25),C25="",D25=""),"",C25-D25)</f>
        <v/>
      </c>
      <c r="F25" s="27" t="str">
        <f aca="false">IF(E25="","",IF(ABS(E25)&lt;=0.05*MAX(ABS(D25),0.0001),"Aligned","Variance"))</f>
        <v/>
      </c>
      <c r="G25" s="21"/>
      <c r="H25" s="36" t="s">
        <v>478</v>
      </c>
      <c r="J25" s="32"/>
    </row>
    <row r="26" customFormat="false" ht="15" hidden="false" customHeight="false" outlineLevel="0" collapsed="false">
      <c r="A26" s="17" t="s">
        <v>613</v>
      </c>
      <c r="B26" s="10" t="s">
        <v>614</v>
      </c>
      <c r="C26" s="51" t="n">
        <f aca="false">$C$14-$C$15</f>
        <v>2050</v>
      </c>
      <c r="D26" s="19"/>
      <c r="E26" s="51" t="str">
        <f aca="false">IF(OR(ISTEXT(C26),C26="",D26=""),"",C26-D26)</f>
        <v/>
      </c>
      <c r="F26" s="27" t="str">
        <f aca="false">IF(E26="","",IF(ABS(E26)&lt;=0.05*MAX(ABS(D26),0.0001),"Aligned","Variance"))</f>
        <v/>
      </c>
      <c r="G26" s="21"/>
      <c r="H26" s="36" t="s">
        <v>478</v>
      </c>
      <c r="J26" s="32"/>
    </row>
    <row r="28" customFormat="false" ht="16.5" hidden="false" customHeight="true" outlineLevel="0" collapsed="false">
      <c r="A28" s="4"/>
      <c r="B28" s="23" t="s">
        <v>489</v>
      </c>
      <c r="C28" s="24"/>
      <c r="D28" s="24"/>
      <c r="E28" s="24"/>
      <c r="F28" s="24"/>
      <c r="G28" s="24"/>
      <c r="H28" s="24"/>
      <c r="I28" s="24"/>
      <c r="J28" s="24"/>
    </row>
    <row r="29" customFormat="false" ht="21.75" hidden="false" customHeight="true" outlineLevel="0" collapsed="false">
      <c r="A29" s="28" t="s">
        <v>461</v>
      </c>
      <c r="B29" s="28" t="s">
        <v>490</v>
      </c>
      <c r="C29" s="28" t="s">
        <v>93</v>
      </c>
      <c r="D29" s="28" t="s">
        <v>491</v>
      </c>
      <c r="E29" s="28" t="s">
        <v>492</v>
      </c>
      <c r="F29" s="28"/>
      <c r="G29" s="28"/>
      <c r="H29" s="28"/>
      <c r="I29" s="28"/>
      <c r="J29" s="28" t="s">
        <v>493</v>
      </c>
    </row>
    <row r="30" customFormat="false" ht="25.5" hidden="false" customHeight="true" outlineLevel="0" collapsed="false">
      <c r="A30" s="39" t="s">
        <v>301</v>
      </c>
      <c r="B30" s="40" t="s">
        <v>134</v>
      </c>
      <c r="C30" s="41" t="s">
        <v>99</v>
      </c>
      <c r="D30" s="42" t="s">
        <v>16</v>
      </c>
      <c r="E30" s="43"/>
      <c r="F30" s="43"/>
      <c r="G30" s="43"/>
      <c r="H30" s="43"/>
      <c r="I30" s="43"/>
      <c r="J30" s="44" t="str">
        <f aca="false">IF(AND(D30="Obs",E30=""),"Note required",IF(AND(D30="No",E30=""),"Rationale required",""))</f>
        <v/>
      </c>
    </row>
    <row r="31" customFormat="false" ht="25.5" hidden="false" customHeight="true" outlineLevel="0" collapsed="false">
      <c r="A31" s="39" t="s">
        <v>303</v>
      </c>
      <c r="B31" s="40" t="s">
        <v>136</v>
      </c>
      <c r="C31" s="41" t="s">
        <v>99</v>
      </c>
      <c r="D31" s="42" t="s">
        <v>16</v>
      </c>
      <c r="E31" s="43"/>
      <c r="F31" s="43"/>
      <c r="G31" s="43"/>
      <c r="H31" s="43"/>
      <c r="I31" s="43"/>
      <c r="J31" s="44" t="str">
        <f aca="false">IF(AND(D31="Obs",E31=""),"Note required",IF(AND(D31="No",E31=""),"Rationale required",""))</f>
        <v/>
      </c>
    </row>
    <row r="32" customFormat="false" ht="25.5" hidden="false" customHeight="true" outlineLevel="0" collapsed="false">
      <c r="A32" s="39" t="s">
        <v>304</v>
      </c>
      <c r="B32" s="40" t="s">
        <v>138</v>
      </c>
      <c r="C32" s="41" t="s">
        <v>105</v>
      </c>
      <c r="D32" s="42" t="s">
        <v>16</v>
      </c>
      <c r="E32" s="43"/>
      <c r="F32" s="43"/>
      <c r="G32" s="43"/>
      <c r="H32" s="43"/>
      <c r="I32" s="43"/>
      <c r="J32" s="44" t="str">
        <f aca="false">IF(AND(D32="Obs",E32=""),"Note required",IF(AND(D32="No",E32=""),"Rationale required",""))</f>
        <v/>
      </c>
    </row>
    <row r="33" customFormat="false" ht="16.5" hidden="false" customHeight="true" outlineLevel="0" collapsed="false">
      <c r="A33" s="4"/>
      <c r="B33" s="23" t="s">
        <v>494</v>
      </c>
      <c r="C33" s="24"/>
      <c r="D33" s="24"/>
      <c r="E33" s="24"/>
      <c r="F33" s="24"/>
      <c r="G33" s="24"/>
      <c r="H33" s="24"/>
      <c r="I33" s="24"/>
      <c r="J33" s="24"/>
    </row>
    <row r="34" customFormat="false" ht="21.75" hidden="false" customHeight="true" outlineLevel="0" collapsed="false">
      <c r="A34" s="28" t="s">
        <v>461</v>
      </c>
      <c r="B34" s="28" t="s">
        <v>490</v>
      </c>
      <c r="C34" s="28" t="s">
        <v>93</v>
      </c>
      <c r="D34" s="28" t="s">
        <v>491</v>
      </c>
      <c r="E34" s="28" t="s">
        <v>492</v>
      </c>
      <c r="F34" s="28"/>
      <c r="G34" s="28"/>
      <c r="H34" s="28"/>
      <c r="I34" s="28"/>
      <c r="J34" s="28" t="s">
        <v>493</v>
      </c>
    </row>
    <row r="35" customFormat="false" ht="25.5" hidden="false" customHeight="true" outlineLevel="0" collapsed="false">
      <c r="A35" s="39" t="s">
        <v>305</v>
      </c>
      <c r="B35" s="40" t="s">
        <v>141</v>
      </c>
      <c r="C35" s="41" t="s">
        <v>99</v>
      </c>
      <c r="D35" s="42" t="s">
        <v>16</v>
      </c>
      <c r="E35" s="43"/>
      <c r="F35" s="43"/>
      <c r="G35" s="43"/>
      <c r="H35" s="43"/>
      <c r="I35" s="43"/>
      <c r="J35" s="44" t="str">
        <f aca="false">IF(AND(D35="Obs",E35=""),"Note required",IF(AND(D35="No",E35=""),"Rationale required",""))</f>
        <v/>
      </c>
    </row>
    <row r="36" customFormat="false" ht="25.5" hidden="false" customHeight="true" outlineLevel="0" collapsed="false">
      <c r="A36" s="39" t="s">
        <v>306</v>
      </c>
      <c r="B36" s="40" t="s">
        <v>143</v>
      </c>
      <c r="C36" s="41" t="s">
        <v>105</v>
      </c>
      <c r="D36" s="42" t="s">
        <v>18</v>
      </c>
      <c r="E36" s="43" t="s">
        <v>496</v>
      </c>
      <c r="F36" s="43"/>
      <c r="G36" s="43"/>
      <c r="H36" s="43"/>
      <c r="I36" s="43"/>
      <c r="J36" s="44" t="str">
        <f aca="false">IF(AND(D36="Obs",E36=""),"Note required",IF(AND(D36="No",E36=""),"Rationale required",""))</f>
        <v/>
      </c>
    </row>
    <row r="37" customFormat="false" ht="25.5" hidden="false" customHeight="true" outlineLevel="0" collapsed="false">
      <c r="A37" s="39" t="s">
        <v>307</v>
      </c>
      <c r="B37" s="40" t="s">
        <v>145</v>
      </c>
      <c r="C37" s="41" t="s">
        <v>99</v>
      </c>
      <c r="D37" s="42" t="s">
        <v>16</v>
      </c>
      <c r="E37" s="43"/>
      <c r="F37" s="43"/>
      <c r="G37" s="43"/>
      <c r="H37" s="43"/>
      <c r="I37" s="43"/>
      <c r="J37" s="44" t="str">
        <f aca="false">IF(AND(D37="Obs",E37=""),"Note required",IF(AND(D37="No",E37=""),"Rationale required",""))</f>
        <v/>
      </c>
    </row>
    <row r="38" customFormat="false" ht="16.5" hidden="false" customHeight="true" outlineLevel="0" collapsed="false">
      <c r="A38" s="4"/>
      <c r="B38" s="23" t="s">
        <v>495</v>
      </c>
      <c r="C38" s="24"/>
      <c r="D38" s="24"/>
      <c r="E38" s="24"/>
      <c r="F38" s="24"/>
      <c r="G38" s="24"/>
      <c r="H38" s="24"/>
      <c r="I38" s="24"/>
      <c r="J38" s="24"/>
    </row>
    <row r="39" customFormat="false" ht="21.75" hidden="false" customHeight="true" outlineLevel="0" collapsed="false">
      <c r="A39" s="28" t="s">
        <v>461</v>
      </c>
      <c r="B39" s="28" t="s">
        <v>490</v>
      </c>
      <c r="C39" s="28" t="s">
        <v>93</v>
      </c>
      <c r="D39" s="28" t="s">
        <v>491</v>
      </c>
      <c r="E39" s="28" t="s">
        <v>492</v>
      </c>
      <c r="F39" s="28"/>
      <c r="G39" s="28"/>
      <c r="H39" s="28"/>
      <c r="I39" s="28"/>
      <c r="J39" s="28" t="s">
        <v>493</v>
      </c>
    </row>
    <row r="40" customFormat="false" ht="25.5" hidden="false" customHeight="true" outlineLevel="0" collapsed="false">
      <c r="A40" s="39" t="s">
        <v>308</v>
      </c>
      <c r="B40" s="40" t="s">
        <v>148</v>
      </c>
      <c r="C40" s="41" t="s">
        <v>99</v>
      </c>
      <c r="D40" s="42" t="s">
        <v>20</v>
      </c>
      <c r="E40" s="43"/>
      <c r="F40" s="43"/>
      <c r="G40" s="43"/>
      <c r="H40" s="43"/>
      <c r="I40" s="43"/>
      <c r="J40" s="44" t="str">
        <f aca="false">IF(AND(D40="Obs",E40=""),"Note required",IF(AND(D40="No",E40=""),"Rationale required",""))</f>
        <v/>
      </c>
    </row>
    <row r="41" customFormat="false" ht="25.5" hidden="false" customHeight="true" outlineLevel="0" collapsed="false">
      <c r="A41" s="39" t="s">
        <v>309</v>
      </c>
      <c r="B41" s="40" t="s">
        <v>150</v>
      </c>
      <c r="C41" s="41" t="s">
        <v>105</v>
      </c>
      <c r="D41" s="42" t="s">
        <v>16</v>
      </c>
      <c r="E41" s="43"/>
      <c r="F41" s="43"/>
      <c r="G41" s="43"/>
      <c r="H41" s="43"/>
      <c r="I41" s="43"/>
      <c r="J41" s="44" t="str">
        <f aca="false">IF(AND(D41="Obs",E41=""),"Note required",IF(AND(D41="No",E41=""),"Rationale required",""))</f>
        <v/>
      </c>
    </row>
    <row r="42" customFormat="false" ht="25.5" hidden="false" customHeight="true" outlineLevel="0" collapsed="false">
      <c r="A42" s="39" t="s">
        <v>310</v>
      </c>
      <c r="B42" s="40" t="s">
        <v>152</v>
      </c>
      <c r="C42" s="41" t="s">
        <v>99</v>
      </c>
      <c r="D42" s="42" t="s">
        <v>16</v>
      </c>
      <c r="E42" s="43"/>
      <c r="F42" s="43"/>
      <c r="G42" s="43"/>
      <c r="H42" s="43"/>
      <c r="I42" s="43"/>
      <c r="J42" s="44" t="str">
        <f aca="false">IF(AND(D42="Obs",E42=""),"Note required",IF(AND(D42="No",E42=""),"Rationale required",""))</f>
        <v/>
      </c>
    </row>
    <row r="43" customFormat="false" ht="16.5" hidden="false" customHeight="true" outlineLevel="0" collapsed="false">
      <c r="A43" s="4"/>
      <c r="B43" s="23" t="s">
        <v>497</v>
      </c>
      <c r="C43" s="24"/>
      <c r="D43" s="24"/>
      <c r="E43" s="24"/>
      <c r="F43" s="24"/>
      <c r="G43" s="24"/>
      <c r="H43" s="24"/>
      <c r="I43" s="24"/>
      <c r="J43" s="24"/>
    </row>
    <row r="44" customFormat="false" ht="21.75" hidden="false" customHeight="true" outlineLevel="0" collapsed="false">
      <c r="A44" s="28" t="s">
        <v>461</v>
      </c>
      <c r="B44" s="28" t="s">
        <v>490</v>
      </c>
      <c r="C44" s="28" t="s">
        <v>93</v>
      </c>
      <c r="D44" s="28" t="s">
        <v>491</v>
      </c>
      <c r="E44" s="28" t="s">
        <v>492</v>
      </c>
      <c r="F44" s="28"/>
      <c r="G44" s="28"/>
      <c r="H44" s="28"/>
      <c r="I44" s="28"/>
      <c r="J44" s="28" t="s">
        <v>493</v>
      </c>
    </row>
    <row r="45" customFormat="false" ht="25.5" hidden="false" customHeight="true" outlineLevel="0" collapsed="false">
      <c r="A45" s="39" t="s">
        <v>311</v>
      </c>
      <c r="B45" s="40" t="s">
        <v>155</v>
      </c>
      <c r="C45" s="41" t="s">
        <v>105</v>
      </c>
      <c r="D45" s="42" t="s">
        <v>16</v>
      </c>
      <c r="E45" s="43"/>
      <c r="F45" s="43"/>
      <c r="G45" s="43"/>
      <c r="H45" s="43"/>
      <c r="I45" s="43"/>
      <c r="J45" s="44" t="str">
        <f aca="false">IF(AND(D45="Obs",E45=""),"Note required",IF(AND(D45="No",E45=""),"Rationale required",""))</f>
        <v/>
      </c>
    </row>
    <row r="46" customFormat="false" ht="25.5" hidden="false" customHeight="true" outlineLevel="0" collapsed="false">
      <c r="A46" s="39" t="s">
        <v>312</v>
      </c>
      <c r="B46" s="40" t="s">
        <v>157</v>
      </c>
      <c r="C46" s="41" t="s">
        <v>105</v>
      </c>
      <c r="D46" s="42" t="s">
        <v>22</v>
      </c>
      <c r="E46" s="43" t="s">
        <v>536</v>
      </c>
      <c r="F46" s="43"/>
      <c r="G46" s="43"/>
      <c r="H46" s="43"/>
      <c r="I46" s="43"/>
      <c r="J46" s="44" t="str">
        <f aca="false">IF(AND(D46="Obs",E46=""),"Note required",IF(AND(D46="No",E46=""),"Rationale required",""))</f>
        <v/>
      </c>
    </row>
    <row r="47" customFormat="false" ht="16.5" hidden="false" customHeight="true" outlineLevel="0" collapsed="false">
      <c r="A47" s="4"/>
      <c r="B47" s="23" t="s">
        <v>498</v>
      </c>
      <c r="C47" s="24"/>
      <c r="D47" s="24"/>
      <c r="E47" s="24"/>
      <c r="F47" s="24"/>
      <c r="G47" s="24"/>
      <c r="H47" s="24"/>
      <c r="I47" s="24"/>
      <c r="J47" s="24"/>
    </row>
    <row r="48" customFormat="false" ht="21.75" hidden="false" customHeight="true" outlineLevel="0" collapsed="false">
      <c r="A48" s="28" t="s">
        <v>461</v>
      </c>
      <c r="B48" s="28" t="s">
        <v>490</v>
      </c>
      <c r="C48" s="28" t="s">
        <v>93</v>
      </c>
      <c r="D48" s="28" t="s">
        <v>491</v>
      </c>
      <c r="E48" s="28" t="s">
        <v>492</v>
      </c>
      <c r="F48" s="28"/>
      <c r="G48" s="28"/>
      <c r="H48" s="28"/>
      <c r="I48" s="28"/>
      <c r="J48" s="28" t="s">
        <v>493</v>
      </c>
    </row>
    <row r="49" customFormat="false" ht="25.5" hidden="false" customHeight="true" outlineLevel="0" collapsed="false">
      <c r="A49" s="39" t="s">
        <v>313</v>
      </c>
      <c r="B49" s="40" t="s">
        <v>160</v>
      </c>
      <c r="C49" s="41" t="s">
        <v>99</v>
      </c>
      <c r="D49" s="42" t="s">
        <v>16</v>
      </c>
      <c r="E49" s="43"/>
      <c r="F49" s="43"/>
      <c r="G49" s="43"/>
      <c r="H49" s="43"/>
      <c r="I49" s="43"/>
      <c r="J49" s="44" t="str">
        <f aca="false">IF(AND(D49="Obs",E49=""),"Note required",IF(AND(D49="No",E49=""),"Rationale required",""))</f>
        <v/>
      </c>
    </row>
    <row r="50" customFormat="false" ht="25.5" hidden="false" customHeight="true" outlineLevel="0" collapsed="false">
      <c r="A50" s="39" t="s">
        <v>314</v>
      </c>
      <c r="B50" s="40" t="s">
        <v>162</v>
      </c>
      <c r="C50" s="41" t="s">
        <v>99</v>
      </c>
      <c r="D50" s="42" t="s">
        <v>22</v>
      </c>
      <c r="E50" s="43" t="s">
        <v>536</v>
      </c>
      <c r="F50" s="43"/>
      <c r="G50" s="43"/>
      <c r="H50" s="43"/>
      <c r="I50" s="43"/>
      <c r="J50" s="44" t="str">
        <f aca="false">IF(AND(D50="Obs",E50=""),"Note required",IF(AND(D50="No",E50=""),"Rationale required",""))</f>
        <v/>
      </c>
    </row>
    <row r="51" customFormat="false" ht="25.5" hidden="false" customHeight="true" outlineLevel="0" collapsed="false">
      <c r="A51" s="39" t="s">
        <v>315</v>
      </c>
      <c r="B51" s="40" t="s">
        <v>164</v>
      </c>
      <c r="C51" s="41" t="s">
        <v>110</v>
      </c>
      <c r="D51" s="42" t="s">
        <v>16</v>
      </c>
      <c r="E51" s="43"/>
      <c r="F51" s="43"/>
      <c r="G51" s="43"/>
      <c r="H51" s="43"/>
      <c r="I51" s="43"/>
      <c r="J51" s="44" t="str">
        <f aca="false">IF(AND(D51="Obs",E51=""),"Note required",IF(AND(D51="No",E51=""),"Rationale required",""))</f>
        <v/>
      </c>
    </row>
    <row r="52" customFormat="false" ht="16.5" hidden="false" customHeight="true" outlineLevel="0" collapsed="false">
      <c r="A52" s="4"/>
      <c r="B52" s="23" t="s">
        <v>499</v>
      </c>
      <c r="C52" s="24"/>
      <c r="D52" s="24"/>
      <c r="E52" s="24"/>
      <c r="F52" s="24"/>
      <c r="G52" s="24"/>
      <c r="H52" s="24"/>
      <c r="I52" s="24"/>
      <c r="J52" s="24"/>
    </row>
    <row r="53" customFormat="false" ht="21.75" hidden="false" customHeight="true" outlineLevel="0" collapsed="false">
      <c r="A53" s="28" t="s">
        <v>461</v>
      </c>
      <c r="B53" s="28" t="s">
        <v>490</v>
      </c>
      <c r="C53" s="28" t="s">
        <v>93</v>
      </c>
      <c r="D53" s="28" t="s">
        <v>491</v>
      </c>
      <c r="E53" s="28" t="s">
        <v>492</v>
      </c>
      <c r="F53" s="28"/>
      <c r="G53" s="28"/>
      <c r="H53" s="28"/>
      <c r="I53" s="28"/>
      <c r="J53" s="28" t="s">
        <v>493</v>
      </c>
    </row>
    <row r="54" customFormat="false" ht="25.5" hidden="false" customHeight="true" outlineLevel="0" collapsed="false">
      <c r="A54" s="39" t="s">
        <v>316</v>
      </c>
      <c r="B54" s="40" t="s">
        <v>167</v>
      </c>
      <c r="C54" s="41" t="s">
        <v>99</v>
      </c>
      <c r="D54" s="42" t="s">
        <v>16</v>
      </c>
      <c r="E54" s="43"/>
      <c r="F54" s="43"/>
      <c r="G54" s="43"/>
      <c r="H54" s="43"/>
      <c r="I54" s="43"/>
      <c r="J54" s="44" t="str">
        <f aca="false">IF(AND(D54="Obs",E54=""),"Note required",IF(AND(D54="No",E54=""),"Rationale required",""))</f>
        <v/>
      </c>
    </row>
    <row r="55" customFormat="false" ht="25.5" hidden="false" customHeight="true" outlineLevel="0" collapsed="false">
      <c r="A55" s="39" t="s">
        <v>317</v>
      </c>
      <c r="B55" s="40" t="s">
        <v>169</v>
      </c>
      <c r="C55" s="41" t="s">
        <v>105</v>
      </c>
      <c r="D55" s="42" t="s">
        <v>16</v>
      </c>
      <c r="E55" s="43"/>
      <c r="F55" s="43"/>
      <c r="G55" s="43"/>
      <c r="H55" s="43"/>
      <c r="I55" s="43"/>
      <c r="J55" s="44" t="str">
        <f aca="false">IF(AND(D55="Obs",E55=""),"Note required",IF(AND(D55="No",E55=""),"Rationale required",""))</f>
        <v/>
      </c>
    </row>
    <row r="56" customFormat="false" ht="16.5" hidden="false" customHeight="true" outlineLevel="0" collapsed="false">
      <c r="A56" s="4"/>
      <c r="B56" s="23" t="s">
        <v>500</v>
      </c>
      <c r="C56" s="24"/>
      <c r="D56" s="24"/>
      <c r="E56" s="24"/>
      <c r="F56" s="24"/>
      <c r="G56" s="24"/>
      <c r="H56" s="24"/>
      <c r="I56" s="24"/>
      <c r="J56" s="24"/>
    </row>
    <row r="57" customFormat="false" ht="21.75" hidden="false" customHeight="true" outlineLevel="0" collapsed="false">
      <c r="A57" s="28" t="s">
        <v>461</v>
      </c>
      <c r="B57" s="28" t="s">
        <v>490</v>
      </c>
      <c r="C57" s="28" t="s">
        <v>93</v>
      </c>
      <c r="D57" s="28" t="s">
        <v>491</v>
      </c>
      <c r="E57" s="28" t="s">
        <v>492</v>
      </c>
      <c r="F57" s="28"/>
      <c r="G57" s="28"/>
      <c r="H57" s="28"/>
      <c r="I57" s="28"/>
      <c r="J57" s="28" t="s">
        <v>493</v>
      </c>
    </row>
    <row r="58" customFormat="false" ht="25.5" hidden="false" customHeight="true" outlineLevel="0" collapsed="false">
      <c r="A58" s="39" t="s">
        <v>318</v>
      </c>
      <c r="B58" s="40" t="s">
        <v>172</v>
      </c>
      <c r="C58" s="41" t="s">
        <v>105</v>
      </c>
      <c r="D58" s="42" t="s">
        <v>22</v>
      </c>
      <c r="E58" s="43" t="s">
        <v>562</v>
      </c>
      <c r="F58" s="43"/>
      <c r="G58" s="43"/>
      <c r="H58" s="43"/>
      <c r="I58" s="43"/>
      <c r="J58" s="44" t="str">
        <f aca="false">IF(AND(D58="Obs",E58=""),"Note required",IF(AND(D58="No",E58=""),"Rationale required",""))</f>
        <v/>
      </c>
    </row>
    <row r="59" customFormat="false" ht="25.5" hidden="false" customHeight="true" outlineLevel="0" collapsed="false">
      <c r="A59" s="39" t="s">
        <v>319</v>
      </c>
      <c r="B59" s="40" t="s">
        <v>174</v>
      </c>
      <c r="C59" s="41" t="s">
        <v>99</v>
      </c>
      <c r="D59" s="42" t="s">
        <v>16</v>
      </c>
      <c r="E59" s="43"/>
      <c r="F59" s="43"/>
      <c r="G59" s="43"/>
      <c r="H59" s="43"/>
      <c r="I59" s="43"/>
      <c r="J59" s="44" t="str">
        <f aca="false">IF(AND(D59="Obs",E59=""),"Note required",IF(AND(D59="No",E59=""),"Rationale required",""))</f>
        <v/>
      </c>
    </row>
    <row r="60" customFormat="false" ht="16.5" hidden="false" customHeight="true" outlineLevel="0" collapsed="false">
      <c r="A60" s="4"/>
      <c r="B60" s="23" t="s">
        <v>501</v>
      </c>
      <c r="C60" s="24"/>
      <c r="D60" s="24"/>
      <c r="E60" s="24"/>
      <c r="F60" s="24"/>
      <c r="G60" s="24"/>
      <c r="H60" s="24"/>
      <c r="I60" s="24"/>
      <c r="J60" s="24"/>
    </row>
    <row r="61" customFormat="false" ht="21.75" hidden="false" customHeight="true" outlineLevel="0" collapsed="false">
      <c r="A61" s="28" t="s">
        <v>461</v>
      </c>
      <c r="B61" s="28" t="s">
        <v>490</v>
      </c>
      <c r="C61" s="28" t="s">
        <v>93</v>
      </c>
      <c r="D61" s="28" t="s">
        <v>491</v>
      </c>
      <c r="E61" s="28" t="s">
        <v>492</v>
      </c>
      <c r="F61" s="28"/>
      <c r="G61" s="28"/>
      <c r="H61" s="28"/>
      <c r="I61" s="28"/>
      <c r="J61" s="28" t="s">
        <v>493</v>
      </c>
    </row>
    <row r="62" customFormat="false" ht="25.5" hidden="false" customHeight="true" outlineLevel="0" collapsed="false">
      <c r="A62" s="39" t="s">
        <v>320</v>
      </c>
      <c r="B62" s="40" t="s">
        <v>177</v>
      </c>
      <c r="C62" s="41" t="s">
        <v>105</v>
      </c>
      <c r="D62" s="42" t="s">
        <v>16</v>
      </c>
      <c r="E62" s="43"/>
      <c r="F62" s="43"/>
      <c r="G62" s="43"/>
      <c r="H62" s="43"/>
      <c r="I62" s="43"/>
      <c r="J62" s="44" t="str">
        <f aca="false">IF(AND(D62="Obs",E62=""),"Note required",IF(AND(D62="No",E62=""),"Rationale required",""))</f>
        <v/>
      </c>
    </row>
    <row r="63" customFormat="false" ht="25.5" hidden="false" customHeight="true" outlineLevel="0" collapsed="false">
      <c r="A63" s="39" t="s">
        <v>321</v>
      </c>
      <c r="B63" s="40" t="s">
        <v>179</v>
      </c>
      <c r="C63" s="41" t="s">
        <v>105</v>
      </c>
      <c r="D63" s="42" t="s">
        <v>16</v>
      </c>
      <c r="E63" s="43"/>
      <c r="F63" s="43"/>
      <c r="G63" s="43"/>
      <c r="H63" s="43"/>
      <c r="I63" s="43"/>
      <c r="J63" s="44" t="str">
        <f aca="false">IF(AND(D63="Obs",E63=""),"Note required",IF(AND(D63="No",E63=""),"Rationale required",""))</f>
        <v/>
      </c>
    </row>
    <row r="64" customFormat="false" ht="16.5" hidden="false" customHeight="true" outlineLevel="0" collapsed="false">
      <c r="A64" s="4"/>
      <c r="B64" s="23" t="s">
        <v>615</v>
      </c>
      <c r="C64" s="24"/>
      <c r="D64" s="24"/>
      <c r="E64" s="24"/>
      <c r="F64" s="24"/>
      <c r="G64" s="24"/>
      <c r="H64" s="24"/>
      <c r="I64" s="24"/>
      <c r="J64" s="24"/>
    </row>
    <row r="65" customFormat="false" ht="21.75" hidden="false" customHeight="true" outlineLevel="0" collapsed="false">
      <c r="A65" s="28" t="s">
        <v>461</v>
      </c>
      <c r="B65" s="28" t="s">
        <v>490</v>
      </c>
      <c r="C65" s="28" t="s">
        <v>93</v>
      </c>
      <c r="D65" s="28" t="s">
        <v>491</v>
      </c>
      <c r="E65" s="28" t="s">
        <v>492</v>
      </c>
      <c r="F65" s="28"/>
      <c r="G65" s="28"/>
      <c r="H65" s="28"/>
      <c r="I65" s="28"/>
      <c r="J65" s="28" t="s">
        <v>493</v>
      </c>
    </row>
    <row r="66" customFormat="false" ht="25.5" hidden="false" customHeight="true" outlineLevel="0" collapsed="false">
      <c r="A66" s="39" t="s">
        <v>322</v>
      </c>
      <c r="B66" s="40" t="s">
        <v>324</v>
      </c>
      <c r="C66" s="41" t="s">
        <v>99</v>
      </c>
      <c r="D66" s="42" t="s">
        <v>18</v>
      </c>
      <c r="E66" s="43" t="s">
        <v>616</v>
      </c>
      <c r="F66" s="43"/>
      <c r="G66" s="43"/>
      <c r="H66" s="43"/>
      <c r="I66" s="43"/>
      <c r="J66" s="44" t="str">
        <f aca="false">IF(AND(D66="Obs",E66=""),"Note required",IF(AND(D66="No",E66=""),"Rationale required",""))</f>
        <v/>
      </c>
    </row>
    <row r="67" customFormat="false" ht="25.5" hidden="false" customHeight="true" outlineLevel="0" collapsed="false">
      <c r="A67" s="39" t="s">
        <v>325</v>
      </c>
      <c r="B67" s="40" t="s">
        <v>326</v>
      </c>
      <c r="C67" s="41" t="s">
        <v>99</v>
      </c>
      <c r="D67" s="42" t="s">
        <v>16</v>
      </c>
      <c r="E67" s="43"/>
      <c r="F67" s="43"/>
      <c r="G67" s="43"/>
      <c r="H67" s="43"/>
      <c r="I67" s="43"/>
      <c r="J67" s="44" t="str">
        <f aca="false">IF(AND(D67="Obs",E67=""),"Note required",IF(AND(D67="No",E67=""),"Rationale required",""))</f>
        <v/>
      </c>
    </row>
    <row r="68" customFormat="false" ht="25.5" hidden="false" customHeight="true" outlineLevel="0" collapsed="false">
      <c r="A68" s="39" t="s">
        <v>327</v>
      </c>
      <c r="B68" s="40" t="s">
        <v>328</v>
      </c>
      <c r="C68" s="41" t="s">
        <v>105</v>
      </c>
      <c r="D68" s="42" t="s">
        <v>20</v>
      </c>
      <c r="E68" s="43"/>
      <c r="F68" s="43"/>
      <c r="G68" s="43"/>
      <c r="H68" s="43"/>
      <c r="I68" s="43"/>
      <c r="J68" s="44" t="str">
        <f aca="false">IF(AND(D68="Obs",E68=""),"Note required",IF(AND(D68="No",E68=""),"Rationale required",""))</f>
        <v/>
      </c>
    </row>
    <row r="69" customFormat="false" ht="25.5" hidden="false" customHeight="true" outlineLevel="0" collapsed="false">
      <c r="A69" s="39" t="s">
        <v>329</v>
      </c>
      <c r="B69" s="40" t="s">
        <v>330</v>
      </c>
      <c r="C69" s="41" t="s">
        <v>99</v>
      </c>
      <c r="D69" s="42" t="s">
        <v>16</v>
      </c>
      <c r="E69" s="43"/>
      <c r="F69" s="43"/>
      <c r="G69" s="43"/>
      <c r="H69" s="43"/>
      <c r="I69" s="43"/>
      <c r="J69" s="44" t="str">
        <f aca="false">IF(AND(D69="Obs",E69=""),"Note required",IF(AND(D69="No",E69=""),"Rationale required",""))</f>
        <v/>
      </c>
    </row>
    <row r="70" customFormat="false" ht="25.5" hidden="false" customHeight="true" outlineLevel="0" collapsed="false">
      <c r="A70" s="39" t="s">
        <v>331</v>
      </c>
      <c r="B70" s="40" t="s">
        <v>332</v>
      </c>
      <c r="C70" s="41" t="s">
        <v>105</v>
      </c>
      <c r="D70" s="42" t="s">
        <v>16</v>
      </c>
      <c r="E70" s="43"/>
      <c r="F70" s="43"/>
      <c r="G70" s="43"/>
      <c r="H70" s="43"/>
      <c r="I70" s="43"/>
      <c r="J70" s="44" t="str">
        <f aca="false">IF(AND(D70="Obs",E70=""),"Note required",IF(AND(D70="No",E70=""),"Rationale required",""))</f>
        <v/>
      </c>
    </row>
    <row r="71" customFormat="false" ht="25.5" hidden="false" customHeight="true" outlineLevel="0" collapsed="false">
      <c r="A71" s="39" t="s">
        <v>333</v>
      </c>
      <c r="B71" s="40" t="s">
        <v>334</v>
      </c>
      <c r="C71" s="41" t="s">
        <v>105</v>
      </c>
      <c r="D71" s="42" t="s">
        <v>16</v>
      </c>
      <c r="E71" s="43"/>
      <c r="F71" s="43"/>
      <c r="G71" s="43"/>
      <c r="H71" s="43"/>
      <c r="I71" s="43"/>
      <c r="J71" s="44" t="str">
        <f aca="false">IF(AND(D71="Obs",E71=""),"Note required",IF(AND(D71="No",E71=""),"Rationale required",""))</f>
        <v/>
      </c>
    </row>
    <row r="72" customFormat="false" ht="25.5" hidden="false" customHeight="true" outlineLevel="0" collapsed="false">
      <c r="A72" s="39" t="s">
        <v>335</v>
      </c>
      <c r="B72" s="40" t="s">
        <v>336</v>
      </c>
      <c r="C72" s="41" t="s">
        <v>110</v>
      </c>
      <c r="D72" s="42" t="s">
        <v>16</v>
      </c>
      <c r="E72" s="43"/>
      <c r="F72" s="43"/>
      <c r="G72" s="43"/>
      <c r="H72" s="43"/>
      <c r="I72" s="43"/>
      <c r="J72" s="44" t="str">
        <f aca="false">IF(AND(D72="Obs",E72=""),"Note required",IF(AND(D72="No",E72=""),"Rationale required",""))</f>
        <v/>
      </c>
    </row>
    <row r="74" customFormat="false" ht="16.5" hidden="false" customHeight="true" outlineLevel="0" collapsed="false">
      <c r="A74" s="4"/>
      <c r="B74" s="23" t="s">
        <v>504</v>
      </c>
      <c r="C74" s="24"/>
      <c r="D74" s="24"/>
      <c r="E74" s="24"/>
      <c r="F74" s="24"/>
      <c r="G74" s="24"/>
      <c r="H74" s="24"/>
      <c r="I74" s="24"/>
      <c r="J74" s="24"/>
    </row>
    <row r="75" customFormat="false" ht="15" hidden="false" customHeight="false" outlineLevel="0" collapsed="false">
      <c r="B75" s="7" t="s">
        <v>505</v>
      </c>
      <c r="C75" s="45" t="n">
        <f aca="false">27</f>
        <v>27</v>
      </c>
    </row>
    <row r="76" customFormat="false" ht="15" hidden="false" customHeight="false" outlineLevel="0" collapsed="false">
      <c r="B76" s="7" t="s">
        <v>506</v>
      </c>
      <c r="C76" s="45" t="n">
        <f aca="false">COUNTIF(D30:D72,"Yes")+COUNTIF(D30:D72,"No")+COUNTIF(D30:D72,"N/A")+COUNTIF(D30:D72,"Obs")</f>
        <v>27</v>
      </c>
    </row>
    <row r="77" customFormat="false" ht="15" hidden="false" customHeight="false" outlineLevel="0" collapsed="false">
      <c r="B77" s="7" t="s">
        <v>507</v>
      </c>
      <c r="C77" s="46" t="n">
        <f aca="false">IF(C75=0,"",C76/C75)</f>
        <v>1</v>
      </c>
    </row>
    <row r="78" customFormat="false" ht="15" hidden="false" customHeight="false" outlineLevel="0" collapsed="false">
      <c r="B78" s="7" t="s">
        <v>508</v>
      </c>
      <c r="C78" s="45" t="n">
        <f aca="false">C76-COUNTIF(D30:D72,"N/A")</f>
        <v>25</v>
      </c>
    </row>
    <row r="79" customFormat="false" ht="15" hidden="false" customHeight="false" outlineLevel="0" collapsed="false">
      <c r="B79" s="7" t="s">
        <v>509</v>
      </c>
      <c r="C79" s="45" t="n">
        <f aca="false">COUNTIF(D30:D72,"No")</f>
        <v>2</v>
      </c>
    </row>
    <row r="80" customFormat="false" ht="15" hidden="false" customHeight="false" outlineLevel="0" collapsed="false">
      <c r="B80" s="7" t="s">
        <v>510</v>
      </c>
      <c r="C80" s="45" t="n">
        <f aca="false">COUNTIF(D30:D72,"Obs")</f>
        <v>3</v>
      </c>
    </row>
    <row r="81" customFormat="false" ht="15" hidden="false" customHeight="false" outlineLevel="0" collapsed="false">
      <c r="B81" s="7" t="s">
        <v>511</v>
      </c>
      <c r="C81" s="46" t="n">
        <f aca="false">IF(C78=0,"",C79/C78)</f>
        <v>0.08</v>
      </c>
    </row>
    <row r="82" customFormat="false" ht="15" hidden="false" customHeight="false" outlineLevel="0" collapsed="false">
      <c r="B82" s="7" t="s">
        <v>512</v>
      </c>
      <c r="C82" s="45" t="n">
        <f aca="false">COUNTIF(J30:J72,"*required*")</f>
        <v>0</v>
      </c>
    </row>
    <row r="84" customFormat="false" ht="15" hidden="false" customHeight="false" outlineLevel="0" collapsed="false">
      <c r="B84" s="7" t="s">
        <v>513</v>
      </c>
    </row>
    <row r="85" customFormat="false" ht="15" hidden="false" customHeight="false" outlineLevel="0" collapsed="false">
      <c r="B85" s="43"/>
      <c r="C85" s="43"/>
      <c r="D85" s="43"/>
      <c r="E85" s="43"/>
      <c r="F85" s="43"/>
      <c r="G85" s="43"/>
      <c r="H85" s="43"/>
      <c r="I85" s="43"/>
    </row>
    <row r="86" customFormat="false" ht="15" hidden="false" customHeight="false" outlineLevel="0" collapsed="false">
      <c r="B86" s="43"/>
      <c r="C86" s="43"/>
      <c r="D86" s="43"/>
      <c r="E86" s="43"/>
      <c r="F86" s="43"/>
      <c r="G86" s="43"/>
      <c r="H86" s="43"/>
      <c r="I86" s="43"/>
    </row>
    <row r="87" customFormat="false" ht="15" hidden="false" customHeight="false" outlineLevel="0" collapsed="false">
      <c r="B87" s="43"/>
      <c r="C87" s="43"/>
      <c r="D87" s="43"/>
      <c r="E87" s="43"/>
      <c r="F87" s="43"/>
      <c r="G87" s="43"/>
      <c r="H87" s="43"/>
      <c r="I87" s="43"/>
    </row>
  </sheetData>
  <mergeCells count="37">
    <mergeCell ref="E29:I29"/>
    <mergeCell ref="E30:I30"/>
    <mergeCell ref="E31:I31"/>
    <mergeCell ref="E32:I32"/>
    <mergeCell ref="E34:I34"/>
    <mergeCell ref="E35:I35"/>
    <mergeCell ref="E36:I36"/>
    <mergeCell ref="E37:I37"/>
    <mergeCell ref="E39:I39"/>
    <mergeCell ref="E40:I40"/>
    <mergeCell ref="E41:I41"/>
    <mergeCell ref="E42:I42"/>
    <mergeCell ref="E44:I44"/>
    <mergeCell ref="E45:I45"/>
    <mergeCell ref="E46:I46"/>
    <mergeCell ref="E48:I48"/>
    <mergeCell ref="E49:I49"/>
    <mergeCell ref="E50:I50"/>
    <mergeCell ref="E51:I51"/>
    <mergeCell ref="E53:I53"/>
    <mergeCell ref="E54:I54"/>
    <mergeCell ref="E55:I55"/>
    <mergeCell ref="E57:I57"/>
    <mergeCell ref="E58:I58"/>
    <mergeCell ref="E59:I59"/>
    <mergeCell ref="E61:I61"/>
    <mergeCell ref="E62:I62"/>
    <mergeCell ref="E63:I63"/>
    <mergeCell ref="E65:I65"/>
    <mergeCell ref="E66:I66"/>
    <mergeCell ref="E67:I67"/>
    <mergeCell ref="E68:I68"/>
    <mergeCell ref="E69:I69"/>
    <mergeCell ref="E70:I70"/>
    <mergeCell ref="E71:I71"/>
    <mergeCell ref="E72:I72"/>
    <mergeCell ref="B85:I87"/>
  </mergeCells>
  <conditionalFormatting sqref="A22:J26">
    <cfRule type="expression" priority="2" aboveAverage="0" equalAverage="0" bottom="0" percent="0" rank="0" text="" dxfId="4">
      <formula>$H22="Exception"</formula>
    </cfRule>
    <cfRule type="expression" priority="3" aboveAverage="0" equalAverage="0" bottom="0" percent="0" rank="0" text="" dxfId="5">
      <formula>$F22="Variance"</formula>
    </cfRule>
  </conditionalFormatting>
  <conditionalFormatting sqref="A30:J72">
    <cfRule type="expression" priority="4" aboveAverage="0" equalAverage="0" bottom="0" percent="0" rank="0" text="" dxfId="4">
      <formula>$D30="No"</formula>
    </cfRule>
    <cfRule type="expression" priority="5" aboveAverage="0" equalAverage="0" bottom="0" percent="0" rank="0" text="" dxfId="5">
      <formula>AND($D30="Obs",$E30="")</formula>
    </cfRule>
  </conditionalFormatting>
  <dataValidations count="4">
    <dataValidation allowBlank="true" errorStyle="stop" operator="between" showDropDown="false" showErrorMessage="false" showInputMessage="false" sqref="I5:I6" type="list">
      <formula1>GradeList</formula1>
      <formula2>0</formula2>
    </dataValidation>
    <dataValidation allowBlank="true" errorStyle="stop" operator="between" showDropDown="false" showErrorMessage="false" showInputMessage="false" sqref="C8" type="list">
      <formula1>"Periodic,Targeted,Continuous"</formula1>
      <formula2>0</formula2>
    </dataValidation>
    <dataValidation allowBlank="true" errorStyle="stop" operator="between" showDropDown="false" showErrorMessage="false" showInputMessage="false" sqref="F8" type="list">
      <formula1>PropTypeList</formula1>
      <formula2>0</formula2>
    </dataValidation>
    <dataValidation allowBlank="true" errorStyle="stop" operator="between" showDropDown="false" showErrorMessage="false" showInputMessage="false" sqref="D30:D32 D35:D37 D40:D42 D45:D46 D49:D51 D54:D55 D58:D59 D62:D63 D66:D72" type="list">
      <formula1>AnswerList</formula1>
      <formula2>0</formula2>
    </dataValidation>
  </dataValidations>
  <printOptions headings="false" gridLines="false" gridLinesSet="true" horizontalCentered="false" verticalCentered="false"/>
  <pageMargins left="0.4" right="0.4" top="0.5" bottom="0.5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E5597"/>
    <pageSetUpPr fitToPage="true"/>
  </sheetPr>
  <dimension ref="A1:J7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1" width="8"/>
    <col collapsed="false" customWidth="true" hidden="false" outlineLevel="0" max="2" min="2" style="1" width="52"/>
    <col collapsed="false" customWidth="true" hidden="false" outlineLevel="0" max="4" min="3" style="1" width="14"/>
    <col collapsed="false" customWidth="true" hidden="false" outlineLevel="0" max="5" min="5" style="1" width="12"/>
    <col collapsed="false" customWidth="true" hidden="false" outlineLevel="0" max="7" min="6" style="1" width="14"/>
    <col collapsed="false" customWidth="true" hidden="false" outlineLevel="0" max="8" min="8" style="1" width="16"/>
    <col collapsed="false" customWidth="true" hidden="false" outlineLevel="0" max="9" min="9" style="1" width="12"/>
    <col collapsed="false" customWidth="true" hidden="false" outlineLevel="0" max="10" min="10" style="1" width="30"/>
  </cols>
  <sheetData>
    <row r="1" customFormat="false" ht="30" hidden="false" customHeight="true" outlineLevel="0" collapsed="false">
      <c r="B1" s="2" t="s">
        <v>617</v>
      </c>
    </row>
    <row r="2" customFormat="false" ht="13.5" hidden="false" customHeight="true" outlineLevel="0" collapsed="false">
      <c r="B2" s="3" t="s">
        <v>419</v>
      </c>
    </row>
    <row r="3" customFormat="false" ht="3" hidden="false" customHeight="true" outlineLevel="0" collapsed="false">
      <c r="B3" s="4"/>
      <c r="C3" s="4"/>
      <c r="D3" s="4"/>
      <c r="E3" s="4"/>
      <c r="F3" s="4"/>
      <c r="G3" s="4"/>
      <c r="H3" s="4"/>
      <c r="I3" s="4"/>
      <c r="J3" s="5"/>
    </row>
    <row r="4" customFormat="false" ht="16.5" hidden="false" customHeight="true" outlineLevel="0" collapsed="false">
      <c r="A4" s="4"/>
      <c r="B4" s="23" t="s">
        <v>420</v>
      </c>
      <c r="C4" s="24"/>
      <c r="D4" s="24"/>
      <c r="E4" s="24"/>
      <c r="F4" s="24"/>
      <c r="G4" s="24"/>
      <c r="H4" s="24"/>
      <c r="I4" s="24"/>
      <c r="J4" s="24"/>
    </row>
    <row r="5" customFormat="false" ht="15" hidden="false" customHeight="false" outlineLevel="0" collapsed="false">
      <c r="B5" s="25" t="s">
        <v>421</v>
      </c>
      <c r="C5" s="18" t="s">
        <v>618</v>
      </c>
      <c r="E5" s="25" t="s">
        <v>423</v>
      </c>
      <c r="F5" s="16" t="n">
        <v>45883</v>
      </c>
      <c r="H5" s="25" t="s">
        <v>424</v>
      </c>
      <c r="I5" s="18" t="n">
        <v>4</v>
      </c>
    </row>
    <row r="6" customFormat="false" ht="15" hidden="false" customHeight="false" outlineLevel="0" collapsed="false">
      <c r="B6" s="25" t="s">
        <v>425</v>
      </c>
      <c r="C6" s="18" t="s">
        <v>619</v>
      </c>
      <c r="E6" s="25" t="s">
        <v>427</v>
      </c>
      <c r="F6" s="16" t="n">
        <v>45808</v>
      </c>
      <c r="H6" s="25" t="s">
        <v>428</v>
      </c>
      <c r="I6" s="18" t="n">
        <v>5</v>
      </c>
    </row>
    <row r="7" customFormat="false" ht="15" hidden="false" customHeight="false" outlineLevel="0" collapsed="false">
      <c r="B7" s="25" t="s">
        <v>429</v>
      </c>
      <c r="C7" s="19" t="n">
        <v>30000</v>
      </c>
      <c r="E7" s="25" t="s">
        <v>430</v>
      </c>
      <c r="F7" s="18" t="s">
        <v>431</v>
      </c>
      <c r="H7" s="25" t="s">
        <v>432</v>
      </c>
      <c r="I7" s="26" t="str">
        <f aca="false">IF($I$6="","",VLOOKUP($I$6,Lists!$D$2:$E$9,2,0))</f>
        <v>Special Mention</v>
      </c>
    </row>
    <row r="8" customFormat="false" ht="15" hidden="false" customHeight="false" outlineLevel="0" collapsed="false">
      <c r="B8" s="25" t="s">
        <v>433</v>
      </c>
      <c r="C8" s="18" t="s">
        <v>100</v>
      </c>
      <c r="E8" s="25" t="s">
        <v>434</v>
      </c>
      <c r="F8" s="18"/>
      <c r="H8" s="25" t="s">
        <v>435</v>
      </c>
      <c r="I8" s="27" t="str">
        <f aca="false">IF(OR($I$5="",$I$6=""),"",IF($I$5=$I$6,"Concur","Grade Change"))</f>
        <v>Grade Change</v>
      </c>
    </row>
    <row r="10" customFormat="false" ht="16.5" hidden="false" customHeight="true" outlineLevel="0" collapsed="false">
      <c r="A10" s="4"/>
      <c r="B10" s="23" t="s">
        <v>620</v>
      </c>
      <c r="C10" s="24"/>
      <c r="D10" s="24"/>
      <c r="E10" s="24"/>
      <c r="F10" s="24"/>
      <c r="G10" s="24"/>
      <c r="H10" s="24"/>
      <c r="I10" s="24"/>
      <c r="J10" s="24"/>
    </row>
    <row r="11" customFormat="false" ht="21.75" hidden="false" customHeight="true" outlineLevel="0" collapsed="false">
      <c r="A11" s="28" t="s">
        <v>461</v>
      </c>
      <c r="B11" s="28" t="s">
        <v>490</v>
      </c>
      <c r="C11" s="28" t="s">
        <v>93</v>
      </c>
      <c r="D11" s="28" t="s">
        <v>491</v>
      </c>
      <c r="E11" s="28" t="s">
        <v>492</v>
      </c>
      <c r="F11" s="28"/>
      <c r="G11" s="28"/>
      <c r="H11" s="28"/>
      <c r="I11" s="28"/>
      <c r="J11" s="28" t="s">
        <v>493</v>
      </c>
    </row>
    <row r="12" customFormat="false" ht="25.5" hidden="false" customHeight="true" outlineLevel="0" collapsed="false">
      <c r="A12" s="39" t="s">
        <v>382</v>
      </c>
      <c r="B12" s="40" t="s">
        <v>134</v>
      </c>
      <c r="C12" s="41" t="s">
        <v>99</v>
      </c>
      <c r="D12" s="42" t="s">
        <v>16</v>
      </c>
      <c r="E12" s="43"/>
      <c r="F12" s="43"/>
      <c r="G12" s="43"/>
      <c r="H12" s="43"/>
      <c r="I12" s="43"/>
      <c r="J12" s="44" t="str">
        <f aca="false">IF(AND(D12="Obs",E12=""),"Note required",IF(AND(D12="No",E12=""),"Rationale required",""))</f>
        <v/>
      </c>
    </row>
    <row r="13" customFormat="false" ht="25.5" hidden="false" customHeight="true" outlineLevel="0" collapsed="false">
      <c r="A13" s="39" t="s">
        <v>384</v>
      </c>
      <c r="B13" s="40" t="s">
        <v>136</v>
      </c>
      <c r="C13" s="41" t="s">
        <v>99</v>
      </c>
      <c r="D13" s="42" t="s">
        <v>22</v>
      </c>
      <c r="E13" s="43" t="s">
        <v>621</v>
      </c>
      <c r="F13" s="43"/>
      <c r="G13" s="43"/>
      <c r="H13" s="43"/>
      <c r="I13" s="43"/>
      <c r="J13" s="44" t="str">
        <f aca="false">IF(AND(D13="Obs",E13=""),"Note required",IF(AND(D13="No",E13=""),"Rationale required",""))</f>
        <v/>
      </c>
    </row>
    <row r="14" customFormat="false" ht="25.5" hidden="false" customHeight="true" outlineLevel="0" collapsed="false">
      <c r="A14" s="39" t="s">
        <v>385</v>
      </c>
      <c r="B14" s="40" t="s">
        <v>138</v>
      </c>
      <c r="C14" s="41" t="s">
        <v>105</v>
      </c>
      <c r="D14" s="42" t="s">
        <v>16</v>
      </c>
      <c r="E14" s="43"/>
      <c r="F14" s="43"/>
      <c r="G14" s="43"/>
      <c r="H14" s="43"/>
      <c r="I14" s="43"/>
      <c r="J14" s="44" t="str">
        <f aca="false">IF(AND(D14="Obs",E14=""),"Note required",IF(AND(D14="No",E14=""),"Rationale required",""))</f>
        <v/>
      </c>
    </row>
    <row r="15" customFormat="false" ht="16.5" hidden="false" customHeight="true" outlineLevel="0" collapsed="false">
      <c r="A15" s="4"/>
      <c r="B15" s="23" t="s">
        <v>622</v>
      </c>
      <c r="C15" s="24"/>
      <c r="D15" s="24"/>
      <c r="E15" s="24"/>
      <c r="F15" s="24"/>
      <c r="G15" s="24"/>
      <c r="H15" s="24"/>
      <c r="I15" s="24"/>
      <c r="J15" s="24"/>
    </row>
    <row r="16" customFormat="false" ht="21.75" hidden="false" customHeight="true" outlineLevel="0" collapsed="false">
      <c r="A16" s="28" t="s">
        <v>461</v>
      </c>
      <c r="B16" s="28" t="s">
        <v>490</v>
      </c>
      <c r="C16" s="28" t="s">
        <v>93</v>
      </c>
      <c r="D16" s="28" t="s">
        <v>491</v>
      </c>
      <c r="E16" s="28" t="s">
        <v>492</v>
      </c>
      <c r="F16" s="28"/>
      <c r="G16" s="28"/>
      <c r="H16" s="28"/>
      <c r="I16" s="28"/>
      <c r="J16" s="28" t="s">
        <v>493</v>
      </c>
    </row>
    <row r="17" customFormat="false" ht="25.5" hidden="false" customHeight="true" outlineLevel="0" collapsed="false">
      <c r="A17" s="39" t="s">
        <v>386</v>
      </c>
      <c r="B17" s="40" t="s">
        <v>141</v>
      </c>
      <c r="C17" s="41" t="s">
        <v>99</v>
      </c>
      <c r="D17" s="42" t="s">
        <v>16</v>
      </c>
      <c r="E17" s="43"/>
      <c r="F17" s="43"/>
      <c r="G17" s="43"/>
      <c r="H17" s="43"/>
      <c r="I17" s="43"/>
      <c r="J17" s="44" t="str">
        <f aca="false">IF(AND(D17="Obs",E17=""),"Note required",IF(AND(D17="No",E17=""),"Rationale required",""))</f>
        <v/>
      </c>
    </row>
    <row r="18" customFormat="false" ht="25.5" hidden="false" customHeight="true" outlineLevel="0" collapsed="false">
      <c r="A18" s="39" t="s">
        <v>387</v>
      </c>
      <c r="B18" s="40" t="s">
        <v>143</v>
      </c>
      <c r="C18" s="41" t="s">
        <v>105</v>
      </c>
      <c r="D18" s="42" t="s">
        <v>16</v>
      </c>
      <c r="E18" s="43"/>
      <c r="F18" s="43"/>
      <c r="G18" s="43"/>
      <c r="H18" s="43"/>
      <c r="I18" s="43"/>
      <c r="J18" s="44" t="str">
        <f aca="false">IF(AND(D18="Obs",E18=""),"Note required",IF(AND(D18="No",E18=""),"Rationale required",""))</f>
        <v/>
      </c>
    </row>
    <row r="19" customFormat="false" ht="25.5" hidden="false" customHeight="true" outlineLevel="0" collapsed="false">
      <c r="A19" s="39" t="s">
        <v>388</v>
      </c>
      <c r="B19" s="40" t="s">
        <v>145</v>
      </c>
      <c r="C19" s="41" t="s">
        <v>99</v>
      </c>
      <c r="D19" s="42" t="s">
        <v>16</v>
      </c>
      <c r="E19" s="43"/>
      <c r="F19" s="43"/>
      <c r="G19" s="43"/>
      <c r="H19" s="43"/>
      <c r="I19" s="43"/>
      <c r="J19" s="44" t="str">
        <f aca="false">IF(AND(D19="Obs",E19=""),"Note required",IF(AND(D19="No",E19=""),"Rationale required",""))</f>
        <v/>
      </c>
    </row>
    <row r="20" customFormat="false" ht="16.5" hidden="false" customHeight="true" outlineLevel="0" collapsed="false">
      <c r="A20" s="4"/>
      <c r="B20" s="23" t="s">
        <v>623</v>
      </c>
      <c r="C20" s="24"/>
      <c r="D20" s="24"/>
      <c r="E20" s="24"/>
      <c r="F20" s="24"/>
      <c r="G20" s="24"/>
      <c r="H20" s="24"/>
      <c r="I20" s="24"/>
      <c r="J20" s="24"/>
    </row>
    <row r="21" customFormat="false" ht="21.75" hidden="false" customHeight="true" outlineLevel="0" collapsed="false">
      <c r="A21" s="28" t="s">
        <v>461</v>
      </c>
      <c r="B21" s="28" t="s">
        <v>490</v>
      </c>
      <c r="C21" s="28" t="s">
        <v>93</v>
      </c>
      <c r="D21" s="28" t="s">
        <v>491</v>
      </c>
      <c r="E21" s="28" t="s">
        <v>492</v>
      </c>
      <c r="F21" s="28"/>
      <c r="G21" s="28"/>
      <c r="H21" s="28"/>
      <c r="I21" s="28"/>
      <c r="J21" s="28" t="s">
        <v>493</v>
      </c>
    </row>
    <row r="22" customFormat="false" ht="25.5" hidden="false" customHeight="true" outlineLevel="0" collapsed="false">
      <c r="A22" s="39" t="s">
        <v>389</v>
      </c>
      <c r="B22" s="40" t="s">
        <v>148</v>
      </c>
      <c r="C22" s="41" t="s">
        <v>99</v>
      </c>
      <c r="D22" s="42" t="s">
        <v>16</v>
      </c>
      <c r="E22" s="43"/>
      <c r="F22" s="43"/>
      <c r="G22" s="43"/>
      <c r="H22" s="43"/>
      <c r="I22" s="43"/>
      <c r="J22" s="44" t="str">
        <f aca="false">IF(AND(D22="Obs",E22=""),"Note required",IF(AND(D22="No",E22=""),"Rationale required",""))</f>
        <v/>
      </c>
    </row>
    <row r="23" customFormat="false" ht="25.5" hidden="false" customHeight="true" outlineLevel="0" collapsed="false">
      <c r="A23" s="39" t="s">
        <v>390</v>
      </c>
      <c r="B23" s="40" t="s">
        <v>150</v>
      </c>
      <c r="C23" s="41" t="s">
        <v>105</v>
      </c>
      <c r="D23" s="42" t="s">
        <v>16</v>
      </c>
      <c r="E23" s="43"/>
      <c r="F23" s="43"/>
      <c r="G23" s="43"/>
      <c r="H23" s="43"/>
      <c r="I23" s="43"/>
      <c r="J23" s="44" t="str">
        <f aca="false">IF(AND(D23="Obs",E23=""),"Note required",IF(AND(D23="No",E23=""),"Rationale required",""))</f>
        <v/>
      </c>
    </row>
    <row r="24" customFormat="false" ht="25.5" hidden="false" customHeight="true" outlineLevel="0" collapsed="false">
      <c r="A24" s="39" t="s">
        <v>391</v>
      </c>
      <c r="B24" s="40" t="s">
        <v>152</v>
      </c>
      <c r="C24" s="41" t="s">
        <v>99</v>
      </c>
      <c r="D24" s="42" t="s">
        <v>16</v>
      </c>
      <c r="E24" s="43"/>
      <c r="F24" s="43"/>
      <c r="G24" s="43"/>
      <c r="H24" s="43"/>
      <c r="I24" s="43"/>
      <c r="J24" s="44" t="str">
        <f aca="false">IF(AND(D24="Obs",E24=""),"Note required",IF(AND(D24="No",E24=""),"Rationale required",""))</f>
        <v/>
      </c>
    </row>
    <row r="25" customFormat="false" ht="16.5" hidden="false" customHeight="true" outlineLevel="0" collapsed="false">
      <c r="A25" s="4"/>
      <c r="B25" s="23" t="s">
        <v>624</v>
      </c>
      <c r="C25" s="24"/>
      <c r="D25" s="24"/>
      <c r="E25" s="24"/>
      <c r="F25" s="24"/>
      <c r="G25" s="24"/>
      <c r="H25" s="24"/>
      <c r="I25" s="24"/>
      <c r="J25" s="24"/>
    </row>
    <row r="26" customFormat="false" ht="21.75" hidden="false" customHeight="true" outlineLevel="0" collapsed="false">
      <c r="A26" s="28" t="s">
        <v>461</v>
      </c>
      <c r="B26" s="28" t="s">
        <v>490</v>
      </c>
      <c r="C26" s="28" t="s">
        <v>93</v>
      </c>
      <c r="D26" s="28" t="s">
        <v>491</v>
      </c>
      <c r="E26" s="28" t="s">
        <v>492</v>
      </c>
      <c r="F26" s="28"/>
      <c r="G26" s="28"/>
      <c r="H26" s="28"/>
      <c r="I26" s="28"/>
      <c r="J26" s="28" t="s">
        <v>493</v>
      </c>
    </row>
    <row r="27" customFormat="false" ht="25.5" hidden="false" customHeight="true" outlineLevel="0" collapsed="false">
      <c r="A27" s="39" t="s">
        <v>392</v>
      </c>
      <c r="B27" s="40" t="s">
        <v>155</v>
      </c>
      <c r="C27" s="41" t="s">
        <v>105</v>
      </c>
      <c r="D27" s="42" t="s">
        <v>16</v>
      </c>
      <c r="E27" s="43"/>
      <c r="F27" s="43"/>
      <c r="G27" s="43"/>
      <c r="H27" s="43"/>
      <c r="I27" s="43"/>
      <c r="J27" s="44" t="str">
        <f aca="false">IF(AND(D27="Obs",E27=""),"Note required",IF(AND(D27="No",E27=""),"Rationale required",""))</f>
        <v/>
      </c>
    </row>
    <row r="28" customFormat="false" ht="25.5" hidden="false" customHeight="true" outlineLevel="0" collapsed="false">
      <c r="A28" s="39" t="s">
        <v>393</v>
      </c>
      <c r="B28" s="40" t="s">
        <v>157</v>
      </c>
      <c r="C28" s="41" t="s">
        <v>105</v>
      </c>
      <c r="D28" s="42" t="s">
        <v>16</v>
      </c>
      <c r="E28" s="43"/>
      <c r="F28" s="43"/>
      <c r="G28" s="43"/>
      <c r="H28" s="43"/>
      <c r="I28" s="43"/>
      <c r="J28" s="44" t="str">
        <f aca="false">IF(AND(D28="Obs",E28=""),"Note required",IF(AND(D28="No",E28=""),"Rationale required",""))</f>
        <v/>
      </c>
    </row>
    <row r="29" customFormat="false" ht="16.5" hidden="false" customHeight="true" outlineLevel="0" collapsed="false">
      <c r="A29" s="4"/>
      <c r="B29" s="23" t="s">
        <v>625</v>
      </c>
      <c r="C29" s="24"/>
      <c r="D29" s="24"/>
      <c r="E29" s="24"/>
      <c r="F29" s="24"/>
      <c r="G29" s="24"/>
      <c r="H29" s="24"/>
      <c r="I29" s="24"/>
      <c r="J29" s="24"/>
    </row>
    <row r="30" customFormat="false" ht="21.75" hidden="false" customHeight="true" outlineLevel="0" collapsed="false">
      <c r="A30" s="28" t="s">
        <v>461</v>
      </c>
      <c r="B30" s="28" t="s">
        <v>490</v>
      </c>
      <c r="C30" s="28" t="s">
        <v>93</v>
      </c>
      <c r="D30" s="28" t="s">
        <v>491</v>
      </c>
      <c r="E30" s="28" t="s">
        <v>492</v>
      </c>
      <c r="F30" s="28"/>
      <c r="G30" s="28"/>
      <c r="H30" s="28"/>
      <c r="I30" s="28"/>
      <c r="J30" s="28" t="s">
        <v>493</v>
      </c>
    </row>
    <row r="31" customFormat="false" ht="25.5" hidden="false" customHeight="true" outlineLevel="0" collapsed="false">
      <c r="A31" s="39" t="s">
        <v>394</v>
      </c>
      <c r="B31" s="40" t="s">
        <v>160</v>
      </c>
      <c r="C31" s="41" t="s">
        <v>99</v>
      </c>
      <c r="D31" s="42" t="s">
        <v>16</v>
      </c>
      <c r="E31" s="43"/>
      <c r="F31" s="43"/>
      <c r="G31" s="43"/>
      <c r="H31" s="43"/>
      <c r="I31" s="43"/>
      <c r="J31" s="44" t="str">
        <f aca="false">IF(AND(D31="Obs",E31=""),"Note required",IF(AND(D31="No",E31=""),"Rationale required",""))</f>
        <v/>
      </c>
    </row>
    <row r="32" customFormat="false" ht="25.5" hidden="false" customHeight="true" outlineLevel="0" collapsed="false">
      <c r="A32" s="39" t="s">
        <v>395</v>
      </c>
      <c r="B32" s="40" t="s">
        <v>162</v>
      </c>
      <c r="C32" s="41" t="s">
        <v>99</v>
      </c>
      <c r="D32" s="42" t="s">
        <v>16</v>
      </c>
      <c r="E32" s="43"/>
      <c r="F32" s="43"/>
      <c r="G32" s="43"/>
      <c r="H32" s="43"/>
      <c r="I32" s="43"/>
      <c r="J32" s="44" t="str">
        <f aca="false">IF(AND(D32="Obs",E32=""),"Note required",IF(AND(D32="No",E32=""),"Rationale required",""))</f>
        <v/>
      </c>
    </row>
    <row r="33" customFormat="false" ht="25.5" hidden="false" customHeight="true" outlineLevel="0" collapsed="false">
      <c r="A33" s="39" t="s">
        <v>396</v>
      </c>
      <c r="B33" s="40" t="s">
        <v>164</v>
      </c>
      <c r="C33" s="41" t="s">
        <v>110</v>
      </c>
      <c r="D33" s="42" t="s">
        <v>16</v>
      </c>
      <c r="E33" s="43"/>
      <c r="F33" s="43"/>
      <c r="G33" s="43"/>
      <c r="H33" s="43"/>
      <c r="I33" s="43"/>
      <c r="J33" s="44" t="str">
        <f aca="false">IF(AND(D33="Obs",E33=""),"Note required",IF(AND(D33="No",E33=""),"Rationale required",""))</f>
        <v/>
      </c>
    </row>
    <row r="34" customFormat="false" ht="16.5" hidden="false" customHeight="true" outlineLevel="0" collapsed="false">
      <c r="A34" s="4"/>
      <c r="B34" s="23" t="s">
        <v>626</v>
      </c>
      <c r="C34" s="24"/>
      <c r="D34" s="24"/>
      <c r="E34" s="24"/>
      <c r="F34" s="24"/>
      <c r="G34" s="24"/>
      <c r="H34" s="24"/>
      <c r="I34" s="24"/>
      <c r="J34" s="24"/>
    </row>
    <row r="35" customFormat="false" ht="21.75" hidden="false" customHeight="true" outlineLevel="0" collapsed="false">
      <c r="A35" s="28" t="s">
        <v>461</v>
      </c>
      <c r="B35" s="28" t="s">
        <v>490</v>
      </c>
      <c r="C35" s="28" t="s">
        <v>93</v>
      </c>
      <c r="D35" s="28" t="s">
        <v>491</v>
      </c>
      <c r="E35" s="28" t="s">
        <v>492</v>
      </c>
      <c r="F35" s="28"/>
      <c r="G35" s="28"/>
      <c r="H35" s="28"/>
      <c r="I35" s="28"/>
      <c r="J35" s="28" t="s">
        <v>493</v>
      </c>
    </row>
    <row r="36" customFormat="false" ht="25.5" hidden="false" customHeight="true" outlineLevel="0" collapsed="false">
      <c r="A36" s="39" t="s">
        <v>397</v>
      </c>
      <c r="B36" s="40" t="s">
        <v>167</v>
      </c>
      <c r="C36" s="41" t="s">
        <v>99</v>
      </c>
      <c r="D36" s="42" t="s">
        <v>16</v>
      </c>
      <c r="E36" s="43"/>
      <c r="F36" s="43"/>
      <c r="G36" s="43"/>
      <c r="H36" s="43"/>
      <c r="I36" s="43"/>
      <c r="J36" s="44" t="str">
        <f aca="false">IF(AND(D36="Obs",E36=""),"Note required",IF(AND(D36="No",E36=""),"Rationale required",""))</f>
        <v/>
      </c>
    </row>
    <row r="37" customFormat="false" ht="25.5" hidden="false" customHeight="true" outlineLevel="0" collapsed="false">
      <c r="A37" s="39" t="s">
        <v>398</v>
      </c>
      <c r="B37" s="40" t="s">
        <v>169</v>
      </c>
      <c r="C37" s="41" t="s">
        <v>105</v>
      </c>
      <c r="D37" s="42" t="s">
        <v>16</v>
      </c>
      <c r="E37" s="43"/>
      <c r="F37" s="43"/>
      <c r="G37" s="43"/>
      <c r="H37" s="43"/>
      <c r="I37" s="43"/>
      <c r="J37" s="44" t="str">
        <f aca="false">IF(AND(D37="Obs",E37=""),"Note required",IF(AND(D37="No",E37=""),"Rationale required",""))</f>
        <v/>
      </c>
    </row>
    <row r="38" customFormat="false" ht="16.5" hidden="false" customHeight="true" outlineLevel="0" collapsed="false">
      <c r="A38" s="4"/>
      <c r="B38" s="23" t="s">
        <v>627</v>
      </c>
      <c r="C38" s="24"/>
      <c r="D38" s="24"/>
      <c r="E38" s="24"/>
      <c r="F38" s="24"/>
      <c r="G38" s="24"/>
      <c r="H38" s="24"/>
      <c r="I38" s="24"/>
      <c r="J38" s="24"/>
    </row>
    <row r="39" customFormat="false" ht="21.75" hidden="false" customHeight="true" outlineLevel="0" collapsed="false">
      <c r="A39" s="28" t="s">
        <v>461</v>
      </c>
      <c r="B39" s="28" t="s">
        <v>490</v>
      </c>
      <c r="C39" s="28" t="s">
        <v>93</v>
      </c>
      <c r="D39" s="28" t="s">
        <v>491</v>
      </c>
      <c r="E39" s="28" t="s">
        <v>492</v>
      </c>
      <c r="F39" s="28"/>
      <c r="G39" s="28"/>
      <c r="H39" s="28"/>
      <c r="I39" s="28"/>
      <c r="J39" s="28" t="s">
        <v>493</v>
      </c>
    </row>
    <row r="40" customFormat="false" ht="25.5" hidden="false" customHeight="true" outlineLevel="0" collapsed="false">
      <c r="A40" s="39" t="s">
        <v>399</v>
      </c>
      <c r="B40" s="40" t="s">
        <v>172</v>
      </c>
      <c r="C40" s="41" t="s">
        <v>105</v>
      </c>
      <c r="D40" s="42" t="s">
        <v>16</v>
      </c>
      <c r="E40" s="43"/>
      <c r="F40" s="43"/>
      <c r="G40" s="43"/>
      <c r="H40" s="43"/>
      <c r="I40" s="43"/>
      <c r="J40" s="44" t="str">
        <f aca="false">IF(AND(D40="Obs",E40=""),"Note required",IF(AND(D40="No",E40=""),"Rationale required",""))</f>
        <v/>
      </c>
    </row>
    <row r="41" customFormat="false" ht="25.5" hidden="false" customHeight="true" outlineLevel="0" collapsed="false">
      <c r="A41" s="39" t="s">
        <v>400</v>
      </c>
      <c r="B41" s="40" t="s">
        <v>174</v>
      </c>
      <c r="C41" s="41" t="s">
        <v>99</v>
      </c>
      <c r="D41" s="42" t="s">
        <v>16</v>
      </c>
      <c r="E41" s="43"/>
      <c r="F41" s="43"/>
      <c r="G41" s="43"/>
      <c r="H41" s="43"/>
      <c r="I41" s="43"/>
      <c r="J41" s="44" t="str">
        <f aca="false">IF(AND(D41="Obs",E41=""),"Note required",IF(AND(D41="No",E41=""),"Rationale required",""))</f>
        <v/>
      </c>
    </row>
    <row r="42" customFormat="false" ht="16.5" hidden="false" customHeight="true" outlineLevel="0" collapsed="false">
      <c r="A42" s="4"/>
      <c r="B42" s="23" t="s">
        <v>628</v>
      </c>
      <c r="C42" s="24"/>
      <c r="D42" s="24"/>
      <c r="E42" s="24"/>
      <c r="F42" s="24"/>
      <c r="G42" s="24"/>
      <c r="H42" s="24"/>
      <c r="I42" s="24"/>
      <c r="J42" s="24"/>
    </row>
    <row r="43" customFormat="false" ht="21.75" hidden="false" customHeight="true" outlineLevel="0" collapsed="false">
      <c r="A43" s="28" t="s">
        <v>461</v>
      </c>
      <c r="B43" s="28" t="s">
        <v>490</v>
      </c>
      <c r="C43" s="28" t="s">
        <v>93</v>
      </c>
      <c r="D43" s="28" t="s">
        <v>491</v>
      </c>
      <c r="E43" s="28" t="s">
        <v>492</v>
      </c>
      <c r="F43" s="28"/>
      <c r="G43" s="28"/>
      <c r="H43" s="28"/>
      <c r="I43" s="28"/>
      <c r="J43" s="28" t="s">
        <v>493</v>
      </c>
    </row>
    <row r="44" customFormat="false" ht="25.5" hidden="false" customHeight="true" outlineLevel="0" collapsed="false">
      <c r="A44" s="39" t="s">
        <v>401</v>
      </c>
      <c r="B44" s="40" t="s">
        <v>177</v>
      </c>
      <c r="C44" s="41" t="s">
        <v>105</v>
      </c>
      <c r="D44" s="42" t="s">
        <v>16</v>
      </c>
      <c r="E44" s="43"/>
      <c r="F44" s="43"/>
      <c r="G44" s="43"/>
      <c r="H44" s="43"/>
      <c r="I44" s="43"/>
      <c r="J44" s="44" t="str">
        <f aca="false">IF(AND(D44="Obs",E44=""),"Note required",IF(AND(D44="No",E44=""),"Rationale required",""))</f>
        <v/>
      </c>
    </row>
    <row r="45" customFormat="false" ht="25.5" hidden="false" customHeight="true" outlineLevel="0" collapsed="false">
      <c r="A45" s="39" t="s">
        <v>402</v>
      </c>
      <c r="B45" s="40" t="s">
        <v>179</v>
      </c>
      <c r="C45" s="41" t="s">
        <v>105</v>
      </c>
      <c r="D45" s="42" t="s">
        <v>16</v>
      </c>
      <c r="E45" s="43"/>
      <c r="F45" s="43"/>
      <c r="G45" s="43"/>
      <c r="H45" s="43"/>
      <c r="I45" s="43"/>
      <c r="J45" s="44" t="str">
        <f aca="false">IF(AND(D45="Obs",E45=""),"Note required",IF(AND(D45="No",E45=""),"Rationale required",""))</f>
        <v/>
      </c>
    </row>
    <row r="46" customFormat="false" ht="16.5" hidden="false" customHeight="true" outlineLevel="0" collapsed="false">
      <c r="A46" s="4"/>
      <c r="B46" s="23" t="s">
        <v>629</v>
      </c>
      <c r="C46" s="24"/>
      <c r="D46" s="24"/>
      <c r="E46" s="24"/>
      <c r="F46" s="24"/>
      <c r="G46" s="24"/>
      <c r="H46" s="24"/>
      <c r="I46" s="24"/>
      <c r="J46" s="24"/>
    </row>
    <row r="47" customFormat="false" ht="21.75" hidden="false" customHeight="true" outlineLevel="0" collapsed="false">
      <c r="A47" s="28" t="s">
        <v>461</v>
      </c>
      <c r="B47" s="28" t="s">
        <v>490</v>
      </c>
      <c r="C47" s="28" t="s">
        <v>93</v>
      </c>
      <c r="D47" s="28" t="s">
        <v>491</v>
      </c>
      <c r="E47" s="28" t="s">
        <v>492</v>
      </c>
      <c r="F47" s="28"/>
      <c r="G47" s="28"/>
      <c r="H47" s="28"/>
      <c r="I47" s="28"/>
      <c r="J47" s="28" t="s">
        <v>493</v>
      </c>
    </row>
    <row r="48" customFormat="false" ht="25.5" hidden="false" customHeight="true" outlineLevel="0" collapsed="false">
      <c r="A48" s="39" t="s">
        <v>403</v>
      </c>
      <c r="B48" s="40" t="s">
        <v>405</v>
      </c>
      <c r="C48" s="41" t="s">
        <v>99</v>
      </c>
      <c r="D48" s="42" t="s">
        <v>16</v>
      </c>
      <c r="E48" s="43"/>
      <c r="F48" s="43"/>
      <c r="G48" s="43"/>
      <c r="H48" s="43"/>
      <c r="I48" s="43"/>
      <c r="J48" s="44" t="str">
        <f aca="false">IF(AND(D48="Obs",E48=""),"Note required",IF(AND(D48="No",E48=""),"Rationale required",""))</f>
        <v/>
      </c>
    </row>
    <row r="49" customFormat="false" ht="25.5" hidden="false" customHeight="true" outlineLevel="0" collapsed="false">
      <c r="A49" s="39" t="s">
        <v>406</v>
      </c>
      <c r="B49" s="40" t="s">
        <v>407</v>
      </c>
      <c r="C49" s="41" t="s">
        <v>105</v>
      </c>
      <c r="D49" s="42" t="s">
        <v>16</v>
      </c>
      <c r="E49" s="43"/>
      <c r="F49" s="43"/>
      <c r="G49" s="43"/>
      <c r="H49" s="43"/>
      <c r="I49" s="43"/>
      <c r="J49" s="44" t="str">
        <f aca="false">IF(AND(D49="Obs",E49=""),"Note required",IF(AND(D49="No",E49=""),"Rationale required",""))</f>
        <v/>
      </c>
    </row>
    <row r="50" customFormat="false" ht="16.5" hidden="false" customHeight="true" outlineLevel="0" collapsed="false">
      <c r="A50" s="4"/>
      <c r="B50" s="23" t="s">
        <v>630</v>
      </c>
      <c r="C50" s="24"/>
      <c r="D50" s="24"/>
      <c r="E50" s="24"/>
      <c r="F50" s="24"/>
      <c r="G50" s="24"/>
      <c r="H50" s="24"/>
      <c r="I50" s="24"/>
      <c r="J50" s="24"/>
    </row>
    <row r="51" customFormat="false" ht="21.75" hidden="false" customHeight="true" outlineLevel="0" collapsed="false">
      <c r="A51" s="28" t="s">
        <v>461</v>
      </c>
      <c r="B51" s="28" t="s">
        <v>490</v>
      </c>
      <c r="C51" s="28" t="s">
        <v>93</v>
      </c>
      <c r="D51" s="28" t="s">
        <v>491</v>
      </c>
      <c r="E51" s="28" t="s">
        <v>492</v>
      </c>
      <c r="F51" s="28"/>
      <c r="G51" s="28"/>
      <c r="H51" s="28"/>
      <c r="I51" s="28"/>
      <c r="J51" s="28" t="s">
        <v>493</v>
      </c>
    </row>
    <row r="52" customFormat="false" ht="25.5" hidden="false" customHeight="true" outlineLevel="0" collapsed="false">
      <c r="A52" s="39" t="s">
        <v>408</v>
      </c>
      <c r="B52" s="40" t="s">
        <v>410</v>
      </c>
      <c r="C52" s="41" t="s">
        <v>99</v>
      </c>
      <c r="D52" s="42" t="s">
        <v>16</v>
      </c>
      <c r="E52" s="43"/>
      <c r="F52" s="43"/>
      <c r="G52" s="43"/>
      <c r="H52" s="43"/>
      <c r="I52" s="43"/>
      <c r="J52" s="44" t="str">
        <f aca="false">IF(AND(D52="Obs",E52=""),"Note required",IF(AND(D52="No",E52=""),"Rationale required",""))</f>
        <v/>
      </c>
    </row>
    <row r="53" customFormat="false" ht="25.5" hidden="false" customHeight="true" outlineLevel="0" collapsed="false">
      <c r="A53" s="39" t="s">
        <v>411</v>
      </c>
      <c r="B53" s="40" t="s">
        <v>412</v>
      </c>
      <c r="C53" s="41" t="s">
        <v>105</v>
      </c>
      <c r="D53" s="42" t="s">
        <v>16</v>
      </c>
      <c r="E53" s="43"/>
      <c r="F53" s="43"/>
      <c r="G53" s="43"/>
      <c r="H53" s="43"/>
      <c r="I53" s="43"/>
      <c r="J53" s="44" t="str">
        <f aca="false">IF(AND(D53="Obs",E53=""),"Note required",IF(AND(D53="No",E53=""),"Rationale required",""))</f>
        <v/>
      </c>
    </row>
    <row r="54" customFormat="false" ht="16.5" hidden="false" customHeight="true" outlineLevel="0" collapsed="false">
      <c r="A54" s="4"/>
      <c r="B54" s="23" t="s">
        <v>631</v>
      </c>
      <c r="C54" s="24"/>
      <c r="D54" s="24"/>
      <c r="E54" s="24"/>
      <c r="F54" s="24"/>
      <c r="G54" s="24"/>
      <c r="H54" s="24"/>
      <c r="I54" s="24"/>
      <c r="J54" s="24"/>
    </row>
    <row r="55" customFormat="false" ht="21.75" hidden="false" customHeight="true" outlineLevel="0" collapsed="false">
      <c r="A55" s="28" t="s">
        <v>461</v>
      </c>
      <c r="B55" s="28" t="s">
        <v>490</v>
      </c>
      <c r="C55" s="28" t="s">
        <v>93</v>
      </c>
      <c r="D55" s="28" t="s">
        <v>491</v>
      </c>
      <c r="E55" s="28" t="s">
        <v>492</v>
      </c>
      <c r="F55" s="28"/>
      <c r="G55" s="28"/>
      <c r="H55" s="28"/>
      <c r="I55" s="28"/>
      <c r="J55" s="28" t="s">
        <v>493</v>
      </c>
    </row>
    <row r="56" customFormat="false" ht="25.5" hidden="false" customHeight="true" outlineLevel="0" collapsed="false">
      <c r="A56" s="39" t="s">
        <v>413</v>
      </c>
      <c r="B56" s="40" t="s">
        <v>415</v>
      </c>
      <c r="C56" s="41" t="s">
        <v>99</v>
      </c>
      <c r="D56" s="42" t="s">
        <v>16</v>
      </c>
      <c r="E56" s="43"/>
      <c r="F56" s="43"/>
      <c r="G56" s="43"/>
      <c r="H56" s="43"/>
      <c r="I56" s="43"/>
      <c r="J56" s="44" t="str">
        <f aca="false">IF(AND(D56="Obs",E56=""),"Note required",IF(AND(D56="No",E56=""),"Rationale required",""))</f>
        <v/>
      </c>
    </row>
    <row r="57" customFormat="false" ht="25.5" hidden="false" customHeight="true" outlineLevel="0" collapsed="false">
      <c r="A57" s="39" t="s">
        <v>416</v>
      </c>
      <c r="B57" s="40" t="s">
        <v>417</v>
      </c>
      <c r="C57" s="41" t="s">
        <v>105</v>
      </c>
      <c r="D57" s="42" t="s">
        <v>16</v>
      </c>
      <c r="E57" s="43"/>
      <c r="F57" s="43"/>
      <c r="G57" s="43"/>
      <c r="H57" s="43"/>
      <c r="I57" s="43"/>
      <c r="J57" s="44" t="str">
        <f aca="false">IF(AND(D57="Obs",E57=""),"Note required",IF(AND(D57="No",E57=""),"Rationale required",""))</f>
        <v/>
      </c>
    </row>
    <row r="59" customFormat="false" ht="16.5" hidden="false" customHeight="true" outlineLevel="0" collapsed="false">
      <c r="A59" s="4"/>
      <c r="B59" s="23" t="s">
        <v>504</v>
      </c>
      <c r="C59" s="24"/>
      <c r="D59" s="24"/>
      <c r="E59" s="24"/>
      <c r="F59" s="24"/>
      <c r="G59" s="24"/>
      <c r="H59" s="24"/>
      <c r="I59" s="24"/>
      <c r="J59" s="24"/>
    </row>
    <row r="60" customFormat="false" ht="15" hidden="false" customHeight="false" outlineLevel="0" collapsed="false">
      <c r="B60" s="7" t="s">
        <v>505</v>
      </c>
      <c r="C60" s="45" t="n">
        <f aca="false">26</f>
        <v>26</v>
      </c>
    </row>
    <row r="61" customFormat="false" ht="15" hidden="false" customHeight="false" outlineLevel="0" collapsed="false">
      <c r="B61" s="7" t="s">
        <v>506</v>
      </c>
      <c r="C61" s="45" t="n">
        <f aca="false">COUNTIF(D12:D57,"Yes")+COUNTIF(D12:D57,"No")+COUNTIF(D12:D57,"N/A")+COUNTIF(D12:D57,"Obs")</f>
        <v>26</v>
      </c>
    </row>
    <row r="62" customFormat="false" ht="15" hidden="false" customHeight="false" outlineLevel="0" collapsed="false">
      <c r="B62" s="7" t="s">
        <v>507</v>
      </c>
      <c r="C62" s="46" t="n">
        <f aca="false">IF(C60=0,"",C61/C60)</f>
        <v>1</v>
      </c>
    </row>
    <row r="63" customFormat="false" ht="15" hidden="false" customHeight="false" outlineLevel="0" collapsed="false">
      <c r="B63" s="7" t="s">
        <v>508</v>
      </c>
      <c r="C63" s="45" t="n">
        <f aca="false">C61-COUNTIF(D12:D57,"N/A")</f>
        <v>26</v>
      </c>
    </row>
    <row r="64" customFormat="false" ht="15" hidden="false" customHeight="false" outlineLevel="0" collapsed="false">
      <c r="B64" s="7" t="s">
        <v>509</v>
      </c>
      <c r="C64" s="45" t="n">
        <f aca="false">COUNTIF(D12:D57,"No")</f>
        <v>0</v>
      </c>
    </row>
    <row r="65" customFormat="false" ht="15" hidden="false" customHeight="false" outlineLevel="0" collapsed="false">
      <c r="B65" s="7" t="s">
        <v>510</v>
      </c>
      <c r="C65" s="45" t="n">
        <f aca="false">COUNTIF(D12:D57,"Obs")</f>
        <v>1</v>
      </c>
    </row>
    <row r="66" customFormat="false" ht="15" hidden="false" customHeight="false" outlineLevel="0" collapsed="false">
      <c r="B66" s="7" t="s">
        <v>511</v>
      </c>
      <c r="C66" s="46" t="n">
        <f aca="false">IF(C63=0,"",C64/C63)</f>
        <v>0</v>
      </c>
    </row>
    <row r="67" customFormat="false" ht="15" hidden="false" customHeight="false" outlineLevel="0" collapsed="false">
      <c r="B67" s="7" t="s">
        <v>512</v>
      </c>
      <c r="C67" s="45" t="n">
        <f aca="false">COUNTIF(J12:J57,"*required*")</f>
        <v>0</v>
      </c>
    </row>
    <row r="69" customFormat="false" ht="15" hidden="false" customHeight="false" outlineLevel="0" collapsed="false">
      <c r="B69" s="7" t="s">
        <v>513</v>
      </c>
    </row>
    <row r="70" customFormat="false" ht="15" hidden="false" customHeight="false" outlineLevel="0" collapsed="false">
      <c r="B70" s="43"/>
      <c r="C70" s="43"/>
      <c r="D70" s="43"/>
      <c r="E70" s="43"/>
      <c r="F70" s="43"/>
      <c r="G70" s="43"/>
      <c r="H70" s="43"/>
      <c r="I70" s="43"/>
    </row>
    <row r="71" customFormat="false" ht="15" hidden="false" customHeight="false" outlineLevel="0" collapsed="false">
      <c r="B71" s="43"/>
      <c r="C71" s="43"/>
      <c r="D71" s="43"/>
      <c r="E71" s="43"/>
      <c r="F71" s="43"/>
      <c r="G71" s="43"/>
      <c r="H71" s="43"/>
      <c r="I71" s="43"/>
    </row>
    <row r="72" customFormat="false" ht="15" hidden="false" customHeight="false" outlineLevel="0" collapsed="false">
      <c r="B72" s="43"/>
      <c r="C72" s="43"/>
      <c r="D72" s="43"/>
      <c r="E72" s="43"/>
      <c r="F72" s="43"/>
      <c r="G72" s="43"/>
      <c r="H72" s="43"/>
      <c r="I72" s="43"/>
    </row>
  </sheetData>
  <mergeCells count="38">
    <mergeCell ref="E11:I11"/>
    <mergeCell ref="E12:I12"/>
    <mergeCell ref="E13:I13"/>
    <mergeCell ref="E14:I14"/>
    <mergeCell ref="E16:I16"/>
    <mergeCell ref="E17:I17"/>
    <mergeCell ref="E18:I18"/>
    <mergeCell ref="E19:I19"/>
    <mergeCell ref="E21:I21"/>
    <mergeCell ref="E22:I22"/>
    <mergeCell ref="E23:I23"/>
    <mergeCell ref="E24:I24"/>
    <mergeCell ref="E26:I26"/>
    <mergeCell ref="E27:I27"/>
    <mergeCell ref="E28:I28"/>
    <mergeCell ref="E30:I30"/>
    <mergeCell ref="E31:I31"/>
    <mergeCell ref="E32:I32"/>
    <mergeCell ref="E33:I33"/>
    <mergeCell ref="E35:I35"/>
    <mergeCell ref="E36:I36"/>
    <mergeCell ref="E37:I37"/>
    <mergeCell ref="E39:I39"/>
    <mergeCell ref="E40:I40"/>
    <mergeCell ref="E41:I41"/>
    <mergeCell ref="E43:I43"/>
    <mergeCell ref="E44:I44"/>
    <mergeCell ref="E45:I45"/>
    <mergeCell ref="E47:I47"/>
    <mergeCell ref="E48:I48"/>
    <mergeCell ref="E49:I49"/>
    <mergeCell ref="E51:I51"/>
    <mergeCell ref="E52:I52"/>
    <mergeCell ref="E53:I53"/>
    <mergeCell ref="E55:I55"/>
    <mergeCell ref="E56:I56"/>
    <mergeCell ref="E57:I57"/>
    <mergeCell ref="B70:I72"/>
  </mergeCells>
  <conditionalFormatting sqref="A12:J57">
    <cfRule type="expression" priority="2" aboveAverage="0" equalAverage="0" bottom="0" percent="0" rank="0" text="" dxfId="4">
      <formula>$D12="No"</formula>
    </cfRule>
    <cfRule type="expression" priority="3" aboveAverage="0" equalAverage="0" bottom="0" percent="0" rank="0" text="" dxfId="5">
      <formula>AND($D12="Obs",$E12="")</formula>
    </cfRule>
  </conditionalFormatting>
  <dataValidations count="4">
    <dataValidation allowBlank="true" errorStyle="stop" operator="between" showDropDown="false" showErrorMessage="false" showInputMessage="false" sqref="I5:I6" type="list">
      <formula1>GradeList</formula1>
      <formula2>0</formula2>
    </dataValidation>
    <dataValidation allowBlank="true" errorStyle="stop" operator="between" showDropDown="false" showErrorMessage="false" showInputMessage="false" sqref="C8" type="list">
      <formula1>"Periodic,Targeted,Continuous"</formula1>
      <formula2>0</formula2>
    </dataValidation>
    <dataValidation allowBlank="true" errorStyle="stop" operator="between" showDropDown="false" showErrorMessage="false" showInputMessage="false" sqref="F8" type="list">
      <formula1>PropTypeList</formula1>
      <formula2>0</formula2>
    </dataValidation>
    <dataValidation allowBlank="true" errorStyle="stop" operator="between" showDropDown="false" showErrorMessage="false" showInputMessage="false" sqref="D12:D14 D17:D19 D22:D24 D27:D28 D31:D33 D36:D37 D40:D41 D44:D45 D48:D49 D52:D53 D56:D57" type="list">
      <formula1>AnswerList</formula1>
      <formula2>0</formula2>
    </dataValidation>
  </dataValidations>
  <printOptions headings="false" gridLines="false" gridLinesSet="true" horizontalCentered="false" verticalCentered="false"/>
  <pageMargins left="0.4" right="0.4" top="0.5" bottom="0.5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E5597"/>
    <pageSetUpPr fitToPage="true"/>
  </sheetPr>
  <dimension ref="A1:J7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1" width="8"/>
    <col collapsed="false" customWidth="true" hidden="false" outlineLevel="0" max="2" min="2" style="1" width="52"/>
    <col collapsed="false" customWidth="true" hidden="false" outlineLevel="0" max="4" min="3" style="1" width="14"/>
    <col collapsed="false" customWidth="true" hidden="false" outlineLevel="0" max="5" min="5" style="1" width="12"/>
    <col collapsed="false" customWidth="true" hidden="false" outlineLevel="0" max="7" min="6" style="1" width="14"/>
    <col collapsed="false" customWidth="true" hidden="false" outlineLevel="0" max="8" min="8" style="1" width="16"/>
    <col collapsed="false" customWidth="true" hidden="false" outlineLevel="0" max="9" min="9" style="1" width="12"/>
    <col collapsed="false" customWidth="true" hidden="false" outlineLevel="0" max="10" min="10" style="1" width="30"/>
  </cols>
  <sheetData>
    <row r="1" customFormat="false" ht="30" hidden="false" customHeight="true" outlineLevel="0" collapsed="false">
      <c r="B1" s="2" t="s">
        <v>632</v>
      </c>
    </row>
    <row r="2" customFormat="false" ht="13.5" hidden="false" customHeight="true" outlineLevel="0" collapsed="false">
      <c r="B2" s="3" t="s">
        <v>419</v>
      </c>
    </row>
    <row r="3" customFormat="false" ht="3" hidden="false" customHeight="true" outlineLevel="0" collapsed="false">
      <c r="B3" s="4"/>
      <c r="C3" s="4"/>
      <c r="D3" s="4"/>
      <c r="E3" s="4"/>
      <c r="F3" s="4"/>
      <c r="G3" s="4"/>
      <c r="H3" s="4"/>
      <c r="I3" s="4"/>
      <c r="J3" s="5"/>
    </row>
    <row r="4" customFormat="false" ht="16.5" hidden="false" customHeight="true" outlineLevel="0" collapsed="false">
      <c r="A4" s="4"/>
      <c r="B4" s="23" t="s">
        <v>633</v>
      </c>
      <c r="C4" s="24"/>
      <c r="D4" s="24"/>
      <c r="E4" s="24"/>
      <c r="F4" s="24"/>
      <c r="G4" s="24"/>
      <c r="H4" s="24"/>
      <c r="I4" s="24"/>
      <c r="J4" s="24"/>
    </row>
    <row r="5" customFormat="false" ht="15" hidden="false" customHeight="false" outlineLevel="0" collapsed="false">
      <c r="B5" s="25" t="s">
        <v>634</v>
      </c>
      <c r="C5" s="18" t="s">
        <v>635</v>
      </c>
      <c r="E5" s="25" t="s">
        <v>636</v>
      </c>
      <c r="F5" s="16" t="n">
        <v>45883</v>
      </c>
      <c r="H5" s="25" t="s">
        <v>637</v>
      </c>
      <c r="I5" s="18" t="n">
        <v>2</v>
      </c>
    </row>
    <row r="6" customFormat="false" ht="15" hidden="false" customHeight="false" outlineLevel="0" collapsed="false">
      <c r="B6" s="25" t="s">
        <v>638</v>
      </c>
      <c r="C6" s="18" t="s">
        <v>639</v>
      </c>
      <c r="E6" s="25" t="s">
        <v>640</v>
      </c>
      <c r="F6" s="16" t="n">
        <v>45808</v>
      </c>
      <c r="H6" s="25" t="s">
        <v>641</v>
      </c>
      <c r="I6" s="18" t="n">
        <v>2</v>
      </c>
    </row>
    <row r="7" customFormat="false" ht="15" hidden="false" customHeight="false" outlineLevel="0" collapsed="false">
      <c r="B7" s="25" t="s">
        <v>642</v>
      </c>
      <c r="C7" s="38" t="n">
        <v>15000</v>
      </c>
      <c r="E7" s="25" t="s">
        <v>643</v>
      </c>
      <c r="F7" s="18" t="s">
        <v>431</v>
      </c>
      <c r="H7" s="25" t="s">
        <v>644</v>
      </c>
      <c r="I7" s="26" t="str">
        <f aca="false">IF($I$6="","",VLOOKUP($I$6,Lists!$D$2:$E$9,2,0))</f>
        <v>Pass</v>
      </c>
    </row>
    <row r="8" customFormat="false" ht="15" hidden="false" customHeight="false" outlineLevel="0" collapsed="false">
      <c r="B8" s="25" t="s">
        <v>645</v>
      </c>
      <c r="C8" s="18" t="s">
        <v>100</v>
      </c>
      <c r="E8" s="25" t="s">
        <v>646</v>
      </c>
      <c r="F8" s="18"/>
      <c r="H8" s="25" t="s">
        <v>647</v>
      </c>
      <c r="I8" s="27" t="str">
        <f aca="false">IF(OR($I$5="",$I$6=""),"",IF($I$5=$I$6,"Concur","Grade Change"))</f>
        <v>Concur</v>
      </c>
    </row>
    <row r="10" customFormat="false" ht="16.5" hidden="false" customHeight="true" outlineLevel="0" collapsed="false">
      <c r="A10" s="4"/>
      <c r="B10" s="23" t="s">
        <v>436</v>
      </c>
      <c r="C10" s="24"/>
      <c r="D10" s="24"/>
      <c r="E10" s="24"/>
      <c r="F10" s="24"/>
      <c r="G10" s="24"/>
      <c r="H10" s="24"/>
      <c r="I10" s="24"/>
      <c r="J10" s="24"/>
    </row>
    <row r="11" customFormat="false" ht="13.5" hidden="false" customHeight="true" outlineLevel="0" collapsed="false">
      <c r="A11" s="28"/>
      <c r="B11" s="28" t="s">
        <v>437</v>
      </c>
      <c r="C11" s="28" t="s">
        <v>438</v>
      </c>
      <c r="D11" s="28" t="s">
        <v>439</v>
      </c>
    </row>
    <row r="12" customFormat="false" ht="15" hidden="false" customHeight="false" outlineLevel="0" collapsed="false">
      <c r="B12" s="10" t="s">
        <v>648</v>
      </c>
      <c r="C12" s="38" t="n">
        <v>1240</v>
      </c>
      <c r="D12" s="17" t="s">
        <v>649</v>
      </c>
    </row>
    <row r="13" customFormat="false" ht="15" hidden="false" customHeight="false" outlineLevel="0" collapsed="false">
      <c r="B13" s="10" t="s">
        <v>650</v>
      </c>
      <c r="C13" s="38" t="n">
        <v>60</v>
      </c>
      <c r="D13" s="17" t="s">
        <v>651</v>
      </c>
    </row>
    <row r="14" customFormat="false" ht="15" hidden="false" customHeight="false" outlineLevel="0" collapsed="false">
      <c r="B14" s="10" t="s">
        <v>652</v>
      </c>
      <c r="C14" s="38" t="n">
        <v>60</v>
      </c>
      <c r="D14" s="17"/>
    </row>
    <row r="15" customFormat="false" ht="15" hidden="false" customHeight="false" outlineLevel="0" collapsed="false">
      <c r="B15" s="10" t="s">
        <v>653</v>
      </c>
      <c r="C15" s="38" t="n">
        <v>4</v>
      </c>
      <c r="D15" s="17"/>
    </row>
    <row r="16" customFormat="false" ht="15" hidden="false" customHeight="false" outlineLevel="0" collapsed="false">
      <c r="B16" s="10" t="s">
        <v>654</v>
      </c>
      <c r="C16" s="48" t="n">
        <v>0.05</v>
      </c>
      <c r="D16" s="17" t="s">
        <v>655</v>
      </c>
    </row>
    <row r="18" customFormat="false" ht="16.5" hidden="false" customHeight="true" outlineLevel="0" collapsed="false">
      <c r="A18" s="4"/>
      <c r="B18" s="23" t="s">
        <v>460</v>
      </c>
      <c r="C18" s="24"/>
      <c r="D18" s="24"/>
      <c r="E18" s="24"/>
      <c r="F18" s="24"/>
      <c r="G18" s="24"/>
      <c r="H18" s="24"/>
      <c r="I18" s="24"/>
      <c r="J18" s="24"/>
    </row>
    <row r="19" customFormat="false" ht="21.75" hidden="false" customHeight="true" outlineLevel="0" collapsed="false">
      <c r="A19" s="28" t="s">
        <v>461</v>
      </c>
      <c r="B19" s="28" t="s">
        <v>462</v>
      </c>
      <c r="C19" s="28" t="s">
        <v>656</v>
      </c>
      <c r="D19" s="28" t="s">
        <v>657</v>
      </c>
      <c r="E19" s="28" t="s">
        <v>465</v>
      </c>
      <c r="F19" s="28" t="s">
        <v>466</v>
      </c>
      <c r="G19" s="28" t="s">
        <v>467</v>
      </c>
      <c r="H19" s="28" t="s">
        <v>468</v>
      </c>
      <c r="I19" s="28"/>
      <c r="J19" s="28" t="s">
        <v>469</v>
      </c>
    </row>
    <row r="20" customFormat="false" ht="15" hidden="false" customHeight="false" outlineLevel="0" collapsed="false">
      <c r="A20" s="17" t="s">
        <v>658</v>
      </c>
      <c r="B20" s="10" t="s">
        <v>659</v>
      </c>
      <c r="C20" s="49" t="n">
        <f aca="false">IF($C$12=0,"n/m",$C$13/$C$12)</f>
        <v>0.0483870967741936</v>
      </c>
      <c r="D20" s="47"/>
      <c r="E20" s="49" t="str">
        <f aca="false">IF(OR(ISTEXT(C20),C20="",D20=""),"",C20-D20)</f>
        <v/>
      </c>
      <c r="F20" s="27" t="str">
        <f aca="false">IF(E20="","",IF(ABS(E20)&lt;=0.05*MAX(ABS(D20),0.0001),"Aligned","Variance"))</f>
        <v/>
      </c>
      <c r="G20" s="21"/>
      <c r="H20" s="36" t="s">
        <v>478</v>
      </c>
      <c r="J20" s="32"/>
    </row>
    <row r="21" customFormat="false" ht="15" hidden="false" customHeight="false" outlineLevel="0" collapsed="false">
      <c r="A21" s="17" t="s">
        <v>660</v>
      </c>
      <c r="B21" s="10" t="s">
        <v>661</v>
      </c>
      <c r="C21" s="49" t="n">
        <f aca="false">IF($C$13=0,"n/m",$C$14/$C$13)</f>
        <v>1</v>
      </c>
      <c r="D21" s="47"/>
      <c r="E21" s="49" t="str">
        <f aca="false">IF(OR(ISTEXT(C21),C21="",D21=""),"",C21-D21)</f>
        <v/>
      </c>
      <c r="F21" s="27" t="str">
        <f aca="false">IF(E21="","",IF(ABS(E21)&lt;=0.05*MAX(ABS(D21),0.0001),"Aligned","Variance"))</f>
        <v/>
      </c>
      <c r="G21" s="21"/>
      <c r="H21" s="36" t="s">
        <v>478</v>
      </c>
      <c r="J21" s="32"/>
    </row>
    <row r="22" customFormat="false" ht="15" hidden="false" customHeight="false" outlineLevel="0" collapsed="false">
      <c r="A22" s="17" t="s">
        <v>662</v>
      </c>
      <c r="B22" s="10" t="s">
        <v>663</v>
      </c>
      <c r="C22" s="49" t="n">
        <f aca="false">IF($C$14=0,"n/m",$C$15/$C$14)</f>
        <v>0.0666666666666667</v>
      </c>
      <c r="D22" s="47" t="n">
        <v>0.033</v>
      </c>
      <c r="E22" s="49" t="n">
        <f aca="false">IF(OR(ISTEXT(C22),C22="",D22=""),"",C22-D22)</f>
        <v>0.0336666666666667</v>
      </c>
      <c r="F22" s="27" t="str">
        <f aca="false">IF(E22="","",IF(ABS(E22)&lt;=0.05*MAX(ABS(D22),0.0001),"Aligned","Variance"))</f>
        <v>Variance</v>
      </c>
      <c r="G22" s="21"/>
      <c r="H22" s="36" t="s">
        <v>478</v>
      </c>
      <c r="J22" s="32"/>
    </row>
    <row r="23" customFormat="false" ht="15" hidden="false" customHeight="false" outlineLevel="0" collapsed="false">
      <c r="A23" s="17" t="s">
        <v>664</v>
      </c>
      <c r="B23" s="10" t="s">
        <v>665</v>
      </c>
      <c r="C23" s="49" t="n">
        <f aca="false">IF($C$14=0,"n/m",$C$15/$C$14-$C$16)</f>
        <v>0.0166666666666667</v>
      </c>
      <c r="D23" s="47"/>
      <c r="E23" s="49" t="str">
        <f aca="false">IF(OR(ISTEXT(C23),C23="",D23=""),"",C23-D23)</f>
        <v/>
      </c>
      <c r="F23" s="27" t="str">
        <f aca="false">IF(E23="","",IF(ABS(E23)&lt;=0.05*MAX(ABS(D23),0.0001),"Aligned","Variance"))</f>
        <v/>
      </c>
      <c r="G23" s="21"/>
      <c r="H23" s="36" t="s">
        <v>478</v>
      </c>
      <c r="J23" s="32"/>
    </row>
    <row r="25" customFormat="false" ht="16.5" hidden="false" customHeight="true" outlineLevel="0" collapsed="false">
      <c r="A25" s="4"/>
      <c r="B25" s="23" t="s">
        <v>666</v>
      </c>
      <c r="C25" s="24"/>
      <c r="D25" s="24"/>
      <c r="E25" s="24"/>
      <c r="F25" s="24"/>
      <c r="G25" s="24"/>
      <c r="H25" s="24"/>
      <c r="I25" s="24"/>
      <c r="J25" s="24"/>
    </row>
    <row r="26" customFormat="false" ht="21.75" hidden="false" customHeight="true" outlineLevel="0" collapsed="false">
      <c r="A26" s="28" t="s">
        <v>461</v>
      </c>
      <c r="B26" s="28" t="s">
        <v>490</v>
      </c>
      <c r="C26" s="28" t="s">
        <v>93</v>
      </c>
      <c r="D26" s="28" t="s">
        <v>491</v>
      </c>
      <c r="E26" s="28" t="s">
        <v>492</v>
      </c>
      <c r="F26" s="28"/>
      <c r="G26" s="28"/>
      <c r="H26" s="28"/>
      <c r="I26" s="28"/>
      <c r="J26" s="28" t="s">
        <v>493</v>
      </c>
    </row>
    <row r="27" customFormat="false" ht="25.5" hidden="false" customHeight="true" outlineLevel="0" collapsed="false">
      <c r="A27" s="39" t="s">
        <v>337</v>
      </c>
      <c r="B27" s="40" t="s">
        <v>340</v>
      </c>
      <c r="C27" s="41" t="s">
        <v>99</v>
      </c>
      <c r="D27" s="42" t="s">
        <v>16</v>
      </c>
      <c r="E27" s="43"/>
      <c r="F27" s="43"/>
      <c r="G27" s="43"/>
      <c r="H27" s="43"/>
      <c r="I27" s="43"/>
      <c r="J27" s="44" t="str">
        <f aca="false">IF(AND(D27="Obs",E27=""),"Note required",IF(AND(D27="No",E27=""),"Rationale required",""))</f>
        <v/>
      </c>
    </row>
    <row r="28" customFormat="false" ht="25.5" hidden="false" customHeight="true" outlineLevel="0" collapsed="false">
      <c r="A28" s="39" t="s">
        <v>341</v>
      </c>
      <c r="B28" s="40" t="s">
        <v>342</v>
      </c>
      <c r="C28" s="41" t="s">
        <v>99</v>
      </c>
      <c r="D28" s="42" t="s">
        <v>16</v>
      </c>
      <c r="E28" s="43"/>
      <c r="F28" s="43"/>
      <c r="G28" s="43"/>
      <c r="H28" s="43"/>
      <c r="I28" s="43"/>
      <c r="J28" s="44" t="str">
        <f aca="false">IF(AND(D28="Obs",E28=""),"Note required",IF(AND(D28="No",E28=""),"Rationale required",""))</f>
        <v/>
      </c>
    </row>
    <row r="29" customFormat="false" ht="25.5" hidden="false" customHeight="true" outlineLevel="0" collapsed="false">
      <c r="A29" s="39" t="s">
        <v>343</v>
      </c>
      <c r="B29" s="40" t="s">
        <v>344</v>
      </c>
      <c r="C29" s="41" t="s">
        <v>105</v>
      </c>
      <c r="D29" s="42" t="s">
        <v>22</v>
      </c>
      <c r="E29" s="43" t="s">
        <v>667</v>
      </c>
      <c r="F29" s="43"/>
      <c r="G29" s="43"/>
      <c r="H29" s="43"/>
      <c r="I29" s="43"/>
      <c r="J29" s="44" t="str">
        <f aca="false">IF(AND(D29="Obs",E29=""),"Note required",IF(AND(D29="No",E29=""),"Rationale required",""))</f>
        <v/>
      </c>
    </row>
    <row r="30" customFormat="false" ht="25.5" hidden="false" customHeight="true" outlineLevel="0" collapsed="false">
      <c r="A30" s="39" t="s">
        <v>345</v>
      </c>
      <c r="B30" s="40" t="s">
        <v>346</v>
      </c>
      <c r="C30" s="41" t="s">
        <v>105</v>
      </c>
      <c r="D30" s="42" t="s">
        <v>16</v>
      </c>
      <c r="E30" s="43"/>
      <c r="F30" s="43"/>
      <c r="G30" s="43"/>
      <c r="H30" s="43"/>
      <c r="I30" s="43"/>
      <c r="J30" s="44" t="str">
        <f aca="false">IF(AND(D30="Obs",E30=""),"Note required",IF(AND(D30="No",E30=""),"Rationale required",""))</f>
        <v/>
      </c>
    </row>
    <row r="31" customFormat="false" ht="16.5" hidden="false" customHeight="true" outlineLevel="0" collapsed="false">
      <c r="A31" s="4"/>
      <c r="B31" s="23" t="s">
        <v>668</v>
      </c>
      <c r="C31" s="24"/>
      <c r="D31" s="24"/>
      <c r="E31" s="24"/>
      <c r="F31" s="24"/>
      <c r="G31" s="24"/>
      <c r="H31" s="24"/>
      <c r="I31" s="24"/>
      <c r="J31" s="24"/>
    </row>
    <row r="32" customFormat="false" ht="21.75" hidden="false" customHeight="true" outlineLevel="0" collapsed="false">
      <c r="A32" s="28" t="s">
        <v>461</v>
      </c>
      <c r="B32" s="28" t="s">
        <v>490</v>
      </c>
      <c r="C32" s="28" t="s">
        <v>93</v>
      </c>
      <c r="D32" s="28" t="s">
        <v>491</v>
      </c>
      <c r="E32" s="28" t="s">
        <v>492</v>
      </c>
      <c r="F32" s="28"/>
      <c r="G32" s="28"/>
      <c r="H32" s="28"/>
      <c r="I32" s="28"/>
      <c r="J32" s="28" t="s">
        <v>493</v>
      </c>
    </row>
    <row r="33" customFormat="false" ht="25.5" hidden="false" customHeight="true" outlineLevel="0" collapsed="false">
      <c r="A33" s="39" t="s">
        <v>347</v>
      </c>
      <c r="B33" s="40" t="s">
        <v>349</v>
      </c>
      <c r="C33" s="41" t="s">
        <v>99</v>
      </c>
      <c r="D33" s="42" t="s">
        <v>16</v>
      </c>
      <c r="E33" s="43"/>
      <c r="F33" s="43"/>
      <c r="G33" s="43"/>
      <c r="H33" s="43"/>
      <c r="I33" s="43"/>
      <c r="J33" s="44" t="str">
        <f aca="false">IF(AND(D33="Obs",E33=""),"Note required",IF(AND(D33="No",E33=""),"Rationale required",""))</f>
        <v/>
      </c>
    </row>
    <row r="34" customFormat="false" ht="25.5" hidden="false" customHeight="true" outlineLevel="0" collapsed="false">
      <c r="A34" s="39" t="s">
        <v>350</v>
      </c>
      <c r="B34" s="40" t="s">
        <v>351</v>
      </c>
      <c r="C34" s="41" t="s">
        <v>105</v>
      </c>
      <c r="D34" s="42" t="s">
        <v>16</v>
      </c>
      <c r="E34" s="43"/>
      <c r="F34" s="43"/>
      <c r="G34" s="43"/>
      <c r="H34" s="43"/>
      <c r="I34" s="43"/>
      <c r="J34" s="44" t="str">
        <f aca="false">IF(AND(D34="Obs",E34=""),"Note required",IF(AND(D34="No",E34=""),"Rationale required",""))</f>
        <v/>
      </c>
    </row>
    <row r="35" customFormat="false" ht="25.5" hidden="false" customHeight="true" outlineLevel="0" collapsed="false">
      <c r="A35" s="39" t="s">
        <v>352</v>
      </c>
      <c r="B35" s="40" t="s">
        <v>353</v>
      </c>
      <c r="C35" s="41" t="s">
        <v>99</v>
      </c>
      <c r="D35" s="42" t="s">
        <v>16</v>
      </c>
      <c r="E35" s="43"/>
      <c r="F35" s="43"/>
      <c r="G35" s="43"/>
      <c r="H35" s="43"/>
      <c r="I35" s="43"/>
      <c r="J35" s="44" t="str">
        <f aca="false">IF(AND(D35="Obs",E35=""),"Note required",IF(AND(D35="No",E35=""),"Rationale required",""))</f>
        <v/>
      </c>
    </row>
    <row r="36" customFormat="false" ht="16.5" hidden="false" customHeight="true" outlineLevel="0" collapsed="false">
      <c r="A36" s="4"/>
      <c r="B36" s="23" t="s">
        <v>669</v>
      </c>
      <c r="C36" s="24"/>
      <c r="D36" s="24"/>
      <c r="E36" s="24"/>
      <c r="F36" s="24"/>
      <c r="G36" s="24"/>
      <c r="H36" s="24"/>
      <c r="I36" s="24"/>
      <c r="J36" s="24"/>
    </row>
    <row r="37" customFormat="false" ht="21.75" hidden="false" customHeight="true" outlineLevel="0" collapsed="false">
      <c r="A37" s="28" t="s">
        <v>461</v>
      </c>
      <c r="B37" s="28" t="s">
        <v>490</v>
      </c>
      <c r="C37" s="28" t="s">
        <v>93</v>
      </c>
      <c r="D37" s="28" t="s">
        <v>491</v>
      </c>
      <c r="E37" s="28" t="s">
        <v>492</v>
      </c>
      <c r="F37" s="28"/>
      <c r="G37" s="28"/>
      <c r="H37" s="28"/>
      <c r="I37" s="28"/>
      <c r="J37" s="28" t="s">
        <v>493</v>
      </c>
    </row>
    <row r="38" customFormat="false" ht="25.5" hidden="false" customHeight="true" outlineLevel="0" collapsed="false">
      <c r="A38" s="39" t="s">
        <v>354</v>
      </c>
      <c r="B38" s="40" t="s">
        <v>356</v>
      </c>
      <c r="C38" s="41" t="s">
        <v>99</v>
      </c>
      <c r="D38" s="42" t="s">
        <v>16</v>
      </c>
      <c r="E38" s="43"/>
      <c r="F38" s="43"/>
      <c r="G38" s="43"/>
      <c r="H38" s="43"/>
      <c r="I38" s="43"/>
      <c r="J38" s="44" t="str">
        <f aca="false">IF(AND(D38="Obs",E38=""),"Note required",IF(AND(D38="No",E38=""),"Rationale required",""))</f>
        <v/>
      </c>
    </row>
    <row r="39" customFormat="false" ht="25.5" hidden="false" customHeight="true" outlineLevel="0" collapsed="false">
      <c r="A39" s="39" t="s">
        <v>357</v>
      </c>
      <c r="B39" s="40" t="s">
        <v>358</v>
      </c>
      <c r="C39" s="41" t="s">
        <v>105</v>
      </c>
      <c r="D39" s="42" t="s">
        <v>20</v>
      </c>
      <c r="E39" s="43"/>
      <c r="F39" s="43"/>
      <c r="G39" s="43"/>
      <c r="H39" s="43"/>
      <c r="I39" s="43"/>
      <c r="J39" s="44" t="str">
        <f aca="false">IF(AND(D39="Obs",E39=""),"Note required",IF(AND(D39="No",E39=""),"Rationale required",""))</f>
        <v/>
      </c>
    </row>
    <row r="40" customFormat="false" ht="25.5" hidden="false" customHeight="true" outlineLevel="0" collapsed="false">
      <c r="A40" s="39" t="s">
        <v>359</v>
      </c>
      <c r="B40" s="40" t="s">
        <v>360</v>
      </c>
      <c r="C40" s="41" t="s">
        <v>99</v>
      </c>
      <c r="D40" s="42" t="s">
        <v>22</v>
      </c>
      <c r="E40" s="43" t="s">
        <v>562</v>
      </c>
      <c r="F40" s="43"/>
      <c r="G40" s="43"/>
      <c r="H40" s="43"/>
      <c r="I40" s="43"/>
      <c r="J40" s="44" t="str">
        <f aca="false">IF(AND(D40="Obs",E40=""),"Note required",IF(AND(D40="No",E40=""),"Rationale required",""))</f>
        <v/>
      </c>
    </row>
    <row r="41" customFormat="false" ht="25.5" hidden="false" customHeight="true" outlineLevel="0" collapsed="false">
      <c r="A41" s="39" t="s">
        <v>361</v>
      </c>
      <c r="B41" s="40" t="s">
        <v>362</v>
      </c>
      <c r="C41" s="41" t="s">
        <v>105</v>
      </c>
      <c r="D41" s="42" t="s">
        <v>16</v>
      </c>
      <c r="E41" s="43"/>
      <c r="F41" s="43"/>
      <c r="G41" s="43"/>
      <c r="H41" s="43"/>
      <c r="I41" s="43"/>
      <c r="J41" s="44" t="str">
        <f aca="false">IF(AND(D41="Obs",E41=""),"Note required",IF(AND(D41="No",E41=""),"Rationale required",""))</f>
        <v/>
      </c>
    </row>
    <row r="42" customFormat="false" ht="16.5" hidden="false" customHeight="true" outlineLevel="0" collapsed="false">
      <c r="A42" s="4"/>
      <c r="B42" s="23" t="s">
        <v>670</v>
      </c>
      <c r="C42" s="24"/>
      <c r="D42" s="24"/>
      <c r="E42" s="24"/>
      <c r="F42" s="24"/>
      <c r="G42" s="24"/>
      <c r="H42" s="24"/>
      <c r="I42" s="24"/>
      <c r="J42" s="24"/>
    </row>
    <row r="43" customFormat="false" ht="21.75" hidden="false" customHeight="true" outlineLevel="0" collapsed="false">
      <c r="A43" s="28" t="s">
        <v>461</v>
      </c>
      <c r="B43" s="28" t="s">
        <v>490</v>
      </c>
      <c r="C43" s="28" t="s">
        <v>93</v>
      </c>
      <c r="D43" s="28" t="s">
        <v>491</v>
      </c>
      <c r="E43" s="28" t="s">
        <v>492</v>
      </c>
      <c r="F43" s="28"/>
      <c r="G43" s="28"/>
      <c r="H43" s="28"/>
      <c r="I43" s="28"/>
      <c r="J43" s="28" t="s">
        <v>493</v>
      </c>
    </row>
    <row r="44" customFormat="false" ht="25.5" hidden="false" customHeight="true" outlineLevel="0" collapsed="false">
      <c r="A44" s="39" t="s">
        <v>363</v>
      </c>
      <c r="B44" s="40" t="s">
        <v>365</v>
      </c>
      <c r="C44" s="41" t="s">
        <v>99</v>
      </c>
      <c r="D44" s="42" t="s">
        <v>16</v>
      </c>
      <c r="E44" s="43"/>
      <c r="F44" s="43"/>
      <c r="G44" s="43"/>
      <c r="H44" s="43"/>
      <c r="I44" s="43"/>
      <c r="J44" s="44" t="str">
        <f aca="false">IF(AND(D44="Obs",E44=""),"Note required",IF(AND(D44="No",E44=""),"Rationale required",""))</f>
        <v/>
      </c>
    </row>
    <row r="45" customFormat="false" ht="25.5" hidden="false" customHeight="true" outlineLevel="0" collapsed="false">
      <c r="A45" s="39" t="s">
        <v>366</v>
      </c>
      <c r="B45" s="40" t="s">
        <v>367</v>
      </c>
      <c r="C45" s="41" t="s">
        <v>105</v>
      </c>
      <c r="D45" s="42" t="s">
        <v>16</v>
      </c>
      <c r="E45" s="43"/>
      <c r="F45" s="43"/>
      <c r="G45" s="43"/>
      <c r="H45" s="43"/>
      <c r="I45" s="43"/>
      <c r="J45" s="44" t="str">
        <f aca="false">IF(AND(D45="Obs",E45=""),"Note required",IF(AND(D45="No",E45=""),"Rationale required",""))</f>
        <v/>
      </c>
    </row>
    <row r="46" customFormat="false" ht="25.5" hidden="false" customHeight="true" outlineLevel="0" collapsed="false">
      <c r="A46" s="39" t="s">
        <v>368</v>
      </c>
      <c r="B46" s="40" t="s">
        <v>369</v>
      </c>
      <c r="C46" s="41" t="s">
        <v>99</v>
      </c>
      <c r="D46" s="42" t="s">
        <v>20</v>
      </c>
      <c r="E46" s="43"/>
      <c r="F46" s="43"/>
      <c r="G46" s="43"/>
      <c r="H46" s="43"/>
      <c r="I46" s="43"/>
      <c r="J46" s="44" t="str">
        <f aca="false">IF(AND(D46="Obs",E46=""),"Note required",IF(AND(D46="No",E46=""),"Rationale required",""))</f>
        <v/>
      </c>
    </row>
    <row r="47" customFormat="false" ht="16.5" hidden="false" customHeight="true" outlineLevel="0" collapsed="false">
      <c r="A47" s="4"/>
      <c r="B47" s="23" t="s">
        <v>671</v>
      </c>
      <c r="C47" s="24"/>
      <c r="D47" s="24"/>
      <c r="E47" s="24"/>
      <c r="F47" s="24"/>
      <c r="G47" s="24"/>
      <c r="H47" s="24"/>
      <c r="I47" s="24"/>
      <c r="J47" s="24"/>
    </row>
    <row r="48" customFormat="false" ht="21.75" hidden="false" customHeight="true" outlineLevel="0" collapsed="false">
      <c r="A48" s="28" t="s">
        <v>461</v>
      </c>
      <c r="B48" s="28" t="s">
        <v>490</v>
      </c>
      <c r="C48" s="28" t="s">
        <v>93</v>
      </c>
      <c r="D48" s="28" t="s">
        <v>491</v>
      </c>
      <c r="E48" s="28" t="s">
        <v>492</v>
      </c>
      <c r="F48" s="28"/>
      <c r="G48" s="28"/>
      <c r="H48" s="28"/>
      <c r="I48" s="28"/>
      <c r="J48" s="28" t="s">
        <v>493</v>
      </c>
    </row>
    <row r="49" customFormat="false" ht="25.5" hidden="false" customHeight="true" outlineLevel="0" collapsed="false">
      <c r="A49" s="39" t="s">
        <v>370</v>
      </c>
      <c r="B49" s="40" t="s">
        <v>372</v>
      </c>
      <c r="C49" s="41" t="s">
        <v>99</v>
      </c>
      <c r="D49" s="42" t="s">
        <v>16</v>
      </c>
      <c r="E49" s="43"/>
      <c r="F49" s="43"/>
      <c r="G49" s="43"/>
      <c r="H49" s="43"/>
      <c r="I49" s="43"/>
      <c r="J49" s="44" t="str">
        <f aca="false">IF(AND(D49="Obs",E49=""),"Note required",IF(AND(D49="No",E49=""),"Rationale required",""))</f>
        <v/>
      </c>
    </row>
    <row r="50" customFormat="false" ht="25.5" hidden="false" customHeight="true" outlineLevel="0" collapsed="false">
      <c r="A50" s="39" t="s">
        <v>373</v>
      </c>
      <c r="B50" s="40" t="s">
        <v>374</v>
      </c>
      <c r="C50" s="41" t="s">
        <v>105</v>
      </c>
      <c r="D50" s="42" t="s">
        <v>16</v>
      </c>
      <c r="E50" s="43"/>
      <c r="F50" s="43"/>
      <c r="G50" s="43"/>
      <c r="H50" s="43"/>
      <c r="I50" s="43"/>
      <c r="J50" s="44" t="str">
        <f aca="false">IF(AND(D50="Obs",E50=""),"Note required",IF(AND(D50="No",E50=""),"Rationale required",""))</f>
        <v/>
      </c>
    </row>
    <row r="51" customFormat="false" ht="25.5" hidden="false" customHeight="true" outlineLevel="0" collapsed="false">
      <c r="A51" s="39" t="s">
        <v>375</v>
      </c>
      <c r="B51" s="40" t="s">
        <v>376</v>
      </c>
      <c r="C51" s="41" t="s">
        <v>99</v>
      </c>
      <c r="D51" s="42" t="s">
        <v>16</v>
      </c>
      <c r="E51" s="43"/>
      <c r="F51" s="43"/>
      <c r="G51" s="43"/>
      <c r="H51" s="43"/>
      <c r="I51" s="43"/>
      <c r="J51" s="44" t="str">
        <f aca="false">IF(AND(D51="Obs",E51=""),"Note required",IF(AND(D51="No",E51=""),"Rationale required",""))</f>
        <v/>
      </c>
    </row>
    <row r="52" customFormat="false" ht="16.5" hidden="false" customHeight="true" outlineLevel="0" collapsed="false">
      <c r="A52" s="4"/>
      <c r="B52" s="23" t="s">
        <v>672</v>
      </c>
      <c r="C52" s="24"/>
      <c r="D52" s="24"/>
      <c r="E52" s="24"/>
      <c r="F52" s="24"/>
      <c r="G52" s="24"/>
      <c r="H52" s="24"/>
      <c r="I52" s="24"/>
      <c r="J52" s="24"/>
    </row>
    <row r="53" customFormat="false" ht="21.75" hidden="false" customHeight="true" outlineLevel="0" collapsed="false">
      <c r="A53" s="28" t="s">
        <v>461</v>
      </c>
      <c r="B53" s="28" t="s">
        <v>490</v>
      </c>
      <c r="C53" s="28" t="s">
        <v>93</v>
      </c>
      <c r="D53" s="28" t="s">
        <v>491</v>
      </c>
      <c r="E53" s="28" t="s">
        <v>492</v>
      </c>
      <c r="F53" s="28"/>
      <c r="G53" s="28"/>
      <c r="H53" s="28"/>
      <c r="I53" s="28"/>
      <c r="J53" s="28" t="s">
        <v>493</v>
      </c>
    </row>
    <row r="54" customFormat="false" ht="25.5" hidden="false" customHeight="true" outlineLevel="0" collapsed="false">
      <c r="A54" s="39" t="s">
        <v>377</v>
      </c>
      <c r="B54" s="40" t="s">
        <v>379</v>
      </c>
      <c r="C54" s="41" t="s">
        <v>105</v>
      </c>
      <c r="D54" s="42" t="s">
        <v>16</v>
      </c>
      <c r="E54" s="43"/>
      <c r="F54" s="43"/>
      <c r="G54" s="43"/>
      <c r="H54" s="43"/>
      <c r="I54" s="43"/>
      <c r="J54" s="44" t="str">
        <f aca="false">IF(AND(D54="Obs",E54=""),"Note required",IF(AND(D54="No",E54=""),"Rationale required",""))</f>
        <v/>
      </c>
    </row>
    <row r="55" customFormat="false" ht="25.5" hidden="false" customHeight="true" outlineLevel="0" collapsed="false">
      <c r="A55" s="39" t="s">
        <v>380</v>
      </c>
      <c r="B55" s="40" t="s">
        <v>381</v>
      </c>
      <c r="C55" s="41" t="s">
        <v>99</v>
      </c>
      <c r="D55" s="42" t="s">
        <v>20</v>
      </c>
      <c r="E55" s="43"/>
      <c r="F55" s="43"/>
      <c r="G55" s="43"/>
      <c r="H55" s="43"/>
      <c r="I55" s="43"/>
      <c r="J55" s="44" t="str">
        <f aca="false">IF(AND(D55="Obs",E55=""),"Note required",IF(AND(D55="No",E55=""),"Rationale required",""))</f>
        <v/>
      </c>
    </row>
    <row r="57" customFormat="false" ht="16.5" hidden="false" customHeight="true" outlineLevel="0" collapsed="false">
      <c r="A57" s="4"/>
      <c r="B57" s="23" t="s">
        <v>504</v>
      </c>
      <c r="C57" s="24"/>
      <c r="D57" s="24"/>
      <c r="E57" s="24"/>
      <c r="F57" s="24"/>
      <c r="G57" s="24"/>
      <c r="H57" s="24"/>
      <c r="I57" s="24"/>
      <c r="J57" s="24"/>
    </row>
    <row r="58" customFormat="false" ht="15" hidden="false" customHeight="false" outlineLevel="0" collapsed="false">
      <c r="B58" s="7" t="s">
        <v>505</v>
      </c>
      <c r="C58" s="45" t="n">
        <f aca="false">19</f>
        <v>19</v>
      </c>
    </row>
    <row r="59" customFormat="false" ht="15" hidden="false" customHeight="false" outlineLevel="0" collapsed="false">
      <c r="B59" s="7" t="s">
        <v>506</v>
      </c>
      <c r="C59" s="45" t="n">
        <f aca="false">COUNTIF(D27:D55,"Yes")+COUNTIF(D27:D55,"No")+COUNTIF(D27:D55,"N/A")+COUNTIF(D27:D55,"Obs")</f>
        <v>19</v>
      </c>
    </row>
    <row r="60" customFormat="false" ht="15" hidden="false" customHeight="false" outlineLevel="0" collapsed="false">
      <c r="B60" s="7" t="s">
        <v>507</v>
      </c>
      <c r="C60" s="46" t="n">
        <f aca="false">IF(C58=0,"",C59/C58)</f>
        <v>1</v>
      </c>
    </row>
    <row r="61" customFormat="false" ht="15" hidden="false" customHeight="false" outlineLevel="0" collapsed="false">
      <c r="B61" s="7" t="s">
        <v>508</v>
      </c>
      <c r="C61" s="45" t="n">
        <f aca="false">C59-COUNTIF(D27:D55,"N/A")</f>
        <v>16</v>
      </c>
    </row>
    <row r="62" customFormat="false" ht="15" hidden="false" customHeight="false" outlineLevel="0" collapsed="false">
      <c r="B62" s="7" t="s">
        <v>509</v>
      </c>
      <c r="C62" s="45" t="n">
        <f aca="false">COUNTIF(D27:D55,"No")</f>
        <v>0</v>
      </c>
    </row>
    <row r="63" customFormat="false" ht="15" hidden="false" customHeight="false" outlineLevel="0" collapsed="false">
      <c r="B63" s="7" t="s">
        <v>510</v>
      </c>
      <c r="C63" s="45" t="n">
        <f aca="false">COUNTIF(D27:D55,"Obs")</f>
        <v>2</v>
      </c>
    </row>
    <row r="64" customFormat="false" ht="15" hidden="false" customHeight="false" outlineLevel="0" collapsed="false">
      <c r="B64" s="7" t="s">
        <v>511</v>
      </c>
      <c r="C64" s="46" t="n">
        <f aca="false">IF(C61=0,"",C62/C61)</f>
        <v>0</v>
      </c>
    </row>
    <row r="65" customFormat="false" ht="15" hidden="false" customHeight="false" outlineLevel="0" collapsed="false">
      <c r="B65" s="7" t="s">
        <v>512</v>
      </c>
      <c r="C65" s="45" t="n">
        <f aca="false">COUNTIF(J27:J55,"*required*")</f>
        <v>0</v>
      </c>
    </row>
    <row r="67" customFormat="false" ht="15" hidden="false" customHeight="false" outlineLevel="0" collapsed="false">
      <c r="B67" s="7" t="s">
        <v>513</v>
      </c>
    </row>
    <row r="68" customFormat="false" ht="15" hidden="false" customHeight="false" outlineLevel="0" collapsed="false">
      <c r="B68" s="43"/>
      <c r="C68" s="43"/>
      <c r="D68" s="43"/>
      <c r="E68" s="43"/>
      <c r="F68" s="43"/>
      <c r="G68" s="43"/>
      <c r="H68" s="43"/>
      <c r="I68" s="43"/>
    </row>
    <row r="69" customFormat="false" ht="15" hidden="false" customHeight="false" outlineLevel="0" collapsed="false">
      <c r="B69" s="43"/>
      <c r="C69" s="43"/>
      <c r="D69" s="43"/>
      <c r="E69" s="43"/>
      <c r="F69" s="43"/>
      <c r="G69" s="43"/>
      <c r="H69" s="43"/>
      <c r="I69" s="43"/>
    </row>
    <row r="70" customFormat="false" ht="15" hidden="false" customHeight="false" outlineLevel="0" collapsed="false">
      <c r="B70" s="43"/>
      <c r="C70" s="43"/>
      <c r="D70" s="43"/>
      <c r="E70" s="43"/>
      <c r="F70" s="43"/>
      <c r="G70" s="43"/>
      <c r="H70" s="43"/>
      <c r="I70" s="43"/>
    </row>
  </sheetData>
  <mergeCells count="26">
    <mergeCell ref="E26:I26"/>
    <mergeCell ref="E27:I27"/>
    <mergeCell ref="E28:I28"/>
    <mergeCell ref="E29:I29"/>
    <mergeCell ref="E30:I30"/>
    <mergeCell ref="E32:I32"/>
    <mergeCell ref="E33:I33"/>
    <mergeCell ref="E34:I34"/>
    <mergeCell ref="E35:I35"/>
    <mergeCell ref="E37:I37"/>
    <mergeCell ref="E38:I38"/>
    <mergeCell ref="E39:I39"/>
    <mergeCell ref="E40:I40"/>
    <mergeCell ref="E41:I41"/>
    <mergeCell ref="E43:I43"/>
    <mergeCell ref="E44:I44"/>
    <mergeCell ref="E45:I45"/>
    <mergeCell ref="E46:I46"/>
    <mergeCell ref="E48:I48"/>
    <mergeCell ref="E49:I49"/>
    <mergeCell ref="E50:I50"/>
    <mergeCell ref="E51:I51"/>
    <mergeCell ref="E53:I53"/>
    <mergeCell ref="E54:I54"/>
    <mergeCell ref="E55:I55"/>
    <mergeCell ref="B68:I70"/>
  </mergeCells>
  <conditionalFormatting sqref="A20:J23">
    <cfRule type="expression" priority="2" aboveAverage="0" equalAverage="0" bottom="0" percent="0" rank="0" text="" dxfId="4">
      <formula>$H20="Exception"</formula>
    </cfRule>
    <cfRule type="expression" priority="3" aboveAverage="0" equalAverage="0" bottom="0" percent="0" rank="0" text="" dxfId="5">
      <formula>$F20="Variance"</formula>
    </cfRule>
  </conditionalFormatting>
  <conditionalFormatting sqref="A27:J55">
    <cfRule type="expression" priority="4" aboveAverage="0" equalAverage="0" bottom="0" percent="0" rank="0" text="" dxfId="4">
      <formula>$D27="No"</formula>
    </cfRule>
    <cfRule type="expression" priority="5" aboveAverage="0" equalAverage="0" bottom="0" percent="0" rank="0" text="" dxfId="5">
      <formula>AND($D27="Obs",$E27="")</formula>
    </cfRule>
  </conditionalFormatting>
  <dataValidations count="4">
    <dataValidation allowBlank="true" errorStyle="stop" operator="between" showDropDown="false" showErrorMessage="false" showInputMessage="false" sqref="I5:I6" type="list">
      <formula1>GradeList</formula1>
      <formula2>0</formula2>
    </dataValidation>
    <dataValidation allowBlank="true" errorStyle="stop" operator="between" showDropDown="false" showErrorMessage="false" showInputMessage="false" sqref="C8" type="list">
      <formula1>"Periodic,Targeted,Continuous"</formula1>
      <formula2>0</formula2>
    </dataValidation>
    <dataValidation allowBlank="true" errorStyle="stop" operator="between" showDropDown="false" showErrorMessage="false" showInputMessage="false" sqref="F8" type="list">
      <formula1>PropTypeList</formula1>
      <formula2>0</formula2>
    </dataValidation>
    <dataValidation allowBlank="true" errorStyle="stop" operator="between" showDropDown="false" showErrorMessage="false" showInputMessage="false" sqref="D27:D30 D33:D35 D38:D41 D44:D46 D49:D51 D54:D55" type="list">
      <formula1>AnswerList</formula1>
      <formula2>0</formula2>
    </dataValidation>
  </dataValidations>
  <printOptions headings="false" gridLines="false" gridLinesSet="true" horizontalCentered="false" verticalCentered="false"/>
  <pageMargins left="0.4" right="0.4" top="0.5" bottom="0.5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808080"/>
    <pageSetUpPr fitToPage="true"/>
  </sheetPr>
  <dimension ref="A1:X2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1" width="11"/>
    <col collapsed="false" customWidth="true" hidden="false" outlineLevel="0" max="2" min="2" style="1" width="6"/>
    <col collapsed="false" customWidth="true" hidden="false" outlineLevel="0" max="3" min="3" style="1" width="22"/>
    <col collapsed="false" customWidth="true" hidden="false" outlineLevel="0" max="4" min="4" style="1" width="34"/>
    <col collapsed="false" customWidth="true" hidden="false" outlineLevel="0" max="5" min="5" style="1" width="13"/>
    <col collapsed="false" customWidth="true" hidden="false" outlineLevel="0" max="6" min="6" style="1" width="11"/>
    <col collapsed="false" customWidth="true" hidden="false" outlineLevel="0" max="7" min="7" style="1" width="9"/>
    <col collapsed="false" customWidth="true" hidden="false" outlineLevel="0" max="8" min="8" style="1" width="11"/>
    <col collapsed="false" customWidth="true" hidden="false" outlineLevel="0" max="10" min="9" style="1" width="7"/>
    <col collapsed="false" customWidth="true" hidden="false" outlineLevel="0" max="11" min="11" style="1" width="14"/>
    <col collapsed="false" customWidth="true" hidden="false" outlineLevel="0" max="12" min="12" style="1" width="13"/>
    <col collapsed="false" customWidth="true" hidden="false" outlineLevel="0" max="13" min="13" style="1" width="10"/>
    <col collapsed="false" customWidth="true" hidden="false" outlineLevel="0" max="15" min="14" style="1" width="9"/>
    <col collapsed="false" customWidth="true" hidden="false" outlineLevel="0" max="16" min="16" style="1" width="11"/>
    <col collapsed="false" customWidth="true" hidden="false" outlineLevel="0" max="18" min="17" style="1" width="13"/>
    <col collapsed="false" customWidth="true" hidden="false" outlineLevel="0" max="19" min="19" style="1" width="10"/>
    <col collapsed="false" customWidth="true" hidden="false" outlineLevel="0" max="20" min="20" style="1" width="9"/>
    <col collapsed="false" customWidth="true" hidden="false" outlineLevel="0" max="22" min="21" style="1" width="11"/>
    <col collapsed="false" customWidth="true" hidden="false" outlineLevel="0" max="23" min="23" style="1" width="12"/>
    <col collapsed="false" customWidth="true" hidden="false" outlineLevel="0" max="24" min="24" style="1" width="30"/>
  </cols>
  <sheetData>
    <row r="1" customFormat="false" ht="21.75" hidden="false" customHeight="true" outlineLevel="0" collapsed="false">
      <c r="A1" s="22" t="s">
        <v>421</v>
      </c>
      <c r="B1" s="22" t="s">
        <v>128</v>
      </c>
      <c r="C1" s="22" t="s">
        <v>673</v>
      </c>
      <c r="D1" s="22" t="s">
        <v>425</v>
      </c>
      <c r="E1" s="22" t="s">
        <v>429</v>
      </c>
      <c r="F1" s="22" t="s">
        <v>423</v>
      </c>
      <c r="G1" s="22" t="s">
        <v>674</v>
      </c>
      <c r="H1" s="22" t="s">
        <v>430</v>
      </c>
      <c r="I1" s="22" t="s">
        <v>675</v>
      </c>
      <c r="J1" s="22" t="s">
        <v>676</v>
      </c>
      <c r="K1" s="22" t="s">
        <v>432</v>
      </c>
      <c r="L1" s="22" t="s">
        <v>435</v>
      </c>
      <c r="M1" s="22" t="s">
        <v>677</v>
      </c>
      <c r="N1" s="22" t="s">
        <v>678</v>
      </c>
      <c r="O1" s="22" t="s">
        <v>679</v>
      </c>
      <c r="P1" s="22" t="s">
        <v>509</v>
      </c>
      <c r="Q1" s="22" t="s">
        <v>510</v>
      </c>
      <c r="R1" s="22" t="s">
        <v>508</v>
      </c>
      <c r="S1" s="22" t="s">
        <v>680</v>
      </c>
      <c r="T1" s="22" t="s">
        <v>681</v>
      </c>
      <c r="U1" s="22" t="s">
        <v>507</v>
      </c>
      <c r="V1" s="22" t="s">
        <v>682</v>
      </c>
      <c r="W1" s="22" t="s">
        <v>88</v>
      </c>
      <c r="X1" s="22" t="s">
        <v>683</v>
      </c>
    </row>
    <row r="2" customFormat="false" ht="15" hidden="false" customHeight="false" outlineLevel="0" collapsed="false">
      <c r="A2" s="21" t="s">
        <v>422</v>
      </c>
      <c r="B2" s="21" t="s">
        <v>132</v>
      </c>
      <c r="C2" s="21" t="s">
        <v>684</v>
      </c>
      <c r="D2" s="18" t="s">
        <v>426</v>
      </c>
      <c r="E2" s="19" t="n">
        <v>25000</v>
      </c>
      <c r="F2" s="16" t="n">
        <v>45883</v>
      </c>
      <c r="G2" s="27" t="str">
        <f aca="false">IF(F2="","",YEAR(F2)&amp;"-Q"&amp;ROUNDUP(MONTH(F2)/3,0))</f>
        <v>2025-Q3</v>
      </c>
      <c r="H2" s="18" t="s">
        <v>431</v>
      </c>
      <c r="I2" s="18" t="n">
        <v>2</v>
      </c>
      <c r="J2" s="18" t="n">
        <v>2</v>
      </c>
      <c r="K2" s="27" t="str">
        <f aca="false">IF(J2="","",VLOOKUP(J2,Lists!$D$2:$E$9,2,0))</f>
        <v>Pass</v>
      </c>
      <c r="L2" s="27" t="str">
        <f aca="false">IF(OR(I2="",J2=""),"",IF(I2=J2,"Concur","Grade Change"))</f>
        <v>Concur</v>
      </c>
      <c r="M2" s="30" t="n">
        <v>3.4</v>
      </c>
      <c r="N2" s="34" t="n">
        <v>2.02</v>
      </c>
      <c r="O2" s="47"/>
      <c r="P2" s="37" t="n">
        <f aca="false">COUNTIFS(Responses!$A:$A,$A2,Responses!$G:$G,"No")</f>
        <v>2</v>
      </c>
      <c r="Q2" s="37" t="n">
        <f aca="false">COUNTIFS(Responses!$A:$A,$A2,Responses!$G:$G,"Obs")</f>
        <v>0</v>
      </c>
      <c r="R2" s="37" t="n">
        <f aca="false">COUNTIFS(Responses!$A:$A,$A2,Responses!$G:$G,"Yes")+P2+Q2</f>
        <v>23</v>
      </c>
      <c r="S2" s="37" t="n">
        <f aca="false">R2+COUNTIFS(Responses!$A:$A,$A2,Responses!$G:$G,"N/A")</f>
        <v>27</v>
      </c>
      <c r="T2" s="37" t="n">
        <f aca="false">COUNTIFS(Responses!$A:$A,$A2)</f>
        <v>27</v>
      </c>
      <c r="U2" s="49" t="n">
        <f aca="false">IF(T2=0,"",S2/T2)</f>
        <v>1</v>
      </c>
      <c r="V2" s="49" t="n">
        <f aca="false">IF(R2=0,"",P2/R2)</f>
        <v>0.0869565217391304</v>
      </c>
      <c r="W2" s="18" t="s">
        <v>102</v>
      </c>
    </row>
    <row r="3" customFormat="false" ht="15" hidden="false" customHeight="false" outlineLevel="0" collapsed="false">
      <c r="A3" s="55" t="s">
        <v>685</v>
      </c>
      <c r="B3" s="55" t="s">
        <v>132</v>
      </c>
      <c r="C3" s="55" t="s">
        <v>684</v>
      </c>
      <c r="D3" s="56" t="s">
        <v>686</v>
      </c>
      <c r="E3" s="57" t="n">
        <v>12500</v>
      </c>
      <c r="F3" s="58" t="n">
        <v>45967</v>
      </c>
      <c r="G3" s="59" t="str">
        <f aca="false">IF(F3="","",YEAR(F3)&amp;"-Q"&amp;ROUNDUP(MONTH(F3)/3,0))</f>
        <v>2025-Q4</v>
      </c>
      <c r="H3" s="56" t="s">
        <v>687</v>
      </c>
      <c r="I3" s="56" t="n">
        <v>2</v>
      </c>
      <c r="J3" s="56" t="n">
        <v>2</v>
      </c>
      <c r="K3" s="59" t="str">
        <f aca="false">IF(J3="","",VLOOKUP(J3,Lists!$D$2:$E$9,2,0))</f>
        <v>Pass</v>
      </c>
      <c r="L3" s="59" t="str">
        <f aca="false">IF(OR(I3="",J3=""),"",IF(I3=J3,"Concur","Grade Change"))</f>
        <v>Concur</v>
      </c>
      <c r="M3" s="60" t="n">
        <v>3.1</v>
      </c>
      <c r="N3" s="61" t="n">
        <v>1.19</v>
      </c>
      <c r="O3" s="62"/>
      <c r="P3" s="63" t="n">
        <f aca="false">COUNTIFS(Responses!$A:$A,$A3,Responses!$G:$G,"No")</f>
        <v>2</v>
      </c>
      <c r="Q3" s="63" t="n">
        <f aca="false">COUNTIFS(Responses!$A:$A,$A3,Responses!$G:$G,"Obs")</f>
        <v>1</v>
      </c>
      <c r="R3" s="63" t="n">
        <f aca="false">COUNTIFS(Responses!$A:$A,$A3,Responses!$G:$G,"Yes")+P3+Q3</f>
        <v>25</v>
      </c>
      <c r="S3" s="63" t="n">
        <f aca="false">R3+COUNTIFS(Responses!$A:$A,$A3,Responses!$G:$G,"N/A")</f>
        <v>27</v>
      </c>
      <c r="T3" s="63" t="n">
        <f aca="false">COUNTIFS(Responses!$A:$A,$A3)</f>
        <v>27</v>
      </c>
      <c r="U3" s="64" t="n">
        <f aca="false">IF(T3=0,"",S3/T3)</f>
        <v>1</v>
      </c>
      <c r="V3" s="64" t="n">
        <f aca="false">IF(R3=0,"",P3/R3)</f>
        <v>0.08</v>
      </c>
      <c r="W3" s="56" t="s">
        <v>102</v>
      </c>
      <c r="X3" s="65"/>
    </row>
    <row r="4" customFormat="false" ht="15" hidden="false" customHeight="false" outlineLevel="0" collapsed="false">
      <c r="A4" s="21" t="s">
        <v>688</v>
      </c>
      <c r="B4" s="21" t="s">
        <v>132</v>
      </c>
      <c r="C4" s="21" t="s">
        <v>684</v>
      </c>
      <c r="D4" s="18" t="s">
        <v>689</v>
      </c>
      <c r="E4" s="19" t="n">
        <v>42500</v>
      </c>
      <c r="F4" s="16" t="n">
        <v>46072</v>
      </c>
      <c r="G4" s="27" t="str">
        <f aca="false">IF(F4="","",YEAR(F4)&amp;"-Q"&amp;ROUNDUP(MONTH(F4)/3,0))</f>
        <v>2026-Q1</v>
      </c>
      <c r="H4" s="18" t="s">
        <v>690</v>
      </c>
      <c r="I4" s="18" t="n">
        <v>5</v>
      </c>
      <c r="J4" s="18" t="n">
        <v>5</v>
      </c>
      <c r="K4" s="27" t="str">
        <f aca="false">IF(J4="","",VLOOKUP(J4,Lists!$D$2:$E$9,2,0))</f>
        <v>Special Mention</v>
      </c>
      <c r="L4" s="27" t="str">
        <f aca="false">IF(OR(I4="",J4=""),"",IF(I4=J4,"Concur","Grade Change"))</f>
        <v>Concur</v>
      </c>
      <c r="M4" s="30" t="n">
        <v>2.6</v>
      </c>
      <c r="N4" s="34" t="n">
        <v>1.61</v>
      </c>
      <c r="O4" s="47"/>
      <c r="P4" s="37" t="n">
        <f aca="false">COUNTIFS(Responses!$A:$A,$A4,Responses!$G:$G,"No")</f>
        <v>2</v>
      </c>
      <c r="Q4" s="37" t="n">
        <f aca="false">COUNTIFS(Responses!$A:$A,$A4,Responses!$G:$G,"Obs")</f>
        <v>0</v>
      </c>
      <c r="R4" s="37" t="n">
        <f aca="false">COUNTIFS(Responses!$A:$A,$A4,Responses!$G:$G,"Yes")+P4+Q4</f>
        <v>26</v>
      </c>
      <c r="S4" s="37" t="n">
        <f aca="false">R4+COUNTIFS(Responses!$A:$A,$A4,Responses!$G:$G,"N/A")</f>
        <v>27</v>
      </c>
      <c r="T4" s="37" t="n">
        <f aca="false">COUNTIFS(Responses!$A:$A,$A4)</f>
        <v>27</v>
      </c>
      <c r="U4" s="49" t="n">
        <f aca="false">IF(T4=0,"",S4/T4)</f>
        <v>1</v>
      </c>
      <c r="V4" s="49" t="n">
        <f aca="false">IF(R4=0,"",P4/R4)</f>
        <v>0.0769230769230769</v>
      </c>
      <c r="W4" s="18" t="s">
        <v>102</v>
      </c>
    </row>
    <row r="5" customFormat="false" ht="15" hidden="false" customHeight="false" outlineLevel="0" collapsed="false">
      <c r="A5" s="55" t="s">
        <v>691</v>
      </c>
      <c r="B5" s="55" t="s">
        <v>132</v>
      </c>
      <c r="C5" s="55" t="s">
        <v>684</v>
      </c>
      <c r="D5" s="56" t="s">
        <v>692</v>
      </c>
      <c r="E5" s="57" t="n">
        <v>15000</v>
      </c>
      <c r="F5" s="58" t="n">
        <v>46149</v>
      </c>
      <c r="G5" s="59" t="str">
        <f aca="false">IF(F5="","",YEAR(F5)&amp;"-Q"&amp;ROUNDUP(MONTH(F5)/3,0))</f>
        <v>2026-Q2</v>
      </c>
      <c r="H5" s="56" t="s">
        <v>693</v>
      </c>
      <c r="I5" s="56" t="n">
        <v>3</v>
      </c>
      <c r="J5" s="56" t="n">
        <v>3</v>
      </c>
      <c r="K5" s="59" t="str">
        <f aca="false">IF(J5="","",VLOOKUP(J5,Lists!$D$2:$E$9,2,0))</f>
        <v>Pass</v>
      </c>
      <c r="L5" s="59" t="str">
        <f aca="false">IF(OR(I5="",J5=""),"",IF(I5=J5,"Concur","Grade Change"))</f>
        <v>Concur</v>
      </c>
      <c r="M5" s="60" t="n">
        <v>4.4</v>
      </c>
      <c r="N5" s="61" t="n">
        <v>1.62</v>
      </c>
      <c r="O5" s="62"/>
      <c r="P5" s="63" t="n">
        <f aca="false">COUNTIFS(Responses!$A:$A,$A5,Responses!$G:$G,"No")</f>
        <v>2</v>
      </c>
      <c r="Q5" s="63" t="n">
        <f aca="false">COUNTIFS(Responses!$A:$A,$A5,Responses!$G:$G,"Obs")</f>
        <v>1</v>
      </c>
      <c r="R5" s="63" t="n">
        <f aca="false">COUNTIFS(Responses!$A:$A,$A5,Responses!$G:$G,"Yes")+P5+Q5</f>
        <v>24</v>
      </c>
      <c r="S5" s="63" t="n">
        <f aca="false">R5+COUNTIFS(Responses!$A:$A,$A5,Responses!$G:$G,"N/A")</f>
        <v>27</v>
      </c>
      <c r="T5" s="63" t="n">
        <f aca="false">COUNTIFS(Responses!$A:$A,$A5)</f>
        <v>27</v>
      </c>
      <c r="U5" s="64" t="n">
        <f aca="false">IF(T5=0,"",S5/T5)</f>
        <v>1</v>
      </c>
      <c r="V5" s="64" t="n">
        <f aca="false">IF(R5=0,"",P5/R5)</f>
        <v>0.0833333333333333</v>
      </c>
      <c r="W5" s="56" t="s">
        <v>96</v>
      </c>
      <c r="X5" s="65"/>
    </row>
    <row r="6" customFormat="false" ht="15" hidden="false" customHeight="false" outlineLevel="0" collapsed="false">
      <c r="A6" s="21" t="s">
        <v>515</v>
      </c>
      <c r="B6" s="21" t="s">
        <v>197</v>
      </c>
      <c r="C6" s="21" t="s">
        <v>694</v>
      </c>
      <c r="D6" s="18" t="s">
        <v>516</v>
      </c>
      <c r="E6" s="19" t="n">
        <v>32500</v>
      </c>
      <c r="F6" s="16" t="n">
        <v>45883</v>
      </c>
      <c r="G6" s="27" t="str">
        <f aca="false">IF(F6="","",YEAR(F6)&amp;"-Q"&amp;ROUNDUP(MONTH(F6)/3,0))</f>
        <v>2025-Q3</v>
      </c>
      <c r="H6" s="18" t="s">
        <v>431</v>
      </c>
      <c r="I6" s="18" t="n">
        <v>4</v>
      </c>
      <c r="J6" s="18" t="n">
        <v>4</v>
      </c>
      <c r="K6" s="27" t="str">
        <f aca="false">IF(J6="","",VLOOKUP(J6,Lists!$D$2:$E$9,2,0))</f>
        <v>Pass</v>
      </c>
      <c r="L6" s="27" t="str">
        <f aca="false">IF(OR(I6="",J6=""),"",IF(I6=J6,"Concur","Grade Change"))</f>
        <v>Concur</v>
      </c>
      <c r="M6" s="30"/>
      <c r="N6" s="34" t="n">
        <v>1.42</v>
      </c>
      <c r="O6" s="47" t="n">
        <v>0.563</v>
      </c>
      <c r="P6" s="37" t="n">
        <f aca="false">COUNTIFS(Responses!$A:$A,$A6,Responses!$G:$G,"No")</f>
        <v>1</v>
      </c>
      <c r="Q6" s="37" t="n">
        <f aca="false">COUNTIFS(Responses!$A:$A,$A6,Responses!$G:$G,"Obs")</f>
        <v>1</v>
      </c>
      <c r="R6" s="37" t="n">
        <f aca="false">COUNTIFS(Responses!$A:$A,$A6,Responses!$G:$G,"Yes")+P6+Q6</f>
        <v>24</v>
      </c>
      <c r="S6" s="37" t="n">
        <f aca="false">R6+COUNTIFS(Responses!$A:$A,$A6,Responses!$G:$G,"N/A")</f>
        <v>27</v>
      </c>
      <c r="T6" s="37" t="n">
        <f aca="false">COUNTIFS(Responses!$A:$A,$A6)</f>
        <v>27</v>
      </c>
      <c r="U6" s="49" t="n">
        <f aca="false">IF(T6=0,"",S6/T6)</f>
        <v>1</v>
      </c>
      <c r="V6" s="49" t="n">
        <f aca="false">IF(R6=0,"",P6/R6)</f>
        <v>0.0416666666666667</v>
      </c>
      <c r="W6" s="18" t="s">
        <v>102</v>
      </c>
    </row>
    <row r="7" customFormat="false" ht="15" hidden="false" customHeight="false" outlineLevel="0" collapsed="false">
      <c r="A7" s="55" t="s">
        <v>695</v>
      </c>
      <c r="B7" s="55" t="s">
        <v>197</v>
      </c>
      <c r="C7" s="55" t="s">
        <v>694</v>
      </c>
      <c r="D7" s="56" t="s">
        <v>696</v>
      </c>
      <c r="E7" s="57" t="n">
        <v>12500</v>
      </c>
      <c r="F7" s="58" t="n">
        <v>45967</v>
      </c>
      <c r="G7" s="59" t="str">
        <f aca="false">IF(F7="","",YEAR(F7)&amp;"-Q"&amp;ROUNDUP(MONTH(F7)/3,0))</f>
        <v>2025-Q4</v>
      </c>
      <c r="H7" s="56" t="s">
        <v>687</v>
      </c>
      <c r="I7" s="56" t="n">
        <v>4</v>
      </c>
      <c r="J7" s="56" t="n">
        <v>5</v>
      </c>
      <c r="K7" s="59" t="str">
        <f aca="false">IF(J7="","",VLOOKUP(J7,Lists!$D$2:$E$9,2,0))</f>
        <v>Special Mention</v>
      </c>
      <c r="L7" s="59" t="str">
        <f aca="false">IF(OR(I7="",J7=""),"",IF(I7=J7,"Concur","Grade Change"))</f>
        <v>Grade Change</v>
      </c>
      <c r="M7" s="60"/>
      <c r="N7" s="61" t="n">
        <v>1.53</v>
      </c>
      <c r="O7" s="62" t="n">
        <v>0.721</v>
      </c>
      <c r="P7" s="63" t="n">
        <f aca="false">COUNTIFS(Responses!$A:$A,$A7,Responses!$G:$G,"No")</f>
        <v>2</v>
      </c>
      <c r="Q7" s="63" t="n">
        <f aca="false">COUNTIFS(Responses!$A:$A,$A7,Responses!$G:$G,"Obs")</f>
        <v>2</v>
      </c>
      <c r="R7" s="63" t="n">
        <f aca="false">COUNTIFS(Responses!$A:$A,$A7,Responses!$G:$G,"Yes")+P7+Q7</f>
        <v>23</v>
      </c>
      <c r="S7" s="63" t="n">
        <f aca="false">R7+COUNTIFS(Responses!$A:$A,$A7,Responses!$G:$G,"N/A")</f>
        <v>27</v>
      </c>
      <c r="T7" s="63" t="n">
        <f aca="false">COUNTIFS(Responses!$A:$A,$A7)</f>
        <v>27</v>
      </c>
      <c r="U7" s="64" t="n">
        <f aca="false">IF(T7=0,"",S7/T7)</f>
        <v>1</v>
      </c>
      <c r="V7" s="64" t="n">
        <f aca="false">IF(R7=0,"",P7/R7)</f>
        <v>0.0869565217391304</v>
      </c>
      <c r="W7" s="56" t="s">
        <v>102</v>
      </c>
      <c r="X7" s="65"/>
    </row>
    <row r="8" customFormat="false" ht="15" hidden="false" customHeight="false" outlineLevel="0" collapsed="false">
      <c r="A8" s="21" t="s">
        <v>697</v>
      </c>
      <c r="B8" s="21" t="s">
        <v>197</v>
      </c>
      <c r="C8" s="21" t="s">
        <v>694</v>
      </c>
      <c r="D8" s="18" t="s">
        <v>698</v>
      </c>
      <c r="E8" s="19" t="n">
        <v>30000</v>
      </c>
      <c r="F8" s="16" t="n">
        <v>46072</v>
      </c>
      <c r="G8" s="27" t="str">
        <f aca="false">IF(F8="","",YEAR(F8)&amp;"-Q"&amp;ROUNDUP(MONTH(F8)/3,0))</f>
        <v>2026-Q1</v>
      </c>
      <c r="H8" s="18" t="s">
        <v>690</v>
      </c>
      <c r="I8" s="18" t="n">
        <v>3</v>
      </c>
      <c r="J8" s="18" t="n">
        <v>3</v>
      </c>
      <c r="K8" s="27" t="str">
        <f aca="false">IF(J8="","",VLOOKUP(J8,Lists!$D$2:$E$9,2,0))</f>
        <v>Pass</v>
      </c>
      <c r="L8" s="27" t="str">
        <f aca="false">IF(OR(I8="",J8=""),"",IF(I8=J8,"Concur","Grade Change"))</f>
        <v>Concur</v>
      </c>
      <c r="M8" s="30"/>
      <c r="N8" s="34" t="n">
        <v>1.47</v>
      </c>
      <c r="O8" s="47" t="n">
        <v>0.592</v>
      </c>
      <c r="P8" s="37" t="n">
        <f aca="false">COUNTIFS(Responses!$A:$A,$A8,Responses!$G:$G,"No")</f>
        <v>3</v>
      </c>
      <c r="Q8" s="37" t="n">
        <f aca="false">COUNTIFS(Responses!$A:$A,$A8,Responses!$G:$G,"Obs")</f>
        <v>4</v>
      </c>
      <c r="R8" s="37" t="n">
        <f aca="false">COUNTIFS(Responses!$A:$A,$A8,Responses!$G:$G,"Yes")+P8+Q8</f>
        <v>27</v>
      </c>
      <c r="S8" s="37" t="n">
        <f aca="false">R8+COUNTIFS(Responses!$A:$A,$A8,Responses!$G:$G,"N/A")</f>
        <v>27</v>
      </c>
      <c r="T8" s="37" t="n">
        <f aca="false">COUNTIFS(Responses!$A:$A,$A8)</f>
        <v>27</v>
      </c>
      <c r="U8" s="49" t="n">
        <f aca="false">IF(T8=0,"",S8/T8)</f>
        <v>1</v>
      </c>
      <c r="V8" s="49" t="n">
        <f aca="false">IF(R8=0,"",P8/R8)</f>
        <v>0.111111111111111</v>
      </c>
      <c r="W8" s="18" t="s">
        <v>102</v>
      </c>
    </row>
    <row r="9" customFormat="false" ht="15" hidden="false" customHeight="false" outlineLevel="0" collapsed="false">
      <c r="A9" s="55" t="s">
        <v>699</v>
      </c>
      <c r="B9" s="55" t="s">
        <v>197</v>
      </c>
      <c r="C9" s="55" t="s">
        <v>694</v>
      </c>
      <c r="D9" s="56" t="s">
        <v>700</v>
      </c>
      <c r="E9" s="57" t="n">
        <v>12500</v>
      </c>
      <c r="F9" s="58" t="n">
        <v>46149</v>
      </c>
      <c r="G9" s="59" t="str">
        <f aca="false">IF(F9="","",YEAR(F9)&amp;"-Q"&amp;ROUNDUP(MONTH(F9)/3,0))</f>
        <v>2026-Q2</v>
      </c>
      <c r="H9" s="56" t="s">
        <v>693</v>
      </c>
      <c r="I9" s="56" t="n">
        <v>5</v>
      </c>
      <c r="J9" s="56" t="n">
        <v>5</v>
      </c>
      <c r="K9" s="59" t="str">
        <f aca="false">IF(J9="","",VLOOKUP(J9,Lists!$D$2:$E$9,2,0))</f>
        <v>Special Mention</v>
      </c>
      <c r="L9" s="59" t="str">
        <f aca="false">IF(OR(I9="",J9=""),"",IF(I9=J9,"Concur","Grade Change"))</f>
        <v>Concur</v>
      </c>
      <c r="M9" s="60"/>
      <c r="N9" s="61" t="n">
        <v>1.38</v>
      </c>
      <c r="O9" s="62" t="n">
        <v>0.634</v>
      </c>
      <c r="P9" s="63" t="n">
        <f aca="false">COUNTIFS(Responses!$A:$A,$A9,Responses!$G:$G,"No")</f>
        <v>2</v>
      </c>
      <c r="Q9" s="63" t="n">
        <f aca="false">COUNTIFS(Responses!$A:$A,$A9,Responses!$G:$G,"Obs")</f>
        <v>1</v>
      </c>
      <c r="R9" s="63" t="n">
        <f aca="false">COUNTIFS(Responses!$A:$A,$A9,Responses!$G:$G,"Yes")+P9+Q9</f>
        <v>23</v>
      </c>
      <c r="S9" s="63" t="n">
        <f aca="false">R9+COUNTIFS(Responses!$A:$A,$A9,Responses!$G:$G,"N/A")</f>
        <v>27</v>
      </c>
      <c r="T9" s="63" t="n">
        <f aca="false">COUNTIFS(Responses!$A:$A,$A9)</f>
        <v>27</v>
      </c>
      <c r="U9" s="64" t="n">
        <f aca="false">IF(T9=0,"",S9/T9)</f>
        <v>1</v>
      </c>
      <c r="V9" s="64" t="n">
        <f aca="false">IF(R9=0,"",P9/R9)</f>
        <v>0.0869565217391304</v>
      </c>
      <c r="W9" s="56" t="s">
        <v>96</v>
      </c>
      <c r="X9" s="65"/>
    </row>
    <row r="10" customFormat="false" ht="15" hidden="false" customHeight="false" outlineLevel="0" collapsed="false">
      <c r="A10" s="21" t="s">
        <v>541</v>
      </c>
      <c r="B10" s="21" t="s">
        <v>234</v>
      </c>
      <c r="C10" s="21" t="s">
        <v>701</v>
      </c>
      <c r="D10" s="18" t="s">
        <v>542</v>
      </c>
      <c r="E10" s="19" t="n">
        <v>27500</v>
      </c>
      <c r="F10" s="16" t="n">
        <v>45883</v>
      </c>
      <c r="G10" s="27" t="str">
        <f aca="false">IF(F10="","",YEAR(F10)&amp;"-Q"&amp;ROUNDUP(MONTH(F10)/3,0))</f>
        <v>2025-Q3</v>
      </c>
      <c r="H10" s="18" t="s">
        <v>431</v>
      </c>
      <c r="I10" s="18" t="n">
        <v>4</v>
      </c>
      <c r="J10" s="18" t="n">
        <v>4</v>
      </c>
      <c r="K10" s="27" t="str">
        <f aca="false">IF(J10="","",VLOOKUP(J10,Lists!$D$2:$E$9,2,0))</f>
        <v>Pass</v>
      </c>
      <c r="L10" s="27" t="str">
        <f aca="false">IF(OR(I10="",J10=""),"",IF(I10=J10,"Concur","Grade Change"))</f>
        <v>Concur</v>
      </c>
      <c r="M10" s="30" t="n">
        <v>6.2</v>
      </c>
      <c r="N10" s="34" t="n">
        <v>1.39</v>
      </c>
      <c r="O10" s="47"/>
      <c r="P10" s="37" t="n">
        <f aca="false">COUNTIFS(Responses!$A:$A,$A10,Responses!$G:$G,"No")</f>
        <v>2</v>
      </c>
      <c r="Q10" s="37" t="n">
        <f aca="false">COUNTIFS(Responses!$A:$A,$A10,Responses!$G:$G,"Obs")</f>
        <v>1</v>
      </c>
      <c r="R10" s="37" t="n">
        <f aca="false">COUNTIFS(Responses!$A:$A,$A10,Responses!$G:$G,"Yes")+P10+Q10</f>
        <v>24</v>
      </c>
      <c r="S10" s="37" t="n">
        <f aca="false">R10+COUNTIFS(Responses!$A:$A,$A10,Responses!$G:$G,"N/A")</f>
        <v>26</v>
      </c>
      <c r="T10" s="37" t="n">
        <f aca="false">COUNTIFS(Responses!$A:$A,$A10)</f>
        <v>26</v>
      </c>
      <c r="U10" s="49" t="n">
        <f aca="false">IF(T10=0,"",S10/T10)</f>
        <v>1</v>
      </c>
      <c r="V10" s="49" t="n">
        <f aca="false">IF(R10=0,"",P10/R10)</f>
        <v>0.0833333333333333</v>
      </c>
      <c r="W10" s="18" t="s">
        <v>102</v>
      </c>
    </row>
    <row r="11" customFormat="false" ht="15" hidden="false" customHeight="false" outlineLevel="0" collapsed="false">
      <c r="A11" s="55" t="s">
        <v>702</v>
      </c>
      <c r="B11" s="55" t="s">
        <v>234</v>
      </c>
      <c r="C11" s="55" t="s">
        <v>701</v>
      </c>
      <c r="D11" s="56" t="s">
        <v>703</v>
      </c>
      <c r="E11" s="57" t="n">
        <v>37500</v>
      </c>
      <c r="F11" s="58" t="n">
        <v>45967</v>
      </c>
      <c r="G11" s="59" t="str">
        <f aca="false">IF(F11="","",YEAR(F11)&amp;"-Q"&amp;ROUNDUP(MONTH(F11)/3,0))</f>
        <v>2025-Q4</v>
      </c>
      <c r="H11" s="56" t="s">
        <v>687</v>
      </c>
      <c r="I11" s="56" t="n">
        <v>4</v>
      </c>
      <c r="J11" s="56" t="n">
        <v>5</v>
      </c>
      <c r="K11" s="59" t="str">
        <f aca="false">IF(J11="","",VLOOKUP(J11,Lists!$D$2:$E$9,2,0))</f>
        <v>Special Mention</v>
      </c>
      <c r="L11" s="59" t="str">
        <f aca="false">IF(OR(I11="",J11=""),"",IF(I11=J11,"Concur","Grade Change"))</f>
        <v>Grade Change</v>
      </c>
      <c r="M11" s="60" t="n">
        <v>5.4</v>
      </c>
      <c r="N11" s="61" t="n">
        <v>1.46</v>
      </c>
      <c r="O11" s="62"/>
      <c r="P11" s="63" t="n">
        <f aca="false">COUNTIFS(Responses!$A:$A,$A11,Responses!$G:$G,"No")</f>
        <v>3</v>
      </c>
      <c r="Q11" s="63" t="n">
        <f aca="false">COUNTIFS(Responses!$A:$A,$A11,Responses!$G:$G,"Obs")</f>
        <v>2</v>
      </c>
      <c r="R11" s="63" t="n">
        <f aca="false">COUNTIFS(Responses!$A:$A,$A11,Responses!$G:$G,"Yes")+P11+Q11</f>
        <v>25</v>
      </c>
      <c r="S11" s="63" t="n">
        <f aca="false">R11+COUNTIFS(Responses!$A:$A,$A11,Responses!$G:$G,"N/A")</f>
        <v>26</v>
      </c>
      <c r="T11" s="63" t="n">
        <f aca="false">COUNTIFS(Responses!$A:$A,$A11)</f>
        <v>26</v>
      </c>
      <c r="U11" s="64" t="n">
        <f aca="false">IF(T11=0,"",S11/T11)</f>
        <v>1</v>
      </c>
      <c r="V11" s="64" t="n">
        <f aca="false">IF(R11=0,"",P11/R11)</f>
        <v>0.12</v>
      </c>
      <c r="W11" s="56" t="s">
        <v>102</v>
      </c>
      <c r="X11" s="65"/>
    </row>
    <row r="12" customFormat="false" ht="15" hidden="false" customHeight="false" outlineLevel="0" collapsed="false">
      <c r="A12" s="21" t="s">
        <v>704</v>
      </c>
      <c r="B12" s="21" t="s">
        <v>234</v>
      </c>
      <c r="C12" s="21" t="s">
        <v>701</v>
      </c>
      <c r="D12" s="18" t="s">
        <v>705</v>
      </c>
      <c r="E12" s="19" t="n">
        <v>55000</v>
      </c>
      <c r="F12" s="16" t="n">
        <v>46072</v>
      </c>
      <c r="G12" s="27" t="str">
        <f aca="false">IF(F12="","",YEAR(F12)&amp;"-Q"&amp;ROUNDUP(MONTH(F12)/3,0))</f>
        <v>2026-Q1</v>
      </c>
      <c r="H12" s="18" t="s">
        <v>690</v>
      </c>
      <c r="I12" s="18" t="n">
        <v>3</v>
      </c>
      <c r="J12" s="18" t="n">
        <v>3</v>
      </c>
      <c r="K12" s="27" t="str">
        <f aca="false">IF(J12="","",VLOOKUP(J12,Lists!$D$2:$E$9,2,0))</f>
        <v>Pass</v>
      </c>
      <c r="L12" s="27" t="str">
        <f aca="false">IF(OR(I12="",J12=""),"",IF(I12=J12,"Concur","Grade Change"))</f>
        <v>Concur</v>
      </c>
      <c r="M12" s="30" t="n">
        <v>5.1</v>
      </c>
      <c r="N12" s="34" t="n">
        <v>1.23</v>
      </c>
      <c r="O12" s="47"/>
      <c r="P12" s="37" t="n">
        <f aca="false">COUNTIFS(Responses!$A:$A,$A12,Responses!$G:$G,"No")</f>
        <v>1</v>
      </c>
      <c r="Q12" s="37" t="n">
        <f aca="false">COUNTIFS(Responses!$A:$A,$A12,Responses!$G:$G,"Obs")</f>
        <v>2</v>
      </c>
      <c r="R12" s="37" t="n">
        <f aca="false">COUNTIFS(Responses!$A:$A,$A12,Responses!$G:$G,"Yes")+P12+Q12</f>
        <v>24</v>
      </c>
      <c r="S12" s="37" t="n">
        <f aca="false">R12+COUNTIFS(Responses!$A:$A,$A12,Responses!$G:$G,"N/A")</f>
        <v>26</v>
      </c>
      <c r="T12" s="37" t="n">
        <f aca="false">COUNTIFS(Responses!$A:$A,$A12)</f>
        <v>26</v>
      </c>
      <c r="U12" s="49" t="n">
        <f aca="false">IF(T12=0,"",S12/T12)</f>
        <v>1</v>
      </c>
      <c r="V12" s="49" t="n">
        <f aca="false">IF(R12=0,"",P12/R12)</f>
        <v>0.0416666666666667</v>
      </c>
      <c r="W12" s="18" t="s">
        <v>102</v>
      </c>
    </row>
    <row r="13" customFormat="false" ht="15" hidden="false" customHeight="false" outlineLevel="0" collapsed="false">
      <c r="A13" s="55" t="s">
        <v>706</v>
      </c>
      <c r="B13" s="55" t="s">
        <v>234</v>
      </c>
      <c r="C13" s="55" t="s">
        <v>701</v>
      </c>
      <c r="D13" s="56" t="s">
        <v>707</v>
      </c>
      <c r="E13" s="57" t="n">
        <v>37500</v>
      </c>
      <c r="F13" s="58" t="n">
        <v>46149</v>
      </c>
      <c r="G13" s="59" t="str">
        <f aca="false">IF(F13="","",YEAR(F13)&amp;"-Q"&amp;ROUNDUP(MONTH(F13)/3,0))</f>
        <v>2026-Q2</v>
      </c>
      <c r="H13" s="56" t="s">
        <v>693</v>
      </c>
      <c r="I13" s="56" t="n">
        <v>4</v>
      </c>
      <c r="J13" s="56" t="n">
        <v>5</v>
      </c>
      <c r="K13" s="59" t="str">
        <f aca="false">IF(J13="","",VLOOKUP(J13,Lists!$D$2:$E$9,2,0))</f>
        <v>Special Mention</v>
      </c>
      <c r="L13" s="59" t="str">
        <f aca="false">IF(OR(I13="",J13=""),"",IF(I13=J13,"Concur","Grade Change"))</f>
        <v>Grade Change</v>
      </c>
      <c r="M13" s="60" t="n">
        <v>4.3</v>
      </c>
      <c r="N13" s="61" t="n">
        <v>1.45</v>
      </c>
      <c r="O13" s="62"/>
      <c r="P13" s="63" t="n">
        <f aca="false">COUNTIFS(Responses!$A:$A,$A13,Responses!$G:$G,"No")</f>
        <v>4</v>
      </c>
      <c r="Q13" s="63" t="n">
        <f aca="false">COUNTIFS(Responses!$A:$A,$A13,Responses!$G:$G,"Obs")</f>
        <v>1</v>
      </c>
      <c r="R13" s="63" t="n">
        <f aca="false">COUNTIFS(Responses!$A:$A,$A13,Responses!$G:$G,"Yes")+P13+Q13</f>
        <v>25</v>
      </c>
      <c r="S13" s="63" t="n">
        <f aca="false">R13+COUNTIFS(Responses!$A:$A,$A13,Responses!$G:$G,"N/A")</f>
        <v>26</v>
      </c>
      <c r="T13" s="63" t="n">
        <f aca="false">COUNTIFS(Responses!$A:$A,$A13)</f>
        <v>26</v>
      </c>
      <c r="U13" s="64" t="n">
        <f aca="false">IF(T13=0,"",S13/T13)</f>
        <v>1</v>
      </c>
      <c r="V13" s="64" t="n">
        <f aca="false">IF(R13=0,"",P13/R13)</f>
        <v>0.16</v>
      </c>
      <c r="W13" s="56" t="s">
        <v>96</v>
      </c>
      <c r="X13" s="65"/>
    </row>
    <row r="14" customFormat="false" ht="15" hidden="false" customHeight="false" outlineLevel="0" collapsed="false">
      <c r="A14" s="21" t="s">
        <v>566</v>
      </c>
      <c r="B14" s="21" t="s">
        <v>268</v>
      </c>
      <c r="C14" s="21" t="s">
        <v>708</v>
      </c>
      <c r="D14" s="18" t="s">
        <v>567</v>
      </c>
      <c r="E14" s="19" t="n">
        <v>10000</v>
      </c>
      <c r="F14" s="16" t="n">
        <v>45883</v>
      </c>
      <c r="G14" s="27" t="str">
        <f aca="false">IF(F14="","",YEAR(F14)&amp;"-Q"&amp;ROUNDUP(MONTH(F14)/3,0))</f>
        <v>2025-Q3</v>
      </c>
      <c r="H14" s="18" t="s">
        <v>431</v>
      </c>
      <c r="I14" s="18" t="n">
        <v>4</v>
      </c>
      <c r="J14" s="18" t="n">
        <v>4</v>
      </c>
      <c r="K14" s="27" t="str">
        <f aca="false">IF(J14="","",VLOOKUP(J14,Lists!$D$2:$E$9,2,0))</f>
        <v>Pass</v>
      </c>
      <c r="L14" s="27" t="str">
        <f aca="false">IF(OR(I14="",J14=""),"",IF(I14=J14,"Concur","Grade Change"))</f>
        <v>Concur</v>
      </c>
      <c r="M14" s="30" t="n">
        <v>4.7</v>
      </c>
      <c r="N14" s="34" t="n">
        <v>1.22</v>
      </c>
      <c r="O14" s="47"/>
      <c r="P14" s="37" t="n">
        <f aca="false">COUNTIFS(Responses!$A:$A,$A14,Responses!$G:$G,"No")</f>
        <v>1</v>
      </c>
      <c r="Q14" s="37" t="n">
        <f aca="false">COUNTIFS(Responses!$A:$A,$A14,Responses!$G:$G,"Obs")</f>
        <v>2</v>
      </c>
      <c r="R14" s="37" t="n">
        <f aca="false">COUNTIFS(Responses!$A:$A,$A14,Responses!$G:$G,"Yes")+P14+Q14</f>
        <v>25</v>
      </c>
      <c r="S14" s="37" t="n">
        <f aca="false">R14+COUNTIFS(Responses!$A:$A,$A14,Responses!$G:$G,"N/A")</f>
        <v>26</v>
      </c>
      <c r="T14" s="37" t="n">
        <f aca="false">COUNTIFS(Responses!$A:$A,$A14)</f>
        <v>26</v>
      </c>
      <c r="U14" s="49" t="n">
        <f aca="false">IF(T14=0,"",S14/T14)</f>
        <v>1</v>
      </c>
      <c r="V14" s="49" t="n">
        <f aca="false">IF(R14=0,"",P14/R14)</f>
        <v>0.04</v>
      </c>
      <c r="W14" s="18" t="s">
        <v>102</v>
      </c>
    </row>
    <row r="15" customFormat="false" ht="15" hidden="false" customHeight="false" outlineLevel="0" collapsed="false">
      <c r="A15" s="55" t="s">
        <v>709</v>
      </c>
      <c r="B15" s="55" t="s">
        <v>268</v>
      </c>
      <c r="C15" s="55" t="s">
        <v>708</v>
      </c>
      <c r="D15" s="56" t="s">
        <v>710</v>
      </c>
      <c r="E15" s="57" t="n">
        <v>17500</v>
      </c>
      <c r="F15" s="58" t="n">
        <v>45967</v>
      </c>
      <c r="G15" s="59" t="str">
        <f aca="false">IF(F15="","",YEAR(F15)&amp;"-Q"&amp;ROUNDUP(MONTH(F15)/3,0))</f>
        <v>2025-Q4</v>
      </c>
      <c r="H15" s="56" t="s">
        <v>687</v>
      </c>
      <c r="I15" s="56" t="n">
        <v>3</v>
      </c>
      <c r="J15" s="56" t="n">
        <v>3</v>
      </c>
      <c r="K15" s="59" t="str">
        <f aca="false">IF(J15="","",VLOOKUP(J15,Lists!$D$2:$E$9,2,0))</f>
        <v>Pass</v>
      </c>
      <c r="L15" s="59" t="str">
        <f aca="false">IF(OR(I15="",J15=""),"",IF(I15=J15,"Concur","Grade Change"))</f>
        <v>Concur</v>
      </c>
      <c r="M15" s="60" t="n">
        <v>4.2</v>
      </c>
      <c r="N15" s="61" t="n">
        <v>1.4</v>
      </c>
      <c r="O15" s="62"/>
      <c r="P15" s="63" t="n">
        <f aca="false">COUNTIFS(Responses!$A:$A,$A15,Responses!$G:$G,"No")</f>
        <v>0</v>
      </c>
      <c r="Q15" s="63" t="n">
        <f aca="false">COUNTIFS(Responses!$A:$A,$A15,Responses!$G:$G,"Obs")</f>
        <v>3</v>
      </c>
      <c r="R15" s="63" t="n">
        <f aca="false">COUNTIFS(Responses!$A:$A,$A15,Responses!$G:$G,"Yes")+P15+Q15</f>
        <v>24</v>
      </c>
      <c r="S15" s="63" t="n">
        <f aca="false">R15+COUNTIFS(Responses!$A:$A,$A15,Responses!$G:$G,"N/A")</f>
        <v>26</v>
      </c>
      <c r="T15" s="63" t="n">
        <f aca="false">COUNTIFS(Responses!$A:$A,$A15)</f>
        <v>26</v>
      </c>
      <c r="U15" s="64" t="n">
        <f aca="false">IF(T15=0,"",S15/T15)</f>
        <v>1</v>
      </c>
      <c r="V15" s="64" t="n">
        <f aca="false">IF(R15=0,"",P15/R15)</f>
        <v>0</v>
      </c>
      <c r="W15" s="56" t="s">
        <v>102</v>
      </c>
      <c r="X15" s="65"/>
    </row>
    <row r="16" customFormat="false" ht="15" hidden="false" customHeight="false" outlineLevel="0" collapsed="false">
      <c r="A16" s="21" t="s">
        <v>711</v>
      </c>
      <c r="B16" s="21" t="s">
        <v>268</v>
      </c>
      <c r="C16" s="21" t="s">
        <v>708</v>
      </c>
      <c r="D16" s="18" t="s">
        <v>712</v>
      </c>
      <c r="E16" s="19" t="n">
        <v>42500</v>
      </c>
      <c r="F16" s="16" t="n">
        <v>46072</v>
      </c>
      <c r="G16" s="27" t="str">
        <f aca="false">IF(F16="","",YEAR(F16)&amp;"-Q"&amp;ROUNDUP(MONTH(F16)/3,0))</f>
        <v>2026-Q1</v>
      </c>
      <c r="H16" s="18" t="s">
        <v>690</v>
      </c>
      <c r="I16" s="18" t="n">
        <v>3</v>
      </c>
      <c r="J16" s="18" t="n">
        <v>3</v>
      </c>
      <c r="K16" s="27" t="str">
        <f aca="false">IF(J16="","",VLOOKUP(J16,Lists!$D$2:$E$9,2,0))</f>
        <v>Pass</v>
      </c>
      <c r="L16" s="27" t="str">
        <f aca="false">IF(OR(I16="",J16=""),"",IF(I16=J16,"Concur","Grade Change"))</f>
        <v>Concur</v>
      </c>
      <c r="M16" s="30" t="n">
        <v>4.3</v>
      </c>
      <c r="N16" s="34" t="n">
        <v>1.42</v>
      </c>
      <c r="O16" s="47"/>
      <c r="P16" s="37" t="n">
        <f aca="false">COUNTIFS(Responses!$A:$A,$A16,Responses!$G:$G,"No")</f>
        <v>3</v>
      </c>
      <c r="Q16" s="37" t="n">
        <f aca="false">COUNTIFS(Responses!$A:$A,$A16,Responses!$G:$G,"Obs")</f>
        <v>2</v>
      </c>
      <c r="R16" s="37" t="n">
        <f aca="false">COUNTIFS(Responses!$A:$A,$A16,Responses!$G:$G,"Yes")+P16+Q16</f>
        <v>23</v>
      </c>
      <c r="S16" s="37" t="n">
        <f aca="false">R16+COUNTIFS(Responses!$A:$A,$A16,Responses!$G:$G,"N/A")</f>
        <v>26</v>
      </c>
      <c r="T16" s="37" t="n">
        <f aca="false">COUNTIFS(Responses!$A:$A,$A16)</f>
        <v>26</v>
      </c>
      <c r="U16" s="49" t="n">
        <f aca="false">IF(T16=0,"",S16/T16)</f>
        <v>1</v>
      </c>
      <c r="V16" s="49" t="n">
        <f aca="false">IF(R16=0,"",P16/R16)</f>
        <v>0.130434782608696</v>
      </c>
      <c r="W16" s="18" t="s">
        <v>102</v>
      </c>
    </row>
    <row r="17" customFormat="false" ht="15" hidden="false" customHeight="false" outlineLevel="0" collapsed="false">
      <c r="A17" s="55" t="s">
        <v>713</v>
      </c>
      <c r="B17" s="55" t="s">
        <v>268</v>
      </c>
      <c r="C17" s="55" t="s">
        <v>708</v>
      </c>
      <c r="D17" s="56" t="s">
        <v>714</v>
      </c>
      <c r="E17" s="57" t="n">
        <v>52500</v>
      </c>
      <c r="F17" s="58" t="n">
        <v>46149</v>
      </c>
      <c r="G17" s="59" t="str">
        <f aca="false">IF(F17="","",YEAR(F17)&amp;"-Q"&amp;ROUNDUP(MONTH(F17)/3,0))</f>
        <v>2026-Q2</v>
      </c>
      <c r="H17" s="56" t="s">
        <v>693</v>
      </c>
      <c r="I17" s="56" t="n">
        <v>3</v>
      </c>
      <c r="J17" s="56" t="n">
        <v>4</v>
      </c>
      <c r="K17" s="59" t="str">
        <f aca="false">IF(J17="","",VLOOKUP(J17,Lists!$D$2:$E$9,2,0))</f>
        <v>Pass</v>
      </c>
      <c r="L17" s="59" t="str">
        <f aca="false">IF(OR(I17="",J17=""),"",IF(I17=J17,"Concur","Grade Change"))</f>
        <v>Grade Change</v>
      </c>
      <c r="M17" s="60" t="n">
        <v>4.4</v>
      </c>
      <c r="N17" s="61" t="n">
        <v>1.44</v>
      </c>
      <c r="O17" s="62"/>
      <c r="P17" s="63" t="n">
        <f aca="false">COUNTIFS(Responses!$A:$A,$A17,Responses!$G:$G,"No")</f>
        <v>2</v>
      </c>
      <c r="Q17" s="63" t="n">
        <f aca="false">COUNTIFS(Responses!$A:$A,$A17,Responses!$G:$G,"Obs")</f>
        <v>3</v>
      </c>
      <c r="R17" s="63" t="n">
        <f aca="false">COUNTIFS(Responses!$A:$A,$A17,Responses!$G:$G,"Yes")+P17+Q17</f>
        <v>22</v>
      </c>
      <c r="S17" s="63" t="n">
        <f aca="false">R17+COUNTIFS(Responses!$A:$A,$A17,Responses!$G:$G,"N/A")</f>
        <v>26</v>
      </c>
      <c r="T17" s="63" t="n">
        <f aca="false">COUNTIFS(Responses!$A:$A,$A17)</f>
        <v>26</v>
      </c>
      <c r="U17" s="64" t="n">
        <f aca="false">IF(T17=0,"",S17/T17)</f>
        <v>1</v>
      </c>
      <c r="V17" s="64" t="n">
        <f aca="false">IF(R17=0,"",P17/R17)</f>
        <v>0.0909090909090909</v>
      </c>
      <c r="W17" s="56" t="s">
        <v>96</v>
      </c>
      <c r="X17" s="65"/>
    </row>
    <row r="18" customFormat="false" ht="15" hidden="false" customHeight="false" outlineLevel="0" collapsed="false">
      <c r="A18" s="21" t="s">
        <v>595</v>
      </c>
      <c r="B18" s="21" t="s">
        <v>302</v>
      </c>
      <c r="C18" s="21" t="s">
        <v>715</v>
      </c>
      <c r="D18" s="18" t="s">
        <v>596</v>
      </c>
      <c r="E18" s="19" t="n">
        <v>42500</v>
      </c>
      <c r="F18" s="16" t="n">
        <v>45883</v>
      </c>
      <c r="G18" s="27" t="str">
        <f aca="false">IF(F18="","",YEAR(F18)&amp;"-Q"&amp;ROUNDUP(MONTH(F18)/3,0))</f>
        <v>2025-Q3</v>
      </c>
      <c r="H18" s="18" t="s">
        <v>431</v>
      </c>
      <c r="I18" s="18" t="n">
        <v>6</v>
      </c>
      <c r="J18" s="18" t="n">
        <v>6</v>
      </c>
      <c r="K18" s="27" t="str">
        <f aca="false">IF(J18="","",VLOOKUP(J18,Lists!$D$2:$E$9,2,0))</f>
        <v>Substandard</v>
      </c>
      <c r="L18" s="27" t="str">
        <f aca="false">IF(OR(I18="",J18=""),"",IF(I18=J18,"Concur","Grade Change"))</f>
        <v>Concur</v>
      </c>
      <c r="M18" s="30" t="n">
        <v>5.7</v>
      </c>
      <c r="N18" s="34" t="n">
        <v>0.66</v>
      </c>
      <c r="O18" s="47"/>
      <c r="P18" s="37" t="n">
        <f aca="false">COUNTIFS(Responses!$A:$A,$A18,Responses!$G:$G,"No")</f>
        <v>2</v>
      </c>
      <c r="Q18" s="37" t="n">
        <f aca="false">COUNTIFS(Responses!$A:$A,$A18,Responses!$G:$G,"Obs")</f>
        <v>3</v>
      </c>
      <c r="R18" s="37" t="n">
        <f aca="false">COUNTIFS(Responses!$A:$A,$A18,Responses!$G:$G,"Yes")+P18+Q18</f>
        <v>25</v>
      </c>
      <c r="S18" s="37" t="n">
        <f aca="false">R18+COUNTIFS(Responses!$A:$A,$A18,Responses!$G:$G,"N/A")</f>
        <v>27</v>
      </c>
      <c r="T18" s="37" t="n">
        <f aca="false">COUNTIFS(Responses!$A:$A,$A18)</f>
        <v>27</v>
      </c>
      <c r="U18" s="49" t="n">
        <f aca="false">IF(T18=0,"",S18/T18)</f>
        <v>1</v>
      </c>
      <c r="V18" s="49" t="n">
        <f aca="false">IF(R18=0,"",P18/R18)</f>
        <v>0.08</v>
      </c>
      <c r="W18" s="18" t="s">
        <v>102</v>
      </c>
    </row>
    <row r="19" customFormat="false" ht="15" hidden="false" customHeight="false" outlineLevel="0" collapsed="false">
      <c r="A19" s="55" t="s">
        <v>716</v>
      </c>
      <c r="B19" s="55" t="s">
        <v>302</v>
      </c>
      <c r="C19" s="55" t="s">
        <v>715</v>
      </c>
      <c r="D19" s="56" t="s">
        <v>717</v>
      </c>
      <c r="E19" s="57" t="n">
        <v>15000</v>
      </c>
      <c r="F19" s="58" t="n">
        <v>45967</v>
      </c>
      <c r="G19" s="59" t="str">
        <f aca="false">IF(F19="","",YEAR(F19)&amp;"-Q"&amp;ROUNDUP(MONTH(F19)/3,0))</f>
        <v>2025-Q4</v>
      </c>
      <c r="H19" s="56" t="s">
        <v>687</v>
      </c>
      <c r="I19" s="56" t="n">
        <v>5</v>
      </c>
      <c r="J19" s="56" t="n">
        <v>5</v>
      </c>
      <c r="K19" s="59" t="str">
        <f aca="false">IF(J19="","",VLOOKUP(J19,Lists!$D$2:$E$9,2,0))</f>
        <v>Special Mention</v>
      </c>
      <c r="L19" s="59" t="str">
        <f aca="false">IF(OR(I19="",J19=""),"",IF(I19=J19,"Concur","Grade Change"))</f>
        <v>Concur</v>
      </c>
      <c r="M19" s="60" t="n">
        <v>6.6</v>
      </c>
      <c r="N19" s="61" t="n">
        <v>0.96</v>
      </c>
      <c r="O19" s="62"/>
      <c r="P19" s="63" t="n">
        <f aca="false">COUNTIFS(Responses!$A:$A,$A19,Responses!$G:$G,"No")</f>
        <v>2</v>
      </c>
      <c r="Q19" s="63" t="n">
        <f aca="false">COUNTIFS(Responses!$A:$A,$A19,Responses!$G:$G,"Obs")</f>
        <v>2</v>
      </c>
      <c r="R19" s="63" t="n">
        <f aca="false">COUNTIFS(Responses!$A:$A,$A19,Responses!$G:$G,"Yes")+P19+Q19</f>
        <v>27</v>
      </c>
      <c r="S19" s="63" t="n">
        <f aca="false">R19+COUNTIFS(Responses!$A:$A,$A19,Responses!$G:$G,"N/A")</f>
        <v>27</v>
      </c>
      <c r="T19" s="63" t="n">
        <f aca="false">COUNTIFS(Responses!$A:$A,$A19)</f>
        <v>27</v>
      </c>
      <c r="U19" s="64" t="n">
        <f aca="false">IF(T19=0,"",S19/T19)</f>
        <v>1</v>
      </c>
      <c r="V19" s="64" t="n">
        <f aca="false">IF(R19=0,"",P19/R19)</f>
        <v>0.0740740740740741</v>
      </c>
      <c r="W19" s="56" t="s">
        <v>102</v>
      </c>
      <c r="X19" s="65"/>
    </row>
    <row r="20" customFormat="false" ht="15" hidden="false" customHeight="false" outlineLevel="0" collapsed="false">
      <c r="A20" s="21" t="s">
        <v>718</v>
      </c>
      <c r="B20" s="21" t="s">
        <v>302</v>
      </c>
      <c r="C20" s="21" t="s">
        <v>715</v>
      </c>
      <c r="D20" s="18" t="s">
        <v>719</v>
      </c>
      <c r="E20" s="19" t="n">
        <v>50000</v>
      </c>
      <c r="F20" s="16" t="n">
        <v>46072</v>
      </c>
      <c r="G20" s="27" t="str">
        <f aca="false">IF(F20="","",YEAR(F20)&amp;"-Q"&amp;ROUNDUP(MONTH(F20)/3,0))</f>
        <v>2026-Q1</v>
      </c>
      <c r="H20" s="18" t="s">
        <v>690</v>
      </c>
      <c r="I20" s="18" t="n">
        <v>5</v>
      </c>
      <c r="J20" s="18" t="n">
        <v>6</v>
      </c>
      <c r="K20" s="27" t="str">
        <f aca="false">IF(J20="","",VLOOKUP(J20,Lists!$D$2:$E$9,2,0))</f>
        <v>Substandard</v>
      </c>
      <c r="L20" s="27" t="str">
        <f aca="false">IF(OR(I20="",J20=""),"",IF(I20=J20,"Concur","Grade Change"))</f>
        <v>Grade Change</v>
      </c>
      <c r="M20" s="30" t="n">
        <v>5.6</v>
      </c>
      <c r="N20" s="34" t="n">
        <v>0.88</v>
      </c>
      <c r="O20" s="47"/>
      <c r="P20" s="37" t="n">
        <f aca="false">COUNTIFS(Responses!$A:$A,$A20,Responses!$G:$G,"No")</f>
        <v>3</v>
      </c>
      <c r="Q20" s="37" t="n">
        <f aca="false">COUNTIFS(Responses!$A:$A,$A20,Responses!$G:$G,"Obs")</f>
        <v>1</v>
      </c>
      <c r="R20" s="37" t="n">
        <f aca="false">COUNTIFS(Responses!$A:$A,$A20,Responses!$G:$G,"Yes")+P20+Q20</f>
        <v>25</v>
      </c>
      <c r="S20" s="37" t="n">
        <f aca="false">R20+COUNTIFS(Responses!$A:$A,$A20,Responses!$G:$G,"N/A")</f>
        <v>27</v>
      </c>
      <c r="T20" s="37" t="n">
        <f aca="false">COUNTIFS(Responses!$A:$A,$A20)</f>
        <v>27</v>
      </c>
      <c r="U20" s="49" t="n">
        <f aca="false">IF(T20=0,"",S20/T20)</f>
        <v>1</v>
      </c>
      <c r="V20" s="49" t="n">
        <f aca="false">IF(R20=0,"",P20/R20)</f>
        <v>0.12</v>
      </c>
      <c r="W20" s="18" t="s">
        <v>102</v>
      </c>
    </row>
    <row r="21" customFormat="false" ht="15" hidden="false" customHeight="false" outlineLevel="0" collapsed="false">
      <c r="A21" s="55" t="s">
        <v>720</v>
      </c>
      <c r="B21" s="55" t="s">
        <v>302</v>
      </c>
      <c r="C21" s="55" t="s">
        <v>715</v>
      </c>
      <c r="D21" s="56" t="s">
        <v>721</v>
      </c>
      <c r="E21" s="57" t="n">
        <v>57500</v>
      </c>
      <c r="F21" s="58" t="n">
        <v>46149</v>
      </c>
      <c r="G21" s="59" t="str">
        <f aca="false">IF(F21="","",YEAR(F21)&amp;"-Q"&amp;ROUNDUP(MONTH(F21)/3,0))</f>
        <v>2026-Q2</v>
      </c>
      <c r="H21" s="56" t="s">
        <v>693</v>
      </c>
      <c r="I21" s="56" t="n">
        <v>7</v>
      </c>
      <c r="J21" s="56" t="n">
        <v>7</v>
      </c>
      <c r="K21" s="59" t="str">
        <f aca="false">IF(J21="","",VLOOKUP(J21,Lists!$D$2:$E$9,2,0))</f>
        <v>Doubtful</v>
      </c>
      <c r="L21" s="59" t="str">
        <f aca="false">IF(OR(I21="",J21=""),"",IF(I21=J21,"Concur","Grade Change"))</f>
        <v>Concur</v>
      </c>
      <c r="M21" s="60" t="n">
        <v>5.6</v>
      </c>
      <c r="N21" s="61" t="n">
        <v>0.64</v>
      </c>
      <c r="O21" s="62"/>
      <c r="P21" s="63" t="n">
        <f aca="false">COUNTIFS(Responses!$A:$A,$A21,Responses!$G:$G,"No")</f>
        <v>2</v>
      </c>
      <c r="Q21" s="63" t="n">
        <f aca="false">COUNTIFS(Responses!$A:$A,$A21,Responses!$G:$G,"Obs")</f>
        <v>2</v>
      </c>
      <c r="R21" s="63" t="n">
        <f aca="false">COUNTIFS(Responses!$A:$A,$A21,Responses!$G:$G,"Yes")+P21+Q21</f>
        <v>27</v>
      </c>
      <c r="S21" s="63" t="n">
        <f aca="false">R21+COUNTIFS(Responses!$A:$A,$A21,Responses!$G:$G,"N/A")</f>
        <v>27</v>
      </c>
      <c r="T21" s="63" t="n">
        <f aca="false">COUNTIFS(Responses!$A:$A,$A21)</f>
        <v>27</v>
      </c>
      <c r="U21" s="64" t="n">
        <f aca="false">IF(T21=0,"",S21/T21)</f>
        <v>1</v>
      </c>
      <c r="V21" s="64" t="n">
        <f aca="false">IF(R21=0,"",P21/R21)</f>
        <v>0.0740740740740741</v>
      </c>
      <c r="W21" s="56" t="s">
        <v>96</v>
      </c>
      <c r="X21" s="65"/>
    </row>
    <row r="22" customFormat="false" ht="15" hidden="false" customHeight="false" outlineLevel="0" collapsed="false">
      <c r="A22" s="21" t="s">
        <v>635</v>
      </c>
      <c r="B22" s="21" t="s">
        <v>338</v>
      </c>
      <c r="C22" s="21" t="s">
        <v>722</v>
      </c>
      <c r="D22" s="18" t="s">
        <v>639</v>
      </c>
      <c r="E22" s="19" t="n">
        <v>15000</v>
      </c>
      <c r="F22" s="16" t="n">
        <v>45883</v>
      </c>
      <c r="G22" s="27" t="str">
        <f aca="false">IF(F22="","",YEAR(F22)&amp;"-Q"&amp;ROUNDUP(MONTH(F22)/3,0))</f>
        <v>2025-Q3</v>
      </c>
      <c r="H22" s="18" t="s">
        <v>431</v>
      </c>
      <c r="I22" s="18" t="n">
        <v>2</v>
      </c>
      <c r="J22" s="18" t="n">
        <v>2</v>
      </c>
      <c r="K22" s="27" t="str">
        <f aca="false">IF(J22="","",VLOOKUP(J22,Lists!$D$2:$E$9,2,0))</f>
        <v>Pass</v>
      </c>
      <c r="L22" s="27" t="str">
        <f aca="false">IF(OR(I22="",J22=""),"",IF(I22=J22,"Concur","Grade Change"))</f>
        <v>Concur</v>
      </c>
      <c r="M22" s="30"/>
      <c r="N22" s="34"/>
      <c r="O22" s="47"/>
      <c r="P22" s="37" t="n">
        <f aca="false">COUNTIFS(Responses!$A:$A,$A22,Responses!$G:$G,"No")</f>
        <v>0</v>
      </c>
      <c r="Q22" s="37" t="n">
        <f aca="false">COUNTIFS(Responses!$A:$A,$A22,Responses!$G:$G,"Obs")</f>
        <v>2</v>
      </c>
      <c r="R22" s="37" t="n">
        <f aca="false">COUNTIFS(Responses!$A:$A,$A22,Responses!$G:$G,"Yes")+P22+Q22</f>
        <v>16</v>
      </c>
      <c r="S22" s="37" t="n">
        <f aca="false">R22+COUNTIFS(Responses!$A:$A,$A22,Responses!$G:$G,"N/A")</f>
        <v>19</v>
      </c>
      <c r="T22" s="37" t="n">
        <f aca="false">COUNTIFS(Responses!$A:$A,$A22)</f>
        <v>19</v>
      </c>
      <c r="U22" s="49" t="n">
        <f aca="false">IF(T22=0,"",S22/T22)</f>
        <v>1</v>
      </c>
      <c r="V22" s="49" t="n">
        <f aca="false">IF(R22=0,"",P22/R22)</f>
        <v>0</v>
      </c>
      <c r="W22" s="18" t="s">
        <v>102</v>
      </c>
    </row>
    <row r="23" customFormat="false" ht="15" hidden="false" customHeight="false" outlineLevel="0" collapsed="false">
      <c r="A23" s="55" t="s">
        <v>723</v>
      </c>
      <c r="B23" s="55" t="s">
        <v>338</v>
      </c>
      <c r="C23" s="55" t="s">
        <v>722</v>
      </c>
      <c r="D23" s="56" t="s">
        <v>724</v>
      </c>
      <c r="E23" s="57" t="n">
        <v>20000</v>
      </c>
      <c r="F23" s="58" t="n">
        <v>45967</v>
      </c>
      <c r="G23" s="59" t="str">
        <f aca="false">IF(F23="","",YEAR(F23)&amp;"-Q"&amp;ROUNDUP(MONTH(F23)/3,0))</f>
        <v>2025-Q4</v>
      </c>
      <c r="H23" s="56" t="s">
        <v>687</v>
      </c>
      <c r="I23" s="56" t="n">
        <v>4</v>
      </c>
      <c r="J23" s="56" t="n">
        <v>4</v>
      </c>
      <c r="K23" s="59" t="str">
        <f aca="false">IF(J23="","",VLOOKUP(J23,Lists!$D$2:$E$9,2,0))</f>
        <v>Pass</v>
      </c>
      <c r="L23" s="59" t="str">
        <f aca="false">IF(OR(I23="",J23=""),"",IF(I23=J23,"Concur","Grade Change"))</f>
        <v>Concur</v>
      </c>
      <c r="M23" s="60"/>
      <c r="N23" s="61"/>
      <c r="O23" s="62"/>
      <c r="P23" s="63" t="n">
        <f aca="false">COUNTIFS(Responses!$A:$A,$A23,Responses!$G:$G,"No")</f>
        <v>1</v>
      </c>
      <c r="Q23" s="63" t="n">
        <f aca="false">COUNTIFS(Responses!$A:$A,$A23,Responses!$G:$G,"Obs")</f>
        <v>1</v>
      </c>
      <c r="R23" s="63" t="n">
        <f aca="false">COUNTIFS(Responses!$A:$A,$A23,Responses!$G:$G,"Yes")+P23+Q23</f>
        <v>16</v>
      </c>
      <c r="S23" s="63" t="n">
        <f aca="false">R23+COUNTIFS(Responses!$A:$A,$A23,Responses!$G:$G,"N/A")</f>
        <v>19</v>
      </c>
      <c r="T23" s="63" t="n">
        <f aca="false">COUNTIFS(Responses!$A:$A,$A23)</f>
        <v>19</v>
      </c>
      <c r="U23" s="64" t="n">
        <f aca="false">IF(T23=0,"",S23/T23)</f>
        <v>1</v>
      </c>
      <c r="V23" s="64" t="n">
        <f aca="false">IF(R23=0,"",P23/R23)</f>
        <v>0.0625</v>
      </c>
      <c r="W23" s="56" t="s">
        <v>102</v>
      </c>
      <c r="X23" s="65"/>
    </row>
    <row r="24" customFormat="false" ht="15" hidden="false" customHeight="false" outlineLevel="0" collapsed="false">
      <c r="A24" s="21" t="s">
        <v>725</v>
      </c>
      <c r="B24" s="21" t="s">
        <v>338</v>
      </c>
      <c r="C24" s="21" t="s">
        <v>722</v>
      </c>
      <c r="D24" s="18" t="s">
        <v>726</v>
      </c>
      <c r="E24" s="19" t="n">
        <v>17500</v>
      </c>
      <c r="F24" s="16" t="n">
        <v>46072</v>
      </c>
      <c r="G24" s="27" t="str">
        <f aca="false">IF(F24="","",YEAR(F24)&amp;"-Q"&amp;ROUNDUP(MONTH(F24)/3,0))</f>
        <v>2026-Q1</v>
      </c>
      <c r="H24" s="18" t="s">
        <v>690</v>
      </c>
      <c r="I24" s="18" t="n">
        <v>4</v>
      </c>
      <c r="J24" s="18" t="n">
        <v>4</v>
      </c>
      <c r="K24" s="27" t="str">
        <f aca="false">IF(J24="","",VLOOKUP(J24,Lists!$D$2:$E$9,2,0))</f>
        <v>Pass</v>
      </c>
      <c r="L24" s="27" t="str">
        <f aca="false">IF(OR(I24="",J24=""),"",IF(I24=J24,"Concur","Grade Change"))</f>
        <v>Concur</v>
      </c>
      <c r="M24" s="30"/>
      <c r="N24" s="34"/>
      <c r="O24" s="47"/>
      <c r="P24" s="37" t="n">
        <f aca="false">COUNTIFS(Responses!$A:$A,$A24,Responses!$G:$G,"No")</f>
        <v>1</v>
      </c>
      <c r="Q24" s="37" t="n">
        <f aca="false">COUNTIFS(Responses!$A:$A,$A24,Responses!$G:$G,"Obs")</f>
        <v>3</v>
      </c>
      <c r="R24" s="37" t="n">
        <f aca="false">COUNTIFS(Responses!$A:$A,$A24,Responses!$G:$G,"Yes")+P24+Q24</f>
        <v>18</v>
      </c>
      <c r="S24" s="37" t="n">
        <f aca="false">R24+COUNTIFS(Responses!$A:$A,$A24,Responses!$G:$G,"N/A")</f>
        <v>19</v>
      </c>
      <c r="T24" s="37" t="n">
        <f aca="false">COUNTIFS(Responses!$A:$A,$A24)</f>
        <v>19</v>
      </c>
      <c r="U24" s="49" t="n">
        <f aca="false">IF(T24=0,"",S24/T24)</f>
        <v>1</v>
      </c>
      <c r="V24" s="49" t="n">
        <f aca="false">IF(R24=0,"",P24/R24)</f>
        <v>0.0555555555555556</v>
      </c>
      <c r="W24" s="18" t="s">
        <v>102</v>
      </c>
    </row>
    <row r="25" customFormat="false" ht="15" hidden="false" customHeight="false" outlineLevel="0" collapsed="false">
      <c r="A25" s="55" t="s">
        <v>727</v>
      </c>
      <c r="B25" s="55" t="s">
        <v>338</v>
      </c>
      <c r="C25" s="55" t="s">
        <v>722</v>
      </c>
      <c r="D25" s="56" t="s">
        <v>728</v>
      </c>
      <c r="E25" s="57" t="n">
        <v>70000</v>
      </c>
      <c r="F25" s="58" t="n">
        <v>46149</v>
      </c>
      <c r="G25" s="59" t="str">
        <f aca="false">IF(F25="","",YEAR(F25)&amp;"-Q"&amp;ROUNDUP(MONTH(F25)/3,0))</f>
        <v>2026-Q2</v>
      </c>
      <c r="H25" s="56" t="s">
        <v>693</v>
      </c>
      <c r="I25" s="56" t="n">
        <v>4</v>
      </c>
      <c r="J25" s="56" t="n">
        <v>5</v>
      </c>
      <c r="K25" s="59" t="str">
        <f aca="false">IF(J25="","",VLOOKUP(J25,Lists!$D$2:$E$9,2,0))</f>
        <v>Special Mention</v>
      </c>
      <c r="L25" s="59" t="str">
        <f aca="false">IF(OR(I25="",J25=""),"",IF(I25=J25,"Concur","Grade Change"))</f>
        <v>Grade Change</v>
      </c>
      <c r="M25" s="60"/>
      <c r="N25" s="61"/>
      <c r="O25" s="62"/>
      <c r="P25" s="63" t="n">
        <f aca="false">COUNTIFS(Responses!$A:$A,$A25,Responses!$G:$G,"No")</f>
        <v>2</v>
      </c>
      <c r="Q25" s="63" t="n">
        <f aca="false">COUNTIFS(Responses!$A:$A,$A25,Responses!$G:$G,"Obs")</f>
        <v>2</v>
      </c>
      <c r="R25" s="63" t="n">
        <f aca="false">COUNTIFS(Responses!$A:$A,$A25,Responses!$G:$G,"Yes")+P25+Q25</f>
        <v>19</v>
      </c>
      <c r="S25" s="63" t="n">
        <f aca="false">R25+COUNTIFS(Responses!$A:$A,$A25,Responses!$G:$G,"N/A")</f>
        <v>19</v>
      </c>
      <c r="T25" s="63" t="n">
        <f aca="false">COUNTIFS(Responses!$A:$A,$A25)</f>
        <v>19</v>
      </c>
      <c r="U25" s="64" t="n">
        <f aca="false">IF(T25=0,"",S25/T25)</f>
        <v>1</v>
      </c>
      <c r="V25" s="64" t="n">
        <f aca="false">IF(R25=0,"",P25/R25)</f>
        <v>0.105263157894737</v>
      </c>
      <c r="W25" s="56" t="s">
        <v>96</v>
      </c>
      <c r="X25" s="65"/>
    </row>
    <row r="26" customFormat="false" ht="15" hidden="false" customHeight="false" outlineLevel="0" collapsed="false">
      <c r="A26" s="21" t="s">
        <v>618</v>
      </c>
      <c r="B26" s="21" t="s">
        <v>383</v>
      </c>
      <c r="C26" s="21" t="s">
        <v>729</v>
      </c>
      <c r="D26" s="18" t="s">
        <v>619</v>
      </c>
      <c r="E26" s="19" t="n">
        <v>30000</v>
      </c>
      <c r="F26" s="16" t="n">
        <v>45883</v>
      </c>
      <c r="G26" s="27" t="str">
        <f aca="false">IF(F26="","",YEAR(F26)&amp;"-Q"&amp;ROUNDUP(MONTH(F26)/3,0))</f>
        <v>2025-Q3</v>
      </c>
      <c r="H26" s="18" t="s">
        <v>431</v>
      </c>
      <c r="I26" s="18" t="n">
        <v>4</v>
      </c>
      <c r="J26" s="18" t="n">
        <v>5</v>
      </c>
      <c r="K26" s="27" t="str">
        <f aca="false">IF(J26="","",VLOOKUP(J26,Lists!$D$2:$E$9,2,0))</f>
        <v>Special Mention</v>
      </c>
      <c r="L26" s="27" t="str">
        <f aca="false">IF(OR(I26="",J26=""),"",IF(I26=J26,"Concur","Grade Change"))</f>
        <v>Grade Change</v>
      </c>
      <c r="M26" s="30"/>
      <c r="N26" s="34"/>
      <c r="O26" s="47"/>
      <c r="P26" s="37" t="n">
        <f aca="false">COUNTIFS(Responses!$A:$A,$A26,Responses!$G:$G,"No")</f>
        <v>0</v>
      </c>
      <c r="Q26" s="37" t="n">
        <f aca="false">COUNTIFS(Responses!$A:$A,$A26,Responses!$G:$G,"Obs")</f>
        <v>1</v>
      </c>
      <c r="R26" s="37" t="n">
        <f aca="false">COUNTIFS(Responses!$A:$A,$A26,Responses!$G:$G,"Yes")+P26+Q26</f>
        <v>26</v>
      </c>
      <c r="S26" s="37" t="n">
        <f aca="false">R26+COUNTIFS(Responses!$A:$A,$A26,Responses!$G:$G,"N/A")</f>
        <v>26</v>
      </c>
      <c r="T26" s="37" t="n">
        <f aca="false">COUNTIFS(Responses!$A:$A,$A26)</f>
        <v>26</v>
      </c>
      <c r="U26" s="49" t="n">
        <f aca="false">IF(T26=0,"",S26/T26)</f>
        <v>1</v>
      </c>
      <c r="V26" s="49" t="n">
        <f aca="false">IF(R26=0,"",P26/R26)</f>
        <v>0</v>
      </c>
      <c r="W26" s="18" t="s">
        <v>102</v>
      </c>
    </row>
    <row r="27" customFormat="false" ht="15" hidden="false" customHeight="false" outlineLevel="0" collapsed="false">
      <c r="A27" s="55" t="s">
        <v>730</v>
      </c>
      <c r="B27" s="55" t="s">
        <v>383</v>
      </c>
      <c r="C27" s="55" t="s">
        <v>729</v>
      </c>
      <c r="D27" s="56" t="s">
        <v>731</v>
      </c>
      <c r="E27" s="57" t="n">
        <v>22500</v>
      </c>
      <c r="F27" s="58" t="n">
        <v>45967</v>
      </c>
      <c r="G27" s="59" t="str">
        <f aca="false">IF(F27="","",YEAR(F27)&amp;"-Q"&amp;ROUNDUP(MONTH(F27)/3,0))</f>
        <v>2025-Q4</v>
      </c>
      <c r="H27" s="56" t="s">
        <v>687</v>
      </c>
      <c r="I27" s="56" t="n">
        <v>2</v>
      </c>
      <c r="J27" s="56" t="n">
        <v>2</v>
      </c>
      <c r="K27" s="59" t="str">
        <f aca="false">IF(J27="","",VLOOKUP(J27,Lists!$D$2:$E$9,2,0))</f>
        <v>Pass</v>
      </c>
      <c r="L27" s="59" t="str">
        <f aca="false">IF(OR(I27="",J27=""),"",IF(I27=J27,"Concur","Grade Change"))</f>
        <v>Concur</v>
      </c>
      <c r="M27" s="60"/>
      <c r="N27" s="61"/>
      <c r="O27" s="62"/>
      <c r="P27" s="63" t="n">
        <f aca="false">COUNTIFS(Responses!$A:$A,$A27,Responses!$G:$G,"No")</f>
        <v>0</v>
      </c>
      <c r="Q27" s="63" t="n">
        <f aca="false">COUNTIFS(Responses!$A:$A,$A27,Responses!$G:$G,"Obs")</f>
        <v>2</v>
      </c>
      <c r="R27" s="63" t="n">
        <f aca="false">COUNTIFS(Responses!$A:$A,$A27,Responses!$G:$G,"Yes")+P27+Q27</f>
        <v>23</v>
      </c>
      <c r="S27" s="63" t="n">
        <f aca="false">R27+COUNTIFS(Responses!$A:$A,$A27,Responses!$G:$G,"N/A")</f>
        <v>26</v>
      </c>
      <c r="T27" s="63" t="n">
        <f aca="false">COUNTIFS(Responses!$A:$A,$A27)</f>
        <v>26</v>
      </c>
      <c r="U27" s="64" t="n">
        <f aca="false">IF(T27=0,"",S27/T27)</f>
        <v>1</v>
      </c>
      <c r="V27" s="64" t="n">
        <f aca="false">IF(R27=0,"",P27/R27)</f>
        <v>0</v>
      </c>
      <c r="W27" s="56" t="s">
        <v>102</v>
      </c>
      <c r="X27" s="65"/>
    </row>
    <row r="28" customFormat="false" ht="15" hidden="false" customHeight="false" outlineLevel="0" collapsed="false">
      <c r="A28" s="21" t="s">
        <v>732</v>
      </c>
      <c r="B28" s="21" t="s">
        <v>383</v>
      </c>
      <c r="C28" s="21" t="s">
        <v>729</v>
      </c>
      <c r="D28" s="18" t="s">
        <v>733</v>
      </c>
      <c r="E28" s="19" t="n">
        <v>35000</v>
      </c>
      <c r="F28" s="16" t="n">
        <v>46072</v>
      </c>
      <c r="G28" s="27" t="str">
        <f aca="false">IF(F28="","",YEAR(F28)&amp;"-Q"&amp;ROUNDUP(MONTH(F28)/3,0))</f>
        <v>2026-Q1</v>
      </c>
      <c r="H28" s="18" t="s">
        <v>690</v>
      </c>
      <c r="I28" s="18" t="n">
        <v>4</v>
      </c>
      <c r="J28" s="18" t="n">
        <v>4</v>
      </c>
      <c r="K28" s="27" t="str">
        <f aca="false">IF(J28="","",VLOOKUP(J28,Lists!$D$2:$E$9,2,0))</f>
        <v>Pass</v>
      </c>
      <c r="L28" s="27" t="str">
        <f aca="false">IF(OR(I28="",J28=""),"",IF(I28=J28,"Concur","Grade Change"))</f>
        <v>Concur</v>
      </c>
      <c r="M28" s="30"/>
      <c r="N28" s="34"/>
      <c r="O28" s="47"/>
      <c r="P28" s="37" t="n">
        <f aca="false">COUNTIFS(Responses!$A:$A,$A28,Responses!$G:$G,"No")</f>
        <v>1</v>
      </c>
      <c r="Q28" s="37" t="n">
        <f aca="false">COUNTIFS(Responses!$A:$A,$A28,Responses!$G:$G,"Obs")</f>
        <v>3</v>
      </c>
      <c r="R28" s="37" t="n">
        <f aca="false">COUNTIFS(Responses!$A:$A,$A28,Responses!$G:$G,"Yes")+P28+Q28</f>
        <v>25</v>
      </c>
      <c r="S28" s="37" t="n">
        <f aca="false">R28+COUNTIFS(Responses!$A:$A,$A28,Responses!$G:$G,"N/A")</f>
        <v>26</v>
      </c>
      <c r="T28" s="37" t="n">
        <f aca="false">COUNTIFS(Responses!$A:$A,$A28)</f>
        <v>26</v>
      </c>
      <c r="U28" s="49" t="n">
        <f aca="false">IF(T28=0,"",S28/T28)</f>
        <v>1</v>
      </c>
      <c r="V28" s="49" t="n">
        <f aca="false">IF(R28=0,"",P28/R28)</f>
        <v>0.04</v>
      </c>
      <c r="W28" s="18" t="s">
        <v>102</v>
      </c>
    </row>
    <row r="29" customFormat="false" ht="15" hidden="false" customHeight="false" outlineLevel="0" collapsed="false">
      <c r="A29" s="55" t="s">
        <v>734</v>
      </c>
      <c r="B29" s="55" t="s">
        <v>383</v>
      </c>
      <c r="C29" s="55" t="s">
        <v>729</v>
      </c>
      <c r="D29" s="56" t="s">
        <v>735</v>
      </c>
      <c r="E29" s="57" t="n">
        <v>10000</v>
      </c>
      <c r="F29" s="58" t="n">
        <v>46149</v>
      </c>
      <c r="G29" s="59" t="str">
        <f aca="false">IF(F29="","",YEAR(F29)&amp;"-Q"&amp;ROUNDUP(MONTH(F29)/3,0))</f>
        <v>2026-Q2</v>
      </c>
      <c r="H29" s="56" t="s">
        <v>693</v>
      </c>
      <c r="I29" s="56" t="n">
        <v>5</v>
      </c>
      <c r="J29" s="56" t="n">
        <v>5</v>
      </c>
      <c r="K29" s="59" t="str">
        <f aca="false">IF(J29="","",VLOOKUP(J29,Lists!$D$2:$E$9,2,0))</f>
        <v>Special Mention</v>
      </c>
      <c r="L29" s="59" t="str">
        <f aca="false">IF(OR(I29="",J29=""),"",IF(I29=J29,"Concur","Grade Change"))</f>
        <v>Concur</v>
      </c>
      <c r="M29" s="60"/>
      <c r="N29" s="61"/>
      <c r="O29" s="62"/>
      <c r="P29" s="63" t="n">
        <f aca="false">COUNTIFS(Responses!$A:$A,$A29,Responses!$G:$G,"No")</f>
        <v>0</v>
      </c>
      <c r="Q29" s="63" t="n">
        <f aca="false">COUNTIFS(Responses!$A:$A,$A29,Responses!$G:$G,"Obs")</f>
        <v>2</v>
      </c>
      <c r="R29" s="63" t="n">
        <f aca="false">COUNTIFS(Responses!$A:$A,$A29,Responses!$G:$G,"Yes")+P29+Q29</f>
        <v>24</v>
      </c>
      <c r="S29" s="63" t="n">
        <f aca="false">R29+COUNTIFS(Responses!$A:$A,$A29,Responses!$G:$G,"N/A")</f>
        <v>26</v>
      </c>
      <c r="T29" s="63" t="n">
        <f aca="false">COUNTIFS(Responses!$A:$A,$A29)</f>
        <v>26</v>
      </c>
      <c r="U29" s="64" t="n">
        <f aca="false">IF(T29=0,"",S29/T29)</f>
        <v>1</v>
      </c>
      <c r="V29" s="64" t="n">
        <f aca="false">IF(R29=0,"",P29/R29)</f>
        <v>0</v>
      </c>
      <c r="W29" s="56" t="s">
        <v>96</v>
      </c>
      <c r="X29" s="65"/>
    </row>
  </sheetData>
  <autoFilter ref="A1:X29"/>
  <dataValidations count="1">
    <dataValidation allowBlank="true" errorStyle="stop" operator="between" showDropDown="false" showErrorMessage="false" showInputMessage="false" sqref="W2:W29" type="list">
      <formula1>StatusList</formula1>
      <formula2>0</formula2>
    </dataValidation>
  </dataValidations>
  <printOptions headings="false" gridLines="false" gridLinesSet="true" horizontalCentered="false" verticalCentered="false"/>
  <pageMargins left="0.4" right="0.4" top="0.5" bottom="0.5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808080"/>
    <pageSetUpPr fitToPage="true"/>
  </sheetPr>
  <dimension ref="A1:N71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1" width="11"/>
    <col collapsed="false" customWidth="true" hidden="false" outlineLevel="0" max="2" min="2" style="1" width="6"/>
    <col collapsed="false" customWidth="true" hidden="false" outlineLevel="0" max="3" min="3" style="1" width="9"/>
    <col collapsed="false" customWidth="true" hidden="false" outlineLevel="0" max="4" min="4" style="1" width="30"/>
    <col collapsed="false" customWidth="true" hidden="false" outlineLevel="0" max="5" min="5" style="1" width="60"/>
    <col collapsed="false" customWidth="true" hidden="false" outlineLevel="0" max="6" min="6" style="1" width="9"/>
    <col collapsed="false" customWidth="true" hidden="false" outlineLevel="0" max="7" min="7" style="1" width="8"/>
    <col collapsed="false" customWidth="true" hidden="false" outlineLevel="0" max="8" min="8" style="1" width="45"/>
    <col collapsed="false" customWidth="true" hidden="false" outlineLevel="0" max="9" min="9" style="1" width="11"/>
    <col collapsed="false" customWidth="true" hidden="false" outlineLevel="0" max="12" min="10" style="1" width="10"/>
    <col collapsed="false" customWidth="true" hidden="false" outlineLevel="0" max="14" min="13" style="1" width="7"/>
  </cols>
  <sheetData>
    <row r="1" customFormat="false" ht="21.75" hidden="false" customHeight="true" outlineLevel="0" collapsed="false">
      <c r="A1" s="22" t="s">
        <v>421</v>
      </c>
      <c r="B1" s="22" t="s">
        <v>128</v>
      </c>
      <c r="C1" s="22" t="s">
        <v>127</v>
      </c>
      <c r="D1" s="22" t="s">
        <v>736</v>
      </c>
      <c r="E1" s="22" t="s">
        <v>130</v>
      </c>
      <c r="F1" s="22" t="s">
        <v>93</v>
      </c>
      <c r="G1" s="22" t="s">
        <v>491</v>
      </c>
      <c r="H1" s="22" t="s">
        <v>469</v>
      </c>
      <c r="I1" s="22" t="s">
        <v>423</v>
      </c>
      <c r="J1" s="22" t="s">
        <v>430</v>
      </c>
      <c r="K1" s="22" t="s">
        <v>737</v>
      </c>
      <c r="L1" s="22" t="s">
        <v>738</v>
      </c>
      <c r="M1" s="22" t="s">
        <v>739</v>
      </c>
      <c r="N1" s="22" t="s">
        <v>740</v>
      </c>
    </row>
    <row r="2" customFormat="false" ht="15" hidden="false" customHeight="false" outlineLevel="0" collapsed="false">
      <c r="A2" s="10" t="s">
        <v>422</v>
      </c>
      <c r="B2" s="10" t="s">
        <v>132</v>
      </c>
      <c r="C2" s="10" t="s">
        <v>131</v>
      </c>
      <c r="D2" s="8" t="s">
        <v>133</v>
      </c>
      <c r="E2" s="8" t="s">
        <v>134</v>
      </c>
      <c r="F2" s="10" t="s">
        <v>99</v>
      </c>
      <c r="G2" s="11" t="s">
        <v>16</v>
      </c>
      <c r="H2" s="66"/>
      <c r="I2" s="67" t="n">
        <v>45883</v>
      </c>
      <c r="J2" s="10" t="s">
        <v>431</v>
      </c>
      <c r="K2" s="68" t="str">
        <f aca="false">IF(G2="No",MAX(0,AsOfDate-I2),"")</f>
        <v/>
      </c>
      <c r="L2" s="12" t="str">
        <f aca="false">IF(K2="","",IF(K2&lt;=90,"0-90",IF(K2&lt;=180,"91-180",IF(K2&lt;=270,"181-270","&gt;270"))))</f>
        <v/>
      </c>
      <c r="M2" s="12" t="str">
        <f aca="false">IF(G2="Obs",COUNTIF(G$2:G2,"Obs"),"")</f>
        <v/>
      </c>
      <c r="N2" s="12" t="str">
        <f aca="false">IF(G2="No",COUNTIF(G$2:G2,"No"),"")</f>
        <v/>
      </c>
    </row>
    <row r="3" customFormat="false" ht="15" hidden="false" customHeight="false" outlineLevel="0" collapsed="false">
      <c r="A3" s="69" t="s">
        <v>422</v>
      </c>
      <c r="B3" s="69" t="s">
        <v>132</v>
      </c>
      <c r="C3" s="69" t="s">
        <v>135</v>
      </c>
      <c r="D3" s="70" t="s">
        <v>133</v>
      </c>
      <c r="E3" s="70" t="s">
        <v>136</v>
      </c>
      <c r="F3" s="69" t="s">
        <v>99</v>
      </c>
      <c r="G3" s="71" t="s">
        <v>16</v>
      </c>
      <c r="H3" s="72"/>
      <c r="I3" s="73" t="n">
        <v>45883</v>
      </c>
      <c r="J3" s="69" t="s">
        <v>431</v>
      </c>
      <c r="K3" s="74" t="str">
        <f aca="false">IF(G3="No",MAX(0,AsOfDate-I3),"")</f>
        <v/>
      </c>
      <c r="L3" s="75" t="str">
        <f aca="false">IF(K3="","",IF(K3&lt;=90,"0-90",IF(K3&lt;=180,"91-180",IF(K3&lt;=270,"181-270","&gt;270"))))</f>
        <v/>
      </c>
      <c r="M3" s="75" t="str">
        <f aca="false">IF(G3="Obs",COUNTIF(G$2:G3,"Obs"),"")</f>
        <v/>
      </c>
      <c r="N3" s="75" t="str">
        <f aca="false">IF(G3="No",COUNTIF(G$2:G3,"No"),"")</f>
        <v/>
      </c>
    </row>
    <row r="4" customFormat="false" ht="15" hidden="false" customHeight="false" outlineLevel="0" collapsed="false">
      <c r="A4" s="10" t="s">
        <v>422</v>
      </c>
      <c r="B4" s="10" t="s">
        <v>132</v>
      </c>
      <c r="C4" s="10" t="s">
        <v>137</v>
      </c>
      <c r="D4" s="8" t="s">
        <v>133</v>
      </c>
      <c r="E4" s="8" t="s">
        <v>138</v>
      </c>
      <c r="F4" s="10" t="s">
        <v>105</v>
      </c>
      <c r="G4" s="11" t="s">
        <v>20</v>
      </c>
      <c r="H4" s="66"/>
      <c r="I4" s="67" t="n">
        <v>45883</v>
      </c>
      <c r="J4" s="10" t="s">
        <v>431</v>
      </c>
      <c r="K4" s="68" t="str">
        <f aca="false">IF(G4="No",MAX(0,AsOfDate-I4),"")</f>
        <v/>
      </c>
      <c r="L4" s="12" t="str">
        <f aca="false">IF(K4="","",IF(K4&lt;=90,"0-90",IF(K4&lt;=180,"91-180",IF(K4&lt;=270,"181-270","&gt;270"))))</f>
        <v/>
      </c>
      <c r="M4" s="12" t="str">
        <f aca="false">IF(G4="Obs",COUNTIF(G$2:G4,"Obs"),"")</f>
        <v/>
      </c>
      <c r="N4" s="12" t="str">
        <f aca="false">IF(G4="No",COUNTIF(G$2:G4,"No"),"")</f>
        <v/>
      </c>
    </row>
    <row r="5" customFormat="false" ht="15" hidden="false" customHeight="false" outlineLevel="0" collapsed="false">
      <c r="A5" s="69" t="s">
        <v>422</v>
      </c>
      <c r="B5" s="69" t="s">
        <v>132</v>
      </c>
      <c r="C5" s="69" t="s">
        <v>139</v>
      </c>
      <c r="D5" s="70" t="s">
        <v>140</v>
      </c>
      <c r="E5" s="70" t="s">
        <v>141</v>
      </c>
      <c r="F5" s="69" t="s">
        <v>99</v>
      </c>
      <c r="G5" s="71" t="s">
        <v>16</v>
      </c>
      <c r="H5" s="72"/>
      <c r="I5" s="73" t="n">
        <v>45883</v>
      </c>
      <c r="J5" s="69" t="s">
        <v>431</v>
      </c>
      <c r="K5" s="74" t="str">
        <f aca="false">IF(G5="No",MAX(0,AsOfDate-I5),"")</f>
        <v/>
      </c>
      <c r="L5" s="75" t="str">
        <f aca="false">IF(K5="","",IF(K5&lt;=90,"0-90",IF(K5&lt;=180,"91-180",IF(K5&lt;=270,"181-270","&gt;270"))))</f>
        <v/>
      </c>
      <c r="M5" s="75" t="str">
        <f aca="false">IF(G5="Obs",COUNTIF(G$2:G5,"Obs"),"")</f>
        <v/>
      </c>
      <c r="N5" s="75" t="str">
        <f aca="false">IF(G5="No",COUNTIF(G$2:G5,"No"),"")</f>
        <v/>
      </c>
    </row>
    <row r="6" customFormat="false" ht="15" hidden="false" customHeight="false" outlineLevel="0" collapsed="false">
      <c r="A6" s="10" t="s">
        <v>422</v>
      </c>
      <c r="B6" s="10" t="s">
        <v>132</v>
      </c>
      <c r="C6" s="10" t="s">
        <v>142</v>
      </c>
      <c r="D6" s="8" t="s">
        <v>140</v>
      </c>
      <c r="E6" s="8" t="s">
        <v>143</v>
      </c>
      <c r="F6" s="10" t="s">
        <v>105</v>
      </c>
      <c r="G6" s="11" t="s">
        <v>16</v>
      </c>
      <c r="H6" s="66"/>
      <c r="I6" s="67" t="n">
        <v>45883</v>
      </c>
      <c r="J6" s="10" t="s">
        <v>431</v>
      </c>
      <c r="K6" s="68" t="str">
        <f aca="false">IF(G6="No",MAX(0,AsOfDate-I6),"")</f>
        <v/>
      </c>
      <c r="L6" s="12" t="str">
        <f aca="false">IF(K6="","",IF(K6&lt;=90,"0-90",IF(K6&lt;=180,"91-180",IF(K6&lt;=270,"181-270","&gt;270"))))</f>
        <v/>
      </c>
      <c r="M6" s="12" t="str">
        <f aca="false">IF(G6="Obs",COUNTIF(G$2:G6,"Obs"),"")</f>
        <v/>
      </c>
      <c r="N6" s="12" t="str">
        <f aca="false">IF(G6="No",COUNTIF(G$2:G6,"No"),"")</f>
        <v/>
      </c>
    </row>
    <row r="7" customFormat="false" ht="15" hidden="false" customHeight="false" outlineLevel="0" collapsed="false">
      <c r="A7" s="69" t="s">
        <v>422</v>
      </c>
      <c r="B7" s="69" t="s">
        <v>132</v>
      </c>
      <c r="C7" s="69" t="s">
        <v>144</v>
      </c>
      <c r="D7" s="70" t="s">
        <v>140</v>
      </c>
      <c r="E7" s="70" t="s">
        <v>145</v>
      </c>
      <c r="F7" s="69" t="s">
        <v>99</v>
      </c>
      <c r="G7" s="71" t="s">
        <v>16</v>
      </c>
      <c r="H7" s="72"/>
      <c r="I7" s="73" t="n">
        <v>45883</v>
      </c>
      <c r="J7" s="69" t="s">
        <v>431</v>
      </c>
      <c r="K7" s="74" t="str">
        <f aca="false">IF(G7="No",MAX(0,AsOfDate-I7),"")</f>
        <v/>
      </c>
      <c r="L7" s="75" t="str">
        <f aca="false">IF(K7="","",IF(K7&lt;=90,"0-90",IF(K7&lt;=180,"91-180",IF(K7&lt;=270,"181-270","&gt;270"))))</f>
        <v/>
      </c>
      <c r="M7" s="75" t="str">
        <f aca="false">IF(G7="Obs",COUNTIF(G$2:G7,"Obs"),"")</f>
        <v/>
      </c>
      <c r="N7" s="75" t="str">
        <f aca="false">IF(G7="No",COUNTIF(G$2:G7,"No"),"")</f>
        <v/>
      </c>
    </row>
    <row r="8" customFormat="false" ht="15" hidden="false" customHeight="false" outlineLevel="0" collapsed="false">
      <c r="A8" s="10" t="s">
        <v>422</v>
      </c>
      <c r="B8" s="10" t="s">
        <v>132</v>
      </c>
      <c r="C8" s="10" t="s">
        <v>146</v>
      </c>
      <c r="D8" s="8" t="s">
        <v>147</v>
      </c>
      <c r="E8" s="8" t="s">
        <v>148</v>
      </c>
      <c r="F8" s="10" t="s">
        <v>99</v>
      </c>
      <c r="G8" s="11" t="s">
        <v>16</v>
      </c>
      <c r="H8" s="66"/>
      <c r="I8" s="67" t="n">
        <v>45883</v>
      </c>
      <c r="J8" s="10" t="s">
        <v>431</v>
      </c>
      <c r="K8" s="68" t="str">
        <f aca="false">IF(G8="No",MAX(0,AsOfDate-I8),"")</f>
        <v/>
      </c>
      <c r="L8" s="12" t="str">
        <f aca="false">IF(K8="","",IF(K8&lt;=90,"0-90",IF(K8&lt;=180,"91-180",IF(K8&lt;=270,"181-270","&gt;270"))))</f>
        <v/>
      </c>
      <c r="M8" s="12" t="str">
        <f aca="false">IF(G8="Obs",COUNTIF(G$2:G8,"Obs"),"")</f>
        <v/>
      </c>
      <c r="N8" s="12" t="str">
        <f aca="false">IF(G8="No",COUNTIF(G$2:G8,"No"),"")</f>
        <v/>
      </c>
    </row>
    <row r="9" customFormat="false" ht="15" hidden="false" customHeight="false" outlineLevel="0" collapsed="false">
      <c r="A9" s="69" t="s">
        <v>422</v>
      </c>
      <c r="B9" s="69" t="s">
        <v>132</v>
      </c>
      <c r="C9" s="69" t="s">
        <v>149</v>
      </c>
      <c r="D9" s="70" t="s">
        <v>147</v>
      </c>
      <c r="E9" s="70" t="s">
        <v>150</v>
      </c>
      <c r="F9" s="69" t="s">
        <v>105</v>
      </c>
      <c r="G9" s="71" t="s">
        <v>16</v>
      </c>
      <c r="H9" s="72"/>
      <c r="I9" s="73" t="n">
        <v>45883</v>
      </c>
      <c r="J9" s="69" t="s">
        <v>431</v>
      </c>
      <c r="K9" s="74" t="str">
        <f aca="false">IF(G9="No",MAX(0,AsOfDate-I9),"")</f>
        <v/>
      </c>
      <c r="L9" s="75" t="str">
        <f aca="false">IF(K9="","",IF(K9&lt;=90,"0-90",IF(K9&lt;=180,"91-180",IF(K9&lt;=270,"181-270","&gt;270"))))</f>
        <v/>
      </c>
      <c r="M9" s="75" t="str">
        <f aca="false">IF(G9="Obs",COUNTIF(G$2:G9,"Obs"),"")</f>
        <v/>
      </c>
      <c r="N9" s="75" t="str">
        <f aca="false">IF(G9="No",COUNTIF(G$2:G9,"No"),"")</f>
        <v/>
      </c>
    </row>
    <row r="10" customFormat="false" ht="15" hidden="false" customHeight="false" outlineLevel="0" collapsed="false">
      <c r="A10" s="10" t="s">
        <v>422</v>
      </c>
      <c r="B10" s="10" t="s">
        <v>132</v>
      </c>
      <c r="C10" s="10" t="s">
        <v>151</v>
      </c>
      <c r="D10" s="8" t="s">
        <v>147</v>
      </c>
      <c r="E10" s="8" t="s">
        <v>152</v>
      </c>
      <c r="F10" s="10" t="s">
        <v>99</v>
      </c>
      <c r="G10" s="11" t="s">
        <v>18</v>
      </c>
      <c r="H10" s="66" t="s">
        <v>496</v>
      </c>
      <c r="I10" s="67" t="n">
        <v>45883</v>
      </c>
      <c r="J10" s="10" t="s">
        <v>431</v>
      </c>
      <c r="K10" s="68" t="n">
        <f aca="false">IF(G10="No",MAX(0,AsOfDate-I10),"")</f>
        <v>300</v>
      </c>
      <c r="L10" s="12" t="str">
        <f aca="false">IF(K10="","",IF(K10&lt;=90,"0-90",IF(K10&lt;=180,"91-180",IF(K10&lt;=270,"181-270","&gt;270"))))</f>
        <v>&gt;270</v>
      </c>
      <c r="M10" s="12" t="str">
        <f aca="false">IF(G10="Obs",COUNTIF(G$2:G10,"Obs"),"")</f>
        <v/>
      </c>
      <c r="N10" s="12" t="n">
        <f aca="false">IF(G10="No",COUNTIF(G$2:G10,"No"),"")</f>
        <v>1</v>
      </c>
    </row>
    <row r="11" customFormat="false" ht="15" hidden="false" customHeight="false" outlineLevel="0" collapsed="false">
      <c r="A11" s="69" t="s">
        <v>422</v>
      </c>
      <c r="B11" s="69" t="s">
        <v>132</v>
      </c>
      <c r="C11" s="69" t="s">
        <v>153</v>
      </c>
      <c r="D11" s="70" t="s">
        <v>154</v>
      </c>
      <c r="E11" s="70" t="s">
        <v>155</v>
      </c>
      <c r="F11" s="69" t="s">
        <v>105</v>
      </c>
      <c r="G11" s="71" t="s">
        <v>20</v>
      </c>
      <c r="H11" s="72"/>
      <c r="I11" s="73" t="n">
        <v>45883</v>
      </c>
      <c r="J11" s="69" t="s">
        <v>431</v>
      </c>
      <c r="K11" s="74" t="str">
        <f aca="false">IF(G11="No",MAX(0,AsOfDate-I11),"")</f>
        <v/>
      </c>
      <c r="L11" s="75" t="str">
        <f aca="false">IF(K11="","",IF(K11&lt;=90,"0-90",IF(K11&lt;=180,"91-180",IF(K11&lt;=270,"181-270","&gt;270"))))</f>
        <v/>
      </c>
      <c r="M11" s="75" t="str">
        <f aca="false">IF(G11="Obs",COUNTIF(G$2:G11,"Obs"),"")</f>
        <v/>
      </c>
      <c r="N11" s="75" t="str">
        <f aca="false">IF(G11="No",COUNTIF(G$2:G11,"No"),"")</f>
        <v/>
      </c>
    </row>
    <row r="12" customFormat="false" ht="15" hidden="false" customHeight="false" outlineLevel="0" collapsed="false">
      <c r="A12" s="10" t="s">
        <v>422</v>
      </c>
      <c r="B12" s="10" t="s">
        <v>132</v>
      </c>
      <c r="C12" s="10" t="s">
        <v>156</v>
      </c>
      <c r="D12" s="8" t="s">
        <v>154</v>
      </c>
      <c r="E12" s="8" t="s">
        <v>157</v>
      </c>
      <c r="F12" s="10" t="s">
        <v>105</v>
      </c>
      <c r="G12" s="11" t="s">
        <v>16</v>
      </c>
      <c r="H12" s="66"/>
      <c r="I12" s="67" t="n">
        <v>45883</v>
      </c>
      <c r="J12" s="10" t="s">
        <v>431</v>
      </c>
      <c r="K12" s="68" t="str">
        <f aca="false">IF(G12="No",MAX(0,AsOfDate-I12),"")</f>
        <v/>
      </c>
      <c r="L12" s="12" t="str">
        <f aca="false">IF(K12="","",IF(K12&lt;=90,"0-90",IF(K12&lt;=180,"91-180",IF(K12&lt;=270,"181-270","&gt;270"))))</f>
        <v/>
      </c>
      <c r="M12" s="12" t="str">
        <f aca="false">IF(G12="Obs",COUNTIF(G$2:G12,"Obs"),"")</f>
        <v/>
      </c>
      <c r="N12" s="12" t="str">
        <f aca="false">IF(G12="No",COUNTIF(G$2:G12,"No"),"")</f>
        <v/>
      </c>
    </row>
    <row r="13" customFormat="false" ht="23.85" hidden="false" customHeight="false" outlineLevel="0" collapsed="false">
      <c r="A13" s="69" t="s">
        <v>422</v>
      </c>
      <c r="B13" s="69" t="s">
        <v>132</v>
      </c>
      <c r="C13" s="69" t="s">
        <v>158</v>
      </c>
      <c r="D13" s="70" t="s">
        <v>159</v>
      </c>
      <c r="E13" s="70" t="s">
        <v>160</v>
      </c>
      <c r="F13" s="69" t="s">
        <v>99</v>
      </c>
      <c r="G13" s="71" t="s">
        <v>16</v>
      </c>
      <c r="H13" s="72"/>
      <c r="I13" s="73" t="n">
        <v>45883</v>
      </c>
      <c r="J13" s="69" t="s">
        <v>431</v>
      </c>
      <c r="K13" s="74" t="str">
        <f aca="false">IF(G13="No",MAX(0,AsOfDate-I13),"")</f>
        <v/>
      </c>
      <c r="L13" s="75" t="str">
        <f aca="false">IF(K13="","",IF(K13&lt;=90,"0-90",IF(K13&lt;=180,"91-180",IF(K13&lt;=270,"181-270","&gt;270"))))</f>
        <v/>
      </c>
      <c r="M13" s="75" t="str">
        <f aca="false">IF(G13="Obs",COUNTIF(G$2:G13,"Obs"),"")</f>
        <v/>
      </c>
      <c r="N13" s="75" t="str">
        <f aca="false">IF(G13="No",COUNTIF(G$2:G13,"No"),"")</f>
        <v/>
      </c>
    </row>
    <row r="14" customFormat="false" ht="23.85" hidden="false" customHeight="false" outlineLevel="0" collapsed="false">
      <c r="A14" s="10" t="s">
        <v>422</v>
      </c>
      <c r="B14" s="10" t="s">
        <v>132</v>
      </c>
      <c r="C14" s="10" t="s">
        <v>161</v>
      </c>
      <c r="D14" s="8" t="s">
        <v>159</v>
      </c>
      <c r="E14" s="8" t="s">
        <v>162</v>
      </c>
      <c r="F14" s="10" t="s">
        <v>99</v>
      </c>
      <c r="G14" s="11" t="s">
        <v>16</v>
      </c>
      <c r="H14" s="66"/>
      <c r="I14" s="67" t="n">
        <v>45883</v>
      </c>
      <c r="J14" s="10" t="s">
        <v>431</v>
      </c>
      <c r="K14" s="68" t="str">
        <f aca="false">IF(G14="No",MAX(0,AsOfDate-I14),"")</f>
        <v/>
      </c>
      <c r="L14" s="12" t="str">
        <f aca="false">IF(K14="","",IF(K14&lt;=90,"0-90",IF(K14&lt;=180,"91-180",IF(K14&lt;=270,"181-270","&gt;270"))))</f>
        <v/>
      </c>
      <c r="M14" s="12" t="str">
        <f aca="false">IF(G14="Obs",COUNTIF(G$2:G14,"Obs"),"")</f>
        <v/>
      </c>
      <c r="N14" s="12" t="str">
        <f aca="false">IF(G14="No",COUNTIF(G$2:G14,"No"),"")</f>
        <v/>
      </c>
    </row>
    <row r="15" customFormat="false" ht="23.85" hidden="false" customHeight="false" outlineLevel="0" collapsed="false">
      <c r="A15" s="69" t="s">
        <v>422</v>
      </c>
      <c r="B15" s="69" t="s">
        <v>132</v>
      </c>
      <c r="C15" s="69" t="s">
        <v>163</v>
      </c>
      <c r="D15" s="70" t="s">
        <v>159</v>
      </c>
      <c r="E15" s="70" t="s">
        <v>164</v>
      </c>
      <c r="F15" s="69" t="s">
        <v>110</v>
      </c>
      <c r="G15" s="71" t="s">
        <v>18</v>
      </c>
      <c r="H15" s="72" t="s">
        <v>496</v>
      </c>
      <c r="I15" s="73" t="n">
        <v>45883</v>
      </c>
      <c r="J15" s="69" t="s">
        <v>431</v>
      </c>
      <c r="K15" s="74" t="n">
        <f aca="false">IF(G15="No",MAX(0,AsOfDate-I15),"")</f>
        <v>300</v>
      </c>
      <c r="L15" s="75" t="str">
        <f aca="false">IF(K15="","",IF(K15&lt;=90,"0-90",IF(K15&lt;=180,"91-180",IF(K15&lt;=270,"181-270","&gt;270"))))</f>
        <v>&gt;270</v>
      </c>
      <c r="M15" s="75" t="str">
        <f aca="false">IF(G15="Obs",COUNTIF(G$2:G15,"Obs"),"")</f>
        <v/>
      </c>
      <c r="N15" s="75" t="n">
        <f aca="false">IF(G15="No",COUNTIF(G$2:G15,"No"),"")</f>
        <v>2</v>
      </c>
    </row>
    <row r="16" customFormat="false" ht="15" hidden="false" customHeight="false" outlineLevel="0" collapsed="false">
      <c r="A16" s="10" t="s">
        <v>422</v>
      </c>
      <c r="B16" s="10" t="s">
        <v>132</v>
      </c>
      <c r="C16" s="10" t="s">
        <v>165</v>
      </c>
      <c r="D16" s="8" t="s">
        <v>166</v>
      </c>
      <c r="E16" s="8" t="s">
        <v>167</v>
      </c>
      <c r="F16" s="10" t="s">
        <v>99</v>
      </c>
      <c r="G16" s="11" t="s">
        <v>16</v>
      </c>
      <c r="H16" s="66"/>
      <c r="I16" s="67" t="n">
        <v>45883</v>
      </c>
      <c r="J16" s="10" t="s">
        <v>431</v>
      </c>
      <c r="K16" s="68" t="str">
        <f aca="false">IF(G16="No",MAX(0,AsOfDate-I16),"")</f>
        <v/>
      </c>
      <c r="L16" s="12" t="str">
        <f aca="false">IF(K16="","",IF(K16&lt;=90,"0-90",IF(K16&lt;=180,"91-180",IF(K16&lt;=270,"181-270","&gt;270"))))</f>
        <v/>
      </c>
      <c r="M16" s="12" t="str">
        <f aca="false">IF(G16="Obs",COUNTIF(G$2:G16,"Obs"),"")</f>
        <v/>
      </c>
      <c r="N16" s="12" t="str">
        <f aca="false">IF(G16="No",COUNTIF(G$2:G16,"No"),"")</f>
        <v/>
      </c>
    </row>
    <row r="17" customFormat="false" ht="15" hidden="false" customHeight="false" outlineLevel="0" collapsed="false">
      <c r="A17" s="69" t="s">
        <v>422</v>
      </c>
      <c r="B17" s="69" t="s">
        <v>132</v>
      </c>
      <c r="C17" s="69" t="s">
        <v>168</v>
      </c>
      <c r="D17" s="70" t="s">
        <v>166</v>
      </c>
      <c r="E17" s="70" t="s">
        <v>169</v>
      </c>
      <c r="F17" s="69" t="s">
        <v>105</v>
      </c>
      <c r="G17" s="71" t="s">
        <v>16</v>
      </c>
      <c r="H17" s="72"/>
      <c r="I17" s="73" t="n">
        <v>45883</v>
      </c>
      <c r="J17" s="69" t="s">
        <v>431</v>
      </c>
      <c r="K17" s="74" t="str">
        <f aca="false">IF(G17="No",MAX(0,AsOfDate-I17),"")</f>
        <v/>
      </c>
      <c r="L17" s="75" t="str">
        <f aca="false">IF(K17="","",IF(K17&lt;=90,"0-90",IF(K17&lt;=180,"91-180",IF(K17&lt;=270,"181-270","&gt;270"))))</f>
        <v/>
      </c>
      <c r="M17" s="75" t="str">
        <f aca="false">IF(G17="Obs",COUNTIF(G$2:G17,"Obs"),"")</f>
        <v/>
      </c>
      <c r="N17" s="75" t="str">
        <f aca="false">IF(G17="No",COUNTIF(G$2:G17,"No"),"")</f>
        <v/>
      </c>
    </row>
    <row r="18" customFormat="false" ht="15" hidden="false" customHeight="false" outlineLevel="0" collapsed="false">
      <c r="A18" s="10" t="s">
        <v>422</v>
      </c>
      <c r="B18" s="10" t="s">
        <v>132</v>
      </c>
      <c r="C18" s="10" t="s">
        <v>170</v>
      </c>
      <c r="D18" s="8" t="s">
        <v>171</v>
      </c>
      <c r="E18" s="8" t="s">
        <v>172</v>
      </c>
      <c r="F18" s="10" t="s">
        <v>105</v>
      </c>
      <c r="G18" s="11" t="s">
        <v>16</v>
      </c>
      <c r="H18" s="66"/>
      <c r="I18" s="67" t="n">
        <v>45883</v>
      </c>
      <c r="J18" s="10" t="s">
        <v>431</v>
      </c>
      <c r="K18" s="68" t="str">
        <f aca="false">IF(G18="No",MAX(0,AsOfDate-I18),"")</f>
        <v/>
      </c>
      <c r="L18" s="12" t="str">
        <f aca="false">IF(K18="","",IF(K18&lt;=90,"0-90",IF(K18&lt;=180,"91-180",IF(K18&lt;=270,"181-270","&gt;270"))))</f>
        <v/>
      </c>
      <c r="M18" s="12" t="str">
        <f aca="false">IF(G18="Obs",COUNTIF(G$2:G18,"Obs"),"")</f>
        <v/>
      </c>
      <c r="N18" s="12" t="str">
        <f aca="false">IF(G18="No",COUNTIF(G$2:G18,"No"),"")</f>
        <v/>
      </c>
    </row>
    <row r="19" customFormat="false" ht="15" hidden="false" customHeight="false" outlineLevel="0" collapsed="false">
      <c r="A19" s="69" t="s">
        <v>422</v>
      </c>
      <c r="B19" s="69" t="s">
        <v>132</v>
      </c>
      <c r="C19" s="69" t="s">
        <v>173</v>
      </c>
      <c r="D19" s="70" t="s">
        <v>171</v>
      </c>
      <c r="E19" s="70" t="s">
        <v>174</v>
      </c>
      <c r="F19" s="69" t="s">
        <v>99</v>
      </c>
      <c r="G19" s="71" t="s">
        <v>16</v>
      </c>
      <c r="H19" s="72"/>
      <c r="I19" s="73" t="n">
        <v>45883</v>
      </c>
      <c r="J19" s="69" t="s">
        <v>431</v>
      </c>
      <c r="K19" s="74" t="str">
        <f aca="false">IF(G19="No",MAX(0,AsOfDate-I19),"")</f>
        <v/>
      </c>
      <c r="L19" s="75" t="str">
        <f aca="false">IF(K19="","",IF(K19&lt;=90,"0-90",IF(K19&lt;=180,"91-180",IF(K19&lt;=270,"181-270","&gt;270"))))</f>
        <v/>
      </c>
      <c r="M19" s="75" t="str">
        <f aca="false">IF(G19="Obs",COUNTIF(G$2:G19,"Obs"),"")</f>
        <v/>
      </c>
      <c r="N19" s="75" t="str">
        <f aca="false">IF(G19="No",COUNTIF(G$2:G19,"No"),"")</f>
        <v/>
      </c>
    </row>
    <row r="20" customFormat="false" ht="15" hidden="false" customHeight="false" outlineLevel="0" collapsed="false">
      <c r="A20" s="10" t="s">
        <v>422</v>
      </c>
      <c r="B20" s="10" t="s">
        <v>132</v>
      </c>
      <c r="C20" s="10" t="s">
        <v>175</v>
      </c>
      <c r="D20" s="8" t="s">
        <v>176</v>
      </c>
      <c r="E20" s="8" t="s">
        <v>177</v>
      </c>
      <c r="F20" s="10" t="s">
        <v>105</v>
      </c>
      <c r="G20" s="11" t="s">
        <v>16</v>
      </c>
      <c r="H20" s="66"/>
      <c r="I20" s="67" t="n">
        <v>45883</v>
      </c>
      <c r="J20" s="10" t="s">
        <v>431</v>
      </c>
      <c r="K20" s="68" t="str">
        <f aca="false">IF(G20="No",MAX(0,AsOfDate-I20),"")</f>
        <v/>
      </c>
      <c r="L20" s="12" t="str">
        <f aca="false">IF(K20="","",IF(K20&lt;=90,"0-90",IF(K20&lt;=180,"91-180",IF(K20&lt;=270,"181-270","&gt;270"))))</f>
        <v/>
      </c>
      <c r="M20" s="12" t="str">
        <f aca="false">IF(G20="Obs",COUNTIF(G$2:G20,"Obs"),"")</f>
        <v/>
      </c>
      <c r="N20" s="12" t="str">
        <f aca="false">IF(G20="No",COUNTIF(G$2:G20,"No"),"")</f>
        <v/>
      </c>
    </row>
    <row r="21" customFormat="false" ht="15" hidden="false" customHeight="false" outlineLevel="0" collapsed="false">
      <c r="A21" s="69" t="s">
        <v>422</v>
      </c>
      <c r="B21" s="69" t="s">
        <v>132</v>
      </c>
      <c r="C21" s="69" t="s">
        <v>178</v>
      </c>
      <c r="D21" s="70" t="s">
        <v>176</v>
      </c>
      <c r="E21" s="70" t="s">
        <v>179</v>
      </c>
      <c r="F21" s="69" t="s">
        <v>105</v>
      </c>
      <c r="G21" s="71" t="s">
        <v>20</v>
      </c>
      <c r="H21" s="72"/>
      <c r="I21" s="73" t="n">
        <v>45883</v>
      </c>
      <c r="J21" s="69" t="s">
        <v>431</v>
      </c>
      <c r="K21" s="74" t="str">
        <f aca="false">IF(G21="No",MAX(0,AsOfDate-I21),"")</f>
        <v/>
      </c>
      <c r="L21" s="75" t="str">
        <f aca="false">IF(K21="","",IF(K21&lt;=90,"0-90",IF(K21&lt;=180,"91-180",IF(K21&lt;=270,"181-270","&gt;270"))))</f>
        <v/>
      </c>
      <c r="M21" s="75" t="str">
        <f aca="false">IF(G21="Obs",COUNTIF(G$2:G21,"Obs"),"")</f>
        <v/>
      </c>
      <c r="N21" s="75" t="str">
        <f aca="false">IF(G21="No",COUNTIF(G$2:G21,"No"),"")</f>
        <v/>
      </c>
    </row>
    <row r="22" customFormat="false" ht="15" hidden="false" customHeight="false" outlineLevel="0" collapsed="false">
      <c r="A22" s="10" t="s">
        <v>422</v>
      </c>
      <c r="B22" s="10" t="s">
        <v>132</v>
      </c>
      <c r="C22" s="10" t="s">
        <v>180</v>
      </c>
      <c r="D22" s="8" t="s">
        <v>181</v>
      </c>
      <c r="E22" s="8" t="s">
        <v>182</v>
      </c>
      <c r="F22" s="10" t="s">
        <v>105</v>
      </c>
      <c r="G22" s="11" t="s">
        <v>16</v>
      </c>
      <c r="H22" s="66"/>
      <c r="I22" s="67" t="n">
        <v>45883</v>
      </c>
      <c r="J22" s="10" t="s">
        <v>431</v>
      </c>
      <c r="K22" s="68" t="str">
        <f aca="false">IF(G22="No",MAX(0,AsOfDate-I22),"")</f>
        <v/>
      </c>
      <c r="L22" s="12" t="str">
        <f aca="false">IF(K22="","",IF(K22&lt;=90,"0-90",IF(K22&lt;=180,"91-180",IF(K22&lt;=270,"181-270","&gt;270"))))</f>
        <v/>
      </c>
      <c r="M22" s="12" t="str">
        <f aca="false">IF(G22="Obs",COUNTIF(G$2:G22,"Obs"),"")</f>
        <v/>
      </c>
      <c r="N22" s="12" t="str">
        <f aca="false">IF(G22="No",COUNTIF(G$2:G22,"No"),"")</f>
        <v/>
      </c>
    </row>
    <row r="23" customFormat="false" ht="15" hidden="false" customHeight="false" outlineLevel="0" collapsed="false">
      <c r="A23" s="69" t="s">
        <v>422</v>
      </c>
      <c r="B23" s="69" t="s">
        <v>132</v>
      </c>
      <c r="C23" s="69" t="s">
        <v>183</v>
      </c>
      <c r="D23" s="70" t="s">
        <v>181</v>
      </c>
      <c r="E23" s="70" t="s">
        <v>184</v>
      </c>
      <c r="F23" s="69" t="s">
        <v>99</v>
      </c>
      <c r="G23" s="71" t="s">
        <v>16</v>
      </c>
      <c r="H23" s="72"/>
      <c r="I23" s="73" t="n">
        <v>45883</v>
      </c>
      <c r="J23" s="69" t="s">
        <v>431</v>
      </c>
      <c r="K23" s="74" t="str">
        <f aca="false">IF(G23="No",MAX(0,AsOfDate-I23),"")</f>
        <v/>
      </c>
      <c r="L23" s="75" t="str">
        <f aca="false">IF(K23="","",IF(K23&lt;=90,"0-90",IF(K23&lt;=180,"91-180",IF(K23&lt;=270,"181-270","&gt;270"))))</f>
        <v/>
      </c>
      <c r="M23" s="75" t="str">
        <f aca="false">IF(G23="Obs",COUNTIF(G$2:G23,"Obs"),"")</f>
        <v/>
      </c>
      <c r="N23" s="75" t="str">
        <f aca="false">IF(G23="No",COUNTIF(G$2:G23,"No"),"")</f>
        <v/>
      </c>
    </row>
    <row r="24" customFormat="false" ht="15" hidden="false" customHeight="false" outlineLevel="0" collapsed="false">
      <c r="A24" s="10" t="s">
        <v>422</v>
      </c>
      <c r="B24" s="10" t="s">
        <v>132</v>
      </c>
      <c r="C24" s="10" t="s">
        <v>185</v>
      </c>
      <c r="D24" s="8" t="s">
        <v>181</v>
      </c>
      <c r="E24" s="8" t="s">
        <v>186</v>
      </c>
      <c r="F24" s="10" t="s">
        <v>105</v>
      </c>
      <c r="G24" s="11" t="s">
        <v>16</v>
      </c>
      <c r="H24" s="66"/>
      <c r="I24" s="67" t="n">
        <v>45883</v>
      </c>
      <c r="J24" s="10" t="s">
        <v>431</v>
      </c>
      <c r="K24" s="68" t="str">
        <f aca="false">IF(G24="No",MAX(0,AsOfDate-I24),"")</f>
        <v/>
      </c>
      <c r="L24" s="12" t="str">
        <f aca="false">IF(K24="","",IF(K24&lt;=90,"0-90",IF(K24&lt;=180,"91-180",IF(K24&lt;=270,"181-270","&gt;270"))))</f>
        <v/>
      </c>
      <c r="M24" s="12" t="str">
        <f aca="false">IF(G24="Obs",COUNTIF(G$2:G24,"Obs"),"")</f>
        <v/>
      </c>
      <c r="N24" s="12" t="str">
        <f aca="false">IF(G24="No",COUNTIF(G$2:G24,"No"),"")</f>
        <v/>
      </c>
    </row>
    <row r="25" customFormat="false" ht="15" hidden="false" customHeight="false" outlineLevel="0" collapsed="false">
      <c r="A25" s="69" t="s">
        <v>422</v>
      </c>
      <c r="B25" s="69" t="s">
        <v>132</v>
      </c>
      <c r="C25" s="69" t="s">
        <v>187</v>
      </c>
      <c r="D25" s="70" t="s">
        <v>181</v>
      </c>
      <c r="E25" s="70" t="s">
        <v>188</v>
      </c>
      <c r="F25" s="69" t="s">
        <v>105</v>
      </c>
      <c r="G25" s="71" t="s">
        <v>16</v>
      </c>
      <c r="H25" s="72"/>
      <c r="I25" s="73" t="n">
        <v>45883</v>
      </c>
      <c r="J25" s="69" t="s">
        <v>431</v>
      </c>
      <c r="K25" s="74" t="str">
        <f aca="false">IF(G25="No",MAX(0,AsOfDate-I25),"")</f>
        <v/>
      </c>
      <c r="L25" s="75" t="str">
        <f aca="false">IF(K25="","",IF(K25&lt;=90,"0-90",IF(K25&lt;=180,"91-180",IF(K25&lt;=270,"181-270","&gt;270"))))</f>
        <v/>
      </c>
      <c r="M25" s="75" t="str">
        <f aca="false">IF(G25="Obs",COUNTIF(G$2:G25,"Obs"),"")</f>
        <v/>
      </c>
      <c r="N25" s="75" t="str">
        <f aca="false">IF(G25="No",COUNTIF(G$2:G25,"No"),"")</f>
        <v/>
      </c>
    </row>
    <row r="26" customFormat="false" ht="15" hidden="false" customHeight="false" outlineLevel="0" collapsed="false">
      <c r="A26" s="10" t="s">
        <v>422</v>
      </c>
      <c r="B26" s="10" t="s">
        <v>132</v>
      </c>
      <c r="C26" s="10" t="s">
        <v>189</v>
      </c>
      <c r="D26" s="8" t="s">
        <v>181</v>
      </c>
      <c r="E26" s="8" t="s">
        <v>190</v>
      </c>
      <c r="F26" s="10" t="s">
        <v>110</v>
      </c>
      <c r="G26" s="11" t="s">
        <v>20</v>
      </c>
      <c r="H26" s="66"/>
      <c r="I26" s="67" t="n">
        <v>45883</v>
      </c>
      <c r="J26" s="10" t="s">
        <v>431</v>
      </c>
      <c r="K26" s="68" t="str">
        <f aca="false">IF(G26="No",MAX(0,AsOfDate-I26),"")</f>
        <v/>
      </c>
      <c r="L26" s="12" t="str">
        <f aca="false">IF(K26="","",IF(K26&lt;=90,"0-90",IF(K26&lt;=180,"91-180",IF(K26&lt;=270,"181-270","&gt;270"))))</f>
        <v/>
      </c>
      <c r="M26" s="12" t="str">
        <f aca="false">IF(G26="Obs",COUNTIF(G$2:G26,"Obs"),"")</f>
        <v/>
      </c>
      <c r="N26" s="12" t="str">
        <f aca="false">IF(G26="No",COUNTIF(G$2:G26,"No"),"")</f>
        <v/>
      </c>
    </row>
    <row r="27" customFormat="false" ht="23.85" hidden="false" customHeight="false" outlineLevel="0" collapsed="false">
      <c r="A27" s="69" t="s">
        <v>422</v>
      </c>
      <c r="B27" s="69" t="s">
        <v>132</v>
      </c>
      <c r="C27" s="69" t="s">
        <v>191</v>
      </c>
      <c r="D27" s="70" t="s">
        <v>192</v>
      </c>
      <c r="E27" s="70" t="s">
        <v>193</v>
      </c>
      <c r="F27" s="69" t="s">
        <v>99</v>
      </c>
      <c r="G27" s="71" t="s">
        <v>16</v>
      </c>
      <c r="H27" s="72"/>
      <c r="I27" s="73" t="n">
        <v>45883</v>
      </c>
      <c r="J27" s="69" t="s">
        <v>431</v>
      </c>
      <c r="K27" s="74" t="str">
        <f aca="false">IF(G27="No",MAX(0,AsOfDate-I27),"")</f>
        <v/>
      </c>
      <c r="L27" s="75" t="str">
        <f aca="false">IF(K27="","",IF(K27&lt;=90,"0-90",IF(K27&lt;=180,"91-180",IF(K27&lt;=270,"181-270","&gt;270"))))</f>
        <v/>
      </c>
      <c r="M27" s="75" t="str">
        <f aca="false">IF(G27="Obs",COUNTIF(G$2:G27,"Obs"),"")</f>
        <v/>
      </c>
      <c r="N27" s="75" t="str">
        <f aca="false">IF(G27="No",COUNTIF(G$2:G27,"No"),"")</f>
        <v/>
      </c>
    </row>
    <row r="28" customFormat="false" ht="15" hidden="false" customHeight="false" outlineLevel="0" collapsed="false">
      <c r="A28" s="10" t="s">
        <v>422</v>
      </c>
      <c r="B28" s="10" t="s">
        <v>132</v>
      </c>
      <c r="C28" s="10" t="s">
        <v>194</v>
      </c>
      <c r="D28" s="8" t="s">
        <v>192</v>
      </c>
      <c r="E28" s="8" t="s">
        <v>195</v>
      </c>
      <c r="F28" s="10" t="s">
        <v>105</v>
      </c>
      <c r="G28" s="11" t="s">
        <v>16</v>
      </c>
      <c r="H28" s="66"/>
      <c r="I28" s="67" t="n">
        <v>45883</v>
      </c>
      <c r="J28" s="10" t="s">
        <v>431</v>
      </c>
      <c r="K28" s="68" t="str">
        <f aca="false">IF(G28="No",MAX(0,AsOfDate-I28),"")</f>
        <v/>
      </c>
      <c r="L28" s="12" t="str">
        <f aca="false">IF(K28="","",IF(K28&lt;=90,"0-90",IF(K28&lt;=180,"91-180",IF(K28&lt;=270,"181-270","&gt;270"))))</f>
        <v/>
      </c>
      <c r="M28" s="12" t="str">
        <f aca="false">IF(G28="Obs",COUNTIF(G$2:G28,"Obs"),"")</f>
        <v/>
      </c>
      <c r="N28" s="12" t="str">
        <f aca="false">IF(G28="No",COUNTIF(G$2:G28,"No"),"")</f>
        <v/>
      </c>
    </row>
    <row r="29" customFormat="false" ht="15" hidden="false" customHeight="false" outlineLevel="0" collapsed="false">
      <c r="A29" s="69" t="s">
        <v>685</v>
      </c>
      <c r="B29" s="69" t="s">
        <v>132</v>
      </c>
      <c r="C29" s="69" t="s">
        <v>131</v>
      </c>
      <c r="D29" s="70" t="s">
        <v>133</v>
      </c>
      <c r="E29" s="70" t="s">
        <v>134</v>
      </c>
      <c r="F29" s="69" t="s">
        <v>99</v>
      </c>
      <c r="G29" s="71" t="s">
        <v>16</v>
      </c>
      <c r="H29" s="72"/>
      <c r="I29" s="73" t="n">
        <v>45967</v>
      </c>
      <c r="J29" s="69" t="s">
        <v>687</v>
      </c>
      <c r="K29" s="74" t="str">
        <f aca="false">IF(G29="No",MAX(0,AsOfDate-I29),"")</f>
        <v/>
      </c>
      <c r="L29" s="75" t="str">
        <f aca="false">IF(K29="","",IF(K29&lt;=90,"0-90",IF(K29&lt;=180,"91-180",IF(K29&lt;=270,"181-270","&gt;270"))))</f>
        <v/>
      </c>
      <c r="M29" s="75" t="str">
        <f aca="false">IF(G29="Obs",COUNTIF(G$2:G29,"Obs"),"")</f>
        <v/>
      </c>
      <c r="N29" s="75" t="str">
        <f aca="false">IF(G29="No",COUNTIF(G$2:G29,"No"),"")</f>
        <v/>
      </c>
    </row>
    <row r="30" customFormat="false" ht="15" hidden="false" customHeight="false" outlineLevel="0" collapsed="false">
      <c r="A30" s="10" t="s">
        <v>685</v>
      </c>
      <c r="B30" s="10" t="s">
        <v>132</v>
      </c>
      <c r="C30" s="10" t="s">
        <v>135</v>
      </c>
      <c r="D30" s="8" t="s">
        <v>133</v>
      </c>
      <c r="E30" s="8" t="s">
        <v>136</v>
      </c>
      <c r="F30" s="10" t="s">
        <v>99</v>
      </c>
      <c r="G30" s="11" t="s">
        <v>16</v>
      </c>
      <c r="H30" s="66"/>
      <c r="I30" s="67" t="n">
        <v>45967</v>
      </c>
      <c r="J30" s="10" t="s">
        <v>687</v>
      </c>
      <c r="K30" s="68" t="str">
        <f aca="false">IF(G30="No",MAX(0,AsOfDate-I30),"")</f>
        <v/>
      </c>
      <c r="L30" s="12" t="str">
        <f aca="false">IF(K30="","",IF(K30&lt;=90,"0-90",IF(K30&lt;=180,"91-180",IF(K30&lt;=270,"181-270","&gt;270"))))</f>
        <v/>
      </c>
      <c r="M30" s="12" t="str">
        <f aca="false">IF(G30="Obs",COUNTIF(G$2:G30,"Obs"),"")</f>
        <v/>
      </c>
      <c r="N30" s="12" t="str">
        <f aca="false">IF(G30="No",COUNTIF(G$2:G30,"No"),"")</f>
        <v/>
      </c>
    </row>
    <row r="31" customFormat="false" ht="15" hidden="false" customHeight="false" outlineLevel="0" collapsed="false">
      <c r="A31" s="69" t="s">
        <v>685</v>
      </c>
      <c r="B31" s="69" t="s">
        <v>132</v>
      </c>
      <c r="C31" s="69" t="s">
        <v>137</v>
      </c>
      <c r="D31" s="70" t="s">
        <v>133</v>
      </c>
      <c r="E31" s="70" t="s">
        <v>138</v>
      </c>
      <c r="F31" s="69" t="s">
        <v>105</v>
      </c>
      <c r="G31" s="71" t="s">
        <v>16</v>
      </c>
      <c r="H31" s="72"/>
      <c r="I31" s="73" t="n">
        <v>45967</v>
      </c>
      <c r="J31" s="69" t="s">
        <v>687</v>
      </c>
      <c r="K31" s="74" t="str">
        <f aca="false">IF(G31="No",MAX(0,AsOfDate-I31),"")</f>
        <v/>
      </c>
      <c r="L31" s="75" t="str">
        <f aca="false">IF(K31="","",IF(K31&lt;=90,"0-90",IF(K31&lt;=180,"91-180",IF(K31&lt;=270,"181-270","&gt;270"))))</f>
        <v/>
      </c>
      <c r="M31" s="75" t="str">
        <f aca="false">IF(G31="Obs",COUNTIF(G$2:G31,"Obs"),"")</f>
        <v/>
      </c>
      <c r="N31" s="75" t="str">
        <f aca="false">IF(G31="No",COUNTIF(G$2:G31,"No"),"")</f>
        <v/>
      </c>
    </row>
    <row r="32" customFormat="false" ht="15" hidden="false" customHeight="false" outlineLevel="0" collapsed="false">
      <c r="A32" s="10" t="s">
        <v>685</v>
      </c>
      <c r="B32" s="10" t="s">
        <v>132</v>
      </c>
      <c r="C32" s="10" t="s">
        <v>139</v>
      </c>
      <c r="D32" s="8" t="s">
        <v>140</v>
      </c>
      <c r="E32" s="8" t="s">
        <v>141</v>
      </c>
      <c r="F32" s="10" t="s">
        <v>99</v>
      </c>
      <c r="G32" s="11" t="s">
        <v>18</v>
      </c>
      <c r="H32" s="66" t="s">
        <v>741</v>
      </c>
      <c r="I32" s="67" t="n">
        <v>45967</v>
      </c>
      <c r="J32" s="10" t="s">
        <v>687</v>
      </c>
      <c r="K32" s="68" t="n">
        <f aca="false">IF(G32="No",MAX(0,AsOfDate-I32),"")</f>
        <v>216</v>
      </c>
      <c r="L32" s="12" t="str">
        <f aca="false">IF(K32="","",IF(K32&lt;=90,"0-90",IF(K32&lt;=180,"91-180",IF(K32&lt;=270,"181-270","&gt;270"))))</f>
        <v>181-270</v>
      </c>
      <c r="M32" s="12" t="str">
        <f aca="false">IF(G32="Obs",COUNTIF(G$2:G32,"Obs"),"")</f>
        <v/>
      </c>
      <c r="N32" s="12" t="n">
        <f aca="false">IF(G32="No",COUNTIF(G$2:G32,"No"),"")</f>
        <v>3</v>
      </c>
    </row>
    <row r="33" customFormat="false" ht="15" hidden="false" customHeight="false" outlineLevel="0" collapsed="false">
      <c r="A33" s="69" t="s">
        <v>685</v>
      </c>
      <c r="B33" s="69" t="s">
        <v>132</v>
      </c>
      <c r="C33" s="69" t="s">
        <v>142</v>
      </c>
      <c r="D33" s="70" t="s">
        <v>140</v>
      </c>
      <c r="E33" s="70" t="s">
        <v>143</v>
      </c>
      <c r="F33" s="69" t="s">
        <v>105</v>
      </c>
      <c r="G33" s="71" t="s">
        <v>16</v>
      </c>
      <c r="H33" s="72"/>
      <c r="I33" s="73" t="n">
        <v>45967</v>
      </c>
      <c r="J33" s="69" t="s">
        <v>687</v>
      </c>
      <c r="K33" s="74" t="str">
        <f aca="false">IF(G33="No",MAX(0,AsOfDate-I33),"")</f>
        <v/>
      </c>
      <c r="L33" s="75" t="str">
        <f aca="false">IF(K33="","",IF(K33&lt;=90,"0-90",IF(K33&lt;=180,"91-180",IF(K33&lt;=270,"181-270","&gt;270"))))</f>
        <v/>
      </c>
      <c r="M33" s="75" t="str">
        <f aca="false">IF(G33="Obs",COUNTIF(G$2:G33,"Obs"),"")</f>
        <v/>
      </c>
      <c r="N33" s="75" t="str">
        <f aca="false">IF(G33="No",COUNTIF(G$2:G33,"No"),"")</f>
        <v/>
      </c>
    </row>
    <row r="34" customFormat="false" ht="15" hidden="false" customHeight="false" outlineLevel="0" collapsed="false">
      <c r="A34" s="10" t="s">
        <v>685</v>
      </c>
      <c r="B34" s="10" t="s">
        <v>132</v>
      </c>
      <c r="C34" s="10" t="s">
        <v>144</v>
      </c>
      <c r="D34" s="8" t="s">
        <v>140</v>
      </c>
      <c r="E34" s="8" t="s">
        <v>145</v>
      </c>
      <c r="F34" s="10" t="s">
        <v>99</v>
      </c>
      <c r="G34" s="11" t="s">
        <v>20</v>
      </c>
      <c r="H34" s="66"/>
      <c r="I34" s="67" t="n">
        <v>45967</v>
      </c>
      <c r="J34" s="10" t="s">
        <v>687</v>
      </c>
      <c r="K34" s="68" t="str">
        <f aca="false">IF(G34="No",MAX(0,AsOfDate-I34),"")</f>
        <v/>
      </c>
      <c r="L34" s="12" t="str">
        <f aca="false">IF(K34="","",IF(K34&lt;=90,"0-90",IF(K34&lt;=180,"91-180",IF(K34&lt;=270,"181-270","&gt;270"))))</f>
        <v/>
      </c>
      <c r="M34" s="12" t="str">
        <f aca="false">IF(G34="Obs",COUNTIF(G$2:G34,"Obs"),"")</f>
        <v/>
      </c>
      <c r="N34" s="12" t="str">
        <f aca="false">IF(G34="No",COUNTIF(G$2:G34,"No"),"")</f>
        <v/>
      </c>
    </row>
    <row r="35" customFormat="false" ht="15" hidden="false" customHeight="false" outlineLevel="0" collapsed="false">
      <c r="A35" s="69" t="s">
        <v>685</v>
      </c>
      <c r="B35" s="69" t="s">
        <v>132</v>
      </c>
      <c r="C35" s="69" t="s">
        <v>146</v>
      </c>
      <c r="D35" s="70" t="s">
        <v>147</v>
      </c>
      <c r="E35" s="70" t="s">
        <v>148</v>
      </c>
      <c r="F35" s="69" t="s">
        <v>99</v>
      </c>
      <c r="G35" s="71" t="s">
        <v>16</v>
      </c>
      <c r="H35" s="72"/>
      <c r="I35" s="73" t="n">
        <v>45967</v>
      </c>
      <c r="J35" s="69" t="s">
        <v>687</v>
      </c>
      <c r="K35" s="74" t="str">
        <f aca="false">IF(G35="No",MAX(0,AsOfDate-I35),"")</f>
        <v/>
      </c>
      <c r="L35" s="75" t="str">
        <f aca="false">IF(K35="","",IF(K35&lt;=90,"0-90",IF(K35&lt;=180,"91-180",IF(K35&lt;=270,"181-270","&gt;270"))))</f>
        <v/>
      </c>
      <c r="M35" s="75" t="str">
        <f aca="false">IF(G35="Obs",COUNTIF(G$2:G35,"Obs"),"")</f>
        <v/>
      </c>
      <c r="N35" s="75" t="str">
        <f aca="false">IF(G35="No",COUNTIF(G$2:G35,"No"),"")</f>
        <v/>
      </c>
    </row>
    <row r="36" customFormat="false" ht="15" hidden="false" customHeight="false" outlineLevel="0" collapsed="false">
      <c r="A36" s="10" t="s">
        <v>685</v>
      </c>
      <c r="B36" s="10" t="s">
        <v>132</v>
      </c>
      <c r="C36" s="10" t="s">
        <v>149</v>
      </c>
      <c r="D36" s="8" t="s">
        <v>147</v>
      </c>
      <c r="E36" s="8" t="s">
        <v>150</v>
      </c>
      <c r="F36" s="10" t="s">
        <v>105</v>
      </c>
      <c r="G36" s="11" t="s">
        <v>16</v>
      </c>
      <c r="H36" s="66"/>
      <c r="I36" s="67" t="n">
        <v>45967</v>
      </c>
      <c r="J36" s="10" t="s">
        <v>687</v>
      </c>
      <c r="K36" s="68" t="str">
        <f aca="false">IF(G36="No",MAX(0,AsOfDate-I36),"")</f>
        <v/>
      </c>
      <c r="L36" s="12" t="str">
        <f aca="false">IF(K36="","",IF(K36&lt;=90,"0-90",IF(K36&lt;=180,"91-180",IF(K36&lt;=270,"181-270","&gt;270"))))</f>
        <v/>
      </c>
      <c r="M36" s="12" t="str">
        <f aca="false">IF(G36="Obs",COUNTIF(G$2:G36,"Obs"),"")</f>
        <v/>
      </c>
      <c r="N36" s="12" t="str">
        <f aca="false">IF(G36="No",COUNTIF(G$2:G36,"No"),"")</f>
        <v/>
      </c>
    </row>
    <row r="37" customFormat="false" ht="15" hidden="false" customHeight="false" outlineLevel="0" collapsed="false">
      <c r="A37" s="69" t="s">
        <v>685</v>
      </c>
      <c r="B37" s="69" t="s">
        <v>132</v>
      </c>
      <c r="C37" s="69" t="s">
        <v>151</v>
      </c>
      <c r="D37" s="70" t="s">
        <v>147</v>
      </c>
      <c r="E37" s="70" t="s">
        <v>152</v>
      </c>
      <c r="F37" s="69" t="s">
        <v>99</v>
      </c>
      <c r="G37" s="71" t="s">
        <v>16</v>
      </c>
      <c r="H37" s="72"/>
      <c r="I37" s="73" t="n">
        <v>45967</v>
      </c>
      <c r="J37" s="69" t="s">
        <v>687</v>
      </c>
      <c r="K37" s="74" t="str">
        <f aca="false">IF(G37="No",MAX(0,AsOfDate-I37),"")</f>
        <v/>
      </c>
      <c r="L37" s="75" t="str">
        <f aca="false">IF(K37="","",IF(K37&lt;=90,"0-90",IF(K37&lt;=180,"91-180",IF(K37&lt;=270,"181-270","&gt;270"))))</f>
        <v/>
      </c>
      <c r="M37" s="75" t="str">
        <f aca="false">IF(G37="Obs",COUNTIF(G$2:G37,"Obs"),"")</f>
        <v/>
      </c>
      <c r="N37" s="75" t="str">
        <f aca="false">IF(G37="No",COUNTIF(G$2:G37,"No"),"")</f>
        <v/>
      </c>
    </row>
    <row r="38" customFormat="false" ht="15" hidden="false" customHeight="false" outlineLevel="0" collapsed="false">
      <c r="A38" s="10" t="s">
        <v>685</v>
      </c>
      <c r="B38" s="10" t="s">
        <v>132</v>
      </c>
      <c r="C38" s="10" t="s">
        <v>153</v>
      </c>
      <c r="D38" s="8" t="s">
        <v>154</v>
      </c>
      <c r="E38" s="8" t="s">
        <v>155</v>
      </c>
      <c r="F38" s="10" t="s">
        <v>105</v>
      </c>
      <c r="G38" s="11" t="s">
        <v>16</v>
      </c>
      <c r="H38" s="66"/>
      <c r="I38" s="67" t="n">
        <v>45967</v>
      </c>
      <c r="J38" s="10" t="s">
        <v>687</v>
      </c>
      <c r="K38" s="68" t="str">
        <f aca="false">IF(G38="No",MAX(0,AsOfDate-I38),"")</f>
        <v/>
      </c>
      <c r="L38" s="12" t="str">
        <f aca="false">IF(K38="","",IF(K38&lt;=90,"0-90",IF(K38&lt;=180,"91-180",IF(K38&lt;=270,"181-270","&gt;270"))))</f>
        <v/>
      </c>
      <c r="M38" s="12" t="str">
        <f aca="false">IF(G38="Obs",COUNTIF(G$2:G38,"Obs"),"")</f>
        <v/>
      </c>
      <c r="N38" s="12" t="str">
        <f aca="false">IF(G38="No",COUNTIF(G$2:G38,"No"),"")</f>
        <v/>
      </c>
    </row>
    <row r="39" customFormat="false" ht="15" hidden="false" customHeight="false" outlineLevel="0" collapsed="false">
      <c r="A39" s="69" t="s">
        <v>685</v>
      </c>
      <c r="B39" s="69" t="s">
        <v>132</v>
      </c>
      <c r="C39" s="69" t="s">
        <v>156</v>
      </c>
      <c r="D39" s="70" t="s">
        <v>154</v>
      </c>
      <c r="E39" s="70" t="s">
        <v>157</v>
      </c>
      <c r="F39" s="69" t="s">
        <v>105</v>
      </c>
      <c r="G39" s="71" t="s">
        <v>16</v>
      </c>
      <c r="H39" s="72"/>
      <c r="I39" s="73" t="n">
        <v>45967</v>
      </c>
      <c r="J39" s="69" t="s">
        <v>687</v>
      </c>
      <c r="K39" s="74" t="str">
        <f aca="false">IF(G39="No",MAX(0,AsOfDate-I39),"")</f>
        <v/>
      </c>
      <c r="L39" s="75" t="str">
        <f aca="false">IF(K39="","",IF(K39&lt;=90,"0-90",IF(K39&lt;=180,"91-180",IF(K39&lt;=270,"181-270","&gt;270"))))</f>
        <v/>
      </c>
      <c r="M39" s="75" t="str">
        <f aca="false">IF(G39="Obs",COUNTIF(G$2:G39,"Obs"),"")</f>
        <v/>
      </c>
      <c r="N39" s="75" t="str">
        <f aca="false">IF(G39="No",COUNTIF(G$2:G39,"No"),"")</f>
        <v/>
      </c>
    </row>
    <row r="40" customFormat="false" ht="23.85" hidden="false" customHeight="false" outlineLevel="0" collapsed="false">
      <c r="A40" s="10" t="s">
        <v>685</v>
      </c>
      <c r="B40" s="10" t="s">
        <v>132</v>
      </c>
      <c r="C40" s="10" t="s">
        <v>158</v>
      </c>
      <c r="D40" s="8" t="s">
        <v>159</v>
      </c>
      <c r="E40" s="8" t="s">
        <v>160</v>
      </c>
      <c r="F40" s="10" t="s">
        <v>99</v>
      </c>
      <c r="G40" s="11" t="s">
        <v>16</v>
      </c>
      <c r="H40" s="66"/>
      <c r="I40" s="67" t="n">
        <v>45967</v>
      </c>
      <c r="J40" s="10" t="s">
        <v>687</v>
      </c>
      <c r="K40" s="68" t="str">
        <f aca="false">IF(G40="No",MAX(0,AsOfDate-I40),"")</f>
        <v/>
      </c>
      <c r="L40" s="12" t="str">
        <f aca="false">IF(K40="","",IF(K40&lt;=90,"0-90",IF(K40&lt;=180,"91-180",IF(K40&lt;=270,"181-270","&gt;270"))))</f>
        <v/>
      </c>
      <c r="M40" s="12" t="str">
        <f aca="false">IF(G40="Obs",COUNTIF(G$2:G40,"Obs"),"")</f>
        <v/>
      </c>
      <c r="N40" s="12" t="str">
        <f aca="false">IF(G40="No",COUNTIF(G$2:G40,"No"),"")</f>
        <v/>
      </c>
    </row>
    <row r="41" customFormat="false" ht="23.85" hidden="false" customHeight="false" outlineLevel="0" collapsed="false">
      <c r="A41" s="69" t="s">
        <v>685</v>
      </c>
      <c r="B41" s="69" t="s">
        <v>132</v>
      </c>
      <c r="C41" s="69" t="s">
        <v>161</v>
      </c>
      <c r="D41" s="70" t="s">
        <v>159</v>
      </c>
      <c r="E41" s="70" t="s">
        <v>162</v>
      </c>
      <c r="F41" s="69" t="s">
        <v>99</v>
      </c>
      <c r="G41" s="71" t="s">
        <v>16</v>
      </c>
      <c r="H41" s="72"/>
      <c r="I41" s="73" t="n">
        <v>45967</v>
      </c>
      <c r="J41" s="69" t="s">
        <v>687</v>
      </c>
      <c r="K41" s="74" t="str">
        <f aca="false">IF(G41="No",MAX(0,AsOfDate-I41),"")</f>
        <v/>
      </c>
      <c r="L41" s="75" t="str">
        <f aca="false">IF(K41="","",IF(K41&lt;=90,"0-90",IF(K41&lt;=180,"91-180",IF(K41&lt;=270,"181-270","&gt;270"))))</f>
        <v/>
      </c>
      <c r="M41" s="75" t="str">
        <f aca="false">IF(G41="Obs",COUNTIF(G$2:G41,"Obs"),"")</f>
        <v/>
      </c>
      <c r="N41" s="75" t="str">
        <f aca="false">IF(G41="No",COUNTIF(G$2:G41,"No"),"")</f>
        <v/>
      </c>
    </row>
    <row r="42" customFormat="false" ht="23.85" hidden="false" customHeight="false" outlineLevel="0" collapsed="false">
      <c r="A42" s="10" t="s">
        <v>685</v>
      </c>
      <c r="B42" s="10" t="s">
        <v>132</v>
      </c>
      <c r="C42" s="10" t="s">
        <v>163</v>
      </c>
      <c r="D42" s="8" t="s">
        <v>159</v>
      </c>
      <c r="E42" s="8" t="s">
        <v>164</v>
      </c>
      <c r="F42" s="10" t="s">
        <v>110</v>
      </c>
      <c r="G42" s="11" t="s">
        <v>16</v>
      </c>
      <c r="H42" s="66"/>
      <c r="I42" s="67" t="n">
        <v>45967</v>
      </c>
      <c r="J42" s="10" t="s">
        <v>687</v>
      </c>
      <c r="K42" s="68" t="str">
        <f aca="false">IF(G42="No",MAX(0,AsOfDate-I42),"")</f>
        <v/>
      </c>
      <c r="L42" s="12" t="str">
        <f aca="false">IF(K42="","",IF(K42&lt;=90,"0-90",IF(K42&lt;=180,"91-180",IF(K42&lt;=270,"181-270","&gt;270"))))</f>
        <v/>
      </c>
      <c r="M42" s="12" t="str">
        <f aca="false">IF(G42="Obs",COUNTIF(G$2:G42,"Obs"),"")</f>
        <v/>
      </c>
      <c r="N42" s="12" t="str">
        <f aca="false">IF(G42="No",COUNTIF(G$2:G42,"No"),"")</f>
        <v/>
      </c>
    </row>
    <row r="43" customFormat="false" ht="15" hidden="false" customHeight="false" outlineLevel="0" collapsed="false">
      <c r="A43" s="69" t="s">
        <v>685</v>
      </c>
      <c r="B43" s="69" t="s">
        <v>132</v>
      </c>
      <c r="C43" s="69" t="s">
        <v>165</v>
      </c>
      <c r="D43" s="70" t="s">
        <v>166</v>
      </c>
      <c r="E43" s="70" t="s">
        <v>167</v>
      </c>
      <c r="F43" s="69" t="s">
        <v>99</v>
      </c>
      <c r="G43" s="71" t="s">
        <v>16</v>
      </c>
      <c r="H43" s="72"/>
      <c r="I43" s="73" t="n">
        <v>45967</v>
      </c>
      <c r="J43" s="69" t="s">
        <v>687</v>
      </c>
      <c r="K43" s="74" t="str">
        <f aca="false">IF(G43="No",MAX(0,AsOfDate-I43),"")</f>
        <v/>
      </c>
      <c r="L43" s="75" t="str">
        <f aca="false">IF(K43="","",IF(K43&lt;=90,"0-90",IF(K43&lt;=180,"91-180",IF(K43&lt;=270,"181-270","&gt;270"))))</f>
        <v/>
      </c>
      <c r="M43" s="75" t="str">
        <f aca="false">IF(G43="Obs",COUNTIF(G$2:G43,"Obs"),"")</f>
        <v/>
      </c>
      <c r="N43" s="75" t="str">
        <f aca="false">IF(G43="No",COUNTIF(G$2:G43,"No"),"")</f>
        <v/>
      </c>
    </row>
    <row r="44" customFormat="false" ht="15" hidden="false" customHeight="false" outlineLevel="0" collapsed="false">
      <c r="A44" s="10" t="s">
        <v>685</v>
      </c>
      <c r="B44" s="10" t="s">
        <v>132</v>
      </c>
      <c r="C44" s="10" t="s">
        <v>168</v>
      </c>
      <c r="D44" s="8" t="s">
        <v>166</v>
      </c>
      <c r="E44" s="8" t="s">
        <v>169</v>
      </c>
      <c r="F44" s="10" t="s">
        <v>105</v>
      </c>
      <c r="G44" s="11" t="s">
        <v>16</v>
      </c>
      <c r="H44" s="66"/>
      <c r="I44" s="67" t="n">
        <v>45967</v>
      </c>
      <c r="J44" s="10" t="s">
        <v>687</v>
      </c>
      <c r="K44" s="68" t="str">
        <f aca="false">IF(G44="No",MAX(0,AsOfDate-I44),"")</f>
        <v/>
      </c>
      <c r="L44" s="12" t="str">
        <f aca="false">IF(K44="","",IF(K44&lt;=90,"0-90",IF(K44&lt;=180,"91-180",IF(K44&lt;=270,"181-270","&gt;270"))))</f>
        <v/>
      </c>
      <c r="M44" s="12" t="str">
        <f aca="false">IF(G44="Obs",COUNTIF(G$2:G44,"Obs"),"")</f>
        <v/>
      </c>
      <c r="N44" s="12" t="str">
        <f aca="false">IF(G44="No",COUNTIF(G$2:G44,"No"),"")</f>
        <v/>
      </c>
    </row>
    <row r="45" customFormat="false" ht="15" hidden="false" customHeight="false" outlineLevel="0" collapsed="false">
      <c r="A45" s="69" t="s">
        <v>685</v>
      </c>
      <c r="B45" s="69" t="s">
        <v>132</v>
      </c>
      <c r="C45" s="69" t="s">
        <v>170</v>
      </c>
      <c r="D45" s="70" t="s">
        <v>171</v>
      </c>
      <c r="E45" s="70" t="s">
        <v>172</v>
      </c>
      <c r="F45" s="69" t="s">
        <v>105</v>
      </c>
      <c r="G45" s="71" t="s">
        <v>16</v>
      </c>
      <c r="H45" s="72"/>
      <c r="I45" s="73" t="n">
        <v>45967</v>
      </c>
      <c r="J45" s="69" t="s">
        <v>687</v>
      </c>
      <c r="K45" s="74" t="str">
        <f aca="false">IF(G45="No",MAX(0,AsOfDate-I45),"")</f>
        <v/>
      </c>
      <c r="L45" s="75" t="str">
        <f aca="false">IF(K45="","",IF(K45&lt;=90,"0-90",IF(K45&lt;=180,"91-180",IF(K45&lt;=270,"181-270","&gt;270"))))</f>
        <v/>
      </c>
      <c r="M45" s="75" t="str">
        <f aca="false">IF(G45="Obs",COUNTIF(G$2:G45,"Obs"),"")</f>
        <v/>
      </c>
      <c r="N45" s="75" t="str">
        <f aca="false">IF(G45="No",COUNTIF(G$2:G45,"No"),"")</f>
        <v/>
      </c>
    </row>
    <row r="46" customFormat="false" ht="15" hidden="false" customHeight="false" outlineLevel="0" collapsed="false">
      <c r="A46" s="10" t="s">
        <v>685</v>
      </c>
      <c r="B46" s="10" t="s">
        <v>132</v>
      </c>
      <c r="C46" s="10" t="s">
        <v>173</v>
      </c>
      <c r="D46" s="8" t="s">
        <v>171</v>
      </c>
      <c r="E46" s="8" t="s">
        <v>174</v>
      </c>
      <c r="F46" s="10" t="s">
        <v>99</v>
      </c>
      <c r="G46" s="11" t="s">
        <v>16</v>
      </c>
      <c r="H46" s="66"/>
      <c r="I46" s="67" t="n">
        <v>45967</v>
      </c>
      <c r="J46" s="10" t="s">
        <v>687</v>
      </c>
      <c r="K46" s="68" t="str">
        <f aca="false">IF(G46="No",MAX(0,AsOfDate-I46),"")</f>
        <v/>
      </c>
      <c r="L46" s="12" t="str">
        <f aca="false">IF(K46="","",IF(K46&lt;=90,"0-90",IF(K46&lt;=180,"91-180",IF(K46&lt;=270,"181-270","&gt;270"))))</f>
        <v/>
      </c>
      <c r="M46" s="12" t="str">
        <f aca="false">IF(G46="Obs",COUNTIF(G$2:G46,"Obs"),"")</f>
        <v/>
      </c>
      <c r="N46" s="12" t="str">
        <f aca="false">IF(G46="No",COUNTIF(G$2:G46,"No"),"")</f>
        <v/>
      </c>
    </row>
    <row r="47" customFormat="false" ht="15" hidden="false" customHeight="false" outlineLevel="0" collapsed="false">
      <c r="A47" s="69" t="s">
        <v>685</v>
      </c>
      <c r="B47" s="69" t="s">
        <v>132</v>
      </c>
      <c r="C47" s="69" t="s">
        <v>175</v>
      </c>
      <c r="D47" s="70" t="s">
        <v>176</v>
      </c>
      <c r="E47" s="70" t="s">
        <v>177</v>
      </c>
      <c r="F47" s="69" t="s">
        <v>105</v>
      </c>
      <c r="G47" s="71" t="s">
        <v>20</v>
      </c>
      <c r="H47" s="72"/>
      <c r="I47" s="73" t="n">
        <v>45967</v>
      </c>
      <c r="J47" s="69" t="s">
        <v>687</v>
      </c>
      <c r="K47" s="74" t="str">
        <f aca="false">IF(G47="No",MAX(0,AsOfDate-I47),"")</f>
        <v/>
      </c>
      <c r="L47" s="75" t="str">
        <f aca="false">IF(K47="","",IF(K47&lt;=90,"0-90",IF(K47&lt;=180,"91-180",IF(K47&lt;=270,"181-270","&gt;270"))))</f>
        <v/>
      </c>
      <c r="M47" s="75" t="str">
        <f aca="false">IF(G47="Obs",COUNTIF(G$2:G47,"Obs"),"")</f>
        <v/>
      </c>
      <c r="N47" s="75" t="str">
        <f aca="false">IF(G47="No",COUNTIF(G$2:G47,"No"),"")</f>
        <v/>
      </c>
    </row>
    <row r="48" customFormat="false" ht="23.85" hidden="false" customHeight="false" outlineLevel="0" collapsed="false">
      <c r="A48" s="10" t="s">
        <v>685</v>
      </c>
      <c r="B48" s="10" t="s">
        <v>132</v>
      </c>
      <c r="C48" s="10" t="s">
        <v>178</v>
      </c>
      <c r="D48" s="8" t="s">
        <v>176</v>
      </c>
      <c r="E48" s="8" t="s">
        <v>179</v>
      </c>
      <c r="F48" s="10" t="s">
        <v>105</v>
      </c>
      <c r="G48" s="11" t="s">
        <v>22</v>
      </c>
      <c r="H48" s="66" t="s">
        <v>592</v>
      </c>
      <c r="I48" s="67" t="n">
        <v>45967</v>
      </c>
      <c r="J48" s="10" t="s">
        <v>687</v>
      </c>
      <c r="K48" s="68" t="str">
        <f aca="false">IF(G48="No",MAX(0,AsOfDate-I48),"")</f>
        <v/>
      </c>
      <c r="L48" s="12" t="str">
        <f aca="false">IF(K48="","",IF(K48&lt;=90,"0-90",IF(K48&lt;=180,"91-180",IF(K48&lt;=270,"181-270","&gt;270"))))</f>
        <v/>
      </c>
      <c r="M48" s="12" t="n">
        <f aca="false">IF(G48="Obs",COUNTIF(G$2:G48,"Obs"),"")</f>
        <v>1</v>
      </c>
      <c r="N48" s="12" t="str">
        <f aca="false">IF(G48="No",COUNTIF(G$2:G48,"No"),"")</f>
        <v/>
      </c>
    </row>
    <row r="49" customFormat="false" ht="15" hidden="false" customHeight="false" outlineLevel="0" collapsed="false">
      <c r="A49" s="69" t="s">
        <v>685</v>
      </c>
      <c r="B49" s="69" t="s">
        <v>132</v>
      </c>
      <c r="C49" s="69" t="s">
        <v>180</v>
      </c>
      <c r="D49" s="70" t="s">
        <v>181</v>
      </c>
      <c r="E49" s="70" t="s">
        <v>182</v>
      </c>
      <c r="F49" s="69" t="s">
        <v>105</v>
      </c>
      <c r="G49" s="71" t="s">
        <v>16</v>
      </c>
      <c r="H49" s="72"/>
      <c r="I49" s="73" t="n">
        <v>45967</v>
      </c>
      <c r="J49" s="69" t="s">
        <v>687</v>
      </c>
      <c r="K49" s="74" t="str">
        <f aca="false">IF(G49="No",MAX(0,AsOfDate-I49),"")</f>
        <v/>
      </c>
      <c r="L49" s="75" t="str">
        <f aca="false">IF(K49="","",IF(K49&lt;=90,"0-90",IF(K49&lt;=180,"91-180",IF(K49&lt;=270,"181-270","&gt;270"))))</f>
        <v/>
      </c>
      <c r="M49" s="75" t="str">
        <f aca="false">IF(G49="Obs",COUNTIF(G$2:G49,"Obs"),"")</f>
        <v/>
      </c>
      <c r="N49" s="75" t="str">
        <f aca="false">IF(G49="No",COUNTIF(G$2:G49,"No"),"")</f>
        <v/>
      </c>
    </row>
    <row r="50" customFormat="false" ht="15" hidden="false" customHeight="false" outlineLevel="0" collapsed="false">
      <c r="A50" s="10" t="s">
        <v>685</v>
      </c>
      <c r="B50" s="10" t="s">
        <v>132</v>
      </c>
      <c r="C50" s="10" t="s">
        <v>183</v>
      </c>
      <c r="D50" s="8" t="s">
        <v>181</v>
      </c>
      <c r="E50" s="8" t="s">
        <v>184</v>
      </c>
      <c r="F50" s="10" t="s">
        <v>99</v>
      </c>
      <c r="G50" s="11" t="s">
        <v>16</v>
      </c>
      <c r="H50" s="66"/>
      <c r="I50" s="67" t="n">
        <v>45967</v>
      </c>
      <c r="J50" s="10" t="s">
        <v>687</v>
      </c>
      <c r="K50" s="68" t="str">
        <f aca="false">IF(G50="No",MAX(0,AsOfDate-I50),"")</f>
        <v/>
      </c>
      <c r="L50" s="12" t="str">
        <f aca="false">IF(K50="","",IF(K50&lt;=90,"0-90",IF(K50&lt;=180,"91-180",IF(K50&lt;=270,"181-270","&gt;270"))))</f>
        <v/>
      </c>
      <c r="M50" s="12" t="str">
        <f aca="false">IF(G50="Obs",COUNTIF(G$2:G50,"Obs"),"")</f>
        <v/>
      </c>
      <c r="N50" s="12" t="str">
        <f aca="false">IF(G50="No",COUNTIF(G$2:G50,"No"),"")</f>
        <v/>
      </c>
    </row>
    <row r="51" customFormat="false" ht="15" hidden="false" customHeight="false" outlineLevel="0" collapsed="false">
      <c r="A51" s="69" t="s">
        <v>685</v>
      </c>
      <c r="B51" s="69" t="s">
        <v>132</v>
      </c>
      <c r="C51" s="69" t="s">
        <v>185</v>
      </c>
      <c r="D51" s="70" t="s">
        <v>181</v>
      </c>
      <c r="E51" s="70" t="s">
        <v>186</v>
      </c>
      <c r="F51" s="69" t="s">
        <v>105</v>
      </c>
      <c r="G51" s="71" t="s">
        <v>18</v>
      </c>
      <c r="H51" s="72" t="s">
        <v>537</v>
      </c>
      <c r="I51" s="73" t="n">
        <v>45967</v>
      </c>
      <c r="J51" s="69" t="s">
        <v>687</v>
      </c>
      <c r="K51" s="74" t="n">
        <f aca="false">IF(G51="No",MAX(0,AsOfDate-I51),"")</f>
        <v>216</v>
      </c>
      <c r="L51" s="75" t="str">
        <f aca="false">IF(K51="","",IF(K51&lt;=90,"0-90",IF(K51&lt;=180,"91-180",IF(K51&lt;=270,"181-270","&gt;270"))))</f>
        <v>181-270</v>
      </c>
      <c r="M51" s="75" t="str">
        <f aca="false">IF(G51="Obs",COUNTIF(G$2:G51,"Obs"),"")</f>
        <v/>
      </c>
      <c r="N51" s="75" t="n">
        <f aca="false">IF(G51="No",COUNTIF(G$2:G51,"No"),"")</f>
        <v>4</v>
      </c>
    </row>
    <row r="52" customFormat="false" ht="15" hidden="false" customHeight="false" outlineLevel="0" collapsed="false">
      <c r="A52" s="10" t="s">
        <v>685</v>
      </c>
      <c r="B52" s="10" t="s">
        <v>132</v>
      </c>
      <c r="C52" s="10" t="s">
        <v>187</v>
      </c>
      <c r="D52" s="8" t="s">
        <v>181</v>
      </c>
      <c r="E52" s="8" t="s">
        <v>188</v>
      </c>
      <c r="F52" s="10" t="s">
        <v>105</v>
      </c>
      <c r="G52" s="11" t="s">
        <v>16</v>
      </c>
      <c r="H52" s="66"/>
      <c r="I52" s="67" t="n">
        <v>45967</v>
      </c>
      <c r="J52" s="10" t="s">
        <v>687</v>
      </c>
      <c r="K52" s="68" t="str">
        <f aca="false">IF(G52="No",MAX(0,AsOfDate-I52),"")</f>
        <v/>
      </c>
      <c r="L52" s="12" t="str">
        <f aca="false">IF(K52="","",IF(K52&lt;=90,"0-90",IF(K52&lt;=180,"91-180",IF(K52&lt;=270,"181-270","&gt;270"))))</f>
        <v/>
      </c>
      <c r="M52" s="12" t="str">
        <f aca="false">IF(G52="Obs",COUNTIF(G$2:G52,"Obs"),"")</f>
        <v/>
      </c>
      <c r="N52" s="12" t="str">
        <f aca="false">IF(G52="No",COUNTIF(G$2:G52,"No"),"")</f>
        <v/>
      </c>
    </row>
    <row r="53" customFormat="false" ht="15" hidden="false" customHeight="false" outlineLevel="0" collapsed="false">
      <c r="A53" s="69" t="s">
        <v>685</v>
      </c>
      <c r="B53" s="69" t="s">
        <v>132</v>
      </c>
      <c r="C53" s="69" t="s">
        <v>189</v>
      </c>
      <c r="D53" s="70" t="s">
        <v>181</v>
      </c>
      <c r="E53" s="70" t="s">
        <v>190</v>
      </c>
      <c r="F53" s="69" t="s">
        <v>110</v>
      </c>
      <c r="G53" s="71" t="s">
        <v>16</v>
      </c>
      <c r="H53" s="72"/>
      <c r="I53" s="73" t="n">
        <v>45967</v>
      </c>
      <c r="J53" s="69" t="s">
        <v>687</v>
      </c>
      <c r="K53" s="74" t="str">
        <f aca="false">IF(G53="No",MAX(0,AsOfDate-I53),"")</f>
        <v/>
      </c>
      <c r="L53" s="75" t="str">
        <f aca="false">IF(K53="","",IF(K53&lt;=90,"0-90",IF(K53&lt;=180,"91-180",IF(K53&lt;=270,"181-270","&gt;270"))))</f>
        <v/>
      </c>
      <c r="M53" s="75" t="str">
        <f aca="false">IF(G53="Obs",COUNTIF(G$2:G53,"Obs"),"")</f>
        <v/>
      </c>
      <c r="N53" s="75" t="str">
        <f aca="false">IF(G53="No",COUNTIF(G$2:G53,"No"),"")</f>
        <v/>
      </c>
    </row>
    <row r="54" customFormat="false" ht="23.85" hidden="false" customHeight="false" outlineLevel="0" collapsed="false">
      <c r="A54" s="10" t="s">
        <v>685</v>
      </c>
      <c r="B54" s="10" t="s">
        <v>132</v>
      </c>
      <c r="C54" s="10" t="s">
        <v>191</v>
      </c>
      <c r="D54" s="8" t="s">
        <v>192</v>
      </c>
      <c r="E54" s="8" t="s">
        <v>193</v>
      </c>
      <c r="F54" s="10" t="s">
        <v>99</v>
      </c>
      <c r="G54" s="11" t="s">
        <v>16</v>
      </c>
      <c r="H54" s="66"/>
      <c r="I54" s="67" t="n">
        <v>45967</v>
      </c>
      <c r="J54" s="10" t="s">
        <v>687</v>
      </c>
      <c r="K54" s="68" t="str">
        <f aca="false">IF(G54="No",MAX(0,AsOfDate-I54),"")</f>
        <v/>
      </c>
      <c r="L54" s="12" t="str">
        <f aca="false">IF(K54="","",IF(K54&lt;=90,"0-90",IF(K54&lt;=180,"91-180",IF(K54&lt;=270,"181-270","&gt;270"))))</f>
        <v/>
      </c>
      <c r="M54" s="12" t="str">
        <f aca="false">IF(G54="Obs",COUNTIF(G$2:G54,"Obs"),"")</f>
        <v/>
      </c>
      <c r="N54" s="12" t="str">
        <f aca="false">IF(G54="No",COUNTIF(G$2:G54,"No"),"")</f>
        <v/>
      </c>
    </row>
    <row r="55" customFormat="false" ht="15" hidden="false" customHeight="false" outlineLevel="0" collapsed="false">
      <c r="A55" s="69" t="s">
        <v>685</v>
      </c>
      <c r="B55" s="69" t="s">
        <v>132</v>
      </c>
      <c r="C55" s="69" t="s">
        <v>194</v>
      </c>
      <c r="D55" s="70" t="s">
        <v>192</v>
      </c>
      <c r="E55" s="70" t="s">
        <v>195</v>
      </c>
      <c r="F55" s="69" t="s">
        <v>105</v>
      </c>
      <c r="G55" s="71" t="s">
        <v>16</v>
      </c>
      <c r="H55" s="72"/>
      <c r="I55" s="73" t="n">
        <v>45967</v>
      </c>
      <c r="J55" s="69" t="s">
        <v>687</v>
      </c>
      <c r="K55" s="74" t="str">
        <f aca="false">IF(G55="No",MAX(0,AsOfDate-I55),"")</f>
        <v/>
      </c>
      <c r="L55" s="75" t="str">
        <f aca="false">IF(K55="","",IF(K55&lt;=90,"0-90",IF(K55&lt;=180,"91-180",IF(K55&lt;=270,"181-270","&gt;270"))))</f>
        <v/>
      </c>
      <c r="M55" s="75" t="str">
        <f aca="false">IF(G55="Obs",COUNTIF(G$2:G55,"Obs"),"")</f>
        <v/>
      </c>
      <c r="N55" s="75" t="str">
        <f aca="false">IF(G55="No",COUNTIF(G$2:G55,"No"),"")</f>
        <v/>
      </c>
    </row>
    <row r="56" customFormat="false" ht="15" hidden="false" customHeight="false" outlineLevel="0" collapsed="false">
      <c r="A56" s="10" t="s">
        <v>688</v>
      </c>
      <c r="B56" s="10" t="s">
        <v>132</v>
      </c>
      <c r="C56" s="10" t="s">
        <v>131</v>
      </c>
      <c r="D56" s="8" t="s">
        <v>133</v>
      </c>
      <c r="E56" s="8" t="s">
        <v>134</v>
      </c>
      <c r="F56" s="10" t="s">
        <v>99</v>
      </c>
      <c r="G56" s="11" t="s">
        <v>18</v>
      </c>
      <c r="H56" s="66" t="s">
        <v>537</v>
      </c>
      <c r="I56" s="67" t="n">
        <v>46072</v>
      </c>
      <c r="J56" s="10" t="s">
        <v>690</v>
      </c>
      <c r="K56" s="68" t="n">
        <f aca="false">IF(G56="No",MAX(0,AsOfDate-I56),"")</f>
        <v>111</v>
      </c>
      <c r="L56" s="12" t="str">
        <f aca="false">IF(K56="","",IF(K56&lt;=90,"0-90",IF(K56&lt;=180,"91-180",IF(K56&lt;=270,"181-270","&gt;270"))))</f>
        <v>91-180</v>
      </c>
      <c r="M56" s="12" t="str">
        <f aca="false">IF(G56="Obs",COUNTIF(G$2:G56,"Obs"),"")</f>
        <v/>
      </c>
      <c r="N56" s="12" t="n">
        <f aca="false">IF(G56="No",COUNTIF(G$2:G56,"No"),"")</f>
        <v>5</v>
      </c>
    </row>
    <row r="57" customFormat="false" ht="15" hidden="false" customHeight="false" outlineLevel="0" collapsed="false">
      <c r="A57" s="69" t="s">
        <v>688</v>
      </c>
      <c r="B57" s="69" t="s">
        <v>132</v>
      </c>
      <c r="C57" s="69" t="s">
        <v>135</v>
      </c>
      <c r="D57" s="70" t="s">
        <v>133</v>
      </c>
      <c r="E57" s="70" t="s">
        <v>136</v>
      </c>
      <c r="F57" s="69" t="s">
        <v>99</v>
      </c>
      <c r="G57" s="71" t="s">
        <v>16</v>
      </c>
      <c r="H57" s="72"/>
      <c r="I57" s="73" t="n">
        <v>46072</v>
      </c>
      <c r="J57" s="69" t="s">
        <v>690</v>
      </c>
      <c r="K57" s="74" t="str">
        <f aca="false">IF(G57="No",MAX(0,AsOfDate-I57),"")</f>
        <v/>
      </c>
      <c r="L57" s="75" t="str">
        <f aca="false">IF(K57="","",IF(K57&lt;=90,"0-90",IF(K57&lt;=180,"91-180",IF(K57&lt;=270,"181-270","&gt;270"))))</f>
        <v/>
      </c>
      <c r="M57" s="75" t="str">
        <f aca="false">IF(G57="Obs",COUNTIF(G$2:G57,"Obs"),"")</f>
        <v/>
      </c>
      <c r="N57" s="75" t="str">
        <f aca="false">IF(G57="No",COUNTIF(G$2:G57,"No"),"")</f>
        <v/>
      </c>
    </row>
    <row r="58" customFormat="false" ht="15" hidden="false" customHeight="false" outlineLevel="0" collapsed="false">
      <c r="A58" s="10" t="s">
        <v>688</v>
      </c>
      <c r="B58" s="10" t="s">
        <v>132</v>
      </c>
      <c r="C58" s="10" t="s">
        <v>137</v>
      </c>
      <c r="D58" s="8" t="s">
        <v>133</v>
      </c>
      <c r="E58" s="8" t="s">
        <v>138</v>
      </c>
      <c r="F58" s="10" t="s">
        <v>105</v>
      </c>
      <c r="G58" s="11" t="s">
        <v>16</v>
      </c>
      <c r="H58" s="66"/>
      <c r="I58" s="67" t="n">
        <v>46072</v>
      </c>
      <c r="J58" s="10" t="s">
        <v>690</v>
      </c>
      <c r="K58" s="68" t="str">
        <f aca="false">IF(G58="No",MAX(0,AsOfDate-I58),"")</f>
        <v/>
      </c>
      <c r="L58" s="12" t="str">
        <f aca="false">IF(K58="","",IF(K58&lt;=90,"0-90",IF(K58&lt;=180,"91-180",IF(K58&lt;=270,"181-270","&gt;270"))))</f>
        <v/>
      </c>
      <c r="M58" s="12" t="str">
        <f aca="false">IF(G58="Obs",COUNTIF(G$2:G58,"Obs"),"")</f>
        <v/>
      </c>
      <c r="N58" s="12" t="str">
        <f aca="false">IF(G58="No",COUNTIF(G$2:G58,"No"),"")</f>
        <v/>
      </c>
    </row>
    <row r="59" customFormat="false" ht="15" hidden="false" customHeight="false" outlineLevel="0" collapsed="false">
      <c r="A59" s="69" t="s">
        <v>688</v>
      </c>
      <c r="B59" s="69" t="s">
        <v>132</v>
      </c>
      <c r="C59" s="69" t="s">
        <v>139</v>
      </c>
      <c r="D59" s="70" t="s">
        <v>140</v>
      </c>
      <c r="E59" s="70" t="s">
        <v>141</v>
      </c>
      <c r="F59" s="69" t="s">
        <v>99</v>
      </c>
      <c r="G59" s="71" t="s">
        <v>16</v>
      </c>
      <c r="H59" s="72"/>
      <c r="I59" s="73" t="n">
        <v>46072</v>
      </c>
      <c r="J59" s="69" t="s">
        <v>690</v>
      </c>
      <c r="K59" s="74" t="str">
        <f aca="false">IF(G59="No",MAX(0,AsOfDate-I59),"")</f>
        <v/>
      </c>
      <c r="L59" s="75" t="str">
        <f aca="false">IF(K59="","",IF(K59&lt;=90,"0-90",IF(K59&lt;=180,"91-180",IF(K59&lt;=270,"181-270","&gt;270"))))</f>
        <v/>
      </c>
      <c r="M59" s="75" t="str">
        <f aca="false">IF(G59="Obs",COUNTIF(G$2:G59,"Obs"),"")</f>
        <v/>
      </c>
      <c r="N59" s="75" t="str">
        <f aca="false">IF(G59="No",COUNTIF(G$2:G59,"No"),"")</f>
        <v/>
      </c>
    </row>
    <row r="60" customFormat="false" ht="15" hidden="false" customHeight="false" outlineLevel="0" collapsed="false">
      <c r="A60" s="10" t="s">
        <v>688</v>
      </c>
      <c r="B60" s="10" t="s">
        <v>132</v>
      </c>
      <c r="C60" s="10" t="s">
        <v>142</v>
      </c>
      <c r="D60" s="8" t="s">
        <v>140</v>
      </c>
      <c r="E60" s="8" t="s">
        <v>143</v>
      </c>
      <c r="F60" s="10" t="s">
        <v>105</v>
      </c>
      <c r="G60" s="11" t="s">
        <v>16</v>
      </c>
      <c r="H60" s="66"/>
      <c r="I60" s="67" t="n">
        <v>46072</v>
      </c>
      <c r="J60" s="10" t="s">
        <v>690</v>
      </c>
      <c r="K60" s="68" t="str">
        <f aca="false">IF(G60="No",MAX(0,AsOfDate-I60),"")</f>
        <v/>
      </c>
      <c r="L60" s="12" t="str">
        <f aca="false">IF(K60="","",IF(K60&lt;=90,"0-90",IF(K60&lt;=180,"91-180",IF(K60&lt;=270,"181-270","&gt;270"))))</f>
        <v/>
      </c>
      <c r="M60" s="12" t="str">
        <f aca="false">IF(G60="Obs",COUNTIF(G$2:G60,"Obs"),"")</f>
        <v/>
      </c>
      <c r="N60" s="12" t="str">
        <f aca="false">IF(G60="No",COUNTIF(G$2:G60,"No"),"")</f>
        <v/>
      </c>
    </row>
    <row r="61" customFormat="false" ht="15" hidden="false" customHeight="false" outlineLevel="0" collapsed="false">
      <c r="A61" s="69" t="s">
        <v>688</v>
      </c>
      <c r="B61" s="69" t="s">
        <v>132</v>
      </c>
      <c r="C61" s="69" t="s">
        <v>144</v>
      </c>
      <c r="D61" s="70" t="s">
        <v>140</v>
      </c>
      <c r="E61" s="70" t="s">
        <v>145</v>
      </c>
      <c r="F61" s="69" t="s">
        <v>99</v>
      </c>
      <c r="G61" s="71" t="s">
        <v>16</v>
      </c>
      <c r="H61" s="72"/>
      <c r="I61" s="73" t="n">
        <v>46072</v>
      </c>
      <c r="J61" s="69" t="s">
        <v>690</v>
      </c>
      <c r="K61" s="74" t="str">
        <f aca="false">IF(G61="No",MAX(0,AsOfDate-I61),"")</f>
        <v/>
      </c>
      <c r="L61" s="75" t="str">
        <f aca="false">IF(K61="","",IF(K61&lt;=90,"0-90",IF(K61&lt;=180,"91-180",IF(K61&lt;=270,"181-270","&gt;270"))))</f>
        <v/>
      </c>
      <c r="M61" s="75" t="str">
        <f aca="false">IF(G61="Obs",COUNTIF(G$2:G61,"Obs"),"")</f>
        <v/>
      </c>
      <c r="N61" s="75" t="str">
        <f aca="false">IF(G61="No",COUNTIF(G$2:G61,"No"),"")</f>
        <v/>
      </c>
    </row>
    <row r="62" customFormat="false" ht="15" hidden="false" customHeight="false" outlineLevel="0" collapsed="false">
      <c r="A62" s="10" t="s">
        <v>688</v>
      </c>
      <c r="B62" s="10" t="s">
        <v>132</v>
      </c>
      <c r="C62" s="10" t="s">
        <v>146</v>
      </c>
      <c r="D62" s="8" t="s">
        <v>147</v>
      </c>
      <c r="E62" s="8" t="s">
        <v>148</v>
      </c>
      <c r="F62" s="10" t="s">
        <v>99</v>
      </c>
      <c r="G62" s="11" t="s">
        <v>16</v>
      </c>
      <c r="H62" s="66"/>
      <c r="I62" s="67" t="n">
        <v>46072</v>
      </c>
      <c r="J62" s="10" t="s">
        <v>690</v>
      </c>
      <c r="K62" s="68" t="str">
        <f aca="false">IF(G62="No",MAX(0,AsOfDate-I62),"")</f>
        <v/>
      </c>
      <c r="L62" s="12" t="str">
        <f aca="false">IF(K62="","",IF(K62&lt;=90,"0-90",IF(K62&lt;=180,"91-180",IF(K62&lt;=270,"181-270","&gt;270"))))</f>
        <v/>
      </c>
      <c r="M62" s="12" t="str">
        <f aca="false">IF(G62="Obs",COUNTIF(G$2:G62,"Obs"),"")</f>
        <v/>
      </c>
      <c r="N62" s="12" t="str">
        <f aca="false">IF(G62="No",COUNTIF(G$2:G62,"No"),"")</f>
        <v/>
      </c>
    </row>
    <row r="63" customFormat="false" ht="15" hidden="false" customHeight="false" outlineLevel="0" collapsed="false">
      <c r="A63" s="69" t="s">
        <v>688</v>
      </c>
      <c r="B63" s="69" t="s">
        <v>132</v>
      </c>
      <c r="C63" s="69" t="s">
        <v>149</v>
      </c>
      <c r="D63" s="70" t="s">
        <v>147</v>
      </c>
      <c r="E63" s="70" t="s">
        <v>150</v>
      </c>
      <c r="F63" s="69" t="s">
        <v>105</v>
      </c>
      <c r="G63" s="71" t="s">
        <v>16</v>
      </c>
      <c r="H63" s="72"/>
      <c r="I63" s="73" t="n">
        <v>46072</v>
      </c>
      <c r="J63" s="69" t="s">
        <v>690</v>
      </c>
      <c r="K63" s="74" t="str">
        <f aca="false">IF(G63="No",MAX(0,AsOfDate-I63),"")</f>
        <v/>
      </c>
      <c r="L63" s="75" t="str">
        <f aca="false">IF(K63="","",IF(K63&lt;=90,"0-90",IF(K63&lt;=180,"91-180",IF(K63&lt;=270,"181-270","&gt;270"))))</f>
        <v/>
      </c>
      <c r="M63" s="75" t="str">
        <f aca="false">IF(G63="Obs",COUNTIF(G$2:G63,"Obs"),"")</f>
        <v/>
      </c>
      <c r="N63" s="75" t="str">
        <f aca="false">IF(G63="No",COUNTIF(G$2:G63,"No"),"")</f>
        <v/>
      </c>
    </row>
    <row r="64" customFormat="false" ht="15" hidden="false" customHeight="false" outlineLevel="0" collapsed="false">
      <c r="A64" s="10" t="s">
        <v>688</v>
      </c>
      <c r="B64" s="10" t="s">
        <v>132</v>
      </c>
      <c r="C64" s="10" t="s">
        <v>151</v>
      </c>
      <c r="D64" s="8" t="s">
        <v>147</v>
      </c>
      <c r="E64" s="8" t="s">
        <v>152</v>
      </c>
      <c r="F64" s="10" t="s">
        <v>99</v>
      </c>
      <c r="G64" s="11" t="s">
        <v>16</v>
      </c>
      <c r="H64" s="66"/>
      <c r="I64" s="67" t="n">
        <v>46072</v>
      </c>
      <c r="J64" s="10" t="s">
        <v>690</v>
      </c>
      <c r="K64" s="68" t="str">
        <f aca="false">IF(G64="No",MAX(0,AsOfDate-I64),"")</f>
        <v/>
      </c>
      <c r="L64" s="12" t="str">
        <f aca="false">IF(K64="","",IF(K64&lt;=90,"0-90",IF(K64&lt;=180,"91-180",IF(K64&lt;=270,"181-270","&gt;270"))))</f>
        <v/>
      </c>
      <c r="M64" s="12" t="str">
        <f aca="false">IF(G64="Obs",COUNTIF(G$2:G64,"Obs"),"")</f>
        <v/>
      </c>
      <c r="N64" s="12" t="str">
        <f aca="false">IF(G64="No",COUNTIF(G$2:G64,"No"),"")</f>
        <v/>
      </c>
    </row>
    <row r="65" customFormat="false" ht="15" hidden="false" customHeight="false" outlineLevel="0" collapsed="false">
      <c r="A65" s="69" t="s">
        <v>688</v>
      </c>
      <c r="B65" s="69" t="s">
        <v>132</v>
      </c>
      <c r="C65" s="69" t="s">
        <v>153</v>
      </c>
      <c r="D65" s="70" t="s">
        <v>154</v>
      </c>
      <c r="E65" s="70" t="s">
        <v>155</v>
      </c>
      <c r="F65" s="69" t="s">
        <v>105</v>
      </c>
      <c r="G65" s="71" t="s">
        <v>20</v>
      </c>
      <c r="H65" s="72"/>
      <c r="I65" s="73" t="n">
        <v>46072</v>
      </c>
      <c r="J65" s="69" t="s">
        <v>690</v>
      </c>
      <c r="K65" s="74" t="str">
        <f aca="false">IF(G65="No",MAX(0,AsOfDate-I65),"")</f>
        <v/>
      </c>
      <c r="L65" s="75" t="str">
        <f aca="false">IF(K65="","",IF(K65&lt;=90,"0-90",IF(K65&lt;=180,"91-180",IF(K65&lt;=270,"181-270","&gt;270"))))</f>
        <v/>
      </c>
      <c r="M65" s="75" t="str">
        <f aca="false">IF(G65="Obs",COUNTIF(G$2:G65,"Obs"),"")</f>
        <v/>
      </c>
      <c r="N65" s="75" t="str">
        <f aca="false">IF(G65="No",COUNTIF(G$2:G65,"No"),"")</f>
        <v/>
      </c>
    </row>
    <row r="66" customFormat="false" ht="15" hidden="false" customHeight="false" outlineLevel="0" collapsed="false">
      <c r="A66" s="10" t="s">
        <v>688</v>
      </c>
      <c r="B66" s="10" t="s">
        <v>132</v>
      </c>
      <c r="C66" s="10" t="s">
        <v>156</v>
      </c>
      <c r="D66" s="8" t="s">
        <v>154</v>
      </c>
      <c r="E66" s="8" t="s">
        <v>157</v>
      </c>
      <c r="F66" s="10" t="s">
        <v>105</v>
      </c>
      <c r="G66" s="11" t="s">
        <v>16</v>
      </c>
      <c r="H66" s="66"/>
      <c r="I66" s="67" t="n">
        <v>46072</v>
      </c>
      <c r="J66" s="10" t="s">
        <v>690</v>
      </c>
      <c r="K66" s="68" t="str">
        <f aca="false">IF(G66="No",MAX(0,AsOfDate-I66),"")</f>
        <v/>
      </c>
      <c r="L66" s="12" t="str">
        <f aca="false">IF(K66="","",IF(K66&lt;=90,"0-90",IF(K66&lt;=180,"91-180",IF(K66&lt;=270,"181-270","&gt;270"))))</f>
        <v/>
      </c>
      <c r="M66" s="12" t="str">
        <f aca="false">IF(G66="Obs",COUNTIF(G$2:G66,"Obs"),"")</f>
        <v/>
      </c>
      <c r="N66" s="12" t="str">
        <f aca="false">IF(G66="No",COUNTIF(G$2:G66,"No"),"")</f>
        <v/>
      </c>
    </row>
    <row r="67" customFormat="false" ht="23.85" hidden="false" customHeight="false" outlineLevel="0" collapsed="false">
      <c r="A67" s="69" t="s">
        <v>688</v>
      </c>
      <c r="B67" s="69" t="s">
        <v>132</v>
      </c>
      <c r="C67" s="69" t="s">
        <v>158</v>
      </c>
      <c r="D67" s="70" t="s">
        <v>159</v>
      </c>
      <c r="E67" s="70" t="s">
        <v>160</v>
      </c>
      <c r="F67" s="69" t="s">
        <v>99</v>
      </c>
      <c r="G67" s="71" t="s">
        <v>16</v>
      </c>
      <c r="H67" s="72"/>
      <c r="I67" s="73" t="n">
        <v>46072</v>
      </c>
      <c r="J67" s="69" t="s">
        <v>690</v>
      </c>
      <c r="K67" s="74" t="str">
        <f aca="false">IF(G67="No",MAX(0,AsOfDate-I67),"")</f>
        <v/>
      </c>
      <c r="L67" s="75" t="str">
        <f aca="false">IF(K67="","",IF(K67&lt;=90,"0-90",IF(K67&lt;=180,"91-180",IF(K67&lt;=270,"181-270","&gt;270"))))</f>
        <v/>
      </c>
      <c r="M67" s="75" t="str">
        <f aca="false">IF(G67="Obs",COUNTIF(G$2:G67,"Obs"),"")</f>
        <v/>
      </c>
      <c r="N67" s="75" t="str">
        <f aca="false">IF(G67="No",COUNTIF(G$2:G67,"No"),"")</f>
        <v/>
      </c>
    </row>
    <row r="68" customFormat="false" ht="23.85" hidden="false" customHeight="false" outlineLevel="0" collapsed="false">
      <c r="A68" s="10" t="s">
        <v>688</v>
      </c>
      <c r="B68" s="10" t="s">
        <v>132</v>
      </c>
      <c r="C68" s="10" t="s">
        <v>161</v>
      </c>
      <c r="D68" s="8" t="s">
        <v>159</v>
      </c>
      <c r="E68" s="8" t="s">
        <v>162</v>
      </c>
      <c r="F68" s="10" t="s">
        <v>99</v>
      </c>
      <c r="G68" s="11" t="s">
        <v>16</v>
      </c>
      <c r="H68" s="66"/>
      <c r="I68" s="67" t="n">
        <v>46072</v>
      </c>
      <c r="J68" s="10" t="s">
        <v>690</v>
      </c>
      <c r="K68" s="68" t="str">
        <f aca="false">IF(G68="No",MAX(0,AsOfDate-I68),"")</f>
        <v/>
      </c>
      <c r="L68" s="12" t="str">
        <f aca="false">IF(K68="","",IF(K68&lt;=90,"0-90",IF(K68&lt;=180,"91-180",IF(K68&lt;=270,"181-270","&gt;270"))))</f>
        <v/>
      </c>
      <c r="M68" s="12" t="str">
        <f aca="false">IF(G68="Obs",COUNTIF(G$2:G68,"Obs"),"")</f>
        <v/>
      </c>
      <c r="N68" s="12" t="str">
        <f aca="false">IF(G68="No",COUNTIF(G$2:G68,"No"),"")</f>
        <v/>
      </c>
    </row>
    <row r="69" customFormat="false" ht="23.85" hidden="false" customHeight="false" outlineLevel="0" collapsed="false">
      <c r="A69" s="69" t="s">
        <v>688</v>
      </c>
      <c r="B69" s="69" t="s">
        <v>132</v>
      </c>
      <c r="C69" s="69" t="s">
        <v>163</v>
      </c>
      <c r="D69" s="70" t="s">
        <v>159</v>
      </c>
      <c r="E69" s="70" t="s">
        <v>164</v>
      </c>
      <c r="F69" s="69" t="s">
        <v>110</v>
      </c>
      <c r="G69" s="71" t="s">
        <v>16</v>
      </c>
      <c r="H69" s="72"/>
      <c r="I69" s="73" t="n">
        <v>46072</v>
      </c>
      <c r="J69" s="69" t="s">
        <v>690</v>
      </c>
      <c r="K69" s="74" t="str">
        <f aca="false">IF(G69="No",MAX(0,AsOfDate-I69),"")</f>
        <v/>
      </c>
      <c r="L69" s="75" t="str">
        <f aca="false">IF(K69="","",IF(K69&lt;=90,"0-90",IF(K69&lt;=180,"91-180",IF(K69&lt;=270,"181-270","&gt;270"))))</f>
        <v/>
      </c>
      <c r="M69" s="75" t="str">
        <f aca="false">IF(G69="Obs",COUNTIF(G$2:G69,"Obs"),"")</f>
        <v/>
      </c>
      <c r="N69" s="75" t="str">
        <f aca="false">IF(G69="No",COUNTIF(G$2:G69,"No"),"")</f>
        <v/>
      </c>
    </row>
    <row r="70" customFormat="false" ht="15" hidden="false" customHeight="false" outlineLevel="0" collapsed="false">
      <c r="A70" s="10" t="s">
        <v>688</v>
      </c>
      <c r="B70" s="10" t="s">
        <v>132</v>
      </c>
      <c r="C70" s="10" t="s">
        <v>165</v>
      </c>
      <c r="D70" s="8" t="s">
        <v>166</v>
      </c>
      <c r="E70" s="8" t="s">
        <v>167</v>
      </c>
      <c r="F70" s="10" t="s">
        <v>99</v>
      </c>
      <c r="G70" s="11" t="s">
        <v>16</v>
      </c>
      <c r="H70" s="66"/>
      <c r="I70" s="67" t="n">
        <v>46072</v>
      </c>
      <c r="J70" s="10" t="s">
        <v>690</v>
      </c>
      <c r="K70" s="68" t="str">
        <f aca="false">IF(G70="No",MAX(0,AsOfDate-I70),"")</f>
        <v/>
      </c>
      <c r="L70" s="12" t="str">
        <f aca="false">IF(K70="","",IF(K70&lt;=90,"0-90",IF(K70&lt;=180,"91-180",IF(K70&lt;=270,"181-270","&gt;270"))))</f>
        <v/>
      </c>
      <c r="M70" s="12" t="str">
        <f aca="false">IF(G70="Obs",COUNTIF(G$2:G70,"Obs"),"")</f>
        <v/>
      </c>
      <c r="N70" s="12" t="str">
        <f aca="false">IF(G70="No",COUNTIF(G$2:G70,"No"),"")</f>
        <v/>
      </c>
    </row>
    <row r="71" customFormat="false" ht="15" hidden="false" customHeight="false" outlineLevel="0" collapsed="false">
      <c r="A71" s="69" t="s">
        <v>688</v>
      </c>
      <c r="B71" s="69" t="s">
        <v>132</v>
      </c>
      <c r="C71" s="69" t="s">
        <v>168</v>
      </c>
      <c r="D71" s="70" t="s">
        <v>166</v>
      </c>
      <c r="E71" s="70" t="s">
        <v>169</v>
      </c>
      <c r="F71" s="69" t="s">
        <v>105</v>
      </c>
      <c r="G71" s="71" t="s">
        <v>16</v>
      </c>
      <c r="H71" s="72"/>
      <c r="I71" s="73" t="n">
        <v>46072</v>
      </c>
      <c r="J71" s="69" t="s">
        <v>690</v>
      </c>
      <c r="K71" s="74" t="str">
        <f aca="false">IF(G71="No",MAX(0,AsOfDate-I71),"")</f>
        <v/>
      </c>
      <c r="L71" s="75" t="str">
        <f aca="false">IF(K71="","",IF(K71&lt;=90,"0-90",IF(K71&lt;=180,"91-180",IF(K71&lt;=270,"181-270","&gt;270"))))</f>
        <v/>
      </c>
      <c r="M71" s="75" t="str">
        <f aca="false">IF(G71="Obs",COUNTIF(G$2:G71,"Obs"),"")</f>
        <v/>
      </c>
      <c r="N71" s="75" t="str">
        <f aca="false">IF(G71="No",COUNTIF(G$2:G71,"No"),"")</f>
        <v/>
      </c>
    </row>
    <row r="72" customFormat="false" ht="15" hidden="false" customHeight="false" outlineLevel="0" collapsed="false">
      <c r="A72" s="10" t="s">
        <v>688</v>
      </c>
      <c r="B72" s="10" t="s">
        <v>132</v>
      </c>
      <c r="C72" s="10" t="s">
        <v>170</v>
      </c>
      <c r="D72" s="8" t="s">
        <v>171</v>
      </c>
      <c r="E72" s="8" t="s">
        <v>172</v>
      </c>
      <c r="F72" s="10" t="s">
        <v>105</v>
      </c>
      <c r="G72" s="11" t="s">
        <v>16</v>
      </c>
      <c r="H72" s="66"/>
      <c r="I72" s="67" t="n">
        <v>46072</v>
      </c>
      <c r="J72" s="10" t="s">
        <v>690</v>
      </c>
      <c r="K72" s="68" t="str">
        <f aca="false">IF(G72="No",MAX(0,AsOfDate-I72),"")</f>
        <v/>
      </c>
      <c r="L72" s="12" t="str">
        <f aca="false">IF(K72="","",IF(K72&lt;=90,"0-90",IF(K72&lt;=180,"91-180",IF(K72&lt;=270,"181-270","&gt;270"))))</f>
        <v/>
      </c>
      <c r="M72" s="12" t="str">
        <f aca="false">IF(G72="Obs",COUNTIF(G$2:G72,"Obs"),"")</f>
        <v/>
      </c>
      <c r="N72" s="12" t="str">
        <f aca="false">IF(G72="No",COUNTIF(G$2:G72,"No"),"")</f>
        <v/>
      </c>
    </row>
    <row r="73" customFormat="false" ht="15" hidden="false" customHeight="false" outlineLevel="0" collapsed="false">
      <c r="A73" s="69" t="s">
        <v>688</v>
      </c>
      <c r="B73" s="69" t="s">
        <v>132</v>
      </c>
      <c r="C73" s="69" t="s">
        <v>173</v>
      </c>
      <c r="D73" s="70" t="s">
        <v>171</v>
      </c>
      <c r="E73" s="70" t="s">
        <v>174</v>
      </c>
      <c r="F73" s="69" t="s">
        <v>99</v>
      </c>
      <c r="G73" s="71" t="s">
        <v>16</v>
      </c>
      <c r="H73" s="72"/>
      <c r="I73" s="73" t="n">
        <v>46072</v>
      </c>
      <c r="J73" s="69" t="s">
        <v>690</v>
      </c>
      <c r="K73" s="74" t="str">
        <f aca="false">IF(G73="No",MAX(0,AsOfDate-I73),"")</f>
        <v/>
      </c>
      <c r="L73" s="75" t="str">
        <f aca="false">IF(K73="","",IF(K73&lt;=90,"0-90",IF(K73&lt;=180,"91-180",IF(K73&lt;=270,"181-270","&gt;270"))))</f>
        <v/>
      </c>
      <c r="M73" s="75" t="str">
        <f aca="false">IF(G73="Obs",COUNTIF(G$2:G73,"Obs"),"")</f>
        <v/>
      </c>
      <c r="N73" s="75" t="str">
        <f aca="false">IF(G73="No",COUNTIF(G$2:G73,"No"),"")</f>
        <v/>
      </c>
    </row>
    <row r="74" customFormat="false" ht="15" hidden="false" customHeight="false" outlineLevel="0" collapsed="false">
      <c r="A74" s="10" t="s">
        <v>688</v>
      </c>
      <c r="B74" s="10" t="s">
        <v>132</v>
      </c>
      <c r="C74" s="10" t="s">
        <v>175</v>
      </c>
      <c r="D74" s="8" t="s">
        <v>176</v>
      </c>
      <c r="E74" s="8" t="s">
        <v>177</v>
      </c>
      <c r="F74" s="10" t="s">
        <v>105</v>
      </c>
      <c r="G74" s="11" t="s">
        <v>16</v>
      </c>
      <c r="H74" s="66"/>
      <c r="I74" s="67" t="n">
        <v>46072</v>
      </c>
      <c r="J74" s="10" t="s">
        <v>690</v>
      </c>
      <c r="K74" s="68" t="str">
        <f aca="false">IF(G74="No",MAX(0,AsOfDate-I74),"")</f>
        <v/>
      </c>
      <c r="L74" s="12" t="str">
        <f aca="false">IF(K74="","",IF(K74&lt;=90,"0-90",IF(K74&lt;=180,"91-180",IF(K74&lt;=270,"181-270","&gt;270"))))</f>
        <v/>
      </c>
      <c r="M74" s="12" t="str">
        <f aca="false">IF(G74="Obs",COUNTIF(G$2:G74,"Obs"),"")</f>
        <v/>
      </c>
      <c r="N74" s="12" t="str">
        <f aca="false">IF(G74="No",COUNTIF(G$2:G74,"No"),"")</f>
        <v/>
      </c>
    </row>
    <row r="75" customFormat="false" ht="15" hidden="false" customHeight="false" outlineLevel="0" collapsed="false">
      <c r="A75" s="69" t="s">
        <v>688</v>
      </c>
      <c r="B75" s="69" t="s">
        <v>132</v>
      </c>
      <c r="C75" s="69" t="s">
        <v>178</v>
      </c>
      <c r="D75" s="70" t="s">
        <v>176</v>
      </c>
      <c r="E75" s="70" t="s">
        <v>179</v>
      </c>
      <c r="F75" s="69" t="s">
        <v>105</v>
      </c>
      <c r="G75" s="71" t="s">
        <v>16</v>
      </c>
      <c r="H75" s="72"/>
      <c r="I75" s="73" t="n">
        <v>46072</v>
      </c>
      <c r="J75" s="69" t="s">
        <v>690</v>
      </c>
      <c r="K75" s="74" t="str">
        <f aca="false">IF(G75="No",MAX(0,AsOfDate-I75),"")</f>
        <v/>
      </c>
      <c r="L75" s="75" t="str">
        <f aca="false">IF(K75="","",IF(K75&lt;=90,"0-90",IF(K75&lt;=180,"91-180",IF(K75&lt;=270,"181-270","&gt;270"))))</f>
        <v/>
      </c>
      <c r="M75" s="75" t="str">
        <f aca="false">IF(G75="Obs",COUNTIF(G$2:G75,"Obs"),"")</f>
        <v/>
      </c>
      <c r="N75" s="75" t="str">
        <f aca="false">IF(G75="No",COUNTIF(G$2:G75,"No"),"")</f>
        <v/>
      </c>
    </row>
    <row r="76" customFormat="false" ht="15" hidden="false" customHeight="false" outlineLevel="0" collapsed="false">
      <c r="A76" s="10" t="s">
        <v>688</v>
      </c>
      <c r="B76" s="10" t="s">
        <v>132</v>
      </c>
      <c r="C76" s="10" t="s">
        <v>180</v>
      </c>
      <c r="D76" s="8" t="s">
        <v>181</v>
      </c>
      <c r="E76" s="8" t="s">
        <v>182</v>
      </c>
      <c r="F76" s="10" t="s">
        <v>105</v>
      </c>
      <c r="G76" s="11" t="s">
        <v>16</v>
      </c>
      <c r="H76" s="66"/>
      <c r="I76" s="67" t="n">
        <v>46072</v>
      </c>
      <c r="J76" s="10" t="s">
        <v>690</v>
      </c>
      <c r="K76" s="68" t="str">
        <f aca="false">IF(G76="No",MAX(0,AsOfDate-I76),"")</f>
        <v/>
      </c>
      <c r="L76" s="12" t="str">
        <f aca="false">IF(K76="","",IF(K76&lt;=90,"0-90",IF(K76&lt;=180,"91-180",IF(K76&lt;=270,"181-270","&gt;270"))))</f>
        <v/>
      </c>
      <c r="M76" s="12" t="str">
        <f aca="false">IF(G76="Obs",COUNTIF(G$2:G76,"Obs"),"")</f>
        <v/>
      </c>
      <c r="N76" s="12" t="str">
        <f aca="false">IF(G76="No",COUNTIF(G$2:G76,"No"),"")</f>
        <v/>
      </c>
    </row>
    <row r="77" customFormat="false" ht="15" hidden="false" customHeight="false" outlineLevel="0" collapsed="false">
      <c r="A77" s="69" t="s">
        <v>688</v>
      </c>
      <c r="B77" s="69" t="s">
        <v>132</v>
      </c>
      <c r="C77" s="69" t="s">
        <v>183</v>
      </c>
      <c r="D77" s="70" t="s">
        <v>181</v>
      </c>
      <c r="E77" s="70" t="s">
        <v>184</v>
      </c>
      <c r="F77" s="69" t="s">
        <v>99</v>
      </c>
      <c r="G77" s="71" t="s">
        <v>16</v>
      </c>
      <c r="H77" s="72"/>
      <c r="I77" s="73" t="n">
        <v>46072</v>
      </c>
      <c r="J77" s="69" t="s">
        <v>690</v>
      </c>
      <c r="K77" s="74" t="str">
        <f aca="false">IF(G77="No",MAX(0,AsOfDate-I77),"")</f>
        <v/>
      </c>
      <c r="L77" s="75" t="str">
        <f aca="false">IF(K77="","",IF(K77&lt;=90,"0-90",IF(K77&lt;=180,"91-180",IF(K77&lt;=270,"181-270","&gt;270"))))</f>
        <v/>
      </c>
      <c r="M77" s="75" t="str">
        <f aca="false">IF(G77="Obs",COUNTIF(G$2:G77,"Obs"),"")</f>
        <v/>
      </c>
      <c r="N77" s="75" t="str">
        <f aca="false">IF(G77="No",COUNTIF(G$2:G77,"No"),"")</f>
        <v/>
      </c>
    </row>
    <row r="78" customFormat="false" ht="15" hidden="false" customHeight="false" outlineLevel="0" collapsed="false">
      <c r="A78" s="10" t="s">
        <v>688</v>
      </c>
      <c r="B78" s="10" t="s">
        <v>132</v>
      </c>
      <c r="C78" s="10" t="s">
        <v>185</v>
      </c>
      <c r="D78" s="8" t="s">
        <v>181</v>
      </c>
      <c r="E78" s="8" t="s">
        <v>186</v>
      </c>
      <c r="F78" s="10" t="s">
        <v>105</v>
      </c>
      <c r="G78" s="11" t="s">
        <v>16</v>
      </c>
      <c r="H78" s="66"/>
      <c r="I78" s="67" t="n">
        <v>46072</v>
      </c>
      <c r="J78" s="10" t="s">
        <v>690</v>
      </c>
      <c r="K78" s="68" t="str">
        <f aca="false">IF(G78="No",MAX(0,AsOfDate-I78),"")</f>
        <v/>
      </c>
      <c r="L78" s="12" t="str">
        <f aca="false">IF(K78="","",IF(K78&lt;=90,"0-90",IF(K78&lt;=180,"91-180",IF(K78&lt;=270,"181-270","&gt;270"))))</f>
        <v/>
      </c>
      <c r="M78" s="12" t="str">
        <f aca="false">IF(G78="Obs",COUNTIF(G$2:G78,"Obs"),"")</f>
        <v/>
      </c>
      <c r="N78" s="12" t="str">
        <f aca="false">IF(G78="No",COUNTIF(G$2:G78,"No"),"")</f>
        <v/>
      </c>
    </row>
    <row r="79" customFormat="false" ht="15" hidden="false" customHeight="false" outlineLevel="0" collapsed="false">
      <c r="A79" s="69" t="s">
        <v>688</v>
      </c>
      <c r="B79" s="69" t="s">
        <v>132</v>
      </c>
      <c r="C79" s="69" t="s">
        <v>187</v>
      </c>
      <c r="D79" s="70" t="s">
        <v>181</v>
      </c>
      <c r="E79" s="70" t="s">
        <v>188</v>
      </c>
      <c r="F79" s="69" t="s">
        <v>105</v>
      </c>
      <c r="G79" s="71" t="s">
        <v>16</v>
      </c>
      <c r="H79" s="72"/>
      <c r="I79" s="73" t="n">
        <v>46072</v>
      </c>
      <c r="J79" s="69" t="s">
        <v>690</v>
      </c>
      <c r="K79" s="74" t="str">
        <f aca="false">IF(G79="No",MAX(0,AsOfDate-I79),"")</f>
        <v/>
      </c>
      <c r="L79" s="75" t="str">
        <f aca="false">IF(K79="","",IF(K79&lt;=90,"0-90",IF(K79&lt;=180,"91-180",IF(K79&lt;=270,"181-270","&gt;270"))))</f>
        <v/>
      </c>
      <c r="M79" s="75" t="str">
        <f aca="false">IF(G79="Obs",COUNTIF(G$2:G79,"Obs"),"")</f>
        <v/>
      </c>
      <c r="N79" s="75" t="str">
        <f aca="false">IF(G79="No",COUNTIF(G$2:G79,"No"),"")</f>
        <v/>
      </c>
    </row>
    <row r="80" customFormat="false" ht="15" hidden="false" customHeight="false" outlineLevel="0" collapsed="false">
      <c r="A80" s="10" t="s">
        <v>688</v>
      </c>
      <c r="B80" s="10" t="s">
        <v>132</v>
      </c>
      <c r="C80" s="10" t="s">
        <v>189</v>
      </c>
      <c r="D80" s="8" t="s">
        <v>181</v>
      </c>
      <c r="E80" s="8" t="s">
        <v>190</v>
      </c>
      <c r="F80" s="10" t="s">
        <v>110</v>
      </c>
      <c r="G80" s="11" t="s">
        <v>18</v>
      </c>
      <c r="H80" s="66" t="s">
        <v>741</v>
      </c>
      <c r="I80" s="67" t="n">
        <v>46072</v>
      </c>
      <c r="J80" s="10" t="s">
        <v>690</v>
      </c>
      <c r="K80" s="68" t="n">
        <f aca="false">IF(G80="No",MAX(0,AsOfDate-I80),"")</f>
        <v>111</v>
      </c>
      <c r="L80" s="12" t="str">
        <f aca="false">IF(K80="","",IF(K80&lt;=90,"0-90",IF(K80&lt;=180,"91-180",IF(K80&lt;=270,"181-270","&gt;270"))))</f>
        <v>91-180</v>
      </c>
      <c r="M80" s="12" t="str">
        <f aca="false">IF(G80="Obs",COUNTIF(G$2:G80,"Obs"),"")</f>
        <v/>
      </c>
      <c r="N80" s="12" t="n">
        <f aca="false">IF(G80="No",COUNTIF(G$2:G80,"No"),"")</f>
        <v>6</v>
      </c>
    </row>
    <row r="81" customFormat="false" ht="23.85" hidden="false" customHeight="false" outlineLevel="0" collapsed="false">
      <c r="A81" s="69" t="s">
        <v>688</v>
      </c>
      <c r="B81" s="69" t="s">
        <v>132</v>
      </c>
      <c r="C81" s="69" t="s">
        <v>191</v>
      </c>
      <c r="D81" s="70" t="s">
        <v>192</v>
      </c>
      <c r="E81" s="70" t="s">
        <v>193</v>
      </c>
      <c r="F81" s="69" t="s">
        <v>99</v>
      </c>
      <c r="G81" s="71" t="s">
        <v>16</v>
      </c>
      <c r="H81" s="72"/>
      <c r="I81" s="73" t="n">
        <v>46072</v>
      </c>
      <c r="J81" s="69" t="s">
        <v>690</v>
      </c>
      <c r="K81" s="74" t="str">
        <f aca="false">IF(G81="No",MAX(0,AsOfDate-I81),"")</f>
        <v/>
      </c>
      <c r="L81" s="75" t="str">
        <f aca="false">IF(K81="","",IF(K81&lt;=90,"0-90",IF(K81&lt;=180,"91-180",IF(K81&lt;=270,"181-270","&gt;270"))))</f>
        <v/>
      </c>
      <c r="M81" s="75" t="str">
        <f aca="false">IF(G81="Obs",COUNTIF(G$2:G81,"Obs"),"")</f>
        <v/>
      </c>
      <c r="N81" s="75" t="str">
        <f aca="false">IF(G81="No",COUNTIF(G$2:G81,"No"),"")</f>
        <v/>
      </c>
    </row>
    <row r="82" customFormat="false" ht="15" hidden="false" customHeight="false" outlineLevel="0" collapsed="false">
      <c r="A82" s="10" t="s">
        <v>688</v>
      </c>
      <c r="B82" s="10" t="s">
        <v>132</v>
      </c>
      <c r="C82" s="10" t="s">
        <v>194</v>
      </c>
      <c r="D82" s="8" t="s">
        <v>192</v>
      </c>
      <c r="E82" s="8" t="s">
        <v>195</v>
      </c>
      <c r="F82" s="10" t="s">
        <v>105</v>
      </c>
      <c r="G82" s="11" t="s">
        <v>16</v>
      </c>
      <c r="H82" s="66"/>
      <c r="I82" s="67" t="n">
        <v>46072</v>
      </c>
      <c r="J82" s="10" t="s">
        <v>690</v>
      </c>
      <c r="K82" s="68" t="str">
        <f aca="false">IF(G82="No",MAX(0,AsOfDate-I82),"")</f>
        <v/>
      </c>
      <c r="L82" s="12" t="str">
        <f aca="false">IF(K82="","",IF(K82&lt;=90,"0-90",IF(K82&lt;=180,"91-180",IF(K82&lt;=270,"181-270","&gt;270"))))</f>
        <v/>
      </c>
      <c r="M82" s="12" t="str">
        <f aca="false">IF(G82="Obs",COUNTIF(G$2:G82,"Obs"),"")</f>
        <v/>
      </c>
      <c r="N82" s="12" t="str">
        <f aca="false">IF(G82="No",COUNTIF(G$2:G82,"No"),"")</f>
        <v/>
      </c>
    </row>
    <row r="83" customFormat="false" ht="15" hidden="false" customHeight="false" outlineLevel="0" collapsed="false">
      <c r="A83" s="69" t="s">
        <v>691</v>
      </c>
      <c r="B83" s="69" t="s">
        <v>132</v>
      </c>
      <c r="C83" s="69" t="s">
        <v>131</v>
      </c>
      <c r="D83" s="70" t="s">
        <v>133</v>
      </c>
      <c r="E83" s="70" t="s">
        <v>134</v>
      </c>
      <c r="F83" s="69" t="s">
        <v>99</v>
      </c>
      <c r="G83" s="71" t="s">
        <v>20</v>
      </c>
      <c r="H83" s="72"/>
      <c r="I83" s="73" t="n">
        <v>46149</v>
      </c>
      <c r="J83" s="69" t="s">
        <v>693</v>
      </c>
      <c r="K83" s="74" t="str">
        <f aca="false">IF(G83="No",MAX(0,AsOfDate-I83),"")</f>
        <v/>
      </c>
      <c r="L83" s="75" t="str">
        <f aca="false">IF(K83="","",IF(K83&lt;=90,"0-90",IF(K83&lt;=180,"91-180",IF(K83&lt;=270,"181-270","&gt;270"))))</f>
        <v/>
      </c>
      <c r="M83" s="75" t="str">
        <f aca="false">IF(G83="Obs",COUNTIF(G$2:G83,"Obs"),"")</f>
        <v/>
      </c>
      <c r="N83" s="75" t="str">
        <f aca="false">IF(G83="No",COUNTIF(G$2:G83,"No"),"")</f>
        <v/>
      </c>
    </row>
    <row r="84" customFormat="false" ht="15" hidden="false" customHeight="false" outlineLevel="0" collapsed="false">
      <c r="A84" s="10" t="s">
        <v>691</v>
      </c>
      <c r="B84" s="10" t="s">
        <v>132</v>
      </c>
      <c r="C84" s="10" t="s">
        <v>135</v>
      </c>
      <c r="D84" s="8" t="s">
        <v>133</v>
      </c>
      <c r="E84" s="8" t="s">
        <v>136</v>
      </c>
      <c r="F84" s="10" t="s">
        <v>99</v>
      </c>
      <c r="G84" s="11" t="s">
        <v>16</v>
      </c>
      <c r="H84" s="66"/>
      <c r="I84" s="67" t="n">
        <v>46149</v>
      </c>
      <c r="J84" s="10" t="s">
        <v>693</v>
      </c>
      <c r="K84" s="68" t="str">
        <f aca="false">IF(G84="No",MAX(0,AsOfDate-I84),"")</f>
        <v/>
      </c>
      <c r="L84" s="12" t="str">
        <f aca="false">IF(K84="","",IF(K84&lt;=90,"0-90",IF(K84&lt;=180,"91-180",IF(K84&lt;=270,"181-270","&gt;270"))))</f>
        <v/>
      </c>
      <c r="M84" s="12" t="str">
        <f aca="false">IF(G84="Obs",COUNTIF(G$2:G84,"Obs"),"")</f>
        <v/>
      </c>
      <c r="N84" s="12" t="str">
        <f aca="false">IF(G84="No",COUNTIF(G$2:G84,"No"),"")</f>
        <v/>
      </c>
    </row>
    <row r="85" customFormat="false" ht="15" hidden="false" customHeight="false" outlineLevel="0" collapsed="false">
      <c r="A85" s="69" t="s">
        <v>691</v>
      </c>
      <c r="B85" s="69" t="s">
        <v>132</v>
      </c>
      <c r="C85" s="69" t="s">
        <v>137</v>
      </c>
      <c r="D85" s="70" t="s">
        <v>133</v>
      </c>
      <c r="E85" s="70" t="s">
        <v>138</v>
      </c>
      <c r="F85" s="69" t="s">
        <v>105</v>
      </c>
      <c r="G85" s="71" t="s">
        <v>16</v>
      </c>
      <c r="H85" s="72"/>
      <c r="I85" s="73" t="n">
        <v>46149</v>
      </c>
      <c r="J85" s="69" t="s">
        <v>693</v>
      </c>
      <c r="K85" s="74" t="str">
        <f aca="false">IF(G85="No",MAX(0,AsOfDate-I85),"")</f>
        <v/>
      </c>
      <c r="L85" s="75" t="str">
        <f aca="false">IF(K85="","",IF(K85&lt;=90,"0-90",IF(K85&lt;=180,"91-180",IF(K85&lt;=270,"181-270","&gt;270"))))</f>
        <v/>
      </c>
      <c r="M85" s="75" t="str">
        <f aca="false">IF(G85="Obs",COUNTIF(G$2:G85,"Obs"),"")</f>
        <v/>
      </c>
      <c r="N85" s="75" t="str">
        <f aca="false">IF(G85="No",COUNTIF(G$2:G85,"No"),"")</f>
        <v/>
      </c>
    </row>
    <row r="86" customFormat="false" ht="15" hidden="false" customHeight="false" outlineLevel="0" collapsed="false">
      <c r="A86" s="10" t="s">
        <v>691</v>
      </c>
      <c r="B86" s="10" t="s">
        <v>132</v>
      </c>
      <c r="C86" s="10" t="s">
        <v>139</v>
      </c>
      <c r="D86" s="8" t="s">
        <v>140</v>
      </c>
      <c r="E86" s="8" t="s">
        <v>141</v>
      </c>
      <c r="F86" s="10" t="s">
        <v>99</v>
      </c>
      <c r="G86" s="11" t="s">
        <v>16</v>
      </c>
      <c r="H86" s="66"/>
      <c r="I86" s="67" t="n">
        <v>46149</v>
      </c>
      <c r="J86" s="10" t="s">
        <v>693</v>
      </c>
      <c r="K86" s="68" t="str">
        <f aca="false">IF(G86="No",MAX(0,AsOfDate-I86),"")</f>
        <v/>
      </c>
      <c r="L86" s="12" t="str">
        <f aca="false">IF(K86="","",IF(K86&lt;=90,"0-90",IF(K86&lt;=180,"91-180",IF(K86&lt;=270,"181-270","&gt;270"))))</f>
        <v/>
      </c>
      <c r="M86" s="12" t="str">
        <f aca="false">IF(G86="Obs",COUNTIF(G$2:G86,"Obs"),"")</f>
        <v/>
      </c>
      <c r="N86" s="12" t="str">
        <f aca="false">IF(G86="No",COUNTIF(G$2:G86,"No"),"")</f>
        <v/>
      </c>
    </row>
    <row r="87" customFormat="false" ht="15" hidden="false" customHeight="false" outlineLevel="0" collapsed="false">
      <c r="A87" s="69" t="s">
        <v>691</v>
      </c>
      <c r="B87" s="69" t="s">
        <v>132</v>
      </c>
      <c r="C87" s="69" t="s">
        <v>142</v>
      </c>
      <c r="D87" s="70" t="s">
        <v>140</v>
      </c>
      <c r="E87" s="70" t="s">
        <v>143</v>
      </c>
      <c r="F87" s="69" t="s">
        <v>105</v>
      </c>
      <c r="G87" s="71" t="s">
        <v>16</v>
      </c>
      <c r="H87" s="72"/>
      <c r="I87" s="73" t="n">
        <v>46149</v>
      </c>
      <c r="J87" s="69" t="s">
        <v>693</v>
      </c>
      <c r="K87" s="74" t="str">
        <f aca="false">IF(G87="No",MAX(0,AsOfDate-I87),"")</f>
        <v/>
      </c>
      <c r="L87" s="75" t="str">
        <f aca="false">IF(K87="","",IF(K87&lt;=90,"0-90",IF(K87&lt;=180,"91-180",IF(K87&lt;=270,"181-270","&gt;270"))))</f>
        <v/>
      </c>
      <c r="M87" s="75" t="str">
        <f aca="false">IF(G87="Obs",COUNTIF(G$2:G87,"Obs"),"")</f>
        <v/>
      </c>
      <c r="N87" s="75" t="str">
        <f aca="false">IF(G87="No",COUNTIF(G$2:G87,"No"),"")</f>
        <v/>
      </c>
    </row>
    <row r="88" customFormat="false" ht="15" hidden="false" customHeight="false" outlineLevel="0" collapsed="false">
      <c r="A88" s="10" t="s">
        <v>691</v>
      </c>
      <c r="B88" s="10" t="s">
        <v>132</v>
      </c>
      <c r="C88" s="10" t="s">
        <v>144</v>
      </c>
      <c r="D88" s="8" t="s">
        <v>140</v>
      </c>
      <c r="E88" s="8" t="s">
        <v>145</v>
      </c>
      <c r="F88" s="10" t="s">
        <v>99</v>
      </c>
      <c r="G88" s="11" t="s">
        <v>16</v>
      </c>
      <c r="H88" s="66"/>
      <c r="I88" s="67" t="n">
        <v>46149</v>
      </c>
      <c r="J88" s="10" t="s">
        <v>693</v>
      </c>
      <c r="K88" s="68" t="str">
        <f aca="false">IF(G88="No",MAX(0,AsOfDate-I88),"")</f>
        <v/>
      </c>
      <c r="L88" s="12" t="str">
        <f aca="false">IF(K88="","",IF(K88&lt;=90,"0-90",IF(K88&lt;=180,"91-180",IF(K88&lt;=270,"181-270","&gt;270"))))</f>
        <v/>
      </c>
      <c r="M88" s="12" t="str">
        <f aca="false">IF(G88="Obs",COUNTIF(G$2:G88,"Obs"),"")</f>
        <v/>
      </c>
      <c r="N88" s="12" t="str">
        <f aca="false">IF(G88="No",COUNTIF(G$2:G88,"No"),"")</f>
        <v/>
      </c>
    </row>
    <row r="89" customFormat="false" ht="15" hidden="false" customHeight="false" outlineLevel="0" collapsed="false">
      <c r="A89" s="69" t="s">
        <v>691</v>
      </c>
      <c r="B89" s="69" t="s">
        <v>132</v>
      </c>
      <c r="C89" s="69" t="s">
        <v>146</v>
      </c>
      <c r="D89" s="70" t="s">
        <v>147</v>
      </c>
      <c r="E89" s="70" t="s">
        <v>148</v>
      </c>
      <c r="F89" s="69" t="s">
        <v>99</v>
      </c>
      <c r="G89" s="71" t="s">
        <v>16</v>
      </c>
      <c r="H89" s="72"/>
      <c r="I89" s="73" t="n">
        <v>46149</v>
      </c>
      <c r="J89" s="69" t="s">
        <v>693</v>
      </c>
      <c r="K89" s="74" t="str">
        <f aca="false">IF(G89="No",MAX(0,AsOfDate-I89),"")</f>
        <v/>
      </c>
      <c r="L89" s="75" t="str">
        <f aca="false">IF(K89="","",IF(K89&lt;=90,"0-90",IF(K89&lt;=180,"91-180",IF(K89&lt;=270,"181-270","&gt;270"))))</f>
        <v/>
      </c>
      <c r="M89" s="75" t="str">
        <f aca="false">IF(G89="Obs",COUNTIF(G$2:G89,"Obs"),"")</f>
        <v/>
      </c>
      <c r="N89" s="75" t="str">
        <f aca="false">IF(G89="No",COUNTIF(G$2:G89,"No"),"")</f>
        <v/>
      </c>
    </row>
    <row r="90" customFormat="false" ht="15" hidden="false" customHeight="false" outlineLevel="0" collapsed="false">
      <c r="A90" s="10" t="s">
        <v>691</v>
      </c>
      <c r="B90" s="10" t="s">
        <v>132</v>
      </c>
      <c r="C90" s="10" t="s">
        <v>149</v>
      </c>
      <c r="D90" s="8" t="s">
        <v>147</v>
      </c>
      <c r="E90" s="8" t="s">
        <v>150</v>
      </c>
      <c r="F90" s="10" t="s">
        <v>105</v>
      </c>
      <c r="G90" s="11" t="s">
        <v>16</v>
      </c>
      <c r="H90" s="66"/>
      <c r="I90" s="67" t="n">
        <v>46149</v>
      </c>
      <c r="J90" s="10" t="s">
        <v>693</v>
      </c>
      <c r="K90" s="68" t="str">
        <f aca="false">IF(G90="No",MAX(0,AsOfDate-I90),"")</f>
        <v/>
      </c>
      <c r="L90" s="12" t="str">
        <f aca="false">IF(K90="","",IF(K90&lt;=90,"0-90",IF(K90&lt;=180,"91-180",IF(K90&lt;=270,"181-270","&gt;270"))))</f>
        <v/>
      </c>
      <c r="M90" s="12" t="str">
        <f aca="false">IF(G90="Obs",COUNTIF(G$2:G90,"Obs"),"")</f>
        <v/>
      </c>
      <c r="N90" s="12" t="str">
        <f aca="false">IF(G90="No",COUNTIF(G$2:G90,"No"),"")</f>
        <v/>
      </c>
    </row>
    <row r="91" customFormat="false" ht="15" hidden="false" customHeight="false" outlineLevel="0" collapsed="false">
      <c r="A91" s="69" t="s">
        <v>691</v>
      </c>
      <c r="B91" s="69" t="s">
        <v>132</v>
      </c>
      <c r="C91" s="69" t="s">
        <v>151</v>
      </c>
      <c r="D91" s="70" t="s">
        <v>147</v>
      </c>
      <c r="E91" s="70" t="s">
        <v>152</v>
      </c>
      <c r="F91" s="69" t="s">
        <v>99</v>
      </c>
      <c r="G91" s="71" t="s">
        <v>16</v>
      </c>
      <c r="H91" s="72"/>
      <c r="I91" s="73" t="n">
        <v>46149</v>
      </c>
      <c r="J91" s="69" t="s">
        <v>693</v>
      </c>
      <c r="K91" s="74" t="str">
        <f aca="false">IF(G91="No",MAX(0,AsOfDate-I91),"")</f>
        <v/>
      </c>
      <c r="L91" s="75" t="str">
        <f aca="false">IF(K91="","",IF(K91&lt;=90,"0-90",IF(K91&lt;=180,"91-180",IF(K91&lt;=270,"181-270","&gt;270"))))</f>
        <v/>
      </c>
      <c r="M91" s="75" t="str">
        <f aca="false">IF(G91="Obs",COUNTIF(G$2:G91,"Obs"),"")</f>
        <v/>
      </c>
      <c r="N91" s="75" t="str">
        <f aca="false">IF(G91="No",COUNTIF(G$2:G91,"No"),"")</f>
        <v/>
      </c>
    </row>
    <row r="92" customFormat="false" ht="15" hidden="false" customHeight="false" outlineLevel="0" collapsed="false">
      <c r="A92" s="10" t="s">
        <v>691</v>
      </c>
      <c r="B92" s="10" t="s">
        <v>132</v>
      </c>
      <c r="C92" s="10" t="s">
        <v>153</v>
      </c>
      <c r="D92" s="8" t="s">
        <v>154</v>
      </c>
      <c r="E92" s="8" t="s">
        <v>155</v>
      </c>
      <c r="F92" s="10" t="s">
        <v>105</v>
      </c>
      <c r="G92" s="11" t="s">
        <v>20</v>
      </c>
      <c r="H92" s="66"/>
      <c r="I92" s="67" t="n">
        <v>46149</v>
      </c>
      <c r="J92" s="10" t="s">
        <v>693</v>
      </c>
      <c r="K92" s="68" t="str">
        <f aca="false">IF(G92="No",MAX(0,AsOfDate-I92),"")</f>
        <v/>
      </c>
      <c r="L92" s="12" t="str">
        <f aca="false">IF(K92="","",IF(K92&lt;=90,"0-90",IF(K92&lt;=180,"91-180",IF(K92&lt;=270,"181-270","&gt;270"))))</f>
        <v/>
      </c>
      <c r="M92" s="12" t="str">
        <f aca="false">IF(G92="Obs",COUNTIF(G$2:G92,"Obs"),"")</f>
        <v/>
      </c>
      <c r="N92" s="12" t="str">
        <f aca="false">IF(G92="No",COUNTIF(G$2:G92,"No"),"")</f>
        <v/>
      </c>
    </row>
    <row r="93" customFormat="false" ht="15" hidden="false" customHeight="false" outlineLevel="0" collapsed="false">
      <c r="A93" s="69" t="s">
        <v>691</v>
      </c>
      <c r="B93" s="69" t="s">
        <v>132</v>
      </c>
      <c r="C93" s="69" t="s">
        <v>156</v>
      </c>
      <c r="D93" s="70" t="s">
        <v>154</v>
      </c>
      <c r="E93" s="70" t="s">
        <v>157</v>
      </c>
      <c r="F93" s="69" t="s">
        <v>105</v>
      </c>
      <c r="G93" s="71" t="s">
        <v>18</v>
      </c>
      <c r="H93" s="72" t="s">
        <v>537</v>
      </c>
      <c r="I93" s="73" t="n">
        <v>46149</v>
      </c>
      <c r="J93" s="69" t="s">
        <v>693</v>
      </c>
      <c r="K93" s="74" t="n">
        <f aca="false">IF(G93="No",MAX(0,AsOfDate-I93),"")</f>
        <v>34</v>
      </c>
      <c r="L93" s="75" t="str">
        <f aca="false">IF(K93="","",IF(K93&lt;=90,"0-90",IF(K93&lt;=180,"91-180",IF(K93&lt;=270,"181-270","&gt;270"))))</f>
        <v>0-90</v>
      </c>
      <c r="M93" s="75" t="str">
        <f aca="false">IF(G93="Obs",COUNTIF(G$2:G93,"Obs"),"")</f>
        <v/>
      </c>
      <c r="N93" s="75" t="n">
        <f aca="false">IF(G93="No",COUNTIF(G$2:G93,"No"),"")</f>
        <v>7</v>
      </c>
    </row>
    <row r="94" customFormat="false" ht="23.85" hidden="false" customHeight="false" outlineLevel="0" collapsed="false">
      <c r="A94" s="10" t="s">
        <v>691</v>
      </c>
      <c r="B94" s="10" t="s">
        <v>132</v>
      </c>
      <c r="C94" s="10" t="s">
        <v>158</v>
      </c>
      <c r="D94" s="8" t="s">
        <v>159</v>
      </c>
      <c r="E94" s="8" t="s">
        <v>160</v>
      </c>
      <c r="F94" s="10" t="s">
        <v>99</v>
      </c>
      <c r="G94" s="11" t="s">
        <v>16</v>
      </c>
      <c r="H94" s="66"/>
      <c r="I94" s="67" t="n">
        <v>46149</v>
      </c>
      <c r="J94" s="10" t="s">
        <v>693</v>
      </c>
      <c r="K94" s="68" t="str">
        <f aca="false">IF(G94="No",MAX(0,AsOfDate-I94),"")</f>
        <v/>
      </c>
      <c r="L94" s="12" t="str">
        <f aca="false">IF(K94="","",IF(K94&lt;=90,"0-90",IF(K94&lt;=180,"91-180",IF(K94&lt;=270,"181-270","&gt;270"))))</f>
        <v/>
      </c>
      <c r="M94" s="12" t="str">
        <f aca="false">IF(G94="Obs",COUNTIF(G$2:G94,"Obs"),"")</f>
        <v/>
      </c>
      <c r="N94" s="12" t="str">
        <f aca="false">IF(G94="No",COUNTIF(G$2:G94,"No"),"")</f>
        <v/>
      </c>
    </row>
    <row r="95" customFormat="false" ht="23.85" hidden="false" customHeight="false" outlineLevel="0" collapsed="false">
      <c r="A95" s="69" t="s">
        <v>691</v>
      </c>
      <c r="B95" s="69" t="s">
        <v>132</v>
      </c>
      <c r="C95" s="69" t="s">
        <v>161</v>
      </c>
      <c r="D95" s="70" t="s">
        <v>159</v>
      </c>
      <c r="E95" s="70" t="s">
        <v>162</v>
      </c>
      <c r="F95" s="69" t="s">
        <v>99</v>
      </c>
      <c r="G95" s="71" t="s">
        <v>18</v>
      </c>
      <c r="H95" s="72" t="s">
        <v>742</v>
      </c>
      <c r="I95" s="73" t="n">
        <v>46149</v>
      </c>
      <c r="J95" s="69" t="s">
        <v>693</v>
      </c>
      <c r="K95" s="74" t="n">
        <f aca="false">IF(G95="No",MAX(0,AsOfDate-I95),"")</f>
        <v>34</v>
      </c>
      <c r="L95" s="75" t="str">
        <f aca="false">IF(K95="","",IF(K95&lt;=90,"0-90",IF(K95&lt;=180,"91-180",IF(K95&lt;=270,"181-270","&gt;270"))))</f>
        <v>0-90</v>
      </c>
      <c r="M95" s="75" t="str">
        <f aca="false">IF(G95="Obs",COUNTIF(G$2:G95,"Obs"),"")</f>
        <v/>
      </c>
      <c r="N95" s="75" t="n">
        <f aca="false">IF(G95="No",COUNTIF(G$2:G95,"No"),"")</f>
        <v>8</v>
      </c>
    </row>
    <row r="96" customFormat="false" ht="23.85" hidden="false" customHeight="false" outlineLevel="0" collapsed="false">
      <c r="A96" s="10" t="s">
        <v>691</v>
      </c>
      <c r="B96" s="10" t="s">
        <v>132</v>
      </c>
      <c r="C96" s="10" t="s">
        <v>163</v>
      </c>
      <c r="D96" s="8" t="s">
        <v>159</v>
      </c>
      <c r="E96" s="8" t="s">
        <v>164</v>
      </c>
      <c r="F96" s="10" t="s">
        <v>110</v>
      </c>
      <c r="G96" s="11" t="s">
        <v>16</v>
      </c>
      <c r="H96" s="66"/>
      <c r="I96" s="67" t="n">
        <v>46149</v>
      </c>
      <c r="J96" s="10" t="s">
        <v>693</v>
      </c>
      <c r="K96" s="68" t="str">
        <f aca="false">IF(G96="No",MAX(0,AsOfDate-I96),"")</f>
        <v/>
      </c>
      <c r="L96" s="12" t="str">
        <f aca="false">IF(K96="","",IF(K96&lt;=90,"0-90",IF(K96&lt;=180,"91-180",IF(K96&lt;=270,"181-270","&gt;270"))))</f>
        <v/>
      </c>
      <c r="M96" s="12" t="str">
        <f aca="false">IF(G96="Obs",COUNTIF(G$2:G96,"Obs"),"")</f>
        <v/>
      </c>
      <c r="N96" s="12" t="str">
        <f aca="false">IF(G96="No",COUNTIF(G$2:G96,"No"),"")</f>
        <v/>
      </c>
    </row>
    <row r="97" customFormat="false" ht="15" hidden="false" customHeight="false" outlineLevel="0" collapsed="false">
      <c r="A97" s="69" t="s">
        <v>691</v>
      </c>
      <c r="B97" s="69" t="s">
        <v>132</v>
      </c>
      <c r="C97" s="69" t="s">
        <v>165</v>
      </c>
      <c r="D97" s="70" t="s">
        <v>166</v>
      </c>
      <c r="E97" s="70" t="s">
        <v>167</v>
      </c>
      <c r="F97" s="69" t="s">
        <v>99</v>
      </c>
      <c r="G97" s="71" t="s">
        <v>16</v>
      </c>
      <c r="H97" s="72"/>
      <c r="I97" s="73" t="n">
        <v>46149</v>
      </c>
      <c r="J97" s="69" t="s">
        <v>693</v>
      </c>
      <c r="K97" s="74" t="str">
        <f aca="false">IF(G97="No",MAX(0,AsOfDate-I97),"")</f>
        <v/>
      </c>
      <c r="L97" s="75" t="str">
        <f aca="false">IF(K97="","",IF(K97&lt;=90,"0-90",IF(K97&lt;=180,"91-180",IF(K97&lt;=270,"181-270","&gt;270"))))</f>
        <v/>
      </c>
      <c r="M97" s="75" t="str">
        <f aca="false">IF(G97="Obs",COUNTIF(G$2:G97,"Obs"),"")</f>
        <v/>
      </c>
      <c r="N97" s="75" t="str">
        <f aca="false">IF(G97="No",COUNTIF(G$2:G97,"No"),"")</f>
        <v/>
      </c>
    </row>
    <row r="98" customFormat="false" ht="15" hidden="false" customHeight="false" outlineLevel="0" collapsed="false">
      <c r="A98" s="10" t="s">
        <v>691</v>
      </c>
      <c r="B98" s="10" t="s">
        <v>132</v>
      </c>
      <c r="C98" s="10" t="s">
        <v>168</v>
      </c>
      <c r="D98" s="8" t="s">
        <v>166</v>
      </c>
      <c r="E98" s="8" t="s">
        <v>169</v>
      </c>
      <c r="F98" s="10" t="s">
        <v>105</v>
      </c>
      <c r="G98" s="11" t="s">
        <v>20</v>
      </c>
      <c r="H98" s="66"/>
      <c r="I98" s="67" t="n">
        <v>46149</v>
      </c>
      <c r="J98" s="10" t="s">
        <v>693</v>
      </c>
      <c r="K98" s="68" t="str">
        <f aca="false">IF(G98="No",MAX(0,AsOfDate-I98),"")</f>
        <v/>
      </c>
      <c r="L98" s="12" t="str">
        <f aca="false">IF(K98="","",IF(K98&lt;=90,"0-90",IF(K98&lt;=180,"91-180",IF(K98&lt;=270,"181-270","&gt;270"))))</f>
        <v/>
      </c>
      <c r="M98" s="12" t="str">
        <f aca="false">IF(G98="Obs",COUNTIF(G$2:G98,"Obs"),"")</f>
        <v/>
      </c>
      <c r="N98" s="12" t="str">
        <f aca="false">IF(G98="No",COUNTIF(G$2:G98,"No"),"")</f>
        <v/>
      </c>
    </row>
    <row r="99" customFormat="false" ht="15" hidden="false" customHeight="false" outlineLevel="0" collapsed="false">
      <c r="A99" s="69" t="s">
        <v>691</v>
      </c>
      <c r="B99" s="69" t="s">
        <v>132</v>
      </c>
      <c r="C99" s="69" t="s">
        <v>170</v>
      </c>
      <c r="D99" s="70" t="s">
        <v>171</v>
      </c>
      <c r="E99" s="70" t="s">
        <v>172</v>
      </c>
      <c r="F99" s="69" t="s">
        <v>105</v>
      </c>
      <c r="G99" s="71" t="s">
        <v>16</v>
      </c>
      <c r="H99" s="72"/>
      <c r="I99" s="73" t="n">
        <v>46149</v>
      </c>
      <c r="J99" s="69" t="s">
        <v>693</v>
      </c>
      <c r="K99" s="74" t="str">
        <f aca="false">IF(G99="No",MAX(0,AsOfDate-I99),"")</f>
        <v/>
      </c>
      <c r="L99" s="75" t="str">
        <f aca="false">IF(K99="","",IF(K99&lt;=90,"0-90",IF(K99&lt;=180,"91-180",IF(K99&lt;=270,"181-270","&gt;270"))))</f>
        <v/>
      </c>
      <c r="M99" s="75" t="str">
        <f aca="false">IF(G99="Obs",COUNTIF(G$2:G99,"Obs"),"")</f>
        <v/>
      </c>
      <c r="N99" s="75" t="str">
        <f aca="false">IF(G99="No",COUNTIF(G$2:G99,"No"),"")</f>
        <v/>
      </c>
    </row>
    <row r="100" customFormat="false" ht="15" hidden="false" customHeight="false" outlineLevel="0" collapsed="false">
      <c r="A100" s="10" t="s">
        <v>691</v>
      </c>
      <c r="B100" s="10" t="s">
        <v>132</v>
      </c>
      <c r="C100" s="10" t="s">
        <v>173</v>
      </c>
      <c r="D100" s="8" t="s">
        <v>171</v>
      </c>
      <c r="E100" s="8" t="s">
        <v>174</v>
      </c>
      <c r="F100" s="10" t="s">
        <v>99</v>
      </c>
      <c r="G100" s="11" t="s">
        <v>16</v>
      </c>
      <c r="H100" s="66"/>
      <c r="I100" s="67" t="n">
        <v>46149</v>
      </c>
      <c r="J100" s="10" t="s">
        <v>693</v>
      </c>
      <c r="K100" s="68" t="str">
        <f aca="false">IF(G100="No",MAX(0,AsOfDate-I100),"")</f>
        <v/>
      </c>
      <c r="L100" s="12" t="str">
        <f aca="false">IF(K100="","",IF(K100&lt;=90,"0-90",IF(K100&lt;=180,"91-180",IF(K100&lt;=270,"181-270","&gt;270"))))</f>
        <v/>
      </c>
      <c r="M100" s="12" t="str">
        <f aca="false">IF(G100="Obs",COUNTIF(G$2:G100,"Obs"),"")</f>
        <v/>
      </c>
      <c r="N100" s="12" t="str">
        <f aca="false">IF(G100="No",COUNTIF(G$2:G100,"No"),"")</f>
        <v/>
      </c>
    </row>
    <row r="101" customFormat="false" ht="23.85" hidden="false" customHeight="false" outlineLevel="0" collapsed="false">
      <c r="A101" s="69" t="s">
        <v>691</v>
      </c>
      <c r="B101" s="69" t="s">
        <v>132</v>
      </c>
      <c r="C101" s="69" t="s">
        <v>175</v>
      </c>
      <c r="D101" s="70" t="s">
        <v>176</v>
      </c>
      <c r="E101" s="70" t="s">
        <v>177</v>
      </c>
      <c r="F101" s="69" t="s">
        <v>105</v>
      </c>
      <c r="G101" s="71" t="s">
        <v>22</v>
      </c>
      <c r="H101" s="72" t="s">
        <v>621</v>
      </c>
      <c r="I101" s="73" t="n">
        <v>46149</v>
      </c>
      <c r="J101" s="69" t="s">
        <v>693</v>
      </c>
      <c r="K101" s="74" t="str">
        <f aca="false">IF(G101="No",MAX(0,AsOfDate-I101),"")</f>
        <v/>
      </c>
      <c r="L101" s="75" t="str">
        <f aca="false">IF(K101="","",IF(K101&lt;=90,"0-90",IF(K101&lt;=180,"91-180",IF(K101&lt;=270,"181-270","&gt;270"))))</f>
        <v/>
      </c>
      <c r="M101" s="75" t="n">
        <f aca="false">IF(G101="Obs",COUNTIF(G$2:G101,"Obs"),"")</f>
        <v>2</v>
      </c>
      <c r="N101" s="75" t="str">
        <f aca="false">IF(G101="No",COUNTIF(G$2:G101,"No"),"")</f>
        <v/>
      </c>
    </row>
    <row r="102" customFormat="false" ht="15" hidden="false" customHeight="false" outlineLevel="0" collapsed="false">
      <c r="A102" s="10" t="s">
        <v>691</v>
      </c>
      <c r="B102" s="10" t="s">
        <v>132</v>
      </c>
      <c r="C102" s="10" t="s">
        <v>178</v>
      </c>
      <c r="D102" s="8" t="s">
        <v>176</v>
      </c>
      <c r="E102" s="8" t="s">
        <v>179</v>
      </c>
      <c r="F102" s="10" t="s">
        <v>105</v>
      </c>
      <c r="G102" s="11" t="s">
        <v>16</v>
      </c>
      <c r="H102" s="66"/>
      <c r="I102" s="67" t="n">
        <v>46149</v>
      </c>
      <c r="J102" s="10" t="s">
        <v>693</v>
      </c>
      <c r="K102" s="68" t="str">
        <f aca="false">IF(G102="No",MAX(0,AsOfDate-I102),"")</f>
        <v/>
      </c>
      <c r="L102" s="12" t="str">
        <f aca="false">IF(K102="","",IF(K102&lt;=90,"0-90",IF(K102&lt;=180,"91-180",IF(K102&lt;=270,"181-270","&gt;270"))))</f>
        <v/>
      </c>
      <c r="M102" s="12" t="str">
        <f aca="false">IF(G102="Obs",COUNTIF(G$2:G102,"Obs"),"")</f>
        <v/>
      </c>
      <c r="N102" s="12" t="str">
        <f aca="false">IF(G102="No",COUNTIF(G$2:G102,"No"),"")</f>
        <v/>
      </c>
    </row>
    <row r="103" customFormat="false" ht="15" hidden="false" customHeight="false" outlineLevel="0" collapsed="false">
      <c r="A103" s="69" t="s">
        <v>691</v>
      </c>
      <c r="B103" s="69" t="s">
        <v>132</v>
      </c>
      <c r="C103" s="69" t="s">
        <v>180</v>
      </c>
      <c r="D103" s="70" t="s">
        <v>181</v>
      </c>
      <c r="E103" s="70" t="s">
        <v>182</v>
      </c>
      <c r="F103" s="69" t="s">
        <v>105</v>
      </c>
      <c r="G103" s="71" t="s">
        <v>16</v>
      </c>
      <c r="H103" s="72"/>
      <c r="I103" s="73" t="n">
        <v>46149</v>
      </c>
      <c r="J103" s="69" t="s">
        <v>693</v>
      </c>
      <c r="K103" s="74" t="str">
        <f aca="false">IF(G103="No",MAX(0,AsOfDate-I103),"")</f>
        <v/>
      </c>
      <c r="L103" s="75" t="str">
        <f aca="false">IF(K103="","",IF(K103&lt;=90,"0-90",IF(K103&lt;=180,"91-180",IF(K103&lt;=270,"181-270","&gt;270"))))</f>
        <v/>
      </c>
      <c r="M103" s="75" t="str">
        <f aca="false">IF(G103="Obs",COUNTIF(G$2:G103,"Obs"),"")</f>
        <v/>
      </c>
      <c r="N103" s="75" t="str">
        <f aca="false">IF(G103="No",COUNTIF(G$2:G103,"No"),"")</f>
        <v/>
      </c>
    </row>
    <row r="104" customFormat="false" ht="15" hidden="false" customHeight="false" outlineLevel="0" collapsed="false">
      <c r="A104" s="10" t="s">
        <v>691</v>
      </c>
      <c r="B104" s="10" t="s">
        <v>132</v>
      </c>
      <c r="C104" s="10" t="s">
        <v>183</v>
      </c>
      <c r="D104" s="8" t="s">
        <v>181</v>
      </c>
      <c r="E104" s="8" t="s">
        <v>184</v>
      </c>
      <c r="F104" s="10" t="s">
        <v>99</v>
      </c>
      <c r="G104" s="11" t="s">
        <v>16</v>
      </c>
      <c r="H104" s="66"/>
      <c r="I104" s="67" t="n">
        <v>46149</v>
      </c>
      <c r="J104" s="10" t="s">
        <v>693</v>
      </c>
      <c r="K104" s="68" t="str">
        <f aca="false">IF(G104="No",MAX(0,AsOfDate-I104),"")</f>
        <v/>
      </c>
      <c r="L104" s="12" t="str">
        <f aca="false">IF(K104="","",IF(K104&lt;=90,"0-90",IF(K104&lt;=180,"91-180",IF(K104&lt;=270,"181-270","&gt;270"))))</f>
        <v/>
      </c>
      <c r="M104" s="12" t="str">
        <f aca="false">IF(G104="Obs",COUNTIF(G$2:G104,"Obs"),"")</f>
        <v/>
      </c>
      <c r="N104" s="12" t="str">
        <f aca="false">IF(G104="No",COUNTIF(G$2:G104,"No"),"")</f>
        <v/>
      </c>
    </row>
    <row r="105" customFormat="false" ht="15" hidden="false" customHeight="false" outlineLevel="0" collapsed="false">
      <c r="A105" s="69" t="s">
        <v>691</v>
      </c>
      <c r="B105" s="69" t="s">
        <v>132</v>
      </c>
      <c r="C105" s="69" t="s">
        <v>185</v>
      </c>
      <c r="D105" s="70" t="s">
        <v>181</v>
      </c>
      <c r="E105" s="70" t="s">
        <v>186</v>
      </c>
      <c r="F105" s="69" t="s">
        <v>105</v>
      </c>
      <c r="G105" s="71" t="s">
        <v>16</v>
      </c>
      <c r="H105" s="72"/>
      <c r="I105" s="73" t="n">
        <v>46149</v>
      </c>
      <c r="J105" s="69" t="s">
        <v>693</v>
      </c>
      <c r="K105" s="74" t="str">
        <f aca="false">IF(G105="No",MAX(0,AsOfDate-I105),"")</f>
        <v/>
      </c>
      <c r="L105" s="75" t="str">
        <f aca="false">IF(K105="","",IF(K105&lt;=90,"0-90",IF(K105&lt;=180,"91-180",IF(K105&lt;=270,"181-270","&gt;270"))))</f>
        <v/>
      </c>
      <c r="M105" s="75" t="str">
        <f aca="false">IF(G105="Obs",COUNTIF(G$2:G105,"Obs"),"")</f>
        <v/>
      </c>
      <c r="N105" s="75" t="str">
        <f aca="false">IF(G105="No",COUNTIF(G$2:G105,"No"),"")</f>
        <v/>
      </c>
    </row>
    <row r="106" customFormat="false" ht="15" hidden="false" customHeight="false" outlineLevel="0" collapsed="false">
      <c r="A106" s="10" t="s">
        <v>691</v>
      </c>
      <c r="B106" s="10" t="s">
        <v>132</v>
      </c>
      <c r="C106" s="10" t="s">
        <v>187</v>
      </c>
      <c r="D106" s="8" t="s">
        <v>181</v>
      </c>
      <c r="E106" s="8" t="s">
        <v>188</v>
      </c>
      <c r="F106" s="10" t="s">
        <v>105</v>
      </c>
      <c r="G106" s="11" t="s">
        <v>16</v>
      </c>
      <c r="H106" s="66"/>
      <c r="I106" s="67" t="n">
        <v>46149</v>
      </c>
      <c r="J106" s="10" t="s">
        <v>693</v>
      </c>
      <c r="K106" s="68" t="str">
        <f aca="false">IF(G106="No",MAX(0,AsOfDate-I106),"")</f>
        <v/>
      </c>
      <c r="L106" s="12" t="str">
        <f aca="false">IF(K106="","",IF(K106&lt;=90,"0-90",IF(K106&lt;=180,"91-180",IF(K106&lt;=270,"181-270","&gt;270"))))</f>
        <v/>
      </c>
      <c r="M106" s="12" t="str">
        <f aca="false">IF(G106="Obs",COUNTIF(G$2:G106,"Obs"),"")</f>
        <v/>
      </c>
      <c r="N106" s="12" t="str">
        <f aca="false">IF(G106="No",COUNTIF(G$2:G106,"No"),"")</f>
        <v/>
      </c>
    </row>
    <row r="107" customFormat="false" ht="15" hidden="false" customHeight="false" outlineLevel="0" collapsed="false">
      <c r="A107" s="69" t="s">
        <v>691</v>
      </c>
      <c r="B107" s="69" t="s">
        <v>132</v>
      </c>
      <c r="C107" s="69" t="s">
        <v>189</v>
      </c>
      <c r="D107" s="70" t="s">
        <v>181</v>
      </c>
      <c r="E107" s="70" t="s">
        <v>190</v>
      </c>
      <c r="F107" s="69" t="s">
        <v>110</v>
      </c>
      <c r="G107" s="71" t="s">
        <v>16</v>
      </c>
      <c r="H107" s="72"/>
      <c r="I107" s="73" t="n">
        <v>46149</v>
      </c>
      <c r="J107" s="69" t="s">
        <v>693</v>
      </c>
      <c r="K107" s="74" t="str">
        <f aca="false">IF(G107="No",MAX(0,AsOfDate-I107),"")</f>
        <v/>
      </c>
      <c r="L107" s="75" t="str">
        <f aca="false">IF(K107="","",IF(K107&lt;=90,"0-90",IF(K107&lt;=180,"91-180",IF(K107&lt;=270,"181-270","&gt;270"))))</f>
        <v/>
      </c>
      <c r="M107" s="75" t="str">
        <f aca="false">IF(G107="Obs",COUNTIF(G$2:G107,"Obs"),"")</f>
        <v/>
      </c>
      <c r="N107" s="75" t="str">
        <f aca="false">IF(G107="No",COUNTIF(G$2:G107,"No"),"")</f>
        <v/>
      </c>
    </row>
    <row r="108" customFormat="false" ht="23.85" hidden="false" customHeight="false" outlineLevel="0" collapsed="false">
      <c r="A108" s="10" t="s">
        <v>691</v>
      </c>
      <c r="B108" s="10" t="s">
        <v>132</v>
      </c>
      <c r="C108" s="10" t="s">
        <v>191</v>
      </c>
      <c r="D108" s="8" t="s">
        <v>192</v>
      </c>
      <c r="E108" s="8" t="s">
        <v>193</v>
      </c>
      <c r="F108" s="10" t="s">
        <v>99</v>
      </c>
      <c r="G108" s="11" t="s">
        <v>16</v>
      </c>
      <c r="H108" s="66"/>
      <c r="I108" s="67" t="n">
        <v>46149</v>
      </c>
      <c r="J108" s="10" t="s">
        <v>693</v>
      </c>
      <c r="K108" s="68" t="str">
        <f aca="false">IF(G108="No",MAX(0,AsOfDate-I108),"")</f>
        <v/>
      </c>
      <c r="L108" s="12" t="str">
        <f aca="false">IF(K108="","",IF(K108&lt;=90,"0-90",IF(K108&lt;=180,"91-180",IF(K108&lt;=270,"181-270","&gt;270"))))</f>
        <v/>
      </c>
      <c r="M108" s="12" t="str">
        <f aca="false">IF(G108="Obs",COUNTIF(G$2:G108,"Obs"),"")</f>
        <v/>
      </c>
      <c r="N108" s="12" t="str">
        <f aca="false">IF(G108="No",COUNTIF(G$2:G108,"No"),"")</f>
        <v/>
      </c>
    </row>
    <row r="109" customFormat="false" ht="15" hidden="false" customHeight="false" outlineLevel="0" collapsed="false">
      <c r="A109" s="69" t="s">
        <v>691</v>
      </c>
      <c r="B109" s="69" t="s">
        <v>132</v>
      </c>
      <c r="C109" s="69" t="s">
        <v>194</v>
      </c>
      <c r="D109" s="70" t="s">
        <v>192</v>
      </c>
      <c r="E109" s="70" t="s">
        <v>195</v>
      </c>
      <c r="F109" s="69" t="s">
        <v>105</v>
      </c>
      <c r="G109" s="71" t="s">
        <v>16</v>
      </c>
      <c r="H109" s="72"/>
      <c r="I109" s="73" t="n">
        <v>46149</v>
      </c>
      <c r="J109" s="69" t="s">
        <v>693</v>
      </c>
      <c r="K109" s="74" t="str">
        <f aca="false">IF(G109="No",MAX(0,AsOfDate-I109),"")</f>
        <v/>
      </c>
      <c r="L109" s="75" t="str">
        <f aca="false">IF(K109="","",IF(K109&lt;=90,"0-90",IF(K109&lt;=180,"91-180",IF(K109&lt;=270,"181-270","&gt;270"))))</f>
        <v/>
      </c>
      <c r="M109" s="75" t="str">
        <f aca="false">IF(G109="Obs",COUNTIF(G$2:G109,"Obs"),"")</f>
        <v/>
      </c>
      <c r="N109" s="75" t="str">
        <f aca="false">IF(G109="No",COUNTIF(G$2:G109,"No"),"")</f>
        <v/>
      </c>
    </row>
    <row r="110" customFormat="false" ht="15" hidden="false" customHeight="false" outlineLevel="0" collapsed="false">
      <c r="A110" s="10" t="s">
        <v>515</v>
      </c>
      <c r="B110" s="10" t="s">
        <v>197</v>
      </c>
      <c r="C110" s="10" t="s">
        <v>196</v>
      </c>
      <c r="D110" s="8" t="s">
        <v>133</v>
      </c>
      <c r="E110" s="8" t="s">
        <v>134</v>
      </c>
      <c r="F110" s="10" t="s">
        <v>99</v>
      </c>
      <c r="G110" s="11" t="s">
        <v>16</v>
      </c>
      <c r="H110" s="66"/>
      <c r="I110" s="67" t="n">
        <v>45883</v>
      </c>
      <c r="J110" s="10" t="s">
        <v>431</v>
      </c>
      <c r="K110" s="68" t="str">
        <f aca="false">IF(G110="No",MAX(0,AsOfDate-I110),"")</f>
        <v/>
      </c>
      <c r="L110" s="12" t="str">
        <f aca="false">IF(K110="","",IF(K110&lt;=90,"0-90",IF(K110&lt;=180,"91-180",IF(K110&lt;=270,"181-270","&gt;270"))))</f>
        <v/>
      </c>
      <c r="M110" s="12" t="str">
        <f aca="false">IF(G110="Obs",COUNTIF(G$2:G110,"Obs"),"")</f>
        <v/>
      </c>
      <c r="N110" s="12" t="str">
        <f aca="false">IF(G110="No",COUNTIF(G$2:G110,"No"),"")</f>
        <v/>
      </c>
    </row>
    <row r="111" customFormat="false" ht="15" hidden="false" customHeight="false" outlineLevel="0" collapsed="false">
      <c r="A111" s="69" t="s">
        <v>515</v>
      </c>
      <c r="B111" s="69" t="s">
        <v>197</v>
      </c>
      <c r="C111" s="69" t="s">
        <v>198</v>
      </c>
      <c r="D111" s="70" t="s">
        <v>133</v>
      </c>
      <c r="E111" s="70" t="s">
        <v>136</v>
      </c>
      <c r="F111" s="69" t="s">
        <v>99</v>
      </c>
      <c r="G111" s="71" t="s">
        <v>16</v>
      </c>
      <c r="H111" s="72"/>
      <c r="I111" s="73" t="n">
        <v>45883</v>
      </c>
      <c r="J111" s="69" t="s">
        <v>431</v>
      </c>
      <c r="K111" s="74" t="str">
        <f aca="false">IF(G111="No",MAX(0,AsOfDate-I111),"")</f>
        <v/>
      </c>
      <c r="L111" s="75" t="str">
        <f aca="false">IF(K111="","",IF(K111&lt;=90,"0-90",IF(K111&lt;=180,"91-180",IF(K111&lt;=270,"181-270","&gt;270"))))</f>
        <v/>
      </c>
      <c r="M111" s="75" t="str">
        <f aca="false">IF(G111="Obs",COUNTIF(G$2:G111,"Obs"),"")</f>
        <v/>
      </c>
      <c r="N111" s="75" t="str">
        <f aca="false">IF(G111="No",COUNTIF(G$2:G111,"No"),"")</f>
        <v/>
      </c>
    </row>
    <row r="112" customFormat="false" ht="15" hidden="false" customHeight="false" outlineLevel="0" collapsed="false">
      <c r="A112" s="10" t="s">
        <v>515</v>
      </c>
      <c r="B112" s="10" t="s">
        <v>197</v>
      </c>
      <c r="C112" s="10" t="s">
        <v>199</v>
      </c>
      <c r="D112" s="8" t="s">
        <v>133</v>
      </c>
      <c r="E112" s="8" t="s">
        <v>138</v>
      </c>
      <c r="F112" s="10" t="s">
        <v>105</v>
      </c>
      <c r="G112" s="11" t="s">
        <v>16</v>
      </c>
      <c r="H112" s="66"/>
      <c r="I112" s="67" t="n">
        <v>45883</v>
      </c>
      <c r="J112" s="10" t="s">
        <v>431</v>
      </c>
      <c r="K112" s="68" t="str">
        <f aca="false">IF(G112="No",MAX(0,AsOfDate-I112),"")</f>
        <v/>
      </c>
      <c r="L112" s="12" t="str">
        <f aca="false">IF(K112="","",IF(K112&lt;=90,"0-90",IF(K112&lt;=180,"91-180",IF(K112&lt;=270,"181-270","&gt;270"))))</f>
        <v/>
      </c>
      <c r="M112" s="12" t="str">
        <f aca="false">IF(G112="Obs",COUNTIF(G$2:G112,"Obs"),"")</f>
        <v/>
      </c>
      <c r="N112" s="12" t="str">
        <f aca="false">IF(G112="No",COUNTIF(G$2:G112,"No"),"")</f>
        <v/>
      </c>
    </row>
    <row r="113" customFormat="false" ht="15" hidden="false" customHeight="false" outlineLevel="0" collapsed="false">
      <c r="A113" s="69" t="s">
        <v>515</v>
      </c>
      <c r="B113" s="69" t="s">
        <v>197</v>
      </c>
      <c r="C113" s="69" t="s">
        <v>200</v>
      </c>
      <c r="D113" s="70" t="s">
        <v>140</v>
      </c>
      <c r="E113" s="70" t="s">
        <v>141</v>
      </c>
      <c r="F113" s="69" t="s">
        <v>99</v>
      </c>
      <c r="G113" s="71" t="s">
        <v>16</v>
      </c>
      <c r="H113" s="72"/>
      <c r="I113" s="73" t="n">
        <v>45883</v>
      </c>
      <c r="J113" s="69" t="s">
        <v>431</v>
      </c>
      <c r="K113" s="74" t="str">
        <f aca="false">IF(G113="No",MAX(0,AsOfDate-I113),"")</f>
        <v/>
      </c>
      <c r="L113" s="75" t="str">
        <f aca="false">IF(K113="","",IF(K113&lt;=90,"0-90",IF(K113&lt;=180,"91-180",IF(K113&lt;=270,"181-270","&gt;270"))))</f>
        <v/>
      </c>
      <c r="M113" s="75" t="str">
        <f aca="false">IF(G113="Obs",COUNTIF(G$2:G113,"Obs"),"")</f>
        <v/>
      </c>
      <c r="N113" s="75" t="str">
        <f aca="false">IF(G113="No",COUNTIF(G$2:G113,"No"),"")</f>
        <v/>
      </c>
    </row>
    <row r="114" customFormat="false" ht="15" hidden="false" customHeight="false" outlineLevel="0" collapsed="false">
      <c r="A114" s="10" t="s">
        <v>515</v>
      </c>
      <c r="B114" s="10" t="s">
        <v>197</v>
      </c>
      <c r="C114" s="10" t="s">
        <v>201</v>
      </c>
      <c r="D114" s="8" t="s">
        <v>140</v>
      </c>
      <c r="E114" s="8" t="s">
        <v>143</v>
      </c>
      <c r="F114" s="10" t="s">
        <v>105</v>
      </c>
      <c r="G114" s="11" t="s">
        <v>16</v>
      </c>
      <c r="H114" s="66"/>
      <c r="I114" s="67" t="n">
        <v>45883</v>
      </c>
      <c r="J114" s="10" t="s">
        <v>431</v>
      </c>
      <c r="K114" s="68" t="str">
        <f aca="false">IF(G114="No",MAX(0,AsOfDate-I114),"")</f>
        <v/>
      </c>
      <c r="L114" s="12" t="str">
        <f aca="false">IF(K114="","",IF(K114&lt;=90,"0-90",IF(K114&lt;=180,"91-180",IF(K114&lt;=270,"181-270","&gt;270"))))</f>
        <v/>
      </c>
      <c r="M114" s="12" t="str">
        <f aca="false">IF(G114="Obs",COUNTIF(G$2:G114,"Obs"),"")</f>
        <v/>
      </c>
      <c r="N114" s="12" t="str">
        <f aca="false">IF(G114="No",COUNTIF(G$2:G114,"No"),"")</f>
        <v/>
      </c>
    </row>
    <row r="115" customFormat="false" ht="15" hidden="false" customHeight="false" outlineLevel="0" collapsed="false">
      <c r="A115" s="69" t="s">
        <v>515</v>
      </c>
      <c r="B115" s="69" t="s">
        <v>197</v>
      </c>
      <c r="C115" s="69" t="s">
        <v>202</v>
      </c>
      <c r="D115" s="70" t="s">
        <v>140</v>
      </c>
      <c r="E115" s="70" t="s">
        <v>145</v>
      </c>
      <c r="F115" s="69" t="s">
        <v>99</v>
      </c>
      <c r="G115" s="71" t="s">
        <v>16</v>
      </c>
      <c r="H115" s="72"/>
      <c r="I115" s="73" t="n">
        <v>45883</v>
      </c>
      <c r="J115" s="69" t="s">
        <v>431</v>
      </c>
      <c r="K115" s="74" t="str">
        <f aca="false">IF(G115="No",MAX(0,AsOfDate-I115),"")</f>
        <v/>
      </c>
      <c r="L115" s="75" t="str">
        <f aca="false">IF(K115="","",IF(K115&lt;=90,"0-90",IF(K115&lt;=180,"91-180",IF(K115&lt;=270,"181-270","&gt;270"))))</f>
        <v/>
      </c>
      <c r="M115" s="75" t="str">
        <f aca="false">IF(G115="Obs",COUNTIF(G$2:G115,"Obs"),"")</f>
        <v/>
      </c>
      <c r="N115" s="75" t="str">
        <f aca="false">IF(G115="No",COUNTIF(G$2:G115,"No"),"")</f>
        <v/>
      </c>
    </row>
    <row r="116" customFormat="false" ht="15" hidden="false" customHeight="false" outlineLevel="0" collapsed="false">
      <c r="A116" s="10" t="s">
        <v>515</v>
      </c>
      <c r="B116" s="10" t="s">
        <v>197</v>
      </c>
      <c r="C116" s="10" t="s">
        <v>203</v>
      </c>
      <c r="D116" s="8" t="s">
        <v>147</v>
      </c>
      <c r="E116" s="8" t="s">
        <v>148</v>
      </c>
      <c r="F116" s="10" t="s">
        <v>99</v>
      </c>
      <c r="G116" s="11" t="s">
        <v>16</v>
      </c>
      <c r="H116" s="66"/>
      <c r="I116" s="67" t="n">
        <v>45883</v>
      </c>
      <c r="J116" s="10" t="s">
        <v>431</v>
      </c>
      <c r="K116" s="68" t="str">
        <f aca="false">IF(G116="No",MAX(0,AsOfDate-I116),"")</f>
        <v/>
      </c>
      <c r="L116" s="12" t="str">
        <f aca="false">IF(K116="","",IF(K116&lt;=90,"0-90",IF(K116&lt;=180,"91-180",IF(K116&lt;=270,"181-270","&gt;270"))))</f>
        <v/>
      </c>
      <c r="M116" s="12" t="str">
        <f aca="false">IF(G116="Obs",COUNTIF(G$2:G116,"Obs"),"")</f>
        <v/>
      </c>
      <c r="N116" s="12" t="str">
        <f aca="false">IF(G116="No",COUNTIF(G$2:G116,"No"),"")</f>
        <v/>
      </c>
    </row>
    <row r="117" customFormat="false" ht="15" hidden="false" customHeight="false" outlineLevel="0" collapsed="false">
      <c r="A117" s="69" t="s">
        <v>515</v>
      </c>
      <c r="B117" s="69" t="s">
        <v>197</v>
      </c>
      <c r="C117" s="69" t="s">
        <v>204</v>
      </c>
      <c r="D117" s="70" t="s">
        <v>147</v>
      </c>
      <c r="E117" s="70" t="s">
        <v>150</v>
      </c>
      <c r="F117" s="69" t="s">
        <v>105</v>
      </c>
      <c r="G117" s="71" t="s">
        <v>16</v>
      </c>
      <c r="H117" s="72"/>
      <c r="I117" s="73" t="n">
        <v>45883</v>
      </c>
      <c r="J117" s="69" t="s">
        <v>431</v>
      </c>
      <c r="K117" s="74" t="str">
        <f aca="false">IF(G117="No",MAX(0,AsOfDate-I117),"")</f>
        <v/>
      </c>
      <c r="L117" s="75" t="str">
        <f aca="false">IF(K117="","",IF(K117&lt;=90,"0-90",IF(K117&lt;=180,"91-180",IF(K117&lt;=270,"181-270","&gt;270"))))</f>
        <v/>
      </c>
      <c r="M117" s="75" t="str">
        <f aca="false">IF(G117="Obs",COUNTIF(G$2:G117,"Obs"),"")</f>
        <v/>
      </c>
      <c r="N117" s="75" t="str">
        <f aca="false">IF(G117="No",COUNTIF(G$2:G117,"No"),"")</f>
        <v/>
      </c>
    </row>
    <row r="118" customFormat="false" ht="15" hidden="false" customHeight="false" outlineLevel="0" collapsed="false">
      <c r="A118" s="10" t="s">
        <v>515</v>
      </c>
      <c r="B118" s="10" t="s">
        <v>197</v>
      </c>
      <c r="C118" s="10" t="s">
        <v>205</v>
      </c>
      <c r="D118" s="8" t="s">
        <v>147</v>
      </c>
      <c r="E118" s="8" t="s">
        <v>152</v>
      </c>
      <c r="F118" s="10" t="s">
        <v>99</v>
      </c>
      <c r="G118" s="11" t="s">
        <v>20</v>
      </c>
      <c r="H118" s="66"/>
      <c r="I118" s="67" t="n">
        <v>45883</v>
      </c>
      <c r="J118" s="10" t="s">
        <v>431</v>
      </c>
      <c r="K118" s="68" t="str">
        <f aca="false">IF(G118="No",MAX(0,AsOfDate-I118),"")</f>
        <v/>
      </c>
      <c r="L118" s="12" t="str">
        <f aca="false">IF(K118="","",IF(K118&lt;=90,"0-90",IF(K118&lt;=180,"91-180",IF(K118&lt;=270,"181-270","&gt;270"))))</f>
        <v/>
      </c>
      <c r="M118" s="12" t="str">
        <f aca="false">IF(G118="Obs",COUNTIF(G$2:G118,"Obs"),"")</f>
        <v/>
      </c>
      <c r="N118" s="12" t="str">
        <f aca="false">IF(G118="No",COUNTIF(G$2:G118,"No"),"")</f>
        <v/>
      </c>
    </row>
    <row r="119" customFormat="false" ht="15" hidden="false" customHeight="false" outlineLevel="0" collapsed="false">
      <c r="A119" s="69" t="s">
        <v>515</v>
      </c>
      <c r="B119" s="69" t="s">
        <v>197</v>
      </c>
      <c r="C119" s="69" t="s">
        <v>206</v>
      </c>
      <c r="D119" s="70" t="s">
        <v>154</v>
      </c>
      <c r="E119" s="70" t="s">
        <v>155</v>
      </c>
      <c r="F119" s="69" t="s">
        <v>105</v>
      </c>
      <c r="G119" s="71" t="s">
        <v>22</v>
      </c>
      <c r="H119" s="72" t="s">
        <v>536</v>
      </c>
      <c r="I119" s="73" t="n">
        <v>45883</v>
      </c>
      <c r="J119" s="69" t="s">
        <v>431</v>
      </c>
      <c r="K119" s="74" t="str">
        <f aca="false">IF(G119="No",MAX(0,AsOfDate-I119),"")</f>
        <v/>
      </c>
      <c r="L119" s="75" t="str">
        <f aca="false">IF(K119="","",IF(K119&lt;=90,"0-90",IF(K119&lt;=180,"91-180",IF(K119&lt;=270,"181-270","&gt;270"))))</f>
        <v/>
      </c>
      <c r="M119" s="75" t="n">
        <f aca="false">IF(G119="Obs",COUNTIF(G$2:G119,"Obs"),"")</f>
        <v>3</v>
      </c>
      <c r="N119" s="75" t="str">
        <f aca="false">IF(G119="No",COUNTIF(G$2:G119,"No"),"")</f>
        <v/>
      </c>
    </row>
    <row r="120" customFormat="false" ht="15" hidden="false" customHeight="false" outlineLevel="0" collapsed="false">
      <c r="A120" s="10" t="s">
        <v>515</v>
      </c>
      <c r="B120" s="10" t="s">
        <v>197</v>
      </c>
      <c r="C120" s="10" t="s">
        <v>207</v>
      </c>
      <c r="D120" s="8" t="s">
        <v>154</v>
      </c>
      <c r="E120" s="8" t="s">
        <v>157</v>
      </c>
      <c r="F120" s="10" t="s">
        <v>105</v>
      </c>
      <c r="G120" s="11" t="s">
        <v>20</v>
      </c>
      <c r="H120" s="66"/>
      <c r="I120" s="67" t="n">
        <v>45883</v>
      </c>
      <c r="J120" s="10" t="s">
        <v>431</v>
      </c>
      <c r="K120" s="68" t="str">
        <f aca="false">IF(G120="No",MAX(0,AsOfDate-I120),"")</f>
        <v/>
      </c>
      <c r="L120" s="12" t="str">
        <f aca="false">IF(K120="","",IF(K120&lt;=90,"0-90",IF(K120&lt;=180,"91-180",IF(K120&lt;=270,"181-270","&gt;270"))))</f>
        <v/>
      </c>
      <c r="M120" s="12" t="str">
        <f aca="false">IF(G120="Obs",COUNTIF(G$2:G120,"Obs"),"")</f>
        <v/>
      </c>
      <c r="N120" s="12" t="str">
        <f aca="false">IF(G120="No",COUNTIF(G$2:G120,"No"),"")</f>
        <v/>
      </c>
    </row>
    <row r="121" customFormat="false" ht="23.85" hidden="false" customHeight="false" outlineLevel="0" collapsed="false">
      <c r="A121" s="69" t="s">
        <v>515</v>
      </c>
      <c r="B121" s="69" t="s">
        <v>197</v>
      </c>
      <c r="C121" s="69" t="s">
        <v>208</v>
      </c>
      <c r="D121" s="70" t="s">
        <v>159</v>
      </c>
      <c r="E121" s="70" t="s">
        <v>160</v>
      </c>
      <c r="F121" s="69" t="s">
        <v>99</v>
      </c>
      <c r="G121" s="71" t="s">
        <v>16</v>
      </c>
      <c r="H121" s="72"/>
      <c r="I121" s="73" t="n">
        <v>45883</v>
      </c>
      <c r="J121" s="69" t="s">
        <v>431</v>
      </c>
      <c r="K121" s="74" t="str">
        <f aca="false">IF(G121="No",MAX(0,AsOfDate-I121),"")</f>
        <v/>
      </c>
      <c r="L121" s="75" t="str">
        <f aca="false">IF(K121="","",IF(K121&lt;=90,"0-90",IF(K121&lt;=180,"91-180",IF(K121&lt;=270,"181-270","&gt;270"))))</f>
        <v/>
      </c>
      <c r="M121" s="75" t="str">
        <f aca="false">IF(G121="Obs",COUNTIF(G$2:G121,"Obs"),"")</f>
        <v/>
      </c>
      <c r="N121" s="75" t="str">
        <f aca="false">IF(G121="No",COUNTIF(G$2:G121,"No"),"")</f>
        <v/>
      </c>
    </row>
    <row r="122" customFormat="false" ht="23.85" hidden="false" customHeight="false" outlineLevel="0" collapsed="false">
      <c r="A122" s="10" t="s">
        <v>515</v>
      </c>
      <c r="B122" s="10" t="s">
        <v>197</v>
      </c>
      <c r="C122" s="10" t="s">
        <v>209</v>
      </c>
      <c r="D122" s="8" t="s">
        <v>159</v>
      </c>
      <c r="E122" s="8" t="s">
        <v>162</v>
      </c>
      <c r="F122" s="10" t="s">
        <v>99</v>
      </c>
      <c r="G122" s="11" t="s">
        <v>16</v>
      </c>
      <c r="H122" s="66"/>
      <c r="I122" s="67" t="n">
        <v>45883</v>
      </c>
      <c r="J122" s="10" t="s">
        <v>431</v>
      </c>
      <c r="K122" s="68" t="str">
        <f aca="false">IF(G122="No",MAX(0,AsOfDate-I122),"")</f>
        <v/>
      </c>
      <c r="L122" s="12" t="str">
        <f aca="false">IF(K122="","",IF(K122&lt;=90,"0-90",IF(K122&lt;=180,"91-180",IF(K122&lt;=270,"181-270","&gt;270"))))</f>
        <v/>
      </c>
      <c r="M122" s="12" t="str">
        <f aca="false">IF(G122="Obs",COUNTIF(G$2:G122,"Obs"),"")</f>
        <v/>
      </c>
      <c r="N122" s="12" t="str">
        <f aca="false">IF(G122="No",COUNTIF(G$2:G122,"No"),"")</f>
        <v/>
      </c>
    </row>
    <row r="123" customFormat="false" ht="23.85" hidden="false" customHeight="false" outlineLevel="0" collapsed="false">
      <c r="A123" s="69" t="s">
        <v>515</v>
      </c>
      <c r="B123" s="69" t="s">
        <v>197</v>
      </c>
      <c r="C123" s="69" t="s">
        <v>210</v>
      </c>
      <c r="D123" s="70" t="s">
        <v>159</v>
      </c>
      <c r="E123" s="70" t="s">
        <v>164</v>
      </c>
      <c r="F123" s="69" t="s">
        <v>110</v>
      </c>
      <c r="G123" s="71" t="s">
        <v>16</v>
      </c>
      <c r="H123" s="72"/>
      <c r="I123" s="73" t="n">
        <v>45883</v>
      </c>
      <c r="J123" s="69" t="s">
        <v>431</v>
      </c>
      <c r="K123" s="74" t="str">
        <f aca="false">IF(G123="No",MAX(0,AsOfDate-I123),"")</f>
        <v/>
      </c>
      <c r="L123" s="75" t="str">
        <f aca="false">IF(K123="","",IF(K123&lt;=90,"0-90",IF(K123&lt;=180,"91-180",IF(K123&lt;=270,"181-270","&gt;270"))))</f>
        <v/>
      </c>
      <c r="M123" s="75" t="str">
        <f aca="false">IF(G123="Obs",COUNTIF(G$2:G123,"Obs"),"")</f>
        <v/>
      </c>
      <c r="N123" s="75" t="str">
        <f aca="false">IF(G123="No",COUNTIF(G$2:G123,"No"),"")</f>
        <v/>
      </c>
    </row>
    <row r="124" customFormat="false" ht="15" hidden="false" customHeight="false" outlineLevel="0" collapsed="false">
      <c r="A124" s="10" t="s">
        <v>515</v>
      </c>
      <c r="B124" s="10" t="s">
        <v>197</v>
      </c>
      <c r="C124" s="10" t="s">
        <v>211</v>
      </c>
      <c r="D124" s="8" t="s">
        <v>166</v>
      </c>
      <c r="E124" s="8" t="s">
        <v>167</v>
      </c>
      <c r="F124" s="10" t="s">
        <v>99</v>
      </c>
      <c r="G124" s="11" t="s">
        <v>16</v>
      </c>
      <c r="H124" s="66"/>
      <c r="I124" s="67" t="n">
        <v>45883</v>
      </c>
      <c r="J124" s="10" t="s">
        <v>431</v>
      </c>
      <c r="K124" s="68" t="str">
        <f aca="false">IF(G124="No",MAX(0,AsOfDate-I124),"")</f>
        <v/>
      </c>
      <c r="L124" s="12" t="str">
        <f aca="false">IF(K124="","",IF(K124&lt;=90,"0-90",IF(K124&lt;=180,"91-180",IF(K124&lt;=270,"181-270","&gt;270"))))</f>
        <v/>
      </c>
      <c r="M124" s="12" t="str">
        <f aca="false">IF(G124="Obs",COUNTIF(G$2:G124,"Obs"),"")</f>
        <v/>
      </c>
      <c r="N124" s="12" t="str">
        <f aca="false">IF(G124="No",COUNTIF(G$2:G124,"No"),"")</f>
        <v/>
      </c>
    </row>
    <row r="125" customFormat="false" ht="15" hidden="false" customHeight="false" outlineLevel="0" collapsed="false">
      <c r="A125" s="69" t="s">
        <v>515</v>
      </c>
      <c r="B125" s="69" t="s">
        <v>197</v>
      </c>
      <c r="C125" s="69" t="s">
        <v>212</v>
      </c>
      <c r="D125" s="70" t="s">
        <v>166</v>
      </c>
      <c r="E125" s="70" t="s">
        <v>169</v>
      </c>
      <c r="F125" s="69" t="s">
        <v>105</v>
      </c>
      <c r="G125" s="71" t="s">
        <v>18</v>
      </c>
      <c r="H125" s="72" t="s">
        <v>537</v>
      </c>
      <c r="I125" s="73" t="n">
        <v>45883</v>
      </c>
      <c r="J125" s="69" t="s">
        <v>431</v>
      </c>
      <c r="K125" s="74" t="n">
        <f aca="false">IF(G125="No",MAX(0,AsOfDate-I125),"")</f>
        <v>300</v>
      </c>
      <c r="L125" s="75" t="str">
        <f aca="false">IF(K125="","",IF(K125&lt;=90,"0-90",IF(K125&lt;=180,"91-180",IF(K125&lt;=270,"181-270","&gt;270"))))</f>
        <v>&gt;270</v>
      </c>
      <c r="M125" s="75" t="str">
        <f aca="false">IF(G125="Obs",COUNTIF(G$2:G125,"Obs"),"")</f>
        <v/>
      </c>
      <c r="N125" s="75" t="n">
        <f aca="false">IF(G125="No",COUNTIF(G$2:G125,"No"),"")</f>
        <v>9</v>
      </c>
    </row>
    <row r="126" customFormat="false" ht="15" hidden="false" customHeight="false" outlineLevel="0" collapsed="false">
      <c r="A126" s="10" t="s">
        <v>515</v>
      </c>
      <c r="B126" s="10" t="s">
        <v>197</v>
      </c>
      <c r="C126" s="10" t="s">
        <v>213</v>
      </c>
      <c r="D126" s="8" t="s">
        <v>171</v>
      </c>
      <c r="E126" s="8" t="s">
        <v>172</v>
      </c>
      <c r="F126" s="10" t="s">
        <v>105</v>
      </c>
      <c r="G126" s="11" t="s">
        <v>20</v>
      </c>
      <c r="H126" s="66"/>
      <c r="I126" s="67" t="n">
        <v>45883</v>
      </c>
      <c r="J126" s="10" t="s">
        <v>431</v>
      </c>
      <c r="K126" s="68" t="str">
        <f aca="false">IF(G126="No",MAX(0,AsOfDate-I126),"")</f>
        <v/>
      </c>
      <c r="L126" s="12" t="str">
        <f aca="false">IF(K126="","",IF(K126&lt;=90,"0-90",IF(K126&lt;=180,"91-180",IF(K126&lt;=270,"181-270","&gt;270"))))</f>
        <v/>
      </c>
      <c r="M126" s="12" t="str">
        <f aca="false">IF(G126="Obs",COUNTIF(G$2:G126,"Obs"),"")</f>
        <v/>
      </c>
      <c r="N126" s="12" t="str">
        <f aca="false">IF(G126="No",COUNTIF(G$2:G126,"No"),"")</f>
        <v/>
      </c>
    </row>
    <row r="127" customFormat="false" ht="15" hidden="false" customHeight="false" outlineLevel="0" collapsed="false">
      <c r="A127" s="69" t="s">
        <v>515</v>
      </c>
      <c r="B127" s="69" t="s">
        <v>197</v>
      </c>
      <c r="C127" s="69" t="s">
        <v>214</v>
      </c>
      <c r="D127" s="70" t="s">
        <v>171</v>
      </c>
      <c r="E127" s="70" t="s">
        <v>174</v>
      </c>
      <c r="F127" s="69" t="s">
        <v>99</v>
      </c>
      <c r="G127" s="71" t="s">
        <v>16</v>
      </c>
      <c r="H127" s="72"/>
      <c r="I127" s="73" t="n">
        <v>45883</v>
      </c>
      <c r="J127" s="69" t="s">
        <v>431</v>
      </c>
      <c r="K127" s="74" t="str">
        <f aca="false">IF(G127="No",MAX(0,AsOfDate-I127),"")</f>
        <v/>
      </c>
      <c r="L127" s="75" t="str">
        <f aca="false">IF(K127="","",IF(K127&lt;=90,"0-90",IF(K127&lt;=180,"91-180",IF(K127&lt;=270,"181-270","&gt;270"))))</f>
        <v/>
      </c>
      <c r="M127" s="75" t="str">
        <f aca="false">IF(G127="Obs",COUNTIF(G$2:G127,"Obs"),"")</f>
        <v/>
      </c>
      <c r="N127" s="75" t="str">
        <f aca="false">IF(G127="No",COUNTIF(G$2:G127,"No"),"")</f>
        <v/>
      </c>
    </row>
    <row r="128" customFormat="false" ht="15" hidden="false" customHeight="false" outlineLevel="0" collapsed="false">
      <c r="A128" s="10" t="s">
        <v>515</v>
      </c>
      <c r="B128" s="10" t="s">
        <v>197</v>
      </c>
      <c r="C128" s="10" t="s">
        <v>215</v>
      </c>
      <c r="D128" s="8" t="s">
        <v>176</v>
      </c>
      <c r="E128" s="8" t="s">
        <v>177</v>
      </c>
      <c r="F128" s="10" t="s">
        <v>105</v>
      </c>
      <c r="G128" s="11" t="s">
        <v>16</v>
      </c>
      <c r="H128" s="66"/>
      <c r="I128" s="67" t="n">
        <v>45883</v>
      </c>
      <c r="J128" s="10" t="s">
        <v>431</v>
      </c>
      <c r="K128" s="68" t="str">
        <f aca="false">IF(G128="No",MAX(0,AsOfDate-I128),"")</f>
        <v/>
      </c>
      <c r="L128" s="12" t="str">
        <f aca="false">IF(K128="","",IF(K128&lt;=90,"0-90",IF(K128&lt;=180,"91-180",IF(K128&lt;=270,"181-270","&gt;270"))))</f>
        <v/>
      </c>
      <c r="M128" s="12" t="str">
        <f aca="false">IF(G128="Obs",COUNTIF(G$2:G128,"Obs"),"")</f>
        <v/>
      </c>
      <c r="N128" s="12" t="str">
        <f aca="false">IF(G128="No",COUNTIF(G$2:G128,"No"),"")</f>
        <v/>
      </c>
    </row>
    <row r="129" customFormat="false" ht="15" hidden="false" customHeight="false" outlineLevel="0" collapsed="false">
      <c r="A129" s="69" t="s">
        <v>515</v>
      </c>
      <c r="B129" s="69" t="s">
        <v>197</v>
      </c>
      <c r="C129" s="69" t="s">
        <v>216</v>
      </c>
      <c r="D129" s="70" t="s">
        <v>176</v>
      </c>
      <c r="E129" s="70" t="s">
        <v>179</v>
      </c>
      <c r="F129" s="69" t="s">
        <v>105</v>
      </c>
      <c r="G129" s="71" t="s">
        <v>16</v>
      </c>
      <c r="H129" s="72"/>
      <c r="I129" s="73" t="n">
        <v>45883</v>
      </c>
      <c r="J129" s="69" t="s">
        <v>431</v>
      </c>
      <c r="K129" s="74" t="str">
        <f aca="false">IF(G129="No",MAX(0,AsOfDate-I129),"")</f>
        <v/>
      </c>
      <c r="L129" s="75" t="str">
        <f aca="false">IF(K129="","",IF(K129&lt;=90,"0-90",IF(K129&lt;=180,"91-180",IF(K129&lt;=270,"181-270","&gt;270"))))</f>
        <v/>
      </c>
      <c r="M129" s="75" t="str">
        <f aca="false">IF(G129="Obs",COUNTIF(G$2:G129,"Obs"),"")</f>
        <v/>
      </c>
      <c r="N129" s="75" t="str">
        <f aca="false">IF(G129="No",COUNTIF(G$2:G129,"No"),"")</f>
        <v/>
      </c>
    </row>
    <row r="130" customFormat="false" ht="23.85" hidden="false" customHeight="false" outlineLevel="0" collapsed="false">
      <c r="A130" s="10" t="s">
        <v>515</v>
      </c>
      <c r="B130" s="10" t="s">
        <v>197</v>
      </c>
      <c r="C130" s="10" t="s">
        <v>217</v>
      </c>
      <c r="D130" s="8" t="s">
        <v>218</v>
      </c>
      <c r="E130" s="8" t="s">
        <v>219</v>
      </c>
      <c r="F130" s="10" t="s">
        <v>105</v>
      </c>
      <c r="G130" s="11" t="s">
        <v>16</v>
      </c>
      <c r="H130" s="66"/>
      <c r="I130" s="67" t="n">
        <v>45883</v>
      </c>
      <c r="J130" s="10" t="s">
        <v>431</v>
      </c>
      <c r="K130" s="68" t="str">
        <f aca="false">IF(G130="No",MAX(0,AsOfDate-I130),"")</f>
        <v/>
      </c>
      <c r="L130" s="12" t="str">
        <f aca="false">IF(K130="","",IF(K130&lt;=90,"0-90",IF(K130&lt;=180,"91-180",IF(K130&lt;=270,"181-270","&gt;270"))))</f>
        <v/>
      </c>
      <c r="M130" s="12" t="str">
        <f aca="false">IF(G130="Obs",COUNTIF(G$2:G130,"Obs"),"")</f>
        <v/>
      </c>
      <c r="N130" s="12" t="str">
        <f aca="false">IF(G130="No",COUNTIF(G$2:G130,"No"),"")</f>
        <v/>
      </c>
    </row>
    <row r="131" customFormat="false" ht="23.85" hidden="false" customHeight="false" outlineLevel="0" collapsed="false">
      <c r="A131" s="69" t="s">
        <v>515</v>
      </c>
      <c r="B131" s="69" t="s">
        <v>197</v>
      </c>
      <c r="C131" s="69" t="s">
        <v>220</v>
      </c>
      <c r="D131" s="70" t="s">
        <v>218</v>
      </c>
      <c r="E131" s="70" t="s">
        <v>221</v>
      </c>
      <c r="F131" s="69" t="s">
        <v>99</v>
      </c>
      <c r="G131" s="71" t="s">
        <v>16</v>
      </c>
      <c r="H131" s="72"/>
      <c r="I131" s="73" t="n">
        <v>45883</v>
      </c>
      <c r="J131" s="69" t="s">
        <v>431</v>
      </c>
      <c r="K131" s="74" t="str">
        <f aca="false">IF(G131="No",MAX(0,AsOfDate-I131),"")</f>
        <v/>
      </c>
      <c r="L131" s="75" t="str">
        <f aca="false">IF(K131="","",IF(K131&lt;=90,"0-90",IF(K131&lt;=180,"91-180",IF(K131&lt;=270,"181-270","&gt;270"))))</f>
        <v/>
      </c>
      <c r="M131" s="75" t="str">
        <f aca="false">IF(G131="Obs",COUNTIF(G$2:G131,"Obs"),"")</f>
        <v/>
      </c>
      <c r="N131" s="75" t="str">
        <f aca="false">IF(G131="No",COUNTIF(G$2:G131,"No"),"")</f>
        <v/>
      </c>
    </row>
    <row r="132" customFormat="false" ht="23.85" hidden="false" customHeight="false" outlineLevel="0" collapsed="false">
      <c r="A132" s="10" t="s">
        <v>515</v>
      </c>
      <c r="B132" s="10" t="s">
        <v>197</v>
      </c>
      <c r="C132" s="10" t="s">
        <v>222</v>
      </c>
      <c r="D132" s="8" t="s">
        <v>218</v>
      </c>
      <c r="E132" s="8" t="s">
        <v>223</v>
      </c>
      <c r="F132" s="10" t="s">
        <v>105</v>
      </c>
      <c r="G132" s="11" t="s">
        <v>16</v>
      </c>
      <c r="H132" s="66"/>
      <c r="I132" s="67" t="n">
        <v>45883</v>
      </c>
      <c r="J132" s="10" t="s">
        <v>431</v>
      </c>
      <c r="K132" s="68" t="str">
        <f aca="false">IF(G132="No",MAX(0,AsOfDate-I132),"")</f>
        <v/>
      </c>
      <c r="L132" s="12" t="str">
        <f aca="false">IF(K132="","",IF(K132&lt;=90,"0-90",IF(K132&lt;=180,"91-180",IF(K132&lt;=270,"181-270","&gt;270"))))</f>
        <v/>
      </c>
      <c r="M132" s="12" t="str">
        <f aca="false">IF(G132="Obs",COUNTIF(G$2:G132,"Obs"),"")</f>
        <v/>
      </c>
      <c r="N132" s="12" t="str">
        <f aca="false">IF(G132="No",COUNTIF(G$2:G132,"No"),"")</f>
        <v/>
      </c>
    </row>
    <row r="133" customFormat="false" ht="23.85" hidden="false" customHeight="false" outlineLevel="0" collapsed="false">
      <c r="A133" s="69" t="s">
        <v>515</v>
      </c>
      <c r="B133" s="69" t="s">
        <v>197</v>
      </c>
      <c r="C133" s="69" t="s">
        <v>224</v>
      </c>
      <c r="D133" s="70" t="s">
        <v>225</v>
      </c>
      <c r="E133" s="70" t="s">
        <v>226</v>
      </c>
      <c r="F133" s="69" t="s">
        <v>99</v>
      </c>
      <c r="G133" s="71" t="s">
        <v>16</v>
      </c>
      <c r="H133" s="72"/>
      <c r="I133" s="73" t="n">
        <v>45883</v>
      </c>
      <c r="J133" s="69" t="s">
        <v>431</v>
      </c>
      <c r="K133" s="74" t="str">
        <f aca="false">IF(G133="No",MAX(0,AsOfDate-I133),"")</f>
        <v/>
      </c>
      <c r="L133" s="75" t="str">
        <f aca="false">IF(K133="","",IF(K133&lt;=90,"0-90",IF(K133&lt;=180,"91-180",IF(K133&lt;=270,"181-270","&gt;270"))))</f>
        <v/>
      </c>
      <c r="M133" s="75" t="str">
        <f aca="false">IF(G133="Obs",COUNTIF(G$2:G133,"Obs"),"")</f>
        <v/>
      </c>
      <c r="N133" s="75" t="str">
        <f aca="false">IF(G133="No",COUNTIF(G$2:G133,"No"),"")</f>
        <v/>
      </c>
    </row>
    <row r="134" customFormat="false" ht="15" hidden="false" customHeight="false" outlineLevel="0" collapsed="false">
      <c r="A134" s="10" t="s">
        <v>515</v>
      </c>
      <c r="B134" s="10" t="s">
        <v>197</v>
      </c>
      <c r="C134" s="10" t="s">
        <v>227</v>
      </c>
      <c r="D134" s="8" t="s">
        <v>225</v>
      </c>
      <c r="E134" s="8" t="s">
        <v>228</v>
      </c>
      <c r="F134" s="10" t="s">
        <v>99</v>
      </c>
      <c r="G134" s="11" t="s">
        <v>16</v>
      </c>
      <c r="H134" s="66"/>
      <c r="I134" s="67" t="n">
        <v>45883</v>
      </c>
      <c r="J134" s="10" t="s">
        <v>431</v>
      </c>
      <c r="K134" s="68" t="str">
        <f aca="false">IF(G134="No",MAX(0,AsOfDate-I134),"")</f>
        <v/>
      </c>
      <c r="L134" s="12" t="str">
        <f aca="false">IF(K134="","",IF(K134&lt;=90,"0-90",IF(K134&lt;=180,"91-180",IF(K134&lt;=270,"181-270","&gt;270"))))</f>
        <v/>
      </c>
      <c r="M134" s="12" t="str">
        <f aca="false">IF(G134="Obs",COUNTIF(G$2:G134,"Obs"),"")</f>
        <v/>
      </c>
      <c r="N134" s="12" t="str">
        <f aca="false">IF(G134="No",COUNTIF(G$2:G134,"No"),"")</f>
        <v/>
      </c>
    </row>
    <row r="135" customFormat="false" ht="15" hidden="false" customHeight="false" outlineLevel="0" collapsed="false">
      <c r="A135" s="69" t="s">
        <v>515</v>
      </c>
      <c r="B135" s="69" t="s">
        <v>197</v>
      </c>
      <c r="C135" s="69" t="s">
        <v>229</v>
      </c>
      <c r="D135" s="70" t="s">
        <v>225</v>
      </c>
      <c r="E135" s="70" t="s">
        <v>230</v>
      </c>
      <c r="F135" s="69" t="s">
        <v>105</v>
      </c>
      <c r="G135" s="71" t="s">
        <v>16</v>
      </c>
      <c r="H135" s="72"/>
      <c r="I135" s="73" t="n">
        <v>45883</v>
      </c>
      <c r="J135" s="69" t="s">
        <v>431</v>
      </c>
      <c r="K135" s="74" t="str">
        <f aca="false">IF(G135="No",MAX(0,AsOfDate-I135),"")</f>
        <v/>
      </c>
      <c r="L135" s="75" t="str">
        <f aca="false">IF(K135="","",IF(K135&lt;=90,"0-90",IF(K135&lt;=180,"91-180",IF(K135&lt;=270,"181-270","&gt;270"))))</f>
        <v/>
      </c>
      <c r="M135" s="75" t="str">
        <f aca="false">IF(G135="Obs",COUNTIF(G$2:G135,"Obs"),"")</f>
        <v/>
      </c>
      <c r="N135" s="75" t="str">
        <f aca="false">IF(G135="No",COUNTIF(G$2:G135,"No"),"")</f>
        <v/>
      </c>
    </row>
    <row r="136" customFormat="false" ht="15" hidden="false" customHeight="false" outlineLevel="0" collapsed="false">
      <c r="A136" s="10" t="s">
        <v>515</v>
      </c>
      <c r="B136" s="10" t="s">
        <v>197</v>
      </c>
      <c r="C136" s="10" t="s">
        <v>231</v>
      </c>
      <c r="D136" s="8" t="s">
        <v>225</v>
      </c>
      <c r="E136" s="8" t="s">
        <v>232</v>
      </c>
      <c r="F136" s="10" t="s">
        <v>105</v>
      </c>
      <c r="G136" s="11" t="s">
        <v>16</v>
      </c>
      <c r="H136" s="66"/>
      <c r="I136" s="67" t="n">
        <v>45883</v>
      </c>
      <c r="J136" s="10" t="s">
        <v>431</v>
      </c>
      <c r="K136" s="68" t="str">
        <f aca="false">IF(G136="No",MAX(0,AsOfDate-I136),"")</f>
        <v/>
      </c>
      <c r="L136" s="12" t="str">
        <f aca="false">IF(K136="","",IF(K136&lt;=90,"0-90",IF(K136&lt;=180,"91-180",IF(K136&lt;=270,"181-270","&gt;270"))))</f>
        <v/>
      </c>
      <c r="M136" s="12" t="str">
        <f aca="false">IF(G136="Obs",COUNTIF(G$2:G136,"Obs"),"")</f>
        <v/>
      </c>
      <c r="N136" s="12" t="str">
        <f aca="false">IF(G136="No",COUNTIF(G$2:G136,"No"),"")</f>
        <v/>
      </c>
    </row>
    <row r="137" customFormat="false" ht="15" hidden="false" customHeight="false" outlineLevel="0" collapsed="false">
      <c r="A137" s="69" t="s">
        <v>695</v>
      </c>
      <c r="B137" s="69" t="s">
        <v>197</v>
      </c>
      <c r="C137" s="69" t="s">
        <v>196</v>
      </c>
      <c r="D137" s="70" t="s">
        <v>133</v>
      </c>
      <c r="E137" s="70" t="s">
        <v>134</v>
      </c>
      <c r="F137" s="69" t="s">
        <v>99</v>
      </c>
      <c r="G137" s="71" t="s">
        <v>16</v>
      </c>
      <c r="H137" s="72"/>
      <c r="I137" s="73" t="n">
        <v>45967</v>
      </c>
      <c r="J137" s="69" t="s">
        <v>687</v>
      </c>
      <c r="K137" s="74" t="str">
        <f aca="false">IF(G137="No",MAX(0,AsOfDate-I137),"")</f>
        <v/>
      </c>
      <c r="L137" s="75" t="str">
        <f aca="false">IF(K137="","",IF(K137&lt;=90,"0-90",IF(K137&lt;=180,"91-180",IF(K137&lt;=270,"181-270","&gt;270"))))</f>
        <v/>
      </c>
      <c r="M137" s="75" t="str">
        <f aca="false">IF(G137="Obs",COUNTIF(G$2:G137,"Obs"),"")</f>
        <v/>
      </c>
      <c r="N137" s="75" t="str">
        <f aca="false">IF(G137="No",COUNTIF(G$2:G137,"No"),"")</f>
        <v/>
      </c>
    </row>
    <row r="138" customFormat="false" ht="15" hidden="false" customHeight="false" outlineLevel="0" collapsed="false">
      <c r="A138" s="10" t="s">
        <v>695</v>
      </c>
      <c r="B138" s="10" t="s">
        <v>197</v>
      </c>
      <c r="C138" s="10" t="s">
        <v>198</v>
      </c>
      <c r="D138" s="8" t="s">
        <v>133</v>
      </c>
      <c r="E138" s="8" t="s">
        <v>136</v>
      </c>
      <c r="F138" s="10" t="s">
        <v>99</v>
      </c>
      <c r="G138" s="11" t="s">
        <v>16</v>
      </c>
      <c r="H138" s="66"/>
      <c r="I138" s="67" t="n">
        <v>45967</v>
      </c>
      <c r="J138" s="10" t="s">
        <v>687</v>
      </c>
      <c r="K138" s="68" t="str">
        <f aca="false">IF(G138="No",MAX(0,AsOfDate-I138),"")</f>
        <v/>
      </c>
      <c r="L138" s="12" t="str">
        <f aca="false">IF(K138="","",IF(K138&lt;=90,"0-90",IF(K138&lt;=180,"91-180",IF(K138&lt;=270,"181-270","&gt;270"))))</f>
        <v/>
      </c>
      <c r="M138" s="12" t="str">
        <f aca="false">IF(G138="Obs",COUNTIF(G$2:G138,"Obs"),"")</f>
        <v/>
      </c>
      <c r="N138" s="12" t="str">
        <f aca="false">IF(G138="No",COUNTIF(G$2:G138,"No"),"")</f>
        <v/>
      </c>
    </row>
    <row r="139" customFormat="false" ht="15" hidden="false" customHeight="false" outlineLevel="0" collapsed="false">
      <c r="A139" s="69" t="s">
        <v>695</v>
      </c>
      <c r="B139" s="69" t="s">
        <v>197</v>
      </c>
      <c r="C139" s="69" t="s">
        <v>199</v>
      </c>
      <c r="D139" s="70" t="s">
        <v>133</v>
      </c>
      <c r="E139" s="70" t="s">
        <v>138</v>
      </c>
      <c r="F139" s="69" t="s">
        <v>105</v>
      </c>
      <c r="G139" s="71" t="s">
        <v>16</v>
      </c>
      <c r="H139" s="72"/>
      <c r="I139" s="73" t="n">
        <v>45967</v>
      </c>
      <c r="J139" s="69" t="s">
        <v>687</v>
      </c>
      <c r="K139" s="74" t="str">
        <f aca="false">IF(G139="No",MAX(0,AsOfDate-I139),"")</f>
        <v/>
      </c>
      <c r="L139" s="75" t="str">
        <f aca="false">IF(K139="","",IF(K139&lt;=90,"0-90",IF(K139&lt;=180,"91-180",IF(K139&lt;=270,"181-270","&gt;270"))))</f>
        <v/>
      </c>
      <c r="M139" s="75" t="str">
        <f aca="false">IF(G139="Obs",COUNTIF(G$2:G139,"Obs"),"")</f>
        <v/>
      </c>
      <c r="N139" s="75" t="str">
        <f aca="false">IF(G139="No",COUNTIF(G$2:G139,"No"),"")</f>
        <v/>
      </c>
    </row>
    <row r="140" customFormat="false" ht="15" hidden="false" customHeight="false" outlineLevel="0" collapsed="false">
      <c r="A140" s="10" t="s">
        <v>695</v>
      </c>
      <c r="B140" s="10" t="s">
        <v>197</v>
      </c>
      <c r="C140" s="10" t="s">
        <v>200</v>
      </c>
      <c r="D140" s="8" t="s">
        <v>140</v>
      </c>
      <c r="E140" s="8" t="s">
        <v>141</v>
      </c>
      <c r="F140" s="10" t="s">
        <v>99</v>
      </c>
      <c r="G140" s="11" t="s">
        <v>16</v>
      </c>
      <c r="H140" s="66"/>
      <c r="I140" s="67" t="n">
        <v>45967</v>
      </c>
      <c r="J140" s="10" t="s">
        <v>687</v>
      </c>
      <c r="K140" s="68" t="str">
        <f aca="false">IF(G140="No",MAX(0,AsOfDate-I140),"")</f>
        <v/>
      </c>
      <c r="L140" s="12" t="str">
        <f aca="false">IF(K140="","",IF(K140&lt;=90,"0-90",IF(K140&lt;=180,"91-180",IF(K140&lt;=270,"181-270","&gt;270"))))</f>
        <v/>
      </c>
      <c r="M140" s="12" t="str">
        <f aca="false">IF(G140="Obs",COUNTIF(G$2:G140,"Obs"),"")</f>
        <v/>
      </c>
      <c r="N140" s="12" t="str">
        <f aca="false">IF(G140="No",COUNTIF(G$2:G140,"No"),"")</f>
        <v/>
      </c>
    </row>
    <row r="141" customFormat="false" ht="15" hidden="false" customHeight="false" outlineLevel="0" collapsed="false">
      <c r="A141" s="69" t="s">
        <v>695</v>
      </c>
      <c r="B141" s="69" t="s">
        <v>197</v>
      </c>
      <c r="C141" s="69" t="s">
        <v>201</v>
      </c>
      <c r="D141" s="70" t="s">
        <v>140</v>
      </c>
      <c r="E141" s="70" t="s">
        <v>143</v>
      </c>
      <c r="F141" s="69" t="s">
        <v>105</v>
      </c>
      <c r="G141" s="71" t="s">
        <v>16</v>
      </c>
      <c r="H141" s="72"/>
      <c r="I141" s="73" t="n">
        <v>45967</v>
      </c>
      <c r="J141" s="69" t="s">
        <v>687</v>
      </c>
      <c r="K141" s="74" t="str">
        <f aca="false">IF(G141="No",MAX(0,AsOfDate-I141),"")</f>
        <v/>
      </c>
      <c r="L141" s="75" t="str">
        <f aca="false">IF(K141="","",IF(K141&lt;=90,"0-90",IF(K141&lt;=180,"91-180",IF(K141&lt;=270,"181-270","&gt;270"))))</f>
        <v/>
      </c>
      <c r="M141" s="75" t="str">
        <f aca="false">IF(G141="Obs",COUNTIF(G$2:G141,"Obs"),"")</f>
        <v/>
      </c>
      <c r="N141" s="75" t="str">
        <f aca="false">IF(G141="No",COUNTIF(G$2:G141,"No"),"")</f>
        <v/>
      </c>
    </row>
    <row r="142" customFormat="false" ht="23.85" hidden="false" customHeight="false" outlineLevel="0" collapsed="false">
      <c r="A142" s="10" t="s">
        <v>695</v>
      </c>
      <c r="B142" s="10" t="s">
        <v>197</v>
      </c>
      <c r="C142" s="10" t="s">
        <v>202</v>
      </c>
      <c r="D142" s="8" t="s">
        <v>140</v>
      </c>
      <c r="E142" s="8" t="s">
        <v>145</v>
      </c>
      <c r="F142" s="10" t="s">
        <v>99</v>
      </c>
      <c r="G142" s="11" t="s">
        <v>18</v>
      </c>
      <c r="H142" s="66" t="s">
        <v>563</v>
      </c>
      <c r="I142" s="67" t="n">
        <v>45967</v>
      </c>
      <c r="J142" s="10" t="s">
        <v>687</v>
      </c>
      <c r="K142" s="68" t="n">
        <f aca="false">IF(G142="No",MAX(0,AsOfDate-I142),"")</f>
        <v>216</v>
      </c>
      <c r="L142" s="12" t="str">
        <f aca="false">IF(K142="","",IF(K142&lt;=90,"0-90",IF(K142&lt;=180,"91-180",IF(K142&lt;=270,"181-270","&gt;270"))))</f>
        <v>181-270</v>
      </c>
      <c r="M142" s="12" t="str">
        <f aca="false">IF(G142="Obs",COUNTIF(G$2:G142,"Obs"),"")</f>
        <v/>
      </c>
      <c r="N142" s="12" t="n">
        <f aca="false">IF(G142="No",COUNTIF(G$2:G142,"No"),"")</f>
        <v>10</v>
      </c>
    </row>
    <row r="143" customFormat="false" ht="15" hidden="false" customHeight="false" outlineLevel="0" collapsed="false">
      <c r="A143" s="69" t="s">
        <v>695</v>
      </c>
      <c r="B143" s="69" t="s">
        <v>197</v>
      </c>
      <c r="C143" s="69" t="s">
        <v>203</v>
      </c>
      <c r="D143" s="70" t="s">
        <v>147</v>
      </c>
      <c r="E143" s="70" t="s">
        <v>148</v>
      </c>
      <c r="F143" s="69" t="s">
        <v>99</v>
      </c>
      <c r="G143" s="71" t="s">
        <v>16</v>
      </c>
      <c r="H143" s="72"/>
      <c r="I143" s="73" t="n">
        <v>45967</v>
      </c>
      <c r="J143" s="69" t="s">
        <v>687</v>
      </c>
      <c r="K143" s="74" t="str">
        <f aca="false">IF(G143="No",MAX(0,AsOfDate-I143),"")</f>
        <v/>
      </c>
      <c r="L143" s="75" t="str">
        <f aca="false">IF(K143="","",IF(K143&lt;=90,"0-90",IF(K143&lt;=180,"91-180",IF(K143&lt;=270,"181-270","&gt;270"))))</f>
        <v/>
      </c>
      <c r="M143" s="75" t="str">
        <f aca="false">IF(G143="Obs",COUNTIF(G$2:G143,"Obs"),"")</f>
        <v/>
      </c>
      <c r="N143" s="75" t="str">
        <f aca="false">IF(G143="No",COUNTIF(G$2:G143,"No"),"")</f>
        <v/>
      </c>
    </row>
    <row r="144" customFormat="false" ht="15" hidden="false" customHeight="false" outlineLevel="0" collapsed="false">
      <c r="A144" s="10" t="s">
        <v>695</v>
      </c>
      <c r="B144" s="10" t="s">
        <v>197</v>
      </c>
      <c r="C144" s="10" t="s">
        <v>204</v>
      </c>
      <c r="D144" s="8" t="s">
        <v>147</v>
      </c>
      <c r="E144" s="8" t="s">
        <v>150</v>
      </c>
      <c r="F144" s="10" t="s">
        <v>105</v>
      </c>
      <c r="G144" s="11" t="s">
        <v>16</v>
      </c>
      <c r="H144" s="66"/>
      <c r="I144" s="67" t="n">
        <v>45967</v>
      </c>
      <c r="J144" s="10" t="s">
        <v>687</v>
      </c>
      <c r="K144" s="68" t="str">
        <f aca="false">IF(G144="No",MAX(0,AsOfDate-I144),"")</f>
        <v/>
      </c>
      <c r="L144" s="12" t="str">
        <f aca="false">IF(K144="","",IF(K144&lt;=90,"0-90",IF(K144&lt;=180,"91-180",IF(K144&lt;=270,"181-270","&gt;270"))))</f>
        <v/>
      </c>
      <c r="M144" s="12" t="str">
        <f aca="false">IF(G144="Obs",COUNTIF(G$2:G144,"Obs"),"")</f>
        <v/>
      </c>
      <c r="N144" s="12" t="str">
        <f aca="false">IF(G144="No",COUNTIF(G$2:G144,"No"),"")</f>
        <v/>
      </c>
    </row>
    <row r="145" customFormat="false" ht="15" hidden="false" customHeight="false" outlineLevel="0" collapsed="false">
      <c r="A145" s="69" t="s">
        <v>695</v>
      </c>
      <c r="B145" s="69" t="s">
        <v>197</v>
      </c>
      <c r="C145" s="69" t="s">
        <v>205</v>
      </c>
      <c r="D145" s="70" t="s">
        <v>147</v>
      </c>
      <c r="E145" s="70" t="s">
        <v>152</v>
      </c>
      <c r="F145" s="69" t="s">
        <v>99</v>
      </c>
      <c r="G145" s="71" t="s">
        <v>16</v>
      </c>
      <c r="H145" s="72"/>
      <c r="I145" s="73" t="n">
        <v>45967</v>
      </c>
      <c r="J145" s="69" t="s">
        <v>687</v>
      </c>
      <c r="K145" s="74" t="str">
        <f aca="false">IF(G145="No",MAX(0,AsOfDate-I145),"")</f>
        <v/>
      </c>
      <c r="L145" s="75" t="str">
        <f aca="false">IF(K145="","",IF(K145&lt;=90,"0-90",IF(K145&lt;=180,"91-180",IF(K145&lt;=270,"181-270","&gt;270"))))</f>
        <v/>
      </c>
      <c r="M145" s="75" t="str">
        <f aca="false">IF(G145="Obs",COUNTIF(G$2:G145,"Obs"),"")</f>
        <v/>
      </c>
      <c r="N145" s="75" t="str">
        <f aca="false">IF(G145="No",COUNTIF(G$2:G145,"No"),"")</f>
        <v/>
      </c>
    </row>
    <row r="146" customFormat="false" ht="15" hidden="false" customHeight="false" outlineLevel="0" collapsed="false">
      <c r="A146" s="10" t="s">
        <v>695</v>
      </c>
      <c r="B146" s="10" t="s">
        <v>197</v>
      </c>
      <c r="C146" s="10" t="s">
        <v>206</v>
      </c>
      <c r="D146" s="8" t="s">
        <v>154</v>
      </c>
      <c r="E146" s="8" t="s">
        <v>155</v>
      </c>
      <c r="F146" s="10" t="s">
        <v>105</v>
      </c>
      <c r="G146" s="11" t="s">
        <v>16</v>
      </c>
      <c r="H146" s="66"/>
      <c r="I146" s="67" t="n">
        <v>45967</v>
      </c>
      <c r="J146" s="10" t="s">
        <v>687</v>
      </c>
      <c r="K146" s="68" t="str">
        <f aca="false">IF(G146="No",MAX(0,AsOfDate-I146),"")</f>
        <v/>
      </c>
      <c r="L146" s="12" t="str">
        <f aca="false">IF(K146="","",IF(K146&lt;=90,"0-90",IF(K146&lt;=180,"91-180",IF(K146&lt;=270,"181-270","&gt;270"))))</f>
        <v/>
      </c>
      <c r="M146" s="12" t="str">
        <f aca="false">IF(G146="Obs",COUNTIF(G$2:G146,"Obs"),"")</f>
        <v/>
      </c>
      <c r="N146" s="12" t="str">
        <f aca="false">IF(G146="No",COUNTIF(G$2:G146,"No"),"")</f>
        <v/>
      </c>
    </row>
    <row r="147" customFormat="false" ht="15" hidden="false" customHeight="false" outlineLevel="0" collapsed="false">
      <c r="A147" s="69" t="s">
        <v>695</v>
      </c>
      <c r="B147" s="69" t="s">
        <v>197</v>
      </c>
      <c r="C147" s="69" t="s">
        <v>207</v>
      </c>
      <c r="D147" s="70" t="s">
        <v>154</v>
      </c>
      <c r="E147" s="70" t="s">
        <v>157</v>
      </c>
      <c r="F147" s="69" t="s">
        <v>105</v>
      </c>
      <c r="G147" s="71" t="s">
        <v>16</v>
      </c>
      <c r="H147" s="72"/>
      <c r="I147" s="73" t="n">
        <v>45967</v>
      </c>
      <c r="J147" s="69" t="s">
        <v>687</v>
      </c>
      <c r="K147" s="74" t="str">
        <f aca="false">IF(G147="No",MAX(0,AsOfDate-I147),"")</f>
        <v/>
      </c>
      <c r="L147" s="75" t="str">
        <f aca="false">IF(K147="","",IF(K147&lt;=90,"0-90",IF(K147&lt;=180,"91-180",IF(K147&lt;=270,"181-270","&gt;270"))))</f>
        <v/>
      </c>
      <c r="M147" s="75" t="str">
        <f aca="false">IF(G147="Obs",COUNTIF(G$2:G147,"Obs"),"")</f>
        <v/>
      </c>
      <c r="N147" s="75" t="str">
        <f aca="false">IF(G147="No",COUNTIF(G$2:G147,"No"),"")</f>
        <v/>
      </c>
    </row>
    <row r="148" customFormat="false" ht="23.85" hidden="false" customHeight="false" outlineLevel="0" collapsed="false">
      <c r="A148" s="10" t="s">
        <v>695</v>
      </c>
      <c r="B148" s="10" t="s">
        <v>197</v>
      </c>
      <c r="C148" s="10" t="s">
        <v>208</v>
      </c>
      <c r="D148" s="8" t="s">
        <v>159</v>
      </c>
      <c r="E148" s="8" t="s">
        <v>160</v>
      </c>
      <c r="F148" s="10" t="s">
        <v>99</v>
      </c>
      <c r="G148" s="11" t="s">
        <v>16</v>
      </c>
      <c r="H148" s="66"/>
      <c r="I148" s="67" t="n">
        <v>45967</v>
      </c>
      <c r="J148" s="10" t="s">
        <v>687</v>
      </c>
      <c r="K148" s="68" t="str">
        <f aca="false">IF(G148="No",MAX(0,AsOfDate-I148),"")</f>
        <v/>
      </c>
      <c r="L148" s="12" t="str">
        <f aca="false">IF(K148="","",IF(K148&lt;=90,"0-90",IF(K148&lt;=180,"91-180",IF(K148&lt;=270,"181-270","&gt;270"))))</f>
        <v/>
      </c>
      <c r="M148" s="12" t="str">
        <f aca="false">IF(G148="Obs",COUNTIF(G$2:G148,"Obs"),"")</f>
        <v/>
      </c>
      <c r="N148" s="12" t="str">
        <f aca="false">IF(G148="No",COUNTIF(G$2:G148,"No"),"")</f>
        <v/>
      </c>
    </row>
    <row r="149" customFormat="false" ht="23.85" hidden="false" customHeight="false" outlineLevel="0" collapsed="false">
      <c r="A149" s="69" t="s">
        <v>695</v>
      </c>
      <c r="B149" s="69" t="s">
        <v>197</v>
      </c>
      <c r="C149" s="69" t="s">
        <v>209</v>
      </c>
      <c r="D149" s="70" t="s">
        <v>159</v>
      </c>
      <c r="E149" s="70" t="s">
        <v>162</v>
      </c>
      <c r="F149" s="69" t="s">
        <v>99</v>
      </c>
      <c r="G149" s="71" t="s">
        <v>16</v>
      </c>
      <c r="H149" s="72"/>
      <c r="I149" s="73" t="n">
        <v>45967</v>
      </c>
      <c r="J149" s="69" t="s">
        <v>687</v>
      </c>
      <c r="K149" s="74" t="str">
        <f aca="false">IF(G149="No",MAX(0,AsOfDate-I149),"")</f>
        <v/>
      </c>
      <c r="L149" s="75" t="str">
        <f aca="false">IF(K149="","",IF(K149&lt;=90,"0-90",IF(K149&lt;=180,"91-180",IF(K149&lt;=270,"181-270","&gt;270"))))</f>
        <v/>
      </c>
      <c r="M149" s="75" t="str">
        <f aca="false">IF(G149="Obs",COUNTIF(G$2:G149,"Obs"),"")</f>
        <v/>
      </c>
      <c r="N149" s="75" t="str">
        <f aca="false">IF(G149="No",COUNTIF(G$2:G149,"No"),"")</f>
        <v/>
      </c>
    </row>
    <row r="150" customFormat="false" ht="23.85" hidden="false" customHeight="false" outlineLevel="0" collapsed="false">
      <c r="A150" s="10" t="s">
        <v>695</v>
      </c>
      <c r="B150" s="10" t="s">
        <v>197</v>
      </c>
      <c r="C150" s="10" t="s">
        <v>210</v>
      </c>
      <c r="D150" s="8" t="s">
        <v>159</v>
      </c>
      <c r="E150" s="8" t="s">
        <v>164</v>
      </c>
      <c r="F150" s="10" t="s">
        <v>110</v>
      </c>
      <c r="G150" s="11" t="s">
        <v>20</v>
      </c>
      <c r="H150" s="66"/>
      <c r="I150" s="67" t="n">
        <v>45967</v>
      </c>
      <c r="J150" s="10" t="s">
        <v>687</v>
      </c>
      <c r="K150" s="68" t="str">
        <f aca="false">IF(G150="No",MAX(0,AsOfDate-I150),"")</f>
        <v/>
      </c>
      <c r="L150" s="12" t="str">
        <f aca="false">IF(K150="","",IF(K150&lt;=90,"0-90",IF(K150&lt;=180,"91-180",IF(K150&lt;=270,"181-270","&gt;270"))))</f>
        <v/>
      </c>
      <c r="M150" s="12" t="str">
        <f aca="false">IF(G150="Obs",COUNTIF(G$2:G150,"Obs"),"")</f>
        <v/>
      </c>
      <c r="N150" s="12" t="str">
        <f aca="false">IF(G150="No",COUNTIF(G$2:G150,"No"),"")</f>
        <v/>
      </c>
    </row>
    <row r="151" customFormat="false" ht="15" hidden="false" customHeight="false" outlineLevel="0" collapsed="false">
      <c r="A151" s="69" t="s">
        <v>695</v>
      </c>
      <c r="B151" s="69" t="s">
        <v>197</v>
      </c>
      <c r="C151" s="69" t="s">
        <v>211</v>
      </c>
      <c r="D151" s="70" t="s">
        <v>166</v>
      </c>
      <c r="E151" s="70" t="s">
        <v>167</v>
      </c>
      <c r="F151" s="69" t="s">
        <v>99</v>
      </c>
      <c r="G151" s="71" t="s">
        <v>16</v>
      </c>
      <c r="H151" s="72"/>
      <c r="I151" s="73" t="n">
        <v>45967</v>
      </c>
      <c r="J151" s="69" t="s">
        <v>687</v>
      </c>
      <c r="K151" s="74" t="str">
        <f aca="false">IF(G151="No",MAX(0,AsOfDate-I151),"")</f>
        <v/>
      </c>
      <c r="L151" s="75" t="str">
        <f aca="false">IF(K151="","",IF(K151&lt;=90,"0-90",IF(K151&lt;=180,"91-180",IF(K151&lt;=270,"181-270","&gt;270"))))</f>
        <v/>
      </c>
      <c r="M151" s="75" t="str">
        <f aca="false">IF(G151="Obs",COUNTIF(G$2:G151,"Obs"),"")</f>
        <v/>
      </c>
      <c r="N151" s="75" t="str">
        <f aca="false">IF(G151="No",COUNTIF(G$2:G151,"No"),"")</f>
        <v/>
      </c>
    </row>
    <row r="152" customFormat="false" ht="23.85" hidden="false" customHeight="false" outlineLevel="0" collapsed="false">
      <c r="A152" s="10" t="s">
        <v>695</v>
      </c>
      <c r="B152" s="10" t="s">
        <v>197</v>
      </c>
      <c r="C152" s="10" t="s">
        <v>212</v>
      </c>
      <c r="D152" s="8" t="s">
        <v>166</v>
      </c>
      <c r="E152" s="8" t="s">
        <v>169</v>
      </c>
      <c r="F152" s="10" t="s">
        <v>105</v>
      </c>
      <c r="G152" s="11" t="s">
        <v>22</v>
      </c>
      <c r="H152" s="66" t="s">
        <v>592</v>
      </c>
      <c r="I152" s="67" t="n">
        <v>45967</v>
      </c>
      <c r="J152" s="10" t="s">
        <v>687</v>
      </c>
      <c r="K152" s="68" t="str">
        <f aca="false">IF(G152="No",MAX(0,AsOfDate-I152),"")</f>
        <v/>
      </c>
      <c r="L152" s="12" t="str">
        <f aca="false">IF(K152="","",IF(K152&lt;=90,"0-90",IF(K152&lt;=180,"91-180",IF(K152&lt;=270,"181-270","&gt;270"))))</f>
        <v/>
      </c>
      <c r="M152" s="12" t="n">
        <f aca="false">IF(G152="Obs",COUNTIF(G$2:G152,"Obs"),"")</f>
        <v>4</v>
      </c>
      <c r="N152" s="12" t="str">
        <f aca="false">IF(G152="No",COUNTIF(G$2:G152,"No"),"")</f>
        <v/>
      </c>
    </row>
    <row r="153" customFormat="false" ht="15" hidden="false" customHeight="false" outlineLevel="0" collapsed="false">
      <c r="A153" s="69" t="s">
        <v>695</v>
      </c>
      <c r="B153" s="69" t="s">
        <v>197</v>
      </c>
      <c r="C153" s="69" t="s">
        <v>213</v>
      </c>
      <c r="D153" s="70" t="s">
        <v>171</v>
      </c>
      <c r="E153" s="70" t="s">
        <v>172</v>
      </c>
      <c r="F153" s="69" t="s">
        <v>105</v>
      </c>
      <c r="G153" s="71" t="s">
        <v>22</v>
      </c>
      <c r="H153" s="72" t="s">
        <v>562</v>
      </c>
      <c r="I153" s="73" t="n">
        <v>45967</v>
      </c>
      <c r="J153" s="69" t="s">
        <v>687</v>
      </c>
      <c r="K153" s="74" t="str">
        <f aca="false">IF(G153="No",MAX(0,AsOfDate-I153),"")</f>
        <v/>
      </c>
      <c r="L153" s="75" t="str">
        <f aca="false">IF(K153="","",IF(K153&lt;=90,"0-90",IF(K153&lt;=180,"91-180",IF(K153&lt;=270,"181-270","&gt;270"))))</f>
        <v/>
      </c>
      <c r="M153" s="75" t="n">
        <f aca="false">IF(G153="Obs",COUNTIF(G$2:G153,"Obs"),"")</f>
        <v>5</v>
      </c>
      <c r="N153" s="75" t="str">
        <f aca="false">IF(G153="No",COUNTIF(G$2:G153,"No"),"")</f>
        <v/>
      </c>
    </row>
    <row r="154" customFormat="false" ht="15" hidden="false" customHeight="false" outlineLevel="0" collapsed="false">
      <c r="A154" s="10" t="s">
        <v>695</v>
      </c>
      <c r="B154" s="10" t="s">
        <v>197</v>
      </c>
      <c r="C154" s="10" t="s">
        <v>214</v>
      </c>
      <c r="D154" s="8" t="s">
        <v>171</v>
      </c>
      <c r="E154" s="8" t="s">
        <v>174</v>
      </c>
      <c r="F154" s="10" t="s">
        <v>99</v>
      </c>
      <c r="G154" s="11" t="s">
        <v>20</v>
      </c>
      <c r="H154" s="66"/>
      <c r="I154" s="67" t="n">
        <v>45967</v>
      </c>
      <c r="J154" s="10" t="s">
        <v>687</v>
      </c>
      <c r="K154" s="68" t="str">
        <f aca="false">IF(G154="No",MAX(0,AsOfDate-I154),"")</f>
        <v/>
      </c>
      <c r="L154" s="12" t="str">
        <f aca="false">IF(K154="","",IF(K154&lt;=90,"0-90",IF(K154&lt;=180,"91-180",IF(K154&lt;=270,"181-270","&gt;270"))))</f>
        <v/>
      </c>
      <c r="M154" s="12" t="str">
        <f aca="false">IF(G154="Obs",COUNTIF(G$2:G154,"Obs"),"")</f>
        <v/>
      </c>
      <c r="N154" s="12" t="str">
        <f aca="false">IF(G154="No",COUNTIF(G$2:G154,"No"),"")</f>
        <v/>
      </c>
    </row>
    <row r="155" customFormat="false" ht="15" hidden="false" customHeight="false" outlineLevel="0" collapsed="false">
      <c r="A155" s="69" t="s">
        <v>695</v>
      </c>
      <c r="B155" s="69" t="s">
        <v>197</v>
      </c>
      <c r="C155" s="69" t="s">
        <v>215</v>
      </c>
      <c r="D155" s="70" t="s">
        <v>176</v>
      </c>
      <c r="E155" s="70" t="s">
        <v>177</v>
      </c>
      <c r="F155" s="69" t="s">
        <v>105</v>
      </c>
      <c r="G155" s="71" t="s">
        <v>16</v>
      </c>
      <c r="H155" s="72"/>
      <c r="I155" s="73" t="n">
        <v>45967</v>
      </c>
      <c r="J155" s="69" t="s">
        <v>687</v>
      </c>
      <c r="K155" s="74" t="str">
        <f aca="false">IF(G155="No",MAX(0,AsOfDate-I155),"")</f>
        <v/>
      </c>
      <c r="L155" s="75" t="str">
        <f aca="false">IF(K155="","",IF(K155&lt;=90,"0-90",IF(K155&lt;=180,"91-180",IF(K155&lt;=270,"181-270","&gt;270"))))</f>
        <v/>
      </c>
      <c r="M155" s="75" t="str">
        <f aca="false">IF(G155="Obs",COUNTIF(G$2:G155,"Obs"),"")</f>
        <v/>
      </c>
      <c r="N155" s="75" t="str">
        <f aca="false">IF(G155="No",COUNTIF(G$2:G155,"No"),"")</f>
        <v/>
      </c>
    </row>
    <row r="156" customFormat="false" ht="15" hidden="false" customHeight="false" outlineLevel="0" collapsed="false">
      <c r="A156" s="10" t="s">
        <v>695</v>
      </c>
      <c r="B156" s="10" t="s">
        <v>197</v>
      </c>
      <c r="C156" s="10" t="s">
        <v>216</v>
      </c>
      <c r="D156" s="8" t="s">
        <v>176</v>
      </c>
      <c r="E156" s="8" t="s">
        <v>179</v>
      </c>
      <c r="F156" s="10" t="s">
        <v>105</v>
      </c>
      <c r="G156" s="11" t="s">
        <v>20</v>
      </c>
      <c r="H156" s="66"/>
      <c r="I156" s="67" t="n">
        <v>45967</v>
      </c>
      <c r="J156" s="10" t="s">
        <v>687</v>
      </c>
      <c r="K156" s="68" t="str">
        <f aca="false">IF(G156="No",MAX(0,AsOfDate-I156),"")</f>
        <v/>
      </c>
      <c r="L156" s="12" t="str">
        <f aca="false">IF(K156="","",IF(K156&lt;=90,"0-90",IF(K156&lt;=180,"91-180",IF(K156&lt;=270,"181-270","&gt;270"))))</f>
        <v/>
      </c>
      <c r="M156" s="12" t="str">
        <f aca="false">IF(G156="Obs",COUNTIF(G$2:G156,"Obs"),"")</f>
        <v/>
      </c>
      <c r="N156" s="12" t="str">
        <f aca="false">IF(G156="No",COUNTIF(G$2:G156,"No"),"")</f>
        <v/>
      </c>
    </row>
    <row r="157" customFormat="false" ht="23.85" hidden="false" customHeight="false" outlineLevel="0" collapsed="false">
      <c r="A157" s="69" t="s">
        <v>695</v>
      </c>
      <c r="B157" s="69" t="s">
        <v>197</v>
      </c>
      <c r="C157" s="69" t="s">
        <v>217</v>
      </c>
      <c r="D157" s="70" t="s">
        <v>218</v>
      </c>
      <c r="E157" s="70" t="s">
        <v>219</v>
      </c>
      <c r="F157" s="69" t="s">
        <v>105</v>
      </c>
      <c r="G157" s="71" t="s">
        <v>16</v>
      </c>
      <c r="H157" s="72"/>
      <c r="I157" s="73" t="n">
        <v>45967</v>
      </c>
      <c r="J157" s="69" t="s">
        <v>687</v>
      </c>
      <c r="K157" s="74" t="str">
        <f aca="false">IF(G157="No",MAX(0,AsOfDate-I157),"")</f>
        <v/>
      </c>
      <c r="L157" s="75" t="str">
        <f aca="false">IF(K157="","",IF(K157&lt;=90,"0-90",IF(K157&lt;=180,"91-180",IF(K157&lt;=270,"181-270","&gt;270"))))</f>
        <v/>
      </c>
      <c r="M157" s="75" t="str">
        <f aca="false">IF(G157="Obs",COUNTIF(G$2:G157,"Obs"),"")</f>
        <v/>
      </c>
      <c r="N157" s="75" t="str">
        <f aca="false">IF(G157="No",COUNTIF(G$2:G157,"No"),"")</f>
        <v/>
      </c>
    </row>
    <row r="158" customFormat="false" ht="23.85" hidden="false" customHeight="false" outlineLevel="0" collapsed="false">
      <c r="A158" s="10" t="s">
        <v>695</v>
      </c>
      <c r="B158" s="10" t="s">
        <v>197</v>
      </c>
      <c r="C158" s="10" t="s">
        <v>220</v>
      </c>
      <c r="D158" s="8" t="s">
        <v>218</v>
      </c>
      <c r="E158" s="8" t="s">
        <v>221</v>
      </c>
      <c r="F158" s="10" t="s">
        <v>99</v>
      </c>
      <c r="G158" s="11" t="s">
        <v>18</v>
      </c>
      <c r="H158" s="66" t="s">
        <v>616</v>
      </c>
      <c r="I158" s="67" t="n">
        <v>45967</v>
      </c>
      <c r="J158" s="10" t="s">
        <v>687</v>
      </c>
      <c r="K158" s="68" t="n">
        <f aca="false">IF(G158="No",MAX(0,AsOfDate-I158),"")</f>
        <v>216</v>
      </c>
      <c r="L158" s="12" t="str">
        <f aca="false">IF(K158="","",IF(K158&lt;=90,"0-90",IF(K158&lt;=180,"91-180",IF(K158&lt;=270,"181-270","&gt;270"))))</f>
        <v>181-270</v>
      </c>
      <c r="M158" s="12" t="str">
        <f aca="false">IF(G158="Obs",COUNTIF(G$2:G158,"Obs"),"")</f>
        <v/>
      </c>
      <c r="N158" s="12" t="n">
        <f aca="false">IF(G158="No",COUNTIF(G$2:G158,"No"),"")</f>
        <v>11</v>
      </c>
    </row>
    <row r="159" customFormat="false" ht="23.85" hidden="false" customHeight="false" outlineLevel="0" collapsed="false">
      <c r="A159" s="69" t="s">
        <v>695</v>
      </c>
      <c r="B159" s="69" t="s">
        <v>197</v>
      </c>
      <c r="C159" s="69" t="s">
        <v>222</v>
      </c>
      <c r="D159" s="70" t="s">
        <v>218</v>
      </c>
      <c r="E159" s="70" t="s">
        <v>223</v>
      </c>
      <c r="F159" s="69" t="s">
        <v>105</v>
      </c>
      <c r="G159" s="71" t="s">
        <v>16</v>
      </c>
      <c r="H159" s="72"/>
      <c r="I159" s="73" t="n">
        <v>45967</v>
      </c>
      <c r="J159" s="69" t="s">
        <v>687</v>
      </c>
      <c r="K159" s="74" t="str">
        <f aca="false">IF(G159="No",MAX(0,AsOfDate-I159),"")</f>
        <v/>
      </c>
      <c r="L159" s="75" t="str">
        <f aca="false">IF(K159="","",IF(K159&lt;=90,"0-90",IF(K159&lt;=180,"91-180",IF(K159&lt;=270,"181-270","&gt;270"))))</f>
        <v/>
      </c>
      <c r="M159" s="75" t="str">
        <f aca="false">IF(G159="Obs",COUNTIF(G$2:G159,"Obs"),"")</f>
        <v/>
      </c>
      <c r="N159" s="75" t="str">
        <f aca="false">IF(G159="No",COUNTIF(G$2:G159,"No"),"")</f>
        <v/>
      </c>
    </row>
    <row r="160" customFormat="false" ht="23.85" hidden="false" customHeight="false" outlineLevel="0" collapsed="false">
      <c r="A160" s="10" t="s">
        <v>695</v>
      </c>
      <c r="B160" s="10" t="s">
        <v>197</v>
      </c>
      <c r="C160" s="10" t="s">
        <v>224</v>
      </c>
      <c r="D160" s="8" t="s">
        <v>225</v>
      </c>
      <c r="E160" s="8" t="s">
        <v>226</v>
      </c>
      <c r="F160" s="10" t="s">
        <v>99</v>
      </c>
      <c r="G160" s="11" t="s">
        <v>16</v>
      </c>
      <c r="H160" s="66"/>
      <c r="I160" s="67" t="n">
        <v>45967</v>
      </c>
      <c r="J160" s="10" t="s">
        <v>687</v>
      </c>
      <c r="K160" s="68" t="str">
        <f aca="false">IF(G160="No",MAX(0,AsOfDate-I160),"")</f>
        <v/>
      </c>
      <c r="L160" s="12" t="str">
        <f aca="false">IF(K160="","",IF(K160&lt;=90,"0-90",IF(K160&lt;=180,"91-180",IF(K160&lt;=270,"181-270","&gt;270"))))</f>
        <v/>
      </c>
      <c r="M160" s="12" t="str">
        <f aca="false">IF(G160="Obs",COUNTIF(G$2:G160,"Obs"),"")</f>
        <v/>
      </c>
      <c r="N160" s="12" t="str">
        <f aca="false">IF(G160="No",COUNTIF(G$2:G160,"No"),"")</f>
        <v/>
      </c>
    </row>
    <row r="161" customFormat="false" ht="15" hidden="false" customHeight="false" outlineLevel="0" collapsed="false">
      <c r="A161" s="69" t="s">
        <v>695</v>
      </c>
      <c r="B161" s="69" t="s">
        <v>197</v>
      </c>
      <c r="C161" s="69" t="s">
        <v>227</v>
      </c>
      <c r="D161" s="70" t="s">
        <v>225</v>
      </c>
      <c r="E161" s="70" t="s">
        <v>228</v>
      </c>
      <c r="F161" s="69" t="s">
        <v>99</v>
      </c>
      <c r="G161" s="71" t="s">
        <v>16</v>
      </c>
      <c r="H161" s="72"/>
      <c r="I161" s="73" t="n">
        <v>45967</v>
      </c>
      <c r="J161" s="69" t="s">
        <v>687</v>
      </c>
      <c r="K161" s="74" t="str">
        <f aca="false">IF(G161="No",MAX(0,AsOfDate-I161),"")</f>
        <v/>
      </c>
      <c r="L161" s="75" t="str">
        <f aca="false">IF(K161="","",IF(K161&lt;=90,"0-90",IF(K161&lt;=180,"91-180",IF(K161&lt;=270,"181-270","&gt;270"))))</f>
        <v/>
      </c>
      <c r="M161" s="75" t="str">
        <f aca="false">IF(G161="Obs",COUNTIF(G$2:G161,"Obs"),"")</f>
        <v/>
      </c>
      <c r="N161" s="75" t="str">
        <f aca="false">IF(G161="No",COUNTIF(G$2:G161,"No"),"")</f>
        <v/>
      </c>
    </row>
    <row r="162" customFormat="false" ht="15" hidden="false" customHeight="false" outlineLevel="0" collapsed="false">
      <c r="A162" s="10" t="s">
        <v>695</v>
      </c>
      <c r="B162" s="10" t="s">
        <v>197</v>
      </c>
      <c r="C162" s="10" t="s">
        <v>229</v>
      </c>
      <c r="D162" s="8" t="s">
        <v>225</v>
      </c>
      <c r="E162" s="8" t="s">
        <v>230</v>
      </c>
      <c r="F162" s="10" t="s">
        <v>105</v>
      </c>
      <c r="G162" s="11" t="s">
        <v>16</v>
      </c>
      <c r="H162" s="66"/>
      <c r="I162" s="67" t="n">
        <v>45967</v>
      </c>
      <c r="J162" s="10" t="s">
        <v>687</v>
      </c>
      <c r="K162" s="68" t="str">
        <f aca="false">IF(G162="No",MAX(0,AsOfDate-I162),"")</f>
        <v/>
      </c>
      <c r="L162" s="12" t="str">
        <f aca="false">IF(K162="","",IF(K162&lt;=90,"0-90",IF(K162&lt;=180,"91-180",IF(K162&lt;=270,"181-270","&gt;270"))))</f>
        <v/>
      </c>
      <c r="M162" s="12" t="str">
        <f aca="false">IF(G162="Obs",COUNTIF(G$2:G162,"Obs"),"")</f>
        <v/>
      </c>
      <c r="N162" s="12" t="str">
        <f aca="false">IF(G162="No",COUNTIF(G$2:G162,"No"),"")</f>
        <v/>
      </c>
    </row>
    <row r="163" customFormat="false" ht="15" hidden="false" customHeight="false" outlineLevel="0" collapsed="false">
      <c r="A163" s="69" t="s">
        <v>695</v>
      </c>
      <c r="B163" s="69" t="s">
        <v>197</v>
      </c>
      <c r="C163" s="69" t="s">
        <v>231</v>
      </c>
      <c r="D163" s="70" t="s">
        <v>225</v>
      </c>
      <c r="E163" s="70" t="s">
        <v>232</v>
      </c>
      <c r="F163" s="69" t="s">
        <v>105</v>
      </c>
      <c r="G163" s="71" t="s">
        <v>20</v>
      </c>
      <c r="H163" s="72"/>
      <c r="I163" s="73" t="n">
        <v>45967</v>
      </c>
      <c r="J163" s="69" t="s">
        <v>687</v>
      </c>
      <c r="K163" s="74" t="str">
        <f aca="false">IF(G163="No",MAX(0,AsOfDate-I163),"")</f>
        <v/>
      </c>
      <c r="L163" s="75" t="str">
        <f aca="false">IF(K163="","",IF(K163&lt;=90,"0-90",IF(K163&lt;=180,"91-180",IF(K163&lt;=270,"181-270","&gt;270"))))</f>
        <v/>
      </c>
      <c r="M163" s="75" t="str">
        <f aca="false">IF(G163="Obs",COUNTIF(G$2:G163,"Obs"),"")</f>
        <v/>
      </c>
      <c r="N163" s="75" t="str">
        <f aca="false">IF(G163="No",COUNTIF(G$2:G163,"No"),"")</f>
        <v/>
      </c>
    </row>
    <row r="164" customFormat="false" ht="15" hidden="false" customHeight="false" outlineLevel="0" collapsed="false">
      <c r="A164" s="10" t="s">
        <v>697</v>
      </c>
      <c r="B164" s="10" t="s">
        <v>197</v>
      </c>
      <c r="C164" s="10" t="s">
        <v>196</v>
      </c>
      <c r="D164" s="8" t="s">
        <v>133</v>
      </c>
      <c r="E164" s="8" t="s">
        <v>134</v>
      </c>
      <c r="F164" s="10" t="s">
        <v>99</v>
      </c>
      <c r="G164" s="11" t="s">
        <v>16</v>
      </c>
      <c r="H164" s="66"/>
      <c r="I164" s="67" t="n">
        <v>46072</v>
      </c>
      <c r="J164" s="10" t="s">
        <v>690</v>
      </c>
      <c r="K164" s="68" t="str">
        <f aca="false">IF(G164="No",MAX(0,AsOfDate-I164),"")</f>
        <v/>
      </c>
      <c r="L164" s="12" t="str">
        <f aca="false">IF(K164="","",IF(K164&lt;=90,"0-90",IF(K164&lt;=180,"91-180",IF(K164&lt;=270,"181-270","&gt;270"))))</f>
        <v/>
      </c>
      <c r="M164" s="12" t="str">
        <f aca="false">IF(G164="Obs",COUNTIF(G$2:G164,"Obs"),"")</f>
        <v/>
      </c>
      <c r="N164" s="12" t="str">
        <f aca="false">IF(G164="No",COUNTIF(G$2:G164,"No"),"")</f>
        <v/>
      </c>
    </row>
    <row r="165" customFormat="false" ht="15" hidden="false" customHeight="false" outlineLevel="0" collapsed="false">
      <c r="A165" s="69" t="s">
        <v>697</v>
      </c>
      <c r="B165" s="69" t="s">
        <v>197</v>
      </c>
      <c r="C165" s="69" t="s">
        <v>198</v>
      </c>
      <c r="D165" s="70" t="s">
        <v>133</v>
      </c>
      <c r="E165" s="70" t="s">
        <v>136</v>
      </c>
      <c r="F165" s="69" t="s">
        <v>99</v>
      </c>
      <c r="G165" s="71" t="s">
        <v>16</v>
      </c>
      <c r="H165" s="72"/>
      <c r="I165" s="73" t="n">
        <v>46072</v>
      </c>
      <c r="J165" s="69" t="s">
        <v>690</v>
      </c>
      <c r="K165" s="74" t="str">
        <f aca="false">IF(G165="No",MAX(0,AsOfDate-I165),"")</f>
        <v/>
      </c>
      <c r="L165" s="75" t="str">
        <f aca="false">IF(K165="","",IF(K165&lt;=90,"0-90",IF(K165&lt;=180,"91-180",IF(K165&lt;=270,"181-270","&gt;270"))))</f>
        <v/>
      </c>
      <c r="M165" s="75" t="str">
        <f aca="false">IF(G165="Obs",COUNTIF(G$2:G165,"Obs"),"")</f>
        <v/>
      </c>
      <c r="N165" s="75" t="str">
        <f aca="false">IF(G165="No",COUNTIF(G$2:G165,"No"),"")</f>
        <v/>
      </c>
    </row>
    <row r="166" customFormat="false" ht="15" hidden="false" customHeight="false" outlineLevel="0" collapsed="false">
      <c r="A166" s="10" t="s">
        <v>697</v>
      </c>
      <c r="B166" s="10" t="s">
        <v>197</v>
      </c>
      <c r="C166" s="10" t="s">
        <v>199</v>
      </c>
      <c r="D166" s="8" t="s">
        <v>133</v>
      </c>
      <c r="E166" s="8" t="s">
        <v>138</v>
      </c>
      <c r="F166" s="10" t="s">
        <v>105</v>
      </c>
      <c r="G166" s="11" t="s">
        <v>22</v>
      </c>
      <c r="H166" s="66" t="s">
        <v>536</v>
      </c>
      <c r="I166" s="67" t="n">
        <v>46072</v>
      </c>
      <c r="J166" s="10" t="s">
        <v>690</v>
      </c>
      <c r="K166" s="68" t="str">
        <f aca="false">IF(G166="No",MAX(0,AsOfDate-I166),"")</f>
        <v/>
      </c>
      <c r="L166" s="12" t="str">
        <f aca="false">IF(K166="","",IF(K166&lt;=90,"0-90",IF(K166&lt;=180,"91-180",IF(K166&lt;=270,"181-270","&gt;270"))))</f>
        <v/>
      </c>
      <c r="M166" s="12" t="n">
        <f aca="false">IF(G166="Obs",COUNTIF(G$2:G166,"Obs"),"")</f>
        <v>6</v>
      </c>
      <c r="N166" s="12" t="str">
        <f aca="false">IF(G166="No",COUNTIF(G$2:G166,"No"),"")</f>
        <v/>
      </c>
    </row>
    <row r="167" customFormat="false" ht="15" hidden="false" customHeight="false" outlineLevel="0" collapsed="false">
      <c r="A167" s="69" t="s">
        <v>697</v>
      </c>
      <c r="B167" s="69" t="s">
        <v>197</v>
      </c>
      <c r="C167" s="69" t="s">
        <v>200</v>
      </c>
      <c r="D167" s="70" t="s">
        <v>140</v>
      </c>
      <c r="E167" s="70" t="s">
        <v>141</v>
      </c>
      <c r="F167" s="69" t="s">
        <v>99</v>
      </c>
      <c r="G167" s="71" t="s">
        <v>16</v>
      </c>
      <c r="H167" s="72"/>
      <c r="I167" s="73" t="n">
        <v>46072</v>
      </c>
      <c r="J167" s="69" t="s">
        <v>690</v>
      </c>
      <c r="K167" s="74" t="str">
        <f aca="false">IF(G167="No",MAX(0,AsOfDate-I167),"")</f>
        <v/>
      </c>
      <c r="L167" s="75" t="str">
        <f aca="false">IF(K167="","",IF(K167&lt;=90,"0-90",IF(K167&lt;=180,"91-180",IF(K167&lt;=270,"181-270","&gt;270"))))</f>
        <v/>
      </c>
      <c r="M167" s="75" t="str">
        <f aca="false">IF(G167="Obs",COUNTIF(G$2:G167,"Obs"),"")</f>
        <v/>
      </c>
      <c r="N167" s="75" t="str">
        <f aca="false">IF(G167="No",COUNTIF(G$2:G167,"No"),"")</f>
        <v/>
      </c>
    </row>
    <row r="168" customFormat="false" ht="15" hidden="false" customHeight="false" outlineLevel="0" collapsed="false">
      <c r="A168" s="10" t="s">
        <v>697</v>
      </c>
      <c r="B168" s="10" t="s">
        <v>197</v>
      </c>
      <c r="C168" s="10" t="s">
        <v>201</v>
      </c>
      <c r="D168" s="8" t="s">
        <v>140</v>
      </c>
      <c r="E168" s="8" t="s">
        <v>143</v>
      </c>
      <c r="F168" s="10" t="s">
        <v>105</v>
      </c>
      <c r="G168" s="11" t="s">
        <v>16</v>
      </c>
      <c r="H168" s="66"/>
      <c r="I168" s="67" t="n">
        <v>46072</v>
      </c>
      <c r="J168" s="10" t="s">
        <v>690</v>
      </c>
      <c r="K168" s="68" t="str">
        <f aca="false">IF(G168="No",MAX(0,AsOfDate-I168),"")</f>
        <v/>
      </c>
      <c r="L168" s="12" t="str">
        <f aca="false">IF(K168="","",IF(K168&lt;=90,"0-90",IF(K168&lt;=180,"91-180",IF(K168&lt;=270,"181-270","&gt;270"))))</f>
        <v/>
      </c>
      <c r="M168" s="12" t="str">
        <f aca="false">IF(G168="Obs",COUNTIF(G$2:G168,"Obs"),"")</f>
        <v/>
      </c>
      <c r="N168" s="12" t="str">
        <f aca="false">IF(G168="No",COUNTIF(G$2:G168,"No"),"")</f>
        <v/>
      </c>
    </row>
    <row r="169" customFormat="false" ht="23.85" hidden="false" customHeight="false" outlineLevel="0" collapsed="false">
      <c r="A169" s="69" t="s">
        <v>697</v>
      </c>
      <c r="B169" s="69" t="s">
        <v>197</v>
      </c>
      <c r="C169" s="69" t="s">
        <v>202</v>
      </c>
      <c r="D169" s="70" t="s">
        <v>140</v>
      </c>
      <c r="E169" s="70" t="s">
        <v>145</v>
      </c>
      <c r="F169" s="69" t="s">
        <v>99</v>
      </c>
      <c r="G169" s="71" t="s">
        <v>22</v>
      </c>
      <c r="H169" s="72" t="s">
        <v>667</v>
      </c>
      <c r="I169" s="73" t="n">
        <v>46072</v>
      </c>
      <c r="J169" s="69" t="s">
        <v>690</v>
      </c>
      <c r="K169" s="74" t="str">
        <f aca="false">IF(G169="No",MAX(0,AsOfDate-I169),"")</f>
        <v/>
      </c>
      <c r="L169" s="75" t="str">
        <f aca="false">IF(K169="","",IF(K169&lt;=90,"0-90",IF(K169&lt;=180,"91-180",IF(K169&lt;=270,"181-270","&gt;270"))))</f>
        <v/>
      </c>
      <c r="M169" s="75" t="n">
        <f aca="false">IF(G169="Obs",COUNTIF(G$2:G169,"Obs"),"")</f>
        <v>7</v>
      </c>
      <c r="N169" s="75" t="str">
        <f aca="false">IF(G169="No",COUNTIF(G$2:G169,"No"),"")</f>
        <v/>
      </c>
    </row>
    <row r="170" customFormat="false" ht="15" hidden="false" customHeight="false" outlineLevel="0" collapsed="false">
      <c r="A170" s="10" t="s">
        <v>697</v>
      </c>
      <c r="B170" s="10" t="s">
        <v>197</v>
      </c>
      <c r="C170" s="10" t="s">
        <v>203</v>
      </c>
      <c r="D170" s="8" t="s">
        <v>147</v>
      </c>
      <c r="E170" s="8" t="s">
        <v>148</v>
      </c>
      <c r="F170" s="10" t="s">
        <v>99</v>
      </c>
      <c r="G170" s="11" t="s">
        <v>16</v>
      </c>
      <c r="H170" s="66"/>
      <c r="I170" s="67" t="n">
        <v>46072</v>
      </c>
      <c r="J170" s="10" t="s">
        <v>690</v>
      </c>
      <c r="K170" s="68" t="str">
        <f aca="false">IF(G170="No",MAX(0,AsOfDate-I170),"")</f>
        <v/>
      </c>
      <c r="L170" s="12" t="str">
        <f aca="false">IF(K170="","",IF(K170&lt;=90,"0-90",IF(K170&lt;=180,"91-180",IF(K170&lt;=270,"181-270","&gt;270"))))</f>
        <v/>
      </c>
      <c r="M170" s="12" t="str">
        <f aca="false">IF(G170="Obs",COUNTIF(G$2:G170,"Obs"),"")</f>
        <v/>
      </c>
      <c r="N170" s="12" t="str">
        <f aca="false">IF(G170="No",COUNTIF(G$2:G170,"No"),"")</f>
        <v/>
      </c>
    </row>
    <row r="171" customFormat="false" ht="15" hidden="false" customHeight="false" outlineLevel="0" collapsed="false">
      <c r="A171" s="69" t="s">
        <v>697</v>
      </c>
      <c r="B171" s="69" t="s">
        <v>197</v>
      </c>
      <c r="C171" s="69" t="s">
        <v>204</v>
      </c>
      <c r="D171" s="70" t="s">
        <v>147</v>
      </c>
      <c r="E171" s="70" t="s">
        <v>150</v>
      </c>
      <c r="F171" s="69" t="s">
        <v>105</v>
      </c>
      <c r="G171" s="71" t="s">
        <v>16</v>
      </c>
      <c r="H171" s="72"/>
      <c r="I171" s="73" t="n">
        <v>46072</v>
      </c>
      <c r="J171" s="69" t="s">
        <v>690</v>
      </c>
      <c r="K171" s="74" t="str">
        <f aca="false">IF(G171="No",MAX(0,AsOfDate-I171),"")</f>
        <v/>
      </c>
      <c r="L171" s="75" t="str">
        <f aca="false">IF(K171="","",IF(K171&lt;=90,"0-90",IF(K171&lt;=180,"91-180",IF(K171&lt;=270,"181-270","&gt;270"))))</f>
        <v/>
      </c>
      <c r="M171" s="75" t="str">
        <f aca="false">IF(G171="Obs",COUNTIF(G$2:G171,"Obs"),"")</f>
        <v/>
      </c>
      <c r="N171" s="75" t="str">
        <f aca="false">IF(G171="No",COUNTIF(G$2:G171,"No"),"")</f>
        <v/>
      </c>
    </row>
    <row r="172" customFormat="false" ht="23.85" hidden="false" customHeight="false" outlineLevel="0" collapsed="false">
      <c r="A172" s="10" t="s">
        <v>697</v>
      </c>
      <c r="B172" s="10" t="s">
        <v>197</v>
      </c>
      <c r="C172" s="10" t="s">
        <v>205</v>
      </c>
      <c r="D172" s="8" t="s">
        <v>147</v>
      </c>
      <c r="E172" s="8" t="s">
        <v>152</v>
      </c>
      <c r="F172" s="10" t="s">
        <v>99</v>
      </c>
      <c r="G172" s="11" t="s">
        <v>18</v>
      </c>
      <c r="H172" s="66" t="s">
        <v>563</v>
      </c>
      <c r="I172" s="67" t="n">
        <v>46072</v>
      </c>
      <c r="J172" s="10" t="s">
        <v>690</v>
      </c>
      <c r="K172" s="68" t="n">
        <f aca="false">IF(G172="No",MAX(0,AsOfDate-I172),"")</f>
        <v>111</v>
      </c>
      <c r="L172" s="12" t="str">
        <f aca="false">IF(K172="","",IF(K172&lt;=90,"0-90",IF(K172&lt;=180,"91-180",IF(K172&lt;=270,"181-270","&gt;270"))))</f>
        <v>91-180</v>
      </c>
      <c r="M172" s="12" t="str">
        <f aca="false">IF(G172="Obs",COUNTIF(G$2:G172,"Obs"),"")</f>
        <v/>
      </c>
      <c r="N172" s="12" t="n">
        <f aca="false">IF(G172="No",COUNTIF(G$2:G172,"No"),"")</f>
        <v>12</v>
      </c>
    </row>
    <row r="173" customFormat="false" ht="15" hidden="false" customHeight="false" outlineLevel="0" collapsed="false">
      <c r="A173" s="69" t="s">
        <v>697</v>
      </c>
      <c r="B173" s="69" t="s">
        <v>197</v>
      </c>
      <c r="C173" s="69" t="s">
        <v>206</v>
      </c>
      <c r="D173" s="70" t="s">
        <v>154</v>
      </c>
      <c r="E173" s="70" t="s">
        <v>155</v>
      </c>
      <c r="F173" s="69" t="s">
        <v>105</v>
      </c>
      <c r="G173" s="71" t="s">
        <v>16</v>
      </c>
      <c r="H173" s="72"/>
      <c r="I173" s="73" t="n">
        <v>46072</v>
      </c>
      <c r="J173" s="69" t="s">
        <v>690</v>
      </c>
      <c r="K173" s="74" t="str">
        <f aca="false">IF(G173="No",MAX(0,AsOfDate-I173),"")</f>
        <v/>
      </c>
      <c r="L173" s="75" t="str">
        <f aca="false">IF(K173="","",IF(K173&lt;=90,"0-90",IF(K173&lt;=180,"91-180",IF(K173&lt;=270,"181-270","&gt;270"))))</f>
        <v/>
      </c>
      <c r="M173" s="75" t="str">
        <f aca="false">IF(G173="Obs",COUNTIF(G$2:G173,"Obs"),"")</f>
        <v/>
      </c>
      <c r="N173" s="75" t="str">
        <f aca="false">IF(G173="No",COUNTIF(G$2:G173,"No"),"")</f>
        <v/>
      </c>
    </row>
    <row r="174" customFormat="false" ht="15" hidden="false" customHeight="false" outlineLevel="0" collapsed="false">
      <c r="A174" s="10" t="s">
        <v>697</v>
      </c>
      <c r="B174" s="10" t="s">
        <v>197</v>
      </c>
      <c r="C174" s="10" t="s">
        <v>207</v>
      </c>
      <c r="D174" s="8" t="s">
        <v>154</v>
      </c>
      <c r="E174" s="8" t="s">
        <v>157</v>
      </c>
      <c r="F174" s="10" t="s">
        <v>105</v>
      </c>
      <c r="G174" s="11" t="s">
        <v>16</v>
      </c>
      <c r="H174" s="66"/>
      <c r="I174" s="67" t="n">
        <v>46072</v>
      </c>
      <c r="J174" s="10" t="s">
        <v>690</v>
      </c>
      <c r="K174" s="68" t="str">
        <f aca="false">IF(G174="No",MAX(0,AsOfDate-I174),"")</f>
        <v/>
      </c>
      <c r="L174" s="12" t="str">
        <f aca="false">IF(K174="","",IF(K174&lt;=90,"0-90",IF(K174&lt;=180,"91-180",IF(K174&lt;=270,"181-270","&gt;270"))))</f>
        <v/>
      </c>
      <c r="M174" s="12" t="str">
        <f aca="false">IF(G174="Obs",COUNTIF(G$2:G174,"Obs"),"")</f>
        <v/>
      </c>
      <c r="N174" s="12" t="str">
        <f aca="false">IF(G174="No",COUNTIF(G$2:G174,"No"),"")</f>
        <v/>
      </c>
    </row>
    <row r="175" customFormat="false" ht="23.85" hidden="false" customHeight="false" outlineLevel="0" collapsed="false">
      <c r="A175" s="69" t="s">
        <v>697</v>
      </c>
      <c r="B175" s="69" t="s">
        <v>197</v>
      </c>
      <c r="C175" s="69" t="s">
        <v>208</v>
      </c>
      <c r="D175" s="70" t="s">
        <v>159</v>
      </c>
      <c r="E175" s="70" t="s">
        <v>160</v>
      </c>
      <c r="F175" s="69" t="s">
        <v>99</v>
      </c>
      <c r="G175" s="71" t="s">
        <v>16</v>
      </c>
      <c r="H175" s="72"/>
      <c r="I175" s="73" t="n">
        <v>46072</v>
      </c>
      <c r="J175" s="69" t="s">
        <v>690</v>
      </c>
      <c r="K175" s="74" t="str">
        <f aca="false">IF(G175="No",MAX(0,AsOfDate-I175),"")</f>
        <v/>
      </c>
      <c r="L175" s="75" t="str">
        <f aca="false">IF(K175="","",IF(K175&lt;=90,"0-90",IF(K175&lt;=180,"91-180",IF(K175&lt;=270,"181-270","&gt;270"))))</f>
        <v/>
      </c>
      <c r="M175" s="75" t="str">
        <f aca="false">IF(G175="Obs",COUNTIF(G$2:G175,"Obs"),"")</f>
        <v/>
      </c>
      <c r="N175" s="75" t="str">
        <f aca="false">IF(G175="No",COUNTIF(G$2:G175,"No"),"")</f>
        <v/>
      </c>
    </row>
    <row r="176" customFormat="false" ht="23.85" hidden="false" customHeight="false" outlineLevel="0" collapsed="false">
      <c r="A176" s="10" t="s">
        <v>697</v>
      </c>
      <c r="B176" s="10" t="s">
        <v>197</v>
      </c>
      <c r="C176" s="10" t="s">
        <v>209</v>
      </c>
      <c r="D176" s="8" t="s">
        <v>159</v>
      </c>
      <c r="E176" s="8" t="s">
        <v>162</v>
      </c>
      <c r="F176" s="10" t="s">
        <v>99</v>
      </c>
      <c r="G176" s="11" t="s">
        <v>16</v>
      </c>
      <c r="H176" s="66"/>
      <c r="I176" s="67" t="n">
        <v>46072</v>
      </c>
      <c r="J176" s="10" t="s">
        <v>690</v>
      </c>
      <c r="K176" s="68" t="str">
        <f aca="false">IF(G176="No",MAX(0,AsOfDate-I176),"")</f>
        <v/>
      </c>
      <c r="L176" s="12" t="str">
        <f aca="false">IF(K176="","",IF(K176&lt;=90,"0-90",IF(K176&lt;=180,"91-180",IF(K176&lt;=270,"181-270","&gt;270"))))</f>
        <v/>
      </c>
      <c r="M176" s="12" t="str">
        <f aca="false">IF(G176="Obs",COUNTIF(G$2:G176,"Obs"),"")</f>
        <v/>
      </c>
      <c r="N176" s="12" t="str">
        <f aca="false">IF(G176="No",COUNTIF(G$2:G176,"No"),"")</f>
        <v/>
      </c>
    </row>
    <row r="177" customFormat="false" ht="23.85" hidden="false" customHeight="false" outlineLevel="0" collapsed="false">
      <c r="A177" s="69" t="s">
        <v>697</v>
      </c>
      <c r="B177" s="69" t="s">
        <v>197</v>
      </c>
      <c r="C177" s="69" t="s">
        <v>210</v>
      </c>
      <c r="D177" s="70" t="s">
        <v>159</v>
      </c>
      <c r="E177" s="70" t="s">
        <v>164</v>
      </c>
      <c r="F177" s="69" t="s">
        <v>110</v>
      </c>
      <c r="G177" s="71" t="s">
        <v>18</v>
      </c>
      <c r="H177" s="72" t="s">
        <v>741</v>
      </c>
      <c r="I177" s="73" t="n">
        <v>46072</v>
      </c>
      <c r="J177" s="69" t="s">
        <v>690</v>
      </c>
      <c r="K177" s="74" t="n">
        <f aca="false">IF(G177="No",MAX(0,AsOfDate-I177),"")</f>
        <v>111</v>
      </c>
      <c r="L177" s="75" t="str">
        <f aca="false">IF(K177="","",IF(K177&lt;=90,"0-90",IF(K177&lt;=180,"91-180",IF(K177&lt;=270,"181-270","&gt;270"))))</f>
        <v>91-180</v>
      </c>
      <c r="M177" s="75" t="str">
        <f aca="false">IF(G177="Obs",COUNTIF(G$2:G177,"Obs"),"")</f>
        <v/>
      </c>
      <c r="N177" s="75" t="n">
        <f aca="false">IF(G177="No",COUNTIF(G$2:G177,"No"),"")</f>
        <v>13</v>
      </c>
    </row>
    <row r="178" customFormat="false" ht="15" hidden="false" customHeight="false" outlineLevel="0" collapsed="false">
      <c r="A178" s="10" t="s">
        <v>697</v>
      </c>
      <c r="B178" s="10" t="s">
        <v>197</v>
      </c>
      <c r="C178" s="10" t="s">
        <v>211</v>
      </c>
      <c r="D178" s="8" t="s">
        <v>166</v>
      </c>
      <c r="E178" s="8" t="s">
        <v>167</v>
      </c>
      <c r="F178" s="10" t="s">
        <v>99</v>
      </c>
      <c r="G178" s="11" t="s">
        <v>16</v>
      </c>
      <c r="H178" s="66"/>
      <c r="I178" s="67" t="n">
        <v>46072</v>
      </c>
      <c r="J178" s="10" t="s">
        <v>690</v>
      </c>
      <c r="K178" s="68" t="str">
        <f aca="false">IF(G178="No",MAX(0,AsOfDate-I178),"")</f>
        <v/>
      </c>
      <c r="L178" s="12" t="str">
        <f aca="false">IF(K178="","",IF(K178&lt;=90,"0-90",IF(K178&lt;=180,"91-180",IF(K178&lt;=270,"181-270","&gt;270"))))</f>
        <v/>
      </c>
      <c r="M178" s="12" t="str">
        <f aca="false">IF(G178="Obs",COUNTIF(G$2:G178,"Obs"),"")</f>
        <v/>
      </c>
      <c r="N178" s="12" t="str">
        <f aca="false">IF(G178="No",COUNTIF(G$2:G178,"No"),"")</f>
        <v/>
      </c>
    </row>
    <row r="179" customFormat="false" ht="15" hidden="false" customHeight="false" outlineLevel="0" collapsed="false">
      <c r="A179" s="69" t="s">
        <v>697</v>
      </c>
      <c r="B179" s="69" t="s">
        <v>197</v>
      </c>
      <c r="C179" s="69" t="s">
        <v>212</v>
      </c>
      <c r="D179" s="70" t="s">
        <v>166</v>
      </c>
      <c r="E179" s="70" t="s">
        <v>169</v>
      </c>
      <c r="F179" s="69" t="s">
        <v>105</v>
      </c>
      <c r="G179" s="71" t="s">
        <v>18</v>
      </c>
      <c r="H179" s="72" t="s">
        <v>742</v>
      </c>
      <c r="I179" s="73" t="n">
        <v>46072</v>
      </c>
      <c r="J179" s="69" t="s">
        <v>690</v>
      </c>
      <c r="K179" s="74" t="n">
        <f aca="false">IF(G179="No",MAX(0,AsOfDate-I179),"")</f>
        <v>111</v>
      </c>
      <c r="L179" s="75" t="str">
        <f aca="false">IF(K179="","",IF(K179&lt;=90,"0-90",IF(K179&lt;=180,"91-180",IF(K179&lt;=270,"181-270","&gt;270"))))</f>
        <v>91-180</v>
      </c>
      <c r="M179" s="75" t="str">
        <f aca="false">IF(G179="Obs",COUNTIF(G$2:G179,"Obs"),"")</f>
        <v/>
      </c>
      <c r="N179" s="75" t="n">
        <f aca="false">IF(G179="No",COUNTIF(G$2:G179,"No"),"")</f>
        <v>14</v>
      </c>
    </row>
    <row r="180" customFormat="false" ht="15" hidden="false" customHeight="false" outlineLevel="0" collapsed="false">
      <c r="A180" s="10" t="s">
        <v>697</v>
      </c>
      <c r="B180" s="10" t="s">
        <v>197</v>
      </c>
      <c r="C180" s="10" t="s">
        <v>213</v>
      </c>
      <c r="D180" s="8" t="s">
        <v>171</v>
      </c>
      <c r="E180" s="8" t="s">
        <v>172</v>
      </c>
      <c r="F180" s="10" t="s">
        <v>105</v>
      </c>
      <c r="G180" s="11" t="s">
        <v>16</v>
      </c>
      <c r="H180" s="66"/>
      <c r="I180" s="67" t="n">
        <v>46072</v>
      </c>
      <c r="J180" s="10" t="s">
        <v>690</v>
      </c>
      <c r="K180" s="68" t="str">
        <f aca="false">IF(G180="No",MAX(0,AsOfDate-I180),"")</f>
        <v/>
      </c>
      <c r="L180" s="12" t="str">
        <f aca="false">IF(K180="","",IF(K180&lt;=90,"0-90",IF(K180&lt;=180,"91-180",IF(K180&lt;=270,"181-270","&gt;270"))))</f>
        <v/>
      </c>
      <c r="M180" s="12" t="str">
        <f aca="false">IF(G180="Obs",COUNTIF(G$2:G180,"Obs"),"")</f>
        <v/>
      </c>
      <c r="N180" s="12" t="str">
        <f aca="false">IF(G180="No",COUNTIF(G$2:G180,"No"),"")</f>
        <v/>
      </c>
    </row>
    <row r="181" customFormat="false" ht="15" hidden="false" customHeight="false" outlineLevel="0" collapsed="false">
      <c r="A181" s="69" t="s">
        <v>697</v>
      </c>
      <c r="B181" s="69" t="s">
        <v>197</v>
      </c>
      <c r="C181" s="69" t="s">
        <v>214</v>
      </c>
      <c r="D181" s="70" t="s">
        <v>171</v>
      </c>
      <c r="E181" s="70" t="s">
        <v>174</v>
      </c>
      <c r="F181" s="69" t="s">
        <v>99</v>
      </c>
      <c r="G181" s="71" t="s">
        <v>22</v>
      </c>
      <c r="H181" s="72" t="s">
        <v>536</v>
      </c>
      <c r="I181" s="73" t="n">
        <v>46072</v>
      </c>
      <c r="J181" s="69" t="s">
        <v>690</v>
      </c>
      <c r="K181" s="74" t="str">
        <f aca="false">IF(G181="No",MAX(0,AsOfDate-I181),"")</f>
        <v/>
      </c>
      <c r="L181" s="75" t="str">
        <f aca="false">IF(K181="","",IF(K181&lt;=90,"0-90",IF(K181&lt;=180,"91-180",IF(K181&lt;=270,"181-270","&gt;270"))))</f>
        <v/>
      </c>
      <c r="M181" s="75" t="n">
        <f aca="false">IF(G181="Obs",COUNTIF(G$2:G181,"Obs"),"")</f>
        <v>8</v>
      </c>
      <c r="N181" s="75" t="str">
        <f aca="false">IF(G181="No",COUNTIF(G$2:G181,"No"),"")</f>
        <v/>
      </c>
    </row>
    <row r="182" customFormat="false" ht="15" hidden="false" customHeight="false" outlineLevel="0" collapsed="false">
      <c r="A182" s="10" t="s">
        <v>697</v>
      </c>
      <c r="B182" s="10" t="s">
        <v>197</v>
      </c>
      <c r="C182" s="10" t="s">
        <v>215</v>
      </c>
      <c r="D182" s="8" t="s">
        <v>176</v>
      </c>
      <c r="E182" s="8" t="s">
        <v>177</v>
      </c>
      <c r="F182" s="10" t="s">
        <v>105</v>
      </c>
      <c r="G182" s="11" t="s">
        <v>16</v>
      </c>
      <c r="H182" s="66"/>
      <c r="I182" s="67" t="n">
        <v>46072</v>
      </c>
      <c r="J182" s="10" t="s">
        <v>690</v>
      </c>
      <c r="K182" s="68" t="str">
        <f aca="false">IF(G182="No",MAX(0,AsOfDate-I182),"")</f>
        <v/>
      </c>
      <c r="L182" s="12" t="str">
        <f aca="false">IF(K182="","",IF(K182&lt;=90,"0-90",IF(K182&lt;=180,"91-180",IF(K182&lt;=270,"181-270","&gt;270"))))</f>
        <v/>
      </c>
      <c r="M182" s="12" t="str">
        <f aca="false">IF(G182="Obs",COUNTIF(G$2:G182,"Obs"),"")</f>
        <v/>
      </c>
      <c r="N182" s="12" t="str">
        <f aca="false">IF(G182="No",COUNTIF(G$2:G182,"No"),"")</f>
        <v/>
      </c>
    </row>
    <row r="183" customFormat="false" ht="15" hidden="false" customHeight="false" outlineLevel="0" collapsed="false">
      <c r="A183" s="69" t="s">
        <v>697</v>
      </c>
      <c r="B183" s="69" t="s">
        <v>197</v>
      </c>
      <c r="C183" s="69" t="s">
        <v>216</v>
      </c>
      <c r="D183" s="70" t="s">
        <v>176</v>
      </c>
      <c r="E183" s="70" t="s">
        <v>179</v>
      </c>
      <c r="F183" s="69" t="s">
        <v>105</v>
      </c>
      <c r="G183" s="71" t="s">
        <v>16</v>
      </c>
      <c r="H183" s="72"/>
      <c r="I183" s="73" t="n">
        <v>46072</v>
      </c>
      <c r="J183" s="69" t="s">
        <v>690</v>
      </c>
      <c r="K183" s="74" t="str">
        <f aca="false">IF(G183="No",MAX(0,AsOfDate-I183),"")</f>
        <v/>
      </c>
      <c r="L183" s="75" t="str">
        <f aca="false">IF(K183="","",IF(K183&lt;=90,"0-90",IF(K183&lt;=180,"91-180",IF(K183&lt;=270,"181-270","&gt;270"))))</f>
        <v/>
      </c>
      <c r="M183" s="75" t="str">
        <f aca="false">IF(G183="Obs",COUNTIF(G$2:G183,"Obs"),"")</f>
        <v/>
      </c>
      <c r="N183" s="75" t="str">
        <f aca="false">IF(G183="No",COUNTIF(G$2:G183,"No"),"")</f>
        <v/>
      </c>
    </row>
    <row r="184" customFormat="false" ht="23.85" hidden="false" customHeight="false" outlineLevel="0" collapsed="false">
      <c r="A184" s="10" t="s">
        <v>697</v>
      </c>
      <c r="B184" s="10" t="s">
        <v>197</v>
      </c>
      <c r="C184" s="10" t="s">
        <v>217</v>
      </c>
      <c r="D184" s="8" t="s">
        <v>218</v>
      </c>
      <c r="E184" s="8" t="s">
        <v>219</v>
      </c>
      <c r="F184" s="10" t="s">
        <v>105</v>
      </c>
      <c r="G184" s="11" t="s">
        <v>22</v>
      </c>
      <c r="H184" s="66" t="s">
        <v>592</v>
      </c>
      <c r="I184" s="67" t="n">
        <v>46072</v>
      </c>
      <c r="J184" s="10" t="s">
        <v>690</v>
      </c>
      <c r="K184" s="68" t="str">
        <f aca="false">IF(G184="No",MAX(0,AsOfDate-I184),"")</f>
        <v/>
      </c>
      <c r="L184" s="12" t="str">
        <f aca="false">IF(K184="","",IF(K184&lt;=90,"0-90",IF(K184&lt;=180,"91-180",IF(K184&lt;=270,"181-270","&gt;270"))))</f>
        <v/>
      </c>
      <c r="M184" s="12" t="n">
        <f aca="false">IF(G184="Obs",COUNTIF(G$2:G184,"Obs"),"")</f>
        <v>9</v>
      </c>
      <c r="N184" s="12" t="str">
        <f aca="false">IF(G184="No",COUNTIF(G$2:G184,"No"),"")</f>
        <v/>
      </c>
    </row>
    <row r="185" customFormat="false" ht="23.85" hidden="false" customHeight="false" outlineLevel="0" collapsed="false">
      <c r="A185" s="69" t="s">
        <v>697</v>
      </c>
      <c r="B185" s="69" t="s">
        <v>197</v>
      </c>
      <c r="C185" s="69" t="s">
        <v>220</v>
      </c>
      <c r="D185" s="70" t="s">
        <v>218</v>
      </c>
      <c r="E185" s="70" t="s">
        <v>221</v>
      </c>
      <c r="F185" s="69" t="s">
        <v>99</v>
      </c>
      <c r="G185" s="71" t="s">
        <v>16</v>
      </c>
      <c r="H185" s="72"/>
      <c r="I185" s="73" t="n">
        <v>46072</v>
      </c>
      <c r="J185" s="69" t="s">
        <v>690</v>
      </c>
      <c r="K185" s="74" t="str">
        <f aca="false">IF(G185="No",MAX(0,AsOfDate-I185),"")</f>
        <v/>
      </c>
      <c r="L185" s="75" t="str">
        <f aca="false">IF(K185="","",IF(K185&lt;=90,"0-90",IF(K185&lt;=180,"91-180",IF(K185&lt;=270,"181-270","&gt;270"))))</f>
        <v/>
      </c>
      <c r="M185" s="75" t="str">
        <f aca="false">IF(G185="Obs",COUNTIF(G$2:G185,"Obs"),"")</f>
        <v/>
      </c>
      <c r="N185" s="75" t="str">
        <f aca="false">IF(G185="No",COUNTIF(G$2:G185,"No"),"")</f>
        <v/>
      </c>
    </row>
    <row r="186" customFormat="false" ht="23.85" hidden="false" customHeight="false" outlineLevel="0" collapsed="false">
      <c r="A186" s="10" t="s">
        <v>697</v>
      </c>
      <c r="B186" s="10" t="s">
        <v>197</v>
      </c>
      <c r="C186" s="10" t="s">
        <v>222</v>
      </c>
      <c r="D186" s="8" t="s">
        <v>218</v>
      </c>
      <c r="E186" s="8" t="s">
        <v>223</v>
      </c>
      <c r="F186" s="10" t="s">
        <v>105</v>
      </c>
      <c r="G186" s="11" t="s">
        <v>16</v>
      </c>
      <c r="H186" s="66"/>
      <c r="I186" s="67" t="n">
        <v>46072</v>
      </c>
      <c r="J186" s="10" t="s">
        <v>690</v>
      </c>
      <c r="K186" s="68" t="str">
        <f aca="false">IF(G186="No",MAX(0,AsOfDate-I186),"")</f>
        <v/>
      </c>
      <c r="L186" s="12" t="str">
        <f aca="false">IF(K186="","",IF(K186&lt;=90,"0-90",IF(K186&lt;=180,"91-180",IF(K186&lt;=270,"181-270","&gt;270"))))</f>
        <v/>
      </c>
      <c r="M186" s="12" t="str">
        <f aca="false">IF(G186="Obs",COUNTIF(G$2:G186,"Obs"),"")</f>
        <v/>
      </c>
      <c r="N186" s="12" t="str">
        <f aca="false">IF(G186="No",COUNTIF(G$2:G186,"No"),"")</f>
        <v/>
      </c>
    </row>
    <row r="187" customFormat="false" ht="23.85" hidden="false" customHeight="false" outlineLevel="0" collapsed="false">
      <c r="A187" s="69" t="s">
        <v>697</v>
      </c>
      <c r="B187" s="69" t="s">
        <v>197</v>
      </c>
      <c r="C187" s="69" t="s">
        <v>224</v>
      </c>
      <c r="D187" s="70" t="s">
        <v>225</v>
      </c>
      <c r="E187" s="70" t="s">
        <v>226</v>
      </c>
      <c r="F187" s="69" t="s">
        <v>99</v>
      </c>
      <c r="G187" s="71" t="s">
        <v>16</v>
      </c>
      <c r="H187" s="72"/>
      <c r="I187" s="73" t="n">
        <v>46072</v>
      </c>
      <c r="J187" s="69" t="s">
        <v>690</v>
      </c>
      <c r="K187" s="74" t="str">
        <f aca="false">IF(G187="No",MAX(0,AsOfDate-I187),"")</f>
        <v/>
      </c>
      <c r="L187" s="75" t="str">
        <f aca="false">IF(K187="","",IF(K187&lt;=90,"0-90",IF(K187&lt;=180,"91-180",IF(K187&lt;=270,"181-270","&gt;270"))))</f>
        <v/>
      </c>
      <c r="M187" s="75" t="str">
        <f aca="false">IF(G187="Obs",COUNTIF(G$2:G187,"Obs"),"")</f>
        <v/>
      </c>
      <c r="N187" s="75" t="str">
        <f aca="false">IF(G187="No",COUNTIF(G$2:G187,"No"),"")</f>
        <v/>
      </c>
    </row>
    <row r="188" customFormat="false" ht="15" hidden="false" customHeight="false" outlineLevel="0" collapsed="false">
      <c r="A188" s="10" t="s">
        <v>697</v>
      </c>
      <c r="B188" s="10" t="s">
        <v>197</v>
      </c>
      <c r="C188" s="10" t="s">
        <v>227</v>
      </c>
      <c r="D188" s="8" t="s">
        <v>225</v>
      </c>
      <c r="E188" s="8" t="s">
        <v>228</v>
      </c>
      <c r="F188" s="10" t="s">
        <v>99</v>
      </c>
      <c r="G188" s="11" t="s">
        <v>16</v>
      </c>
      <c r="H188" s="66"/>
      <c r="I188" s="67" t="n">
        <v>46072</v>
      </c>
      <c r="J188" s="10" t="s">
        <v>690</v>
      </c>
      <c r="K188" s="68" t="str">
        <f aca="false">IF(G188="No",MAX(0,AsOfDate-I188),"")</f>
        <v/>
      </c>
      <c r="L188" s="12" t="str">
        <f aca="false">IF(K188="","",IF(K188&lt;=90,"0-90",IF(K188&lt;=180,"91-180",IF(K188&lt;=270,"181-270","&gt;270"))))</f>
        <v/>
      </c>
      <c r="M188" s="12" t="str">
        <f aca="false">IF(G188="Obs",COUNTIF(G$2:G188,"Obs"),"")</f>
        <v/>
      </c>
      <c r="N188" s="12" t="str">
        <f aca="false">IF(G188="No",COUNTIF(G$2:G188,"No"),"")</f>
        <v/>
      </c>
    </row>
    <row r="189" customFormat="false" ht="15" hidden="false" customHeight="false" outlineLevel="0" collapsed="false">
      <c r="A189" s="69" t="s">
        <v>697</v>
      </c>
      <c r="B189" s="69" t="s">
        <v>197</v>
      </c>
      <c r="C189" s="69" t="s">
        <v>229</v>
      </c>
      <c r="D189" s="70" t="s">
        <v>225</v>
      </c>
      <c r="E189" s="70" t="s">
        <v>230</v>
      </c>
      <c r="F189" s="69" t="s">
        <v>105</v>
      </c>
      <c r="G189" s="71" t="s">
        <v>16</v>
      </c>
      <c r="H189" s="72"/>
      <c r="I189" s="73" t="n">
        <v>46072</v>
      </c>
      <c r="J189" s="69" t="s">
        <v>690</v>
      </c>
      <c r="K189" s="74" t="str">
        <f aca="false">IF(G189="No",MAX(0,AsOfDate-I189),"")</f>
        <v/>
      </c>
      <c r="L189" s="75" t="str">
        <f aca="false">IF(K189="","",IF(K189&lt;=90,"0-90",IF(K189&lt;=180,"91-180",IF(K189&lt;=270,"181-270","&gt;270"))))</f>
        <v/>
      </c>
      <c r="M189" s="75" t="str">
        <f aca="false">IF(G189="Obs",COUNTIF(G$2:G189,"Obs"),"")</f>
        <v/>
      </c>
      <c r="N189" s="75" t="str">
        <f aca="false">IF(G189="No",COUNTIF(G$2:G189,"No"),"")</f>
        <v/>
      </c>
    </row>
    <row r="190" customFormat="false" ht="15" hidden="false" customHeight="false" outlineLevel="0" collapsed="false">
      <c r="A190" s="10" t="s">
        <v>697</v>
      </c>
      <c r="B190" s="10" t="s">
        <v>197</v>
      </c>
      <c r="C190" s="10" t="s">
        <v>231</v>
      </c>
      <c r="D190" s="8" t="s">
        <v>225</v>
      </c>
      <c r="E190" s="8" t="s">
        <v>232</v>
      </c>
      <c r="F190" s="10" t="s">
        <v>105</v>
      </c>
      <c r="G190" s="11" t="s">
        <v>16</v>
      </c>
      <c r="H190" s="66"/>
      <c r="I190" s="67" t="n">
        <v>46072</v>
      </c>
      <c r="J190" s="10" t="s">
        <v>690</v>
      </c>
      <c r="K190" s="68" t="str">
        <f aca="false">IF(G190="No",MAX(0,AsOfDate-I190),"")</f>
        <v/>
      </c>
      <c r="L190" s="12" t="str">
        <f aca="false">IF(K190="","",IF(K190&lt;=90,"0-90",IF(K190&lt;=180,"91-180",IF(K190&lt;=270,"181-270","&gt;270"))))</f>
        <v/>
      </c>
      <c r="M190" s="12" t="str">
        <f aca="false">IF(G190="Obs",COUNTIF(G$2:G190,"Obs"),"")</f>
        <v/>
      </c>
      <c r="N190" s="12" t="str">
        <f aca="false">IF(G190="No",COUNTIF(G$2:G190,"No"),"")</f>
        <v/>
      </c>
    </row>
    <row r="191" customFormat="false" ht="15" hidden="false" customHeight="false" outlineLevel="0" collapsed="false">
      <c r="A191" s="69" t="s">
        <v>699</v>
      </c>
      <c r="B191" s="69" t="s">
        <v>197</v>
      </c>
      <c r="C191" s="69" t="s">
        <v>196</v>
      </c>
      <c r="D191" s="70" t="s">
        <v>133</v>
      </c>
      <c r="E191" s="70" t="s">
        <v>134</v>
      </c>
      <c r="F191" s="69" t="s">
        <v>99</v>
      </c>
      <c r="G191" s="71" t="s">
        <v>16</v>
      </c>
      <c r="H191" s="72"/>
      <c r="I191" s="73" t="n">
        <v>46149</v>
      </c>
      <c r="J191" s="69" t="s">
        <v>693</v>
      </c>
      <c r="K191" s="74" t="str">
        <f aca="false">IF(G191="No",MAX(0,AsOfDate-I191),"")</f>
        <v/>
      </c>
      <c r="L191" s="75" t="str">
        <f aca="false">IF(K191="","",IF(K191&lt;=90,"0-90",IF(K191&lt;=180,"91-180",IF(K191&lt;=270,"181-270","&gt;270"))))</f>
        <v/>
      </c>
      <c r="M191" s="75" t="str">
        <f aca="false">IF(G191="Obs",COUNTIF(G$2:G191,"Obs"),"")</f>
        <v/>
      </c>
      <c r="N191" s="75" t="str">
        <f aca="false">IF(G191="No",COUNTIF(G$2:G191,"No"),"")</f>
        <v/>
      </c>
    </row>
    <row r="192" customFormat="false" ht="15" hidden="false" customHeight="false" outlineLevel="0" collapsed="false">
      <c r="A192" s="10" t="s">
        <v>699</v>
      </c>
      <c r="B192" s="10" t="s">
        <v>197</v>
      </c>
      <c r="C192" s="10" t="s">
        <v>198</v>
      </c>
      <c r="D192" s="8" t="s">
        <v>133</v>
      </c>
      <c r="E192" s="8" t="s">
        <v>136</v>
      </c>
      <c r="F192" s="10" t="s">
        <v>99</v>
      </c>
      <c r="G192" s="11" t="s">
        <v>16</v>
      </c>
      <c r="H192" s="66"/>
      <c r="I192" s="67" t="n">
        <v>46149</v>
      </c>
      <c r="J192" s="10" t="s">
        <v>693</v>
      </c>
      <c r="K192" s="68" t="str">
        <f aca="false">IF(G192="No",MAX(0,AsOfDate-I192),"")</f>
        <v/>
      </c>
      <c r="L192" s="12" t="str">
        <f aca="false">IF(K192="","",IF(K192&lt;=90,"0-90",IF(K192&lt;=180,"91-180",IF(K192&lt;=270,"181-270","&gt;270"))))</f>
        <v/>
      </c>
      <c r="M192" s="12" t="str">
        <f aca="false">IF(G192="Obs",COUNTIF(G$2:G192,"Obs"),"")</f>
        <v/>
      </c>
      <c r="N192" s="12" t="str">
        <f aca="false">IF(G192="No",COUNTIF(G$2:G192,"No"),"")</f>
        <v/>
      </c>
    </row>
    <row r="193" customFormat="false" ht="15" hidden="false" customHeight="false" outlineLevel="0" collapsed="false">
      <c r="A193" s="69" t="s">
        <v>699</v>
      </c>
      <c r="B193" s="69" t="s">
        <v>197</v>
      </c>
      <c r="C193" s="69" t="s">
        <v>199</v>
      </c>
      <c r="D193" s="70" t="s">
        <v>133</v>
      </c>
      <c r="E193" s="70" t="s">
        <v>138</v>
      </c>
      <c r="F193" s="69" t="s">
        <v>105</v>
      </c>
      <c r="G193" s="71" t="s">
        <v>16</v>
      </c>
      <c r="H193" s="72"/>
      <c r="I193" s="73" t="n">
        <v>46149</v>
      </c>
      <c r="J193" s="69" t="s">
        <v>693</v>
      </c>
      <c r="K193" s="74" t="str">
        <f aca="false">IF(G193="No",MAX(0,AsOfDate-I193),"")</f>
        <v/>
      </c>
      <c r="L193" s="75" t="str">
        <f aca="false">IF(K193="","",IF(K193&lt;=90,"0-90",IF(K193&lt;=180,"91-180",IF(K193&lt;=270,"181-270","&gt;270"))))</f>
        <v/>
      </c>
      <c r="M193" s="75" t="str">
        <f aca="false">IF(G193="Obs",COUNTIF(G$2:G193,"Obs"),"")</f>
        <v/>
      </c>
      <c r="N193" s="75" t="str">
        <f aca="false">IF(G193="No",COUNTIF(G$2:G193,"No"),"")</f>
        <v/>
      </c>
    </row>
    <row r="194" customFormat="false" ht="15" hidden="false" customHeight="false" outlineLevel="0" collapsed="false">
      <c r="A194" s="10" t="s">
        <v>699</v>
      </c>
      <c r="B194" s="10" t="s">
        <v>197</v>
      </c>
      <c r="C194" s="10" t="s">
        <v>200</v>
      </c>
      <c r="D194" s="8" t="s">
        <v>140</v>
      </c>
      <c r="E194" s="8" t="s">
        <v>141</v>
      </c>
      <c r="F194" s="10" t="s">
        <v>99</v>
      </c>
      <c r="G194" s="11" t="s">
        <v>16</v>
      </c>
      <c r="H194" s="66"/>
      <c r="I194" s="67" t="n">
        <v>46149</v>
      </c>
      <c r="J194" s="10" t="s">
        <v>693</v>
      </c>
      <c r="K194" s="68" t="str">
        <f aca="false">IF(G194="No",MAX(0,AsOfDate-I194),"")</f>
        <v/>
      </c>
      <c r="L194" s="12" t="str">
        <f aca="false">IF(K194="","",IF(K194&lt;=90,"0-90",IF(K194&lt;=180,"91-180",IF(K194&lt;=270,"181-270","&gt;270"))))</f>
        <v/>
      </c>
      <c r="M194" s="12" t="str">
        <f aca="false">IF(G194="Obs",COUNTIF(G$2:G194,"Obs"),"")</f>
        <v/>
      </c>
      <c r="N194" s="12" t="str">
        <f aca="false">IF(G194="No",COUNTIF(G$2:G194,"No"),"")</f>
        <v/>
      </c>
    </row>
    <row r="195" customFormat="false" ht="15" hidden="false" customHeight="false" outlineLevel="0" collapsed="false">
      <c r="A195" s="69" t="s">
        <v>699</v>
      </c>
      <c r="B195" s="69" t="s">
        <v>197</v>
      </c>
      <c r="C195" s="69" t="s">
        <v>201</v>
      </c>
      <c r="D195" s="70" t="s">
        <v>140</v>
      </c>
      <c r="E195" s="70" t="s">
        <v>143</v>
      </c>
      <c r="F195" s="69" t="s">
        <v>105</v>
      </c>
      <c r="G195" s="71" t="s">
        <v>16</v>
      </c>
      <c r="H195" s="72"/>
      <c r="I195" s="73" t="n">
        <v>46149</v>
      </c>
      <c r="J195" s="69" t="s">
        <v>693</v>
      </c>
      <c r="K195" s="74" t="str">
        <f aca="false">IF(G195="No",MAX(0,AsOfDate-I195),"")</f>
        <v/>
      </c>
      <c r="L195" s="75" t="str">
        <f aca="false">IF(K195="","",IF(K195&lt;=90,"0-90",IF(K195&lt;=180,"91-180",IF(K195&lt;=270,"181-270","&gt;270"))))</f>
        <v/>
      </c>
      <c r="M195" s="75" t="str">
        <f aca="false">IF(G195="Obs",COUNTIF(G$2:G195,"Obs"),"")</f>
        <v/>
      </c>
      <c r="N195" s="75" t="str">
        <f aca="false">IF(G195="No",COUNTIF(G$2:G195,"No"),"")</f>
        <v/>
      </c>
    </row>
    <row r="196" customFormat="false" ht="15" hidden="false" customHeight="false" outlineLevel="0" collapsed="false">
      <c r="A196" s="10" t="s">
        <v>699</v>
      </c>
      <c r="B196" s="10" t="s">
        <v>197</v>
      </c>
      <c r="C196" s="10" t="s">
        <v>202</v>
      </c>
      <c r="D196" s="8" t="s">
        <v>140</v>
      </c>
      <c r="E196" s="8" t="s">
        <v>145</v>
      </c>
      <c r="F196" s="10" t="s">
        <v>99</v>
      </c>
      <c r="G196" s="11" t="s">
        <v>16</v>
      </c>
      <c r="H196" s="66"/>
      <c r="I196" s="67" t="n">
        <v>46149</v>
      </c>
      <c r="J196" s="10" t="s">
        <v>693</v>
      </c>
      <c r="K196" s="68" t="str">
        <f aca="false">IF(G196="No",MAX(0,AsOfDate-I196),"")</f>
        <v/>
      </c>
      <c r="L196" s="12" t="str">
        <f aca="false">IF(K196="","",IF(K196&lt;=90,"0-90",IF(K196&lt;=180,"91-180",IF(K196&lt;=270,"181-270","&gt;270"))))</f>
        <v/>
      </c>
      <c r="M196" s="12" t="str">
        <f aca="false">IF(G196="Obs",COUNTIF(G$2:G196,"Obs"),"")</f>
        <v/>
      </c>
      <c r="N196" s="12" t="str">
        <f aca="false">IF(G196="No",COUNTIF(G$2:G196,"No"),"")</f>
        <v/>
      </c>
    </row>
    <row r="197" customFormat="false" ht="15" hidden="false" customHeight="false" outlineLevel="0" collapsed="false">
      <c r="A197" s="69" t="s">
        <v>699</v>
      </c>
      <c r="B197" s="69" t="s">
        <v>197</v>
      </c>
      <c r="C197" s="69" t="s">
        <v>203</v>
      </c>
      <c r="D197" s="70" t="s">
        <v>147</v>
      </c>
      <c r="E197" s="70" t="s">
        <v>148</v>
      </c>
      <c r="F197" s="69" t="s">
        <v>99</v>
      </c>
      <c r="G197" s="71" t="s">
        <v>16</v>
      </c>
      <c r="H197" s="72"/>
      <c r="I197" s="73" t="n">
        <v>46149</v>
      </c>
      <c r="J197" s="69" t="s">
        <v>693</v>
      </c>
      <c r="K197" s="74" t="str">
        <f aca="false">IF(G197="No",MAX(0,AsOfDate-I197),"")</f>
        <v/>
      </c>
      <c r="L197" s="75" t="str">
        <f aca="false">IF(K197="","",IF(K197&lt;=90,"0-90",IF(K197&lt;=180,"91-180",IF(K197&lt;=270,"181-270","&gt;270"))))</f>
        <v/>
      </c>
      <c r="M197" s="75" t="str">
        <f aca="false">IF(G197="Obs",COUNTIF(G$2:G197,"Obs"),"")</f>
        <v/>
      </c>
      <c r="N197" s="75" t="str">
        <f aca="false">IF(G197="No",COUNTIF(G$2:G197,"No"),"")</f>
        <v/>
      </c>
    </row>
    <row r="198" customFormat="false" ht="15" hidden="false" customHeight="false" outlineLevel="0" collapsed="false">
      <c r="A198" s="10" t="s">
        <v>699</v>
      </c>
      <c r="B198" s="10" t="s">
        <v>197</v>
      </c>
      <c r="C198" s="10" t="s">
        <v>204</v>
      </c>
      <c r="D198" s="8" t="s">
        <v>147</v>
      </c>
      <c r="E198" s="8" t="s">
        <v>150</v>
      </c>
      <c r="F198" s="10" t="s">
        <v>105</v>
      </c>
      <c r="G198" s="11" t="s">
        <v>18</v>
      </c>
      <c r="H198" s="66" t="s">
        <v>537</v>
      </c>
      <c r="I198" s="67" t="n">
        <v>46149</v>
      </c>
      <c r="J198" s="10" t="s">
        <v>693</v>
      </c>
      <c r="K198" s="68" t="n">
        <f aca="false">IF(G198="No",MAX(0,AsOfDate-I198),"")</f>
        <v>34</v>
      </c>
      <c r="L198" s="12" t="str">
        <f aca="false">IF(K198="","",IF(K198&lt;=90,"0-90",IF(K198&lt;=180,"91-180",IF(K198&lt;=270,"181-270","&gt;270"))))</f>
        <v>0-90</v>
      </c>
      <c r="M198" s="12" t="str">
        <f aca="false">IF(G198="Obs",COUNTIF(G$2:G198,"Obs"),"")</f>
        <v/>
      </c>
      <c r="N198" s="12" t="n">
        <f aca="false">IF(G198="No",COUNTIF(G$2:G198,"No"),"")</f>
        <v>15</v>
      </c>
    </row>
    <row r="199" customFormat="false" ht="15" hidden="false" customHeight="false" outlineLevel="0" collapsed="false">
      <c r="A199" s="69" t="s">
        <v>699</v>
      </c>
      <c r="B199" s="69" t="s">
        <v>197</v>
      </c>
      <c r="C199" s="69" t="s">
        <v>205</v>
      </c>
      <c r="D199" s="70" t="s">
        <v>147</v>
      </c>
      <c r="E199" s="70" t="s">
        <v>152</v>
      </c>
      <c r="F199" s="69" t="s">
        <v>99</v>
      </c>
      <c r="G199" s="71" t="s">
        <v>20</v>
      </c>
      <c r="H199" s="72"/>
      <c r="I199" s="73" t="n">
        <v>46149</v>
      </c>
      <c r="J199" s="69" t="s">
        <v>693</v>
      </c>
      <c r="K199" s="74" t="str">
        <f aca="false">IF(G199="No",MAX(0,AsOfDate-I199),"")</f>
        <v/>
      </c>
      <c r="L199" s="75" t="str">
        <f aca="false">IF(K199="","",IF(K199&lt;=90,"0-90",IF(K199&lt;=180,"91-180",IF(K199&lt;=270,"181-270","&gt;270"))))</f>
        <v/>
      </c>
      <c r="M199" s="75" t="str">
        <f aca="false">IF(G199="Obs",COUNTIF(G$2:G199,"Obs"),"")</f>
        <v/>
      </c>
      <c r="N199" s="75" t="str">
        <f aca="false">IF(G199="No",COUNTIF(G$2:G199,"No"),"")</f>
        <v/>
      </c>
    </row>
    <row r="200" customFormat="false" ht="15" hidden="false" customHeight="false" outlineLevel="0" collapsed="false">
      <c r="A200" s="10" t="s">
        <v>699</v>
      </c>
      <c r="B200" s="10" t="s">
        <v>197</v>
      </c>
      <c r="C200" s="10" t="s">
        <v>206</v>
      </c>
      <c r="D200" s="8" t="s">
        <v>154</v>
      </c>
      <c r="E200" s="8" t="s">
        <v>155</v>
      </c>
      <c r="F200" s="10" t="s">
        <v>105</v>
      </c>
      <c r="G200" s="11" t="s">
        <v>16</v>
      </c>
      <c r="H200" s="66"/>
      <c r="I200" s="67" t="n">
        <v>46149</v>
      </c>
      <c r="J200" s="10" t="s">
        <v>693</v>
      </c>
      <c r="K200" s="68" t="str">
        <f aca="false">IF(G200="No",MAX(0,AsOfDate-I200),"")</f>
        <v/>
      </c>
      <c r="L200" s="12" t="str">
        <f aca="false">IF(K200="","",IF(K200&lt;=90,"0-90",IF(K200&lt;=180,"91-180",IF(K200&lt;=270,"181-270","&gt;270"))))</f>
        <v/>
      </c>
      <c r="M200" s="12" t="str">
        <f aca="false">IF(G200="Obs",COUNTIF(G$2:G200,"Obs"),"")</f>
        <v/>
      </c>
      <c r="N200" s="12" t="str">
        <f aca="false">IF(G200="No",COUNTIF(G$2:G200,"No"),"")</f>
        <v/>
      </c>
    </row>
    <row r="201" customFormat="false" ht="15" hidden="false" customHeight="false" outlineLevel="0" collapsed="false">
      <c r="A201" s="69" t="s">
        <v>699</v>
      </c>
      <c r="B201" s="69" t="s">
        <v>197</v>
      </c>
      <c r="C201" s="69" t="s">
        <v>207</v>
      </c>
      <c r="D201" s="70" t="s">
        <v>154</v>
      </c>
      <c r="E201" s="70" t="s">
        <v>157</v>
      </c>
      <c r="F201" s="69" t="s">
        <v>105</v>
      </c>
      <c r="G201" s="71" t="s">
        <v>16</v>
      </c>
      <c r="H201" s="72"/>
      <c r="I201" s="73" t="n">
        <v>46149</v>
      </c>
      <c r="J201" s="69" t="s">
        <v>693</v>
      </c>
      <c r="K201" s="74" t="str">
        <f aca="false">IF(G201="No",MAX(0,AsOfDate-I201),"")</f>
        <v/>
      </c>
      <c r="L201" s="75" t="str">
        <f aca="false">IF(K201="","",IF(K201&lt;=90,"0-90",IF(K201&lt;=180,"91-180",IF(K201&lt;=270,"181-270","&gt;270"))))</f>
        <v/>
      </c>
      <c r="M201" s="75" t="str">
        <f aca="false">IF(G201="Obs",COUNTIF(G$2:G201,"Obs"),"")</f>
        <v/>
      </c>
      <c r="N201" s="75" t="str">
        <f aca="false">IF(G201="No",COUNTIF(G$2:G201,"No"),"")</f>
        <v/>
      </c>
    </row>
    <row r="202" customFormat="false" ht="23.85" hidden="false" customHeight="false" outlineLevel="0" collapsed="false">
      <c r="A202" s="10" t="s">
        <v>699</v>
      </c>
      <c r="B202" s="10" t="s">
        <v>197</v>
      </c>
      <c r="C202" s="10" t="s">
        <v>208</v>
      </c>
      <c r="D202" s="8" t="s">
        <v>159</v>
      </c>
      <c r="E202" s="8" t="s">
        <v>160</v>
      </c>
      <c r="F202" s="10" t="s">
        <v>99</v>
      </c>
      <c r="G202" s="11" t="s">
        <v>16</v>
      </c>
      <c r="H202" s="66"/>
      <c r="I202" s="67" t="n">
        <v>46149</v>
      </c>
      <c r="J202" s="10" t="s">
        <v>693</v>
      </c>
      <c r="K202" s="68" t="str">
        <f aca="false">IF(G202="No",MAX(0,AsOfDate-I202),"")</f>
        <v/>
      </c>
      <c r="L202" s="12" t="str">
        <f aca="false">IF(K202="","",IF(K202&lt;=90,"0-90",IF(K202&lt;=180,"91-180",IF(K202&lt;=270,"181-270","&gt;270"))))</f>
        <v/>
      </c>
      <c r="M202" s="12" t="str">
        <f aca="false">IF(G202="Obs",COUNTIF(G$2:G202,"Obs"),"")</f>
        <v/>
      </c>
      <c r="N202" s="12" t="str">
        <f aca="false">IF(G202="No",COUNTIF(G$2:G202,"No"),"")</f>
        <v/>
      </c>
    </row>
    <row r="203" customFormat="false" ht="23.85" hidden="false" customHeight="false" outlineLevel="0" collapsed="false">
      <c r="A203" s="69" t="s">
        <v>699</v>
      </c>
      <c r="B203" s="69" t="s">
        <v>197</v>
      </c>
      <c r="C203" s="69" t="s">
        <v>209</v>
      </c>
      <c r="D203" s="70" t="s">
        <v>159</v>
      </c>
      <c r="E203" s="70" t="s">
        <v>162</v>
      </c>
      <c r="F203" s="69" t="s">
        <v>99</v>
      </c>
      <c r="G203" s="71" t="s">
        <v>16</v>
      </c>
      <c r="H203" s="72"/>
      <c r="I203" s="73" t="n">
        <v>46149</v>
      </c>
      <c r="J203" s="69" t="s">
        <v>693</v>
      </c>
      <c r="K203" s="74" t="str">
        <f aca="false">IF(G203="No",MAX(0,AsOfDate-I203),"")</f>
        <v/>
      </c>
      <c r="L203" s="75" t="str">
        <f aca="false">IF(K203="","",IF(K203&lt;=90,"0-90",IF(K203&lt;=180,"91-180",IF(K203&lt;=270,"181-270","&gt;270"))))</f>
        <v/>
      </c>
      <c r="M203" s="75" t="str">
        <f aca="false">IF(G203="Obs",COUNTIF(G$2:G203,"Obs"),"")</f>
        <v/>
      </c>
      <c r="N203" s="75" t="str">
        <f aca="false">IF(G203="No",COUNTIF(G$2:G203,"No"),"")</f>
        <v/>
      </c>
    </row>
    <row r="204" customFormat="false" ht="23.85" hidden="false" customHeight="false" outlineLevel="0" collapsed="false">
      <c r="A204" s="10" t="s">
        <v>699</v>
      </c>
      <c r="B204" s="10" t="s">
        <v>197</v>
      </c>
      <c r="C204" s="10" t="s">
        <v>210</v>
      </c>
      <c r="D204" s="8" t="s">
        <v>159</v>
      </c>
      <c r="E204" s="8" t="s">
        <v>164</v>
      </c>
      <c r="F204" s="10" t="s">
        <v>110</v>
      </c>
      <c r="G204" s="11" t="s">
        <v>16</v>
      </c>
      <c r="H204" s="66"/>
      <c r="I204" s="67" t="n">
        <v>46149</v>
      </c>
      <c r="J204" s="10" t="s">
        <v>693</v>
      </c>
      <c r="K204" s="68" t="str">
        <f aca="false">IF(G204="No",MAX(0,AsOfDate-I204),"")</f>
        <v/>
      </c>
      <c r="L204" s="12" t="str">
        <f aca="false">IF(K204="","",IF(K204&lt;=90,"0-90",IF(K204&lt;=180,"91-180",IF(K204&lt;=270,"181-270","&gt;270"))))</f>
        <v/>
      </c>
      <c r="M204" s="12" t="str">
        <f aca="false">IF(G204="Obs",COUNTIF(G$2:G204,"Obs"),"")</f>
        <v/>
      </c>
      <c r="N204" s="12" t="str">
        <f aca="false">IF(G204="No",COUNTIF(G$2:G204,"No"),"")</f>
        <v/>
      </c>
    </row>
    <row r="205" customFormat="false" ht="15" hidden="false" customHeight="false" outlineLevel="0" collapsed="false">
      <c r="A205" s="69" t="s">
        <v>699</v>
      </c>
      <c r="B205" s="69" t="s">
        <v>197</v>
      </c>
      <c r="C205" s="69" t="s">
        <v>211</v>
      </c>
      <c r="D205" s="70" t="s">
        <v>166</v>
      </c>
      <c r="E205" s="70" t="s">
        <v>167</v>
      </c>
      <c r="F205" s="69" t="s">
        <v>99</v>
      </c>
      <c r="G205" s="71" t="s">
        <v>16</v>
      </c>
      <c r="H205" s="72"/>
      <c r="I205" s="73" t="n">
        <v>46149</v>
      </c>
      <c r="J205" s="69" t="s">
        <v>693</v>
      </c>
      <c r="K205" s="74" t="str">
        <f aca="false">IF(G205="No",MAX(0,AsOfDate-I205),"")</f>
        <v/>
      </c>
      <c r="L205" s="75" t="str">
        <f aca="false">IF(K205="","",IF(K205&lt;=90,"0-90",IF(K205&lt;=180,"91-180",IF(K205&lt;=270,"181-270","&gt;270"))))</f>
        <v/>
      </c>
      <c r="M205" s="75" t="str">
        <f aca="false">IF(G205="Obs",COUNTIF(G$2:G205,"Obs"),"")</f>
        <v/>
      </c>
      <c r="N205" s="75" t="str">
        <f aca="false">IF(G205="No",COUNTIF(G$2:G205,"No"),"")</f>
        <v/>
      </c>
    </row>
    <row r="206" customFormat="false" ht="23.85" hidden="false" customHeight="false" outlineLevel="0" collapsed="false">
      <c r="A206" s="10" t="s">
        <v>699</v>
      </c>
      <c r="B206" s="10" t="s">
        <v>197</v>
      </c>
      <c r="C206" s="10" t="s">
        <v>212</v>
      </c>
      <c r="D206" s="8" t="s">
        <v>166</v>
      </c>
      <c r="E206" s="8" t="s">
        <v>169</v>
      </c>
      <c r="F206" s="10" t="s">
        <v>105</v>
      </c>
      <c r="G206" s="11" t="s">
        <v>22</v>
      </c>
      <c r="H206" s="66" t="s">
        <v>667</v>
      </c>
      <c r="I206" s="67" t="n">
        <v>46149</v>
      </c>
      <c r="J206" s="10" t="s">
        <v>693</v>
      </c>
      <c r="K206" s="68" t="str">
        <f aca="false">IF(G206="No",MAX(0,AsOfDate-I206),"")</f>
        <v/>
      </c>
      <c r="L206" s="12" t="str">
        <f aca="false">IF(K206="","",IF(K206&lt;=90,"0-90",IF(K206&lt;=180,"91-180",IF(K206&lt;=270,"181-270","&gt;270"))))</f>
        <v/>
      </c>
      <c r="M206" s="12" t="n">
        <f aca="false">IF(G206="Obs",COUNTIF(G$2:G206,"Obs"),"")</f>
        <v>10</v>
      </c>
      <c r="N206" s="12" t="str">
        <f aca="false">IF(G206="No",COUNTIF(G$2:G206,"No"),"")</f>
        <v/>
      </c>
    </row>
    <row r="207" customFormat="false" ht="15" hidden="false" customHeight="false" outlineLevel="0" collapsed="false">
      <c r="A207" s="69" t="s">
        <v>699</v>
      </c>
      <c r="B207" s="69" t="s">
        <v>197</v>
      </c>
      <c r="C207" s="69" t="s">
        <v>213</v>
      </c>
      <c r="D207" s="70" t="s">
        <v>171</v>
      </c>
      <c r="E207" s="70" t="s">
        <v>172</v>
      </c>
      <c r="F207" s="69" t="s">
        <v>105</v>
      </c>
      <c r="G207" s="71" t="s">
        <v>20</v>
      </c>
      <c r="H207" s="72"/>
      <c r="I207" s="73" t="n">
        <v>46149</v>
      </c>
      <c r="J207" s="69" t="s">
        <v>693</v>
      </c>
      <c r="K207" s="74" t="str">
        <f aca="false">IF(G207="No",MAX(0,AsOfDate-I207),"")</f>
        <v/>
      </c>
      <c r="L207" s="75" t="str">
        <f aca="false">IF(K207="","",IF(K207&lt;=90,"0-90",IF(K207&lt;=180,"91-180",IF(K207&lt;=270,"181-270","&gt;270"))))</f>
        <v/>
      </c>
      <c r="M207" s="75" t="str">
        <f aca="false">IF(G207="Obs",COUNTIF(G$2:G207,"Obs"),"")</f>
        <v/>
      </c>
      <c r="N207" s="75" t="str">
        <f aca="false">IF(G207="No",COUNTIF(G$2:G207,"No"),"")</f>
        <v/>
      </c>
    </row>
    <row r="208" customFormat="false" ht="15" hidden="false" customHeight="false" outlineLevel="0" collapsed="false">
      <c r="A208" s="10" t="s">
        <v>699</v>
      </c>
      <c r="B208" s="10" t="s">
        <v>197</v>
      </c>
      <c r="C208" s="10" t="s">
        <v>214</v>
      </c>
      <c r="D208" s="8" t="s">
        <v>171</v>
      </c>
      <c r="E208" s="8" t="s">
        <v>174</v>
      </c>
      <c r="F208" s="10" t="s">
        <v>99</v>
      </c>
      <c r="G208" s="11" t="s">
        <v>16</v>
      </c>
      <c r="H208" s="66"/>
      <c r="I208" s="67" t="n">
        <v>46149</v>
      </c>
      <c r="J208" s="10" t="s">
        <v>693</v>
      </c>
      <c r="K208" s="68" t="str">
        <f aca="false">IF(G208="No",MAX(0,AsOfDate-I208),"")</f>
        <v/>
      </c>
      <c r="L208" s="12" t="str">
        <f aca="false">IF(K208="","",IF(K208&lt;=90,"0-90",IF(K208&lt;=180,"91-180",IF(K208&lt;=270,"181-270","&gt;270"))))</f>
        <v/>
      </c>
      <c r="M208" s="12" t="str">
        <f aca="false">IF(G208="Obs",COUNTIF(G$2:G208,"Obs"),"")</f>
        <v/>
      </c>
      <c r="N208" s="12" t="str">
        <f aca="false">IF(G208="No",COUNTIF(G$2:G208,"No"),"")</f>
        <v/>
      </c>
    </row>
    <row r="209" customFormat="false" ht="15" hidden="false" customHeight="false" outlineLevel="0" collapsed="false">
      <c r="A209" s="69" t="s">
        <v>699</v>
      </c>
      <c r="B209" s="69" t="s">
        <v>197</v>
      </c>
      <c r="C209" s="69" t="s">
        <v>215</v>
      </c>
      <c r="D209" s="70" t="s">
        <v>176</v>
      </c>
      <c r="E209" s="70" t="s">
        <v>177</v>
      </c>
      <c r="F209" s="69" t="s">
        <v>105</v>
      </c>
      <c r="G209" s="71" t="s">
        <v>16</v>
      </c>
      <c r="H209" s="72"/>
      <c r="I209" s="73" t="n">
        <v>46149</v>
      </c>
      <c r="J209" s="69" t="s">
        <v>693</v>
      </c>
      <c r="K209" s="74" t="str">
        <f aca="false">IF(G209="No",MAX(0,AsOfDate-I209),"")</f>
        <v/>
      </c>
      <c r="L209" s="75" t="str">
        <f aca="false">IF(K209="","",IF(K209&lt;=90,"0-90",IF(K209&lt;=180,"91-180",IF(K209&lt;=270,"181-270","&gt;270"))))</f>
        <v/>
      </c>
      <c r="M209" s="75" t="str">
        <f aca="false">IF(G209="Obs",COUNTIF(G$2:G209,"Obs"),"")</f>
        <v/>
      </c>
      <c r="N209" s="75" t="str">
        <f aca="false">IF(G209="No",COUNTIF(G$2:G209,"No"),"")</f>
        <v/>
      </c>
    </row>
    <row r="210" customFormat="false" ht="15" hidden="false" customHeight="false" outlineLevel="0" collapsed="false">
      <c r="A210" s="10" t="s">
        <v>699</v>
      </c>
      <c r="B210" s="10" t="s">
        <v>197</v>
      </c>
      <c r="C210" s="10" t="s">
        <v>216</v>
      </c>
      <c r="D210" s="8" t="s">
        <v>176</v>
      </c>
      <c r="E210" s="8" t="s">
        <v>179</v>
      </c>
      <c r="F210" s="10" t="s">
        <v>105</v>
      </c>
      <c r="G210" s="11" t="s">
        <v>16</v>
      </c>
      <c r="H210" s="66"/>
      <c r="I210" s="67" t="n">
        <v>46149</v>
      </c>
      <c r="J210" s="10" t="s">
        <v>693</v>
      </c>
      <c r="K210" s="68" t="str">
        <f aca="false">IF(G210="No",MAX(0,AsOfDate-I210),"")</f>
        <v/>
      </c>
      <c r="L210" s="12" t="str">
        <f aca="false">IF(K210="","",IF(K210&lt;=90,"0-90",IF(K210&lt;=180,"91-180",IF(K210&lt;=270,"181-270","&gt;270"))))</f>
        <v/>
      </c>
      <c r="M210" s="12" t="str">
        <f aca="false">IF(G210="Obs",COUNTIF(G$2:G210,"Obs"),"")</f>
        <v/>
      </c>
      <c r="N210" s="12" t="str">
        <f aca="false">IF(G210="No",COUNTIF(G$2:G210,"No"),"")</f>
        <v/>
      </c>
    </row>
    <row r="211" customFormat="false" ht="23.85" hidden="false" customHeight="false" outlineLevel="0" collapsed="false">
      <c r="A211" s="69" t="s">
        <v>699</v>
      </c>
      <c r="B211" s="69" t="s">
        <v>197</v>
      </c>
      <c r="C211" s="69" t="s">
        <v>217</v>
      </c>
      <c r="D211" s="70" t="s">
        <v>218</v>
      </c>
      <c r="E211" s="70" t="s">
        <v>219</v>
      </c>
      <c r="F211" s="69" t="s">
        <v>105</v>
      </c>
      <c r="G211" s="71" t="s">
        <v>16</v>
      </c>
      <c r="H211" s="72"/>
      <c r="I211" s="73" t="n">
        <v>46149</v>
      </c>
      <c r="J211" s="69" t="s">
        <v>693</v>
      </c>
      <c r="K211" s="74" t="str">
        <f aca="false">IF(G211="No",MAX(0,AsOfDate-I211),"")</f>
        <v/>
      </c>
      <c r="L211" s="75" t="str">
        <f aca="false">IF(K211="","",IF(K211&lt;=90,"0-90",IF(K211&lt;=180,"91-180",IF(K211&lt;=270,"181-270","&gt;270"))))</f>
        <v/>
      </c>
      <c r="M211" s="75" t="str">
        <f aca="false">IF(G211="Obs",COUNTIF(G$2:G211,"Obs"),"")</f>
        <v/>
      </c>
      <c r="N211" s="75" t="str">
        <f aca="false">IF(G211="No",COUNTIF(G$2:G211,"No"),"")</f>
        <v/>
      </c>
    </row>
    <row r="212" customFormat="false" ht="23.85" hidden="false" customHeight="false" outlineLevel="0" collapsed="false">
      <c r="A212" s="10" t="s">
        <v>699</v>
      </c>
      <c r="B212" s="10" t="s">
        <v>197</v>
      </c>
      <c r="C212" s="10" t="s">
        <v>220</v>
      </c>
      <c r="D212" s="8" t="s">
        <v>218</v>
      </c>
      <c r="E212" s="8" t="s">
        <v>221</v>
      </c>
      <c r="F212" s="10" t="s">
        <v>99</v>
      </c>
      <c r="G212" s="11" t="s">
        <v>16</v>
      </c>
      <c r="H212" s="66"/>
      <c r="I212" s="67" t="n">
        <v>46149</v>
      </c>
      <c r="J212" s="10" t="s">
        <v>693</v>
      </c>
      <c r="K212" s="68" t="str">
        <f aca="false">IF(G212="No",MAX(0,AsOfDate-I212),"")</f>
        <v/>
      </c>
      <c r="L212" s="12" t="str">
        <f aca="false">IF(K212="","",IF(K212&lt;=90,"0-90",IF(K212&lt;=180,"91-180",IF(K212&lt;=270,"181-270","&gt;270"))))</f>
        <v/>
      </c>
      <c r="M212" s="12" t="str">
        <f aca="false">IF(G212="Obs",COUNTIF(G$2:G212,"Obs"),"")</f>
        <v/>
      </c>
      <c r="N212" s="12" t="str">
        <f aca="false">IF(G212="No",COUNTIF(G$2:G212,"No"),"")</f>
        <v/>
      </c>
    </row>
    <row r="213" customFormat="false" ht="23.85" hidden="false" customHeight="false" outlineLevel="0" collapsed="false">
      <c r="A213" s="69" t="s">
        <v>699</v>
      </c>
      <c r="B213" s="69" t="s">
        <v>197</v>
      </c>
      <c r="C213" s="69" t="s">
        <v>222</v>
      </c>
      <c r="D213" s="70" t="s">
        <v>218</v>
      </c>
      <c r="E213" s="70" t="s">
        <v>223</v>
      </c>
      <c r="F213" s="69" t="s">
        <v>105</v>
      </c>
      <c r="G213" s="71" t="s">
        <v>20</v>
      </c>
      <c r="H213" s="72"/>
      <c r="I213" s="73" t="n">
        <v>46149</v>
      </c>
      <c r="J213" s="69" t="s">
        <v>693</v>
      </c>
      <c r="K213" s="74" t="str">
        <f aca="false">IF(G213="No",MAX(0,AsOfDate-I213),"")</f>
        <v/>
      </c>
      <c r="L213" s="75" t="str">
        <f aca="false">IF(K213="","",IF(K213&lt;=90,"0-90",IF(K213&lt;=180,"91-180",IF(K213&lt;=270,"181-270","&gt;270"))))</f>
        <v/>
      </c>
      <c r="M213" s="75" t="str">
        <f aca="false">IF(G213="Obs",COUNTIF(G$2:G213,"Obs"),"")</f>
        <v/>
      </c>
      <c r="N213" s="75" t="str">
        <f aca="false">IF(G213="No",COUNTIF(G$2:G213,"No"),"")</f>
        <v/>
      </c>
    </row>
    <row r="214" customFormat="false" ht="23.85" hidden="false" customHeight="false" outlineLevel="0" collapsed="false">
      <c r="A214" s="10" t="s">
        <v>699</v>
      </c>
      <c r="B214" s="10" t="s">
        <v>197</v>
      </c>
      <c r="C214" s="10" t="s">
        <v>224</v>
      </c>
      <c r="D214" s="8" t="s">
        <v>225</v>
      </c>
      <c r="E214" s="8" t="s">
        <v>226</v>
      </c>
      <c r="F214" s="10" t="s">
        <v>99</v>
      </c>
      <c r="G214" s="11" t="s">
        <v>20</v>
      </c>
      <c r="H214" s="66"/>
      <c r="I214" s="67" t="n">
        <v>46149</v>
      </c>
      <c r="J214" s="10" t="s">
        <v>693</v>
      </c>
      <c r="K214" s="68" t="str">
        <f aca="false">IF(G214="No",MAX(0,AsOfDate-I214),"")</f>
        <v/>
      </c>
      <c r="L214" s="12" t="str">
        <f aca="false">IF(K214="","",IF(K214&lt;=90,"0-90",IF(K214&lt;=180,"91-180",IF(K214&lt;=270,"181-270","&gt;270"))))</f>
        <v/>
      </c>
      <c r="M214" s="12" t="str">
        <f aca="false">IF(G214="Obs",COUNTIF(G$2:G214,"Obs"),"")</f>
        <v/>
      </c>
      <c r="N214" s="12" t="str">
        <f aca="false">IF(G214="No",COUNTIF(G$2:G214,"No"),"")</f>
        <v/>
      </c>
    </row>
    <row r="215" customFormat="false" ht="15" hidden="false" customHeight="false" outlineLevel="0" collapsed="false">
      <c r="A215" s="69" t="s">
        <v>699</v>
      </c>
      <c r="B215" s="69" t="s">
        <v>197</v>
      </c>
      <c r="C215" s="69" t="s">
        <v>227</v>
      </c>
      <c r="D215" s="70" t="s">
        <v>225</v>
      </c>
      <c r="E215" s="70" t="s">
        <v>228</v>
      </c>
      <c r="F215" s="69" t="s">
        <v>99</v>
      </c>
      <c r="G215" s="71" t="s">
        <v>18</v>
      </c>
      <c r="H215" s="72" t="s">
        <v>537</v>
      </c>
      <c r="I215" s="73" t="n">
        <v>46149</v>
      </c>
      <c r="J215" s="69" t="s">
        <v>693</v>
      </c>
      <c r="K215" s="74" t="n">
        <f aca="false">IF(G215="No",MAX(0,AsOfDate-I215),"")</f>
        <v>34</v>
      </c>
      <c r="L215" s="75" t="str">
        <f aca="false">IF(K215="","",IF(K215&lt;=90,"0-90",IF(K215&lt;=180,"91-180",IF(K215&lt;=270,"181-270","&gt;270"))))</f>
        <v>0-90</v>
      </c>
      <c r="M215" s="75" t="str">
        <f aca="false">IF(G215="Obs",COUNTIF(G$2:G215,"Obs"),"")</f>
        <v/>
      </c>
      <c r="N215" s="75" t="n">
        <f aca="false">IF(G215="No",COUNTIF(G$2:G215,"No"),"")</f>
        <v>16</v>
      </c>
    </row>
    <row r="216" customFormat="false" ht="15" hidden="false" customHeight="false" outlineLevel="0" collapsed="false">
      <c r="A216" s="10" t="s">
        <v>699</v>
      </c>
      <c r="B216" s="10" t="s">
        <v>197</v>
      </c>
      <c r="C216" s="10" t="s">
        <v>229</v>
      </c>
      <c r="D216" s="8" t="s">
        <v>225</v>
      </c>
      <c r="E216" s="8" t="s">
        <v>230</v>
      </c>
      <c r="F216" s="10" t="s">
        <v>105</v>
      </c>
      <c r="G216" s="11" t="s">
        <v>16</v>
      </c>
      <c r="H216" s="66"/>
      <c r="I216" s="67" t="n">
        <v>46149</v>
      </c>
      <c r="J216" s="10" t="s">
        <v>693</v>
      </c>
      <c r="K216" s="68" t="str">
        <f aca="false">IF(G216="No",MAX(0,AsOfDate-I216),"")</f>
        <v/>
      </c>
      <c r="L216" s="12" t="str">
        <f aca="false">IF(K216="","",IF(K216&lt;=90,"0-90",IF(K216&lt;=180,"91-180",IF(K216&lt;=270,"181-270","&gt;270"))))</f>
        <v/>
      </c>
      <c r="M216" s="12" t="str">
        <f aca="false">IF(G216="Obs",COUNTIF(G$2:G216,"Obs"),"")</f>
        <v/>
      </c>
      <c r="N216" s="12" t="str">
        <f aca="false">IF(G216="No",COUNTIF(G$2:G216,"No"),"")</f>
        <v/>
      </c>
    </row>
    <row r="217" customFormat="false" ht="15" hidden="false" customHeight="false" outlineLevel="0" collapsed="false">
      <c r="A217" s="69" t="s">
        <v>699</v>
      </c>
      <c r="B217" s="69" t="s">
        <v>197</v>
      </c>
      <c r="C217" s="69" t="s">
        <v>231</v>
      </c>
      <c r="D217" s="70" t="s">
        <v>225</v>
      </c>
      <c r="E217" s="70" t="s">
        <v>232</v>
      </c>
      <c r="F217" s="69" t="s">
        <v>105</v>
      </c>
      <c r="G217" s="71" t="s">
        <v>16</v>
      </c>
      <c r="H217" s="72"/>
      <c r="I217" s="73" t="n">
        <v>46149</v>
      </c>
      <c r="J217" s="69" t="s">
        <v>693</v>
      </c>
      <c r="K217" s="74" t="str">
        <f aca="false">IF(G217="No",MAX(0,AsOfDate-I217),"")</f>
        <v/>
      </c>
      <c r="L217" s="75" t="str">
        <f aca="false">IF(K217="","",IF(K217&lt;=90,"0-90",IF(K217&lt;=180,"91-180",IF(K217&lt;=270,"181-270","&gt;270"))))</f>
        <v/>
      </c>
      <c r="M217" s="75" t="str">
        <f aca="false">IF(G217="Obs",COUNTIF(G$2:G217,"Obs"),"")</f>
        <v/>
      </c>
      <c r="N217" s="75" t="str">
        <f aca="false">IF(G217="No",COUNTIF(G$2:G217,"No"),"")</f>
        <v/>
      </c>
    </row>
    <row r="218" customFormat="false" ht="15" hidden="false" customHeight="false" outlineLevel="0" collapsed="false">
      <c r="A218" s="10" t="s">
        <v>541</v>
      </c>
      <c r="B218" s="10" t="s">
        <v>234</v>
      </c>
      <c r="C218" s="10" t="s">
        <v>233</v>
      </c>
      <c r="D218" s="8" t="s">
        <v>133</v>
      </c>
      <c r="E218" s="8" t="s">
        <v>134</v>
      </c>
      <c r="F218" s="10" t="s">
        <v>99</v>
      </c>
      <c r="G218" s="11" t="s">
        <v>16</v>
      </c>
      <c r="H218" s="66"/>
      <c r="I218" s="67" t="n">
        <v>45883</v>
      </c>
      <c r="J218" s="10" t="s">
        <v>431</v>
      </c>
      <c r="K218" s="68" t="str">
        <f aca="false">IF(G218="No",MAX(0,AsOfDate-I218),"")</f>
        <v/>
      </c>
      <c r="L218" s="12" t="str">
        <f aca="false">IF(K218="","",IF(K218&lt;=90,"0-90",IF(K218&lt;=180,"91-180",IF(K218&lt;=270,"181-270","&gt;270"))))</f>
        <v/>
      </c>
      <c r="M218" s="12" t="str">
        <f aca="false">IF(G218="Obs",COUNTIF(G$2:G218,"Obs"),"")</f>
        <v/>
      </c>
      <c r="N218" s="12" t="str">
        <f aca="false">IF(G218="No",COUNTIF(G$2:G218,"No"),"")</f>
        <v/>
      </c>
    </row>
    <row r="219" customFormat="false" ht="15" hidden="false" customHeight="false" outlineLevel="0" collapsed="false">
      <c r="A219" s="69" t="s">
        <v>541</v>
      </c>
      <c r="B219" s="69" t="s">
        <v>234</v>
      </c>
      <c r="C219" s="69" t="s">
        <v>235</v>
      </c>
      <c r="D219" s="70" t="s">
        <v>133</v>
      </c>
      <c r="E219" s="70" t="s">
        <v>136</v>
      </c>
      <c r="F219" s="69" t="s">
        <v>99</v>
      </c>
      <c r="G219" s="71" t="s">
        <v>16</v>
      </c>
      <c r="H219" s="72"/>
      <c r="I219" s="73" t="n">
        <v>45883</v>
      </c>
      <c r="J219" s="69" t="s">
        <v>431</v>
      </c>
      <c r="K219" s="74" t="str">
        <f aca="false">IF(G219="No",MAX(0,AsOfDate-I219),"")</f>
        <v/>
      </c>
      <c r="L219" s="75" t="str">
        <f aca="false">IF(K219="","",IF(K219&lt;=90,"0-90",IF(K219&lt;=180,"91-180",IF(K219&lt;=270,"181-270","&gt;270"))))</f>
        <v/>
      </c>
      <c r="M219" s="75" t="str">
        <f aca="false">IF(G219="Obs",COUNTIF(G$2:G219,"Obs"),"")</f>
        <v/>
      </c>
      <c r="N219" s="75" t="str">
        <f aca="false">IF(G219="No",COUNTIF(G$2:G219,"No"),"")</f>
        <v/>
      </c>
    </row>
    <row r="220" customFormat="false" ht="15" hidden="false" customHeight="false" outlineLevel="0" collapsed="false">
      <c r="A220" s="10" t="s">
        <v>541</v>
      </c>
      <c r="B220" s="10" t="s">
        <v>234</v>
      </c>
      <c r="C220" s="10" t="s">
        <v>236</v>
      </c>
      <c r="D220" s="8" t="s">
        <v>133</v>
      </c>
      <c r="E220" s="8" t="s">
        <v>138</v>
      </c>
      <c r="F220" s="10" t="s">
        <v>105</v>
      </c>
      <c r="G220" s="11" t="s">
        <v>16</v>
      </c>
      <c r="H220" s="66"/>
      <c r="I220" s="67" t="n">
        <v>45883</v>
      </c>
      <c r="J220" s="10" t="s">
        <v>431</v>
      </c>
      <c r="K220" s="68" t="str">
        <f aca="false">IF(G220="No",MAX(0,AsOfDate-I220),"")</f>
        <v/>
      </c>
      <c r="L220" s="12" t="str">
        <f aca="false">IF(K220="","",IF(K220&lt;=90,"0-90",IF(K220&lt;=180,"91-180",IF(K220&lt;=270,"181-270","&gt;270"))))</f>
        <v/>
      </c>
      <c r="M220" s="12" t="str">
        <f aca="false">IF(G220="Obs",COUNTIF(G$2:G220,"Obs"),"")</f>
        <v/>
      </c>
      <c r="N220" s="12" t="str">
        <f aca="false">IF(G220="No",COUNTIF(G$2:G220,"No"),"")</f>
        <v/>
      </c>
    </row>
    <row r="221" customFormat="false" ht="15" hidden="false" customHeight="false" outlineLevel="0" collapsed="false">
      <c r="A221" s="69" t="s">
        <v>541</v>
      </c>
      <c r="B221" s="69" t="s">
        <v>234</v>
      </c>
      <c r="C221" s="69" t="s">
        <v>237</v>
      </c>
      <c r="D221" s="70" t="s">
        <v>140</v>
      </c>
      <c r="E221" s="70" t="s">
        <v>141</v>
      </c>
      <c r="F221" s="69" t="s">
        <v>99</v>
      </c>
      <c r="G221" s="71" t="s">
        <v>16</v>
      </c>
      <c r="H221" s="72"/>
      <c r="I221" s="73" t="n">
        <v>45883</v>
      </c>
      <c r="J221" s="69" t="s">
        <v>431</v>
      </c>
      <c r="K221" s="74" t="str">
        <f aca="false">IF(G221="No",MAX(0,AsOfDate-I221),"")</f>
        <v/>
      </c>
      <c r="L221" s="75" t="str">
        <f aca="false">IF(K221="","",IF(K221&lt;=90,"0-90",IF(K221&lt;=180,"91-180",IF(K221&lt;=270,"181-270","&gt;270"))))</f>
        <v/>
      </c>
      <c r="M221" s="75" t="str">
        <f aca="false">IF(G221="Obs",COUNTIF(G$2:G221,"Obs"),"")</f>
        <v/>
      </c>
      <c r="N221" s="75" t="str">
        <f aca="false">IF(G221="No",COUNTIF(G$2:G221,"No"),"")</f>
        <v/>
      </c>
    </row>
    <row r="222" customFormat="false" ht="15" hidden="false" customHeight="false" outlineLevel="0" collapsed="false">
      <c r="A222" s="10" t="s">
        <v>541</v>
      </c>
      <c r="B222" s="10" t="s">
        <v>234</v>
      </c>
      <c r="C222" s="10" t="s">
        <v>238</v>
      </c>
      <c r="D222" s="8" t="s">
        <v>140</v>
      </c>
      <c r="E222" s="8" t="s">
        <v>143</v>
      </c>
      <c r="F222" s="10" t="s">
        <v>105</v>
      </c>
      <c r="G222" s="11" t="s">
        <v>16</v>
      </c>
      <c r="H222" s="66"/>
      <c r="I222" s="67" t="n">
        <v>45883</v>
      </c>
      <c r="J222" s="10" t="s">
        <v>431</v>
      </c>
      <c r="K222" s="68" t="str">
        <f aca="false">IF(G222="No",MAX(0,AsOfDate-I222),"")</f>
        <v/>
      </c>
      <c r="L222" s="12" t="str">
        <f aca="false">IF(K222="","",IF(K222&lt;=90,"0-90",IF(K222&lt;=180,"91-180",IF(K222&lt;=270,"181-270","&gt;270"))))</f>
        <v/>
      </c>
      <c r="M222" s="12" t="str">
        <f aca="false">IF(G222="Obs",COUNTIF(G$2:G222,"Obs"),"")</f>
        <v/>
      </c>
      <c r="N222" s="12" t="str">
        <f aca="false">IF(G222="No",COUNTIF(G$2:G222,"No"),"")</f>
        <v/>
      </c>
    </row>
    <row r="223" customFormat="false" ht="15" hidden="false" customHeight="false" outlineLevel="0" collapsed="false">
      <c r="A223" s="69" t="s">
        <v>541</v>
      </c>
      <c r="B223" s="69" t="s">
        <v>234</v>
      </c>
      <c r="C223" s="69" t="s">
        <v>239</v>
      </c>
      <c r="D223" s="70" t="s">
        <v>140</v>
      </c>
      <c r="E223" s="70" t="s">
        <v>145</v>
      </c>
      <c r="F223" s="69" t="s">
        <v>99</v>
      </c>
      <c r="G223" s="71" t="s">
        <v>16</v>
      </c>
      <c r="H223" s="72"/>
      <c r="I223" s="73" t="n">
        <v>45883</v>
      </c>
      <c r="J223" s="69" t="s">
        <v>431</v>
      </c>
      <c r="K223" s="74" t="str">
        <f aca="false">IF(G223="No",MAX(0,AsOfDate-I223),"")</f>
        <v/>
      </c>
      <c r="L223" s="75" t="str">
        <f aca="false">IF(K223="","",IF(K223&lt;=90,"0-90",IF(K223&lt;=180,"91-180",IF(K223&lt;=270,"181-270","&gt;270"))))</f>
        <v/>
      </c>
      <c r="M223" s="75" t="str">
        <f aca="false">IF(G223="Obs",COUNTIF(G$2:G223,"Obs"),"")</f>
        <v/>
      </c>
      <c r="N223" s="75" t="str">
        <f aca="false">IF(G223="No",COUNTIF(G$2:G223,"No"),"")</f>
        <v/>
      </c>
    </row>
    <row r="224" customFormat="false" ht="15" hidden="false" customHeight="false" outlineLevel="0" collapsed="false">
      <c r="A224" s="10" t="s">
        <v>541</v>
      </c>
      <c r="B224" s="10" t="s">
        <v>234</v>
      </c>
      <c r="C224" s="10" t="s">
        <v>240</v>
      </c>
      <c r="D224" s="8" t="s">
        <v>147</v>
      </c>
      <c r="E224" s="8" t="s">
        <v>148</v>
      </c>
      <c r="F224" s="10" t="s">
        <v>99</v>
      </c>
      <c r="G224" s="11" t="s">
        <v>16</v>
      </c>
      <c r="H224" s="66"/>
      <c r="I224" s="67" t="n">
        <v>45883</v>
      </c>
      <c r="J224" s="10" t="s">
        <v>431</v>
      </c>
      <c r="K224" s="68" t="str">
        <f aca="false">IF(G224="No",MAX(0,AsOfDate-I224),"")</f>
        <v/>
      </c>
      <c r="L224" s="12" t="str">
        <f aca="false">IF(K224="","",IF(K224&lt;=90,"0-90",IF(K224&lt;=180,"91-180",IF(K224&lt;=270,"181-270","&gt;270"))))</f>
        <v/>
      </c>
      <c r="M224" s="12" t="str">
        <f aca="false">IF(G224="Obs",COUNTIF(G$2:G224,"Obs"),"")</f>
        <v/>
      </c>
      <c r="N224" s="12" t="str">
        <f aca="false">IF(G224="No",COUNTIF(G$2:G224,"No"),"")</f>
        <v/>
      </c>
    </row>
    <row r="225" customFormat="false" ht="15" hidden="false" customHeight="false" outlineLevel="0" collapsed="false">
      <c r="A225" s="69" t="s">
        <v>541</v>
      </c>
      <c r="B225" s="69" t="s">
        <v>234</v>
      </c>
      <c r="C225" s="69" t="s">
        <v>241</v>
      </c>
      <c r="D225" s="70" t="s">
        <v>147</v>
      </c>
      <c r="E225" s="70" t="s">
        <v>150</v>
      </c>
      <c r="F225" s="69" t="s">
        <v>105</v>
      </c>
      <c r="G225" s="71" t="s">
        <v>16</v>
      </c>
      <c r="H225" s="72"/>
      <c r="I225" s="73" t="n">
        <v>45883</v>
      </c>
      <c r="J225" s="69" t="s">
        <v>431</v>
      </c>
      <c r="K225" s="74" t="str">
        <f aca="false">IF(G225="No",MAX(0,AsOfDate-I225),"")</f>
        <v/>
      </c>
      <c r="L225" s="75" t="str">
        <f aca="false">IF(K225="","",IF(K225&lt;=90,"0-90",IF(K225&lt;=180,"91-180",IF(K225&lt;=270,"181-270","&gt;270"))))</f>
        <v/>
      </c>
      <c r="M225" s="75" t="str">
        <f aca="false">IF(G225="Obs",COUNTIF(G$2:G225,"Obs"),"")</f>
        <v/>
      </c>
      <c r="N225" s="75" t="str">
        <f aca="false">IF(G225="No",COUNTIF(G$2:G225,"No"),"")</f>
        <v/>
      </c>
    </row>
    <row r="226" customFormat="false" ht="15" hidden="false" customHeight="false" outlineLevel="0" collapsed="false">
      <c r="A226" s="10" t="s">
        <v>541</v>
      </c>
      <c r="B226" s="10" t="s">
        <v>234</v>
      </c>
      <c r="C226" s="10" t="s">
        <v>242</v>
      </c>
      <c r="D226" s="8" t="s">
        <v>147</v>
      </c>
      <c r="E226" s="8" t="s">
        <v>152</v>
      </c>
      <c r="F226" s="10" t="s">
        <v>99</v>
      </c>
      <c r="G226" s="11" t="s">
        <v>16</v>
      </c>
      <c r="H226" s="66"/>
      <c r="I226" s="67" t="n">
        <v>45883</v>
      </c>
      <c r="J226" s="10" t="s">
        <v>431</v>
      </c>
      <c r="K226" s="68" t="str">
        <f aca="false">IF(G226="No",MAX(0,AsOfDate-I226),"")</f>
        <v/>
      </c>
      <c r="L226" s="12" t="str">
        <f aca="false">IF(K226="","",IF(K226&lt;=90,"0-90",IF(K226&lt;=180,"91-180",IF(K226&lt;=270,"181-270","&gt;270"))))</f>
        <v/>
      </c>
      <c r="M226" s="12" t="str">
        <f aca="false">IF(G226="Obs",COUNTIF(G$2:G226,"Obs"),"")</f>
        <v/>
      </c>
      <c r="N226" s="12" t="str">
        <f aca="false">IF(G226="No",COUNTIF(G$2:G226,"No"),"")</f>
        <v/>
      </c>
    </row>
    <row r="227" customFormat="false" ht="15" hidden="false" customHeight="false" outlineLevel="0" collapsed="false">
      <c r="A227" s="69" t="s">
        <v>541</v>
      </c>
      <c r="B227" s="69" t="s">
        <v>234</v>
      </c>
      <c r="C227" s="69" t="s">
        <v>243</v>
      </c>
      <c r="D227" s="70" t="s">
        <v>154</v>
      </c>
      <c r="E227" s="70" t="s">
        <v>155</v>
      </c>
      <c r="F227" s="69" t="s">
        <v>105</v>
      </c>
      <c r="G227" s="71" t="s">
        <v>20</v>
      </c>
      <c r="H227" s="72"/>
      <c r="I227" s="73" t="n">
        <v>45883</v>
      </c>
      <c r="J227" s="69" t="s">
        <v>431</v>
      </c>
      <c r="K227" s="74" t="str">
        <f aca="false">IF(G227="No",MAX(0,AsOfDate-I227),"")</f>
        <v/>
      </c>
      <c r="L227" s="75" t="str">
        <f aca="false">IF(K227="","",IF(K227&lt;=90,"0-90",IF(K227&lt;=180,"91-180",IF(K227&lt;=270,"181-270","&gt;270"))))</f>
        <v/>
      </c>
      <c r="M227" s="75" t="str">
        <f aca="false">IF(G227="Obs",COUNTIF(G$2:G227,"Obs"),"")</f>
        <v/>
      </c>
      <c r="N227" s="75" t="str">
        <f aca="false">IF(G227="No",COUNTIF(G$2:G227,"No"),"")</f>
        <v/>
      </c>
    </row>
    <row r="228" customFormat="false" ht="15" hidden="false" customHeight="false" outlineLevel="0" collapsed="false">
      <c r="A228" s="10" t="s">
        <v>541</v>
      </c>
      <c r="B228" s="10" t="s">
        <v>234</v>
      </c>
      <c r="C228" s="10" t="s">
        <v>244</v>
      </c>
      <c r="D228" s="8" t="s">
        <v>154</v>
      </c>
      <c r="E228" s="8" t="s">
        <v>157</v>
      </c>
      <c r="F228" s="10" t="s">
        <v>105</v>
      </c>
      <c r="G228" s="11" t="s">
        <v>16</v>
      </c>
      <c r="H228" s="66"/>
      <c r="I228" s="67" t="n">
        <v>45883</v>
      </c>
      <c r="J228" s="10" t="s">
        <v>431</v>
      </c>
      <c r="K228" s="68" t="str">
        <f aca="false">IF(G228="No",MAX(0,AsOfDate-I228),"")</f>
        <v/>
      </c>
      <c r="L228" s="12" t="str">
        <f aca="false">IF(K228="","",IF(K228&lt;=90,"0-90",IF(K228&lt;=180,"91-180",IF(K228&lt;=270,"181-270","&gt;270"))))</f>
        <v/>
      </c>
      <c r="M228" s="12" t="str">
        <f aca="false">IF(G228="Obs",COUNTIF(G$2:G228,"Obs"),"")</f>
        <v/>
      </c>
      <c r="N228" s="12" t="str">
        <f aca="false">IF(G228="No",COUNTIF(G$2:G228,"No"),"")</f>
        <v/>
      </c>
    </row>
    <row r="229" customFormat="false" ht="23.85" hidden="false" customHeight="false" outlineLevel="0" collapsed="false">
      <c r="A229" s="69" t="s">
        <v>541</v>
      </c>
      <c r="B229" s="69" t="s">
        <v>234</v>
      </c>
      <c r="C229" s="69" t="s">
        <v>245</v>
      </c>
      <c r="D229" s="70" t="s">
        <v>159</v>
      </c>
      <c r="E229" s="70" t="s">
        <v>160</v>
      </c>
      <c r="F229" s="69" t="s">
        <v>99</v>
      </c>
      <c r="G229" s="71" t="s">
        <v>22</v>
      </c>
      <c r="H229" s="72" t="s">
        <v>562</v>
      </c>
      <c r="I229" s="73" t="n">
        <v>45883</v>
      </c>
      <c r="J229" s="69" t="s">
        <v>431</v>
      </c>
      <c r="K229" s="74" t="str">
        <f aca="false">IF(G229="No",MAX(0,AsOfDate-I229),"")</f>
        <v/>
      </c>
      <c r="L229" s="75" t="str">
        <f aca="false">IF(K229="","",IF(K229&lt;=90,"0-90",IF(K229&lt;=180,"91-180",IF(K229&lt;=270,"181-270","&gt;270"))))</f>
        <v/>
      </c>
      <c r="M229" s="75" t="n">
        <f aca="false">IF(G229="Obs",COUNTIF(G$2:G229,"Obs"),"")</f>
        <v>11</v>
      </c>
      <c r="N229" s="75" t="str">
        <f aca="false">IF(G229="No",COUNTIF(G$2:G229,"No"),"")</f>
        <v/>
      </c>
    </row>
    <row r="230" customFormat="false" ht="23.85" hidden="false" customHeight="false" outlineLevel="0" collapsed="false">
      <c r="A230" s="10" t="s">
        <v>541</v>
      </c>
      <c r="B230" s="10" t="s">
        <v>234</v>
      </c>
      <c r="C230" s="10" t="s">
        <v>246</v>
      </c>
      <c r="D230" s="8" t="s">
        <v>159</v>
      </c>
      <c r="E230" s="8" t="s">
        <v>162</v>
      </c>
      <c r="F230" s="10" t="s">
        <v>99</v>
      </c>
      <c r="G230" s="11" t="s">
        <v>18</v>
      </c>
      <c r="H230" s="66" t="s">
        <v>563</v>
      </c>
      <c r="I230" s="67" t="n">
        <v>45883</v>
      </c>
      <c r="J230" s="10" t="s">
        <v>431</v>
      </c>
      <c r="K230" s="68" t="n">
        <f aca="false">IF(G230="No",MAX(0,AsOfDate-I230),"")</f>
        <v>300</v>
      </c>
      <c r="L230" s="12" t="str">
        <f aca="false">IF(K230="","",IF(K230&lt;=90,"0-90",IF(K230&lt;=180,"91-180",IF(K230&lt;=270,"181-270","&gt;270"))))</f>
        <v>&gt;270</v>
      </c>
      <c r="M230" s="12" t="str">
        <f aca="false">IF(G230="Obs",COUNTIF(G$2:G230,"Obs"),"")</f>
        <v/>
      </c>
      <c r="N230" s="12" t="n">
        <f aca="false">IF(G230="No",COUNTIF(G$2:G230,"No"),"")</f>
        <v>17</v>
      </c>
    </row>
    <row r="231" customFormat="false" ht="23.85" hidden="false" customHeight="false" outlineLevel="0" collapsed="false">
      <c r="A231" s="69" t="s">
        <v>541</v>
      </c>
      <c r="B231" s="69" t="s">
        <v>234</v>
      </c>
      <c r="C231" s="69" t="s">
        <v>247</v>
      </c>
      <c r="D231" s="70" t="s">
        <v>159</v>
      </c>
      <c r="E231" s="70" t="s">
        <v>164</v>
      </c>
      <c r="F231" s="69" t="s">
        <v>110</v>
      </c>
      <c r="G231" s="71" t="s">
        <v>16</v>
      </c>
      <c r="H231" s="72"/>
      <c r="I231" s="73" t="n">
        <v>45883</v>
      </c>
      <c r="J231" s="69" t="s">
        <v>431</v>
      </c>
      <c r="K231" s="74" t="str">
        <f aca="false">IF(G231="No",MAX(0,AsOfDate-I231),"")</f>
        <v/>
      </c>
      <c r="L231" s="75" t="str">
        <f aca="false">IF(K231="","",IF(K231&lt;=90,"0-90",IF(K231&lt;=180,"91-180",IF(K231&lt;=270,"181-270","&gt;270"))))</f>
        <v/>
      </c>
      <c r="M231" s="75" t="str">
        <f aca="false">IF(G231="Obs",COUNTIF(G$2:G231,"Obs"),"")</f>
        <v/>
      </c>
      <c r="N231" s="75" t="str">
        <f aca="false">IF(G231="No",COUNTIF(G$2:G231,"No"),"")</f>
        <v/>
      </c>
    </row>
    <row r="232" customFormat="false" ht="15" hidden="false" customHeight="false" outlineLevel="0" collapsed="false">
      <c r="A232" s="10" t="s">
        <v>541</v>
      </c>
      <c r="B232" s="10" t="s">
        <v>234</v>
      </c>
      <c r="C232" s="10" t="s">
        <v>248</v>
      </c>
      <c r="D232" s="8" t="s">
        <v>166</v>
      </c>
      <c r="E232" s="8" t="s">
        <v>167</v>
      </c>
      <c r="F232" s="10" t="s">
        <v>99</v>
      </c>
      <c r="G232" s="11" t="s">
        <v>16</v>
      </c>
      <c r="H232" s="66"/>
      <c r="I232" s="67" t="n">
        <v>45883</v>
      </c>
      <c r="J232" s="10" t="s">
        <v>431</v>
      </c>
      <c r="K232" s="68" t="str">
        <f aca="false">IF(G232="No",MAX(0,AsOfDate-I232),"")</f>
        <v/>
      </c>
      <c r="L232" s="12" t="str">
        <f aca="false">IF(K232="","",IF(K232&lt;=90,"0-90",IF(K232&lt;=180,"91-180",IF(K232&lt;=270,"181-270","&gt;270"))))</f>
        <v/>
      </c>
      <c r="M232" s="12" t="str">
        <f aca="false">IF(G232="Obs",COUNTIF(G$2:G232,"Obs"),"")</f>
        <v/>
      </c>
      <c r="N232" s="12" t="str">
        <f aca="false">IF(G232="No",COUNTIF(G$2:G232,"No"),"")</f>
        <v/>
      </c>
    </row>
    <row r="233" customFormat="false" ht="15" hidden="false" customHeight="false" outlineLevel="0" collapsed="false">
      <c r="A233" s="69" t="s">
        <v>541</v>
      </c>
      <c r="B233" s="69" t="s">
        <v>234</v>
      </c>
      <c r="C233" s="69" t="s">
        <v>249</v>
      </c>
      <c r="D233" s="70" t="s">
        <v>166</v>
      </c>
      <c r="E233" s="70" t="s">
        <v>169</v>
      </c>
      <c r="F233" s="69" t="s">
        <v>105</v>
      </c>
      <c r="G233" s="71" t="s">
        <v>16</v>
      </c>
      <c r="H233" s="72"/>
      <c r="I233" s="73" t="n">
        <v>45883</v>
      </c>
      <c r="J233" s="69" t="s">
        <v>431</v>
      </c>
      <c r="K233" s="74" t="str">
        <f aca="false">IF(G233="No",MAX(0,AsOfDate-I233),"")</f>
        <v/>
      </c>
      <c r="L233" s="75" t="str">
        <f aca="false">IF(K233="","",IF(K233&lt;=90,"0-90",IF(K233&lt;=180,"91-180",IF(K233&lt;=270,"181-270","&gt;270"))))</f>
        <v/>
      </c>
      <c r="M233" s="75" t="str">
        <f aca="false">IF(G233="Obs",COUNTIF(G$2:G233,"Obs"),"")</f>
        <v/>
      </c>
      <c r="N233" s="75" t="str">
        <f aca="false">IF(G233="No",COUNTIF(G$2:G233,"No"),"")</f>
        <v/>
      </c>
    </row>
    <row r="234" customFormat="false" ht="15" hidden="false" customHeight="false" outlineLevel="0" collapsed="false">
      <c r="A234" s="10" t="s">
        <v>541</v>
      </c>
      <c r="B234" s="10" t="s">
        <v>234</v>
      </c>
      <c r="C234" s="10" t="s">
        <v>250</v>
      </c>
      <c r="D234" s="8" t="s">
        <v>171</v>
      </c>
      <c r="E234" s="8" t="s">
        <v>172</v>
      </c>
      <c r="F234" s="10" t="s">
        <v>105</v>
      </c>
      <c r="G234" s="11" t="s">
        <v>16</v>
      </c>
      <c r="H234" s="66"/>
      <c r="I234" s="67" t="n">
        <v>45883</v>
      </c>
      <c r="J234" s="10" t="s">
        <v>431</v>
      </c>
      <c r="K234" s="68" t="str">
        <f aca="false">IF(G234="No",MAX(0,AsOfDate-I234),"")</f>
        <v/>
      </c>
      <c r="L234" s="12" t="str">
        <f aca="false">IF(K234="","",IF(K234&lt;=90,"0-90",IF(K234&lt;=180,"91-180",IF(K234&lt;=270,"181-270","&gt;270"))))</f>
        <v/>
      </c>
      <c r="M234" s="12" t="str">
        <f aca="false">IF(G234="Obs",COUNTIF(G$2:G234,"Obs"),"")</f>
        <v/>
      </c>
      <c r="N234" s="12" t="str">
        <f aca="false">IF(G234="No",COUNTIF(G$2:G234,"No"),"")</f>
        <v/>
      </c>
    </row>
    <row r="235" customFormat="false" ht="15" hidden="false" customHeight="false" outlineLevel="0" collapsed="false">
      <c r="A235" s="69" t="s">
        <v>541</v>
      </c>
      <c r="B235" s="69" t="s">
        <v>234</v>
      </c>
      <c r="C235" s="69" t="s">
        <v>251</v>
      </c>
      <c r="D235" s="70" t="s">
        <v>171</v>
      </c>
      <c r="E235" s="70" t="s">
        <v>174</v>
      </c>
      <c r="F235" s="69" t="s">
        <v>99</v>
      </c>
      <c r="G235" s="71" t="s">
        <v>16</v>
      </c>
      <c r="H235" s="72"/>
      <c r="I235" s="73" t="n">
        <v>45883</v>
      </c>
      <c r="J235" s="69" t="s">
        <v>431</v>
      </c>
      <c r="K235" s="74" t="str">
        <f aca="false">IF(G235="No",MAX(0,AsOfDate-I235),"")</f>
        <v/>
      </c>
      <c r="L235" s="75" t="str">
        <f aca="false">IF(K235="","",IF(K235&lt;=90,"0-90",IF(K235&lt;=180,"91-180",IF(K235&lt;=270,"181-270","&gt;270"))))</f>
        <v/>
      </c>
      <c r="M235" s="75" t="str">
        <f aca="false">IF(G235="Obs",COUNTIF(G$2:G235,"Obs"),"")</f>
        <v/>
      </c>
      <c r="N235" s="75" t="str">
        <f aca="false">IF(G235="No",COUNTIF(G$2:G235,"No"),"")</f>
        <v/>
      </c>
    </row>
    <row r="236" customFormat="false" ht="15" hidden="false" customHeight="false" outlineLevel="0" collapsed="false">
      <c r="A236" s="10" t="s">
        <v>541</v>
      </c>
      <c r="B236" s="10" t="s">
        <v>234</v>
      </c>
      <c r="C236" s="10" t="s">
        <v>252</v>
      </c>
      <c r="D236" s="8" t="s">
        <v>176</v>
      </c>
      <c r="E236" s="8" t="s">
        <v>177</v>
      </c>
      <c r="F236" s="10" t="s">
        <v>105</v>
      </c>
      <c r="G236" s="11" t="s">
        <v>16</v>
      </c>
      <c r="H236" s="66"/>
      <c r="I236" s="67" t="n">
        <v>45883</v>
      </c>
      <c r="J236" s="10" t="s">
        <v>431</v>
      </c>
      <c r="K236" s="68" t="str">
        <f aca="false">IF(G236="No",MAX(0,AsOfDate-I236),"")</f>
        <v/>
      </c>
      <c r="L236" s="12" t="str">
        <f aca="false">IF(K236="","",IF(K236&lt;=90,"0-90",IF(K236&lt;=180,"91-180",IF(K236&lt;=270,"181-270","&gt;270"))))</f>
        <v/>
      </c>
      <c r="M236" s="12" t="str">
        <f aca="false">IF(G236="Obs",COUNTIF(G$2:G236,"Obs"),"")</f>
        <v/>
      </c>
      <c r="N236" s="12" t="str">
        <f aca="false">IF(G236="No",COUNTIF(G$2:G236,"No"),"")</f>
        <v/>
      </c>
    </row>
    <row r="237" customFormat="false" ht="15" hidden="false" customHeight="false" outlineLevel="0" collapsed="false">
      <c r="A237" s="69" t="s">
        <v>541</v>
      </c>
      <c r="B237" s="69" t="s">
        <v>234</v>
      </c>
      <c r="C237" s="69" t="s">
        <v>253</v>
      </c>
      <c r="D237" s="70" t="s">
        <v>176</v>
      </c>
      <c r="E237" s="70" t="s">
        <v>179</v>
      </c>
      <c r="F237" s="69" t="s">
        <v>105</v>
      </c>
      <c r="G237" s="71" t="s">
        <v>16</v>
      </c>
      <c r="H237" s="72"/>
      <c r="I237" s="73" t="n">
        <v>45883</v>
      </c>
      <c r="J237" s="69" t="s">
        <v>431</v>
      </c>
      <c r="K237" s="74" t="str">
        <f aca="false">IF(G237="No",MAX(0,AsOfDate-I237),"")</f>
        <v/>
      </c>
      <c r="L237" s="75" t="str">
        <f aca="false">IF(K237="","",IF(K237&lt;=90,"0-90",IF(K237&lt;=180,"91-180",IF(K237&lt;=270,"181-270","&gt;270"))))</f>
        <v/>
      </c>
      <c r="M237" s="75" t="str">
        <f aca="false">IF(G237="Obs",COUNTIF(G$2:G237,"Obs"),"")</f>
        <v/>
      </c>
      <c r="N237" s="75" t="str">
        <f aca="false">IF(G237="No",COUNTIF(G$2:G237,"No"),"")</f>
        <v/>
      </c>
    </row>
    <row r="238" customFormat="false" ht="15" hidden="false" customHeight="false" outlineLevel="0" collapsed="false">
      <c r="A238" s="10" t="s">
        <v>541</v>
      </c>
      <c r="B238" s="10" t="s">
        <v>234</v>
      </c>
      <c r="C238" s="10" t="s">
        <v>254</v>
      </c>
      <c r="D238" s="8" t="s">
        <v>255</v>
      </c>
      <c r="E238" s="8" t="s">
        <v>256</v>
      </c>
      <c r="F238" s="10" t="s">
        <v>105</v>
      </c>
      <c r="G238" s="11" t="s">
        <v>16</v>
      </c>
      <c r="H238" s="66"/>
      <c r="I238" s="67" t="n">
        <v>45883</v>
      </c>
      <c r="J238" s="10" t="s">
        <v>431</v>
      </c>
      <c r="K238" s="68" t="str">
        <f aca="false">IF(G238="No",MAX(0,AsOfDate-I238),"")</f>
        <v/>
      </c>
      <c r="L238" s="12" t="str">
        <f aca="false">IF(K238="","",IF(K238&lt;=90,"0-90",IF(K238&lt;=180,"91-180",IF(K238&lt;=270,"181-270","&gt;270"))))</f>
        <v/>
      </c>
      <c r="M238" s="12" t="str">
        <f aca="false">IF(G238="Obs",COUNTIF(G$2:G238,"Obs"),"")</f>
        <v/>
      </c>
      <c r="N238" s="12" t="str">
        <f aca="false">IF(G238="No",COUNTIF(G$2:G238,"No"),"")</f>
        <v/>
      </c>
    </row>
    <row r="239" customFormat="false" ht="15" hidden="false" customHeight="false" outlineLevel="0" collapsed="false">
      <c r="A239" s="69" t="s">
        <v>541</v>
      </c>
      <c r="B239" s="69" t="s">
        <v>234</v>
      </c>
      <c r="C239" s="69" t="s">
        <v>257</v>
      </c>
      <c r="D239" s="70" t="s">
        <v>255</v>
      </c>
      <c r="E239" s="70" t="s">
        <v>258</v>
      </c>
      <c r="F239" s="69" t="s">
        <v>105</v>
      </c>
      <c r="G239" s="71" t="s">
        <v>16</v>
      </c>
      <c r="H239" s="72"/>
      <c r="I239" s="73" t="n">
        <v>45883</v>
      </c>
      <c r="J239" s="69" t="s">
        <v>431</v>
      </c>
      <c r="K239" s="74" t="str">
        <f aca="false">IF(G239="No",MAX(0,AsOfDate-I239),"")</f>
        <v/>
      </c>
      <c r="L239" s="75" t="str">
        <f aca="false">IF(K239="","",IF(K239&lt;=90,"0-90",IF(K239&lt;=180,"91-180",IF(K239&lt;=270,"181-270","&gt;270"))))</f>
        <v/>
      </c>
      <c r="M239" s="75" t="str">
        <f aca="false">IF(G239="Obs",COUNTIF(G$2:G239,"Obs"),"")</f>
        <v/>
      </c>
      <c r="N239" s="75" t="str">
        <f aca="false">IF(G239="No",COUNTIF(G$2:G239,"No"),"")</f>
        <v/>
      </c>
    </row>
    <row r="240" customFormat="false" ht="15" hidden="false" customHeight="false" outlineLevel="0" collapsed="false">
      <c r="A240" s="10" t="s">
        <v>541</v>
      </c>
      <c r="B240" s="10" t="s">
        <v>234</v>
      </c>
      <c r="C240" s="10" t="s">
        <v>259</v>
      </c>
      <c r="D240" s="8" t="s">
        <v>255</v>
      </c>
      <c r="E240" s="8" t="s">
        <v>260</v>
      </c>
      <c r="F240" s="10" t="s">
        <v>99</v>
      </c>
      <c r="G240" s="11" t="s">
        <v>20</v>
      </c>
      <c r="H240" s="66"/>
      <c r="I240" s="67" t="n">
        <v>45883</v>
      </c>
      <c r="J240" s="10" t="s">
        <v>431</v>
      </c>
      <c r="K240" s="68" t="str">
        <f aca="false">IF(G240="No",MAX(0,AsOfDate-I240),"")</f>
        <v/>
      </c>
      <c r="L240" s="12" t="str">
        <f aca="false">IF(K240="","",IF(K240&lt;=90,"0-90",IF(K240&lt;=180,"91-180",IF(K240&lt;=270,"181-270","&gt;270"))))</f>
        <v/>
      </c>
      <c r="M240" s="12" t="str">
        <f aca="false">IF(G240="Obs",COUNTIF(G$2:G240,"Obs"),"")</f>
        <v/>
      </c>
      <c r="N240" s="12" t="str">
        <f aca="false">IF(G240="No",COUNTIF(G$2:G240,"No"),"")</f>
        <v/>
      </c>
    </row>
    <row r="241" customFormat="false" ht="23.85" hidden="false" customHeight="false" outlineLevel="0" collapsed="false">
      <c r="A241" s="69" t="s">
        <v>541</v>
      </c>
      <c r="B241" s="69" t="s">
        <v>234</v>
      </c>
      <c r="C241" s="69" t="s">
        <v>261</v>
      </c>
      <c r="D241" s="70" t="s">
        <v>255</v>
      </c>
      <c r="E241" s="70" t="s">
        <v>262</v>
      </c>
      <c r="F241" s="69" t="s">
        <v>99</v>
      </c>
      <c r="G241" s="71" t="s">
        <v>18</v>
      </c>
      <c r="H241" s="72" t="s">
        <v>563</v>
      </c>
      <c r="I241" s="73" t="n">
        <v>45883</v>
      </c>
      <c r="J241" s="69" t="s">
        <v>431</v>
      </c>
      <c r="K241" s="74" t="n">
        <f aca="false">IF(G241="No",MAX(0,AsOfDate-I241),"")</f>
        <v>300</v>
      </c>
      <c r="L241" s="75" t="str">
        <f aca="false">IF(K241="","",IF(K241&lt;=90,"0-90",IF(K241&lt;=180,"91-180",IF(K241&lt;=270,"181-270","&gt;270"))))</f>
        <v>&gt;270</v>
      </c>
      <c r="M241" s="75" t="str">
        <f aca="false">IF(G241="Obs",COUNTIF(G$2:G241,"Obs"),"")</f>
        <v/>
      </c>
      <c r="N241" s="75" t="n">
        <f aca="false">IF(G241="No",COUNTIF(G$2:G241,"No"),"")</f>
        <v>18</v>
      </c>
    </row>
    <row r="242" customFormat="false" ht="15" hidden="false" customHeight="false" outlineLevel="0" collapsed="false">
      <c r="A242" s="10" t="s">
        <v>541</v>
      </c>
      <c r="B242" s="10" t="s">
        <v>234</v>
      </c>
      <c r="C242" s="10" t="s">
        <v>263</v>
      </c>
      <c r="D242" s="8" t="s">
        <v>255</v>
      </c>
      <c r="E242" s="8" t="s">
        <v>264</v>
      </c>
      <c r="F242" s="10" t="s">
        <v>105</v>
      </c>
      <c r="G242" s="11" t="s">
        <v>16</v>
      </c>
      <c r="H242" s="66"/>
      <c r="I242" s="67" t="n">
        <v>45883</v>
      </c>
      <c r="J242" s="10" t="s">
        <v>431</v>
      </c>
      <c r="K242" s="68" t="str">
        <f aca="false">IF(G242="No",MAX(0,AsOfDate-I242),"")</f>
        <v/>
      </c>
      <c r="L242" s="12" t="str">
        <f aca="false">IF(K242="","",IF(K242&lt;=90,"0-90",IF(K242&lt;=180,"91-180",IF(K242&lt;=270,"181-270","&gt;270"))))</f>
        <v/>
      </c>
      <c r="M242" s="12" t="str">
        <f aca="false">IF(G242="Obs",COUNTIF(G$2:G242,"Obs"),"")</f>
        <v/>
      </c>
      <c r="N242" s="12" t="str">
        <f aca="false">IF(G242="No",COUNTIF(G$2:G242,"No"),"")</f>
        <v/>
      </c>
    </row>
    <row r="243" customFormat="false" ht="23.85" hidden="false" customHeight="false" outlineLevel="0" collapsed="false">
      <c r="A243" s="69" t="s">
        <v>541</v>
      </c>
      <c r="B243" s="69" t="s">
        <v>234</v>
      </c>
      <c r="C243" s="69" t="s">
        <v>265</v>
      </c>
      <c r="D243" s="70" t="s">
        <v>255</v>
      </c>
      <c r="E243" s="70" t="s">
        <v>266</v>
      </c>
      <c r="F243" s="69" t="s">
        <v>99</v>
      </c>
      <c r="G243" s="71" t="s">
        <v>16</v>
      </c>
      <c r="H243" s="72"/>
      <c r="I243" s="73" t="n">
        <v>45883</v>
      </c>
      <c r="J243" s="69" t="s">
        <v>431</v>
      </c>
      <c r="K243" s="74" t="str">
        <f aca="false">IF(G243="No",MAX(0,AsOfDate-I243),"")</f>
        <v/>
      </c>
      <c r="L243" s="75" t="str">
        <f aca="false">IF(K243="","",IF(K243&lt;=90,"0-90",IF(K243&lt;=180,"91-180",IF(K243&lt;=270,"181-270","&gt;270"))))</f>
        <v/>
      </c>
      <c r="M243" s="75" t="str">
        <f aca="false">IF(G243="Obs",COUNTIF(G$2:G243,"Obs"),"")</f>
        <v/>
      </c>
      <c r="N243" s="75" t="str">
        <f aca="false">IF(G243="No",COUNTIF(G$2:G243,"No"),"")</f>
        <v/>
      </c>
    </row>
    <row r="244" customFormat="false" ht="23.85" hidden="false" customHeight="false" outlineLevel="0" collapsed="false">
      <c r="A244" s="10" t="s">
        <v>702</v>
      </c>
      <c r="B244" s="10" t="s">
        <v>234</v>
      </c>
      <c r="C244" s="10" t="s">
        <v>233</v>
      </c>
      <c r="D244" s="8" t="s">
        <v>133</v>
      </c>
      <c r="E244" s="8" t="s">
        <v>134</v>
      </c>
      <c r="F244" s="10" t="s">
        <v>99</v>
      </c>
      <c r="G244" s="11" t="s">
        <v>22</v>
      </c>
      <c r="H244" s="66" t="s">
        <v>592</v>
      </c>
      <c r="I244" s="67" t="n">
        <v>45967</v>
      </c>
      <c r="J244" s="10" t="s">
        <v>687</v>
      </c>
      <c r="K244" s="68" t="str">
        <f aca="false">IF(G244="No",MAX(0,AsOfDate-I244),"")</f>
        <v/>
      </c>
      <c r="L244" s="12" t="str">
        <f aca="false">IF(K244="","",IF(K244&lt;=90,"0-90",IF(K244&lt;=180,"91-180",IF(K244&lt;=270,"181-270","&gt;270"))))</f>
        <v/>
      </c>
      <c r="M244" s="12" t="n">
        <f aca="false">IF(G244="Obs",COUNTIF(G$2:G244,"Obs"),"")</f>
        <v>12</v>
      </c>
      <c r="N244" s="12" t="str">
        <f aca="false">IF(G244="No",COUNTIF(G$2:G244,"No"),"")</f>
        <v/>
      </c>
    </row>
    <row r="245" customFormat="false" ht="15" hidden="false" customHeight="false" outlineLevel="0" collapsed="false">
      <c r="A245" s="69" t="s">
        <v>702</v>
      </c>
      <c r="B245" s="69" t="s">
        <v>234</v>
      </c>
      <c r="C245" s="69" t="s">
        <v>235</v>
      </c>
      <c r="D245" s="70" t="s">
        <v>133</v>
      </c>
      <c r="E245" s="70" t="s">
        <v>136</v>
      </c>
      <c r="F245" s="69" t="s">
        <v>99</v>
      </c>
      <c r="G245" s="71" t="s">
        <v>16</v>
      </c>
      <c r="H245" s="72"/>
      <c r="I245" s="73" t="n">
        <v>45967</v>
      </c>
      <c r="J245" s="69" t="s">
        <v>687</v>
      </c>
      <c r="K245" s="74" t="str">
        <f aca="false">IF(G245="No",MAX(0,AsOfDate-I245),"")</f>
        <v/>
      </c>
      <c r="L245" s="75" t="str">
        <f aca="false">IF(K245="","",IF(K245&lt;=90,"0-90",IF(K245&lt;=180,"91-180",IF(K245&lt;=270,"181-270","&gt;270"))))</f>
        <v/>
      </c>
      <c r="M245" s="75" t="str">
        <f aca="false">IF(G245="Obs",COUNTIF(G$2:G245,"Obs"),"")</f>
        <v/>
      </c>
      <c r="N245" s="75" t="str">
        <f aca="false">IF(G245="No",COUNTIF(G$2:G245,"No"),"")</f>
        <v/>
      </c>
    </row>
    <row r="246" customFormat="false" ht="15" hidden="false" customHeight="false" outlineLevel="0" collapsed="false">
      <c r="A246" s="10" t="s">
        <v>702</v>
      </c>
      <c r="B246" s="10" t="s">
        <v>234</v>
      </c>
      <c r="C246" s="10" t="s">
        <v>236</v>
      </c>
      <c r="D246" s="8" t="s">
        <v>133</v>
      </c>
      <c r="E246" s="8" t="s">
        <v>138</v>
      </c>
      <c r="F246" s="10" t="s">
        <v>105</v>
      </c>
      <c r="G246" s="11" t="s">
        <v>16</v>
      </c>
      <c r="H246" s="66"/>
      <c r="I246" s="67" t="n">
        <v>45967</v>
      </c>
      <c r="J246" s="10" t="s">
        <v>687</v>
      </c>
      <c r="K246" s="68" t="str">
        <f aca="false">IF(G246="No",MAX(0,AsOfDate-I246),"")</f>
        <v/>
      </c>
      <c r="L246" s="12" t="str">
        <f aca="false">IF(K246="","",IF(K246&lt;=90,"0-90",IF(K246&lt;=180,"91-180",IF(K246&lt;=270,"181-270","&gt;270"))))</f>
        <v/>
      </c>
      <c r="M246" s="12" t="str">
        <f aca="false">IF(G246="Obs",COUNTIF(G$2:G246,"Obs"),"")</f>
        <v/>
      </c>
      <c r="N246" s="12" t="str">
        <f aca="false">IF(G246="No",COUNTIF(G$2:G246,"No"),"")</f>
        <v/>
      </c>
    </row>
    <row r="247" customFormat="false" ht="15" hidden="false" customHeight="false" outlineLevel="0" collapsed="false">
      <c r="A247" s="69" t="s">
        <v>702</v>
      </c>
      <c r="B247" s="69" t="s">
        <v>234</v>
      </c>
      <c r="C247" s="69" t="s">
        <v>237</v>
      </c>
      <c r="D247" s="70" t="s">
        <v>140</v>
      </c>
      <c r="E247" s="70" t="s">
        <v>141</v>
      </c>
      <c r="F247" s="69" t="s">
        <v>99</v>
      </c>
      <c r="G247" s="71" t="s">
        <v>16</v>
      </c>
      <c r="H247" s="72"/>
      <c r="I247" s="73" t="n">
        <v>45967</v>
      </c>
      <c r="J247" s="69" t="s">
        <v>687</v>
      </c>
      <c r="K247" s="74" t="str">
        <f aca="false">IF(G247="No",MAX(0,AsOfDate-I247),"")</f>
        <v/>
      </c>
      <c r="L247" s="75" t="str">
        <f aca="false">IF(K247="","",IF(K247&lt;=90,"0-90",IF(K247&lt;=180,"91-180",IF(K247&lt;=270,"181-270","&gt;270"))))</f>
        <v/>
      </c>
      <c r="M247" s="75" t="str">
        <f aca="false">IF(G247="Obs",COUNTIF(G$2:G247,"Obs"),"")</f>
        <v/>
      </c>
      <c r="N247" s="75" t="str">
        <f aca="false">IF(G247="No",COUNTIF(G$2:G247,"No"),"")</f>
        <v/>
      </c>
    </row>
    <row r="248" customFormat="false" ht="15" hidden="false" customHeight="false" outlineLevel="0" collapsed="false">
      <c r="A248" s="10" t="s">
        <v>702</v>
      </c>
      <c r="B248" s="10" t="s">
        <v>234</v>
      </c>
      <c r="C248" s="10" t="s">
        <v>238</v>
      </c>
      <c r="D248" s="8" t="s">
        <v>140</v>
      </c>
      <c r="E248" s="8" t="s">
        <v>143</v>
      </c>
      <c r="F248" s="10" t="s">
        <v>105</v>
      </c>
      <c r="G248" s="11" t="s">
        <v>18</v>
      </c>
      <c r="H248" s="66" t="s">
        <v>496</v>
      </c>
      <c r="I248" s="67" t="n">
        <v>45967</v>
      </c>
      <c r="J248" s="10" t="s">
        <v>687</v>
      </c>
      <c r="K248" s="68" t="n">
        <f aca="false">IF(G248="No",MAX(0,AsOfDate-I248),"")</f>
        <v>216</v>
      </c>
      <c r="L248" s="12" t="str">
        <f aca="false">IF(K248="","",IF(K248&lt;=90,"0-90",IF(K248&lt;=180,"91-180",IF(K248&lt;=270,"181-270","&gt;270"))))</f>
        <v>181-270</v>
      </c>
      <c r="M248" s="12" t="str">
        <f aca="false">IF(G248="Obs",COUNTIF(G$2:G248,"Obs"),"")</f>
        <v/>
      </c>
      <c r="N248" s="12" t="n">
        <f aca="false">IF(G248="No",COUNTIF(G$2:G248,"No"),"")</f>
        <v>19</v>
      </c>
    </row>
    <row r="249" customFormat="false" ht="15" hidden="false" customHeight="false" outlineLevel="0" collapsed="false">
      <c r="A249" s="69" t="s">
        <v>702</v>
      </c>
      <c r="B249" s="69" t="s">
        <v>234</v>
      </c>
      <c r="C249" s="69" t="s">
        <v>239</v>
      </c>
      <c r="D249" s="70" t="s">
        <v>140</v>
      </c>
      <c r="E249" s="70" t="s">
        <v>145</v>
      </c>
      <c r="F249" s="69" t="s">
        <v>99</v>
      </c>
      <c r="G249" s="71" t="s">
        <v>20</v>
      </c>
      <c r="H249" s="72"/>
      <c r="I249" s="73" t="n">
        <v>45967</v>
      </c>
      <c r="J249" s="69" t="s">
        <v>687</v>
      </c>
      <c r="K249" s="74" t="str">
        <f aca="false">IF(G249="No",MAX(0,AsOfDate-I249),"")</f>
        <v/>
      </c>
      <c r="L249" s="75" t="str">
        <f aca="false">IF(K249="","",IF(K249&lt;=90,"0-90",IF(K249&lt;=180,"91-180",IF(K249&lt;=270,"181-270","&gt;270"))))</f>
        <v/>
      </c>
      <c r="M249" s="75" t="str">
        <f aca="false">IF(G249="Obs",COUNTIF(G$2:G249,"Obs"),"")</f>
        <v/>
      </c>
      <c r="N249" s="75" t="str">
        <f aca="false">IF(G249="No",COUNTIF(G$2:G249,"No"),"")</f>
        <v/>
      </c>
    </row>
    <row r="250" customFormat="false" ht="15" hidden="false" customHeight="false" outlineLevel="0" collapsed="false">
      <c r="A250" s="10" t="s">
        <v>702</v>
      </c>
      <c r="B250" s="10" t="s">
        <v>234</v>
      </c>
      <c r="C250" s="10" t="s">
        <v>240</v>
      </c>
      <c r="D250" s="8" t="s">
        <v>147</v>
      </c>
      <c r="E250" s="8" t="s">
        <v>148</v>
      </c>
      <c r="F250" s="10" t="s">
        <v>99</v>
      </c>
      <c r="G250" s="11" t="s">
        <v>18</v>
      </c>
      <c r="H250" s="66" t="s">
        <v>742</v>
      </c>
      <c r="I250" s="67" t="n">
        <v>45967</v>
      </c>
      <c r="J250" s="10" t="s">
        <v>687</v>
      </c>
      <c r="K250" s="68" t="n">
        <f aca="false">IF(G250="No",MAX(0,AsOfDate-I250),"")</f>
        <v>216</v>
      </c>
      <c r="L250" s="12" t="str">
        <f aca="false">IF(K250="","",IF(K250&lt;=90,"0-90",IF(K250&lt;=180,"91-180",IF(K250&lt;=270,"181-270","&gt;270"))))</f>
        <v>181-270</v>
      </c>
      <c r="M250" s="12" t="str">
        <f aca="false">IF(G250="Obs",COUNTIF(G$2:G250,"Obs"),"")</f>
        <v/>
      </c>
      <c r="N250" s="12" t="n">
        <f aca="false">IF(G250="No",COUNTIF(G$2:G250,"No"),"")</f>
        <v>20</v>
      </c>
    </row>
    <row r="251" customFormat="false" ht="15" hidden="false" customHeight="false" outlineLevel="0" collapsed="false">
      <c r="A251" s="69" t="s">
        <v>702</v>
      </c>
      <c r="B251" s="69" t="s">
        <v>234</v>
      </c>
      <c r="C251" s="69" t="s">
        <v>241</v>
      </c>
      <c r="D251" s="70" t="s">
        <v>147</v>
      </c>
      <c r="E251" s="70" t="s">
        <v>150</v>
      </c>
      <c r="F251" s="69" t="s">
        <v>105</v>
      </c>
      <c r="G251" s="71" t="s">
        <v>16</v>
      </c>
      <c r="H251" s="72"/>
      <c r="I251" s="73" t="n">
        <v>45967</v>
      </c>
      <c r="J251" s="69" t="s">
        <v>687</v>
      </c>
      <c r="K251" s="74" t="str">
        <f aca="false">IF(G251="No",MAX(0,AsOfDate-I251),"")</f>
        <v/>
      </c>
      <c r="L251" s="75" t="str">
        <f aca="false">IF(K251="","",IF(K251&lt;=90,"0-90",IF(K251&lt;=180,"91-180",IF(K251&lt;=270,"181-270","&gt;270"))))</f>
        <v/>
      </c>
      <c r="M251" s="75" t="str">
        <f aca="false">IF(G251="Obs",COUNTIF(G$2:G251,"Obs"),"")</f>
        <v/>
      </c>
      <c r="N251" s="75" t="str">
        <f aca="false">IF(G251="No",COUNTIF(G$2:G251,"No"),"")</f>
        <v/>
      </c>
    </row>
    <row r="252" customFormat="false" ht="15" hidden="false" customHeight="false" outlineLevel="0" collapsed="false">
      <c r="A252" s="10" t="s">
        <v>702</v>
      </c>
      <c r="B252" s="10" t="s">
        <v>234</v>
      </c>
      <c r="C252" s="10" t="s">
        <v>242</v>
      </c>
      <c r="D252" s="8" t="s">
        <v>147</v>
      </c>
      <c r="E252" s="8" t="s">
        <v>152</v>
      </c>
      <c r="F252" s="10" t="s">
        <v>99</v>
      </c>
      <c r="G252" s="11" t="s">
        <v>16</v>
      </c>
      <c r="H252" s="66"/>
      <c r="I252" s="67" t="n">
        <v>45967</v>
      </c>
      <c r="J252" s="10" t="s">
        <v>687</v>
      </c>
      <c r="K252" s="68" t="str">
        <f aca="false">IF(G252="No",MAX(0,AsOfDate-I252),"")</f>
        <v/>
      </c>
      <c r="L252" s="12" t="str">
        <f aca="false">IF(K252="","",IF(K252&lt;=90,"0-90",IF(K252&lt;=180,"91-180",IF(K252&lt;=270,"181-270","&gt;270"))))</f>
        <v/>
      </c>
      <c r="M252" s="12" t="str">
        <f aca="false">IF(G252="Obs",COUNTIF(G$2:G252,"Obs"),"")</f>
        <v/>
      </c>
      <c r="N252" s="12" t="str">
        <f aca="false">IF(G252="No",COUNTIF(G$2:G252,"No"),"")</f>
        <v/>
      </c>
    </row>
    <row r="253" customFormat="false" ht="15" hidden="false" customHeight="false" outlineLevel="0" collapsed="false">
      <c r="A253" s="69" t="s">
        <v>702</v>
      </c>
      <c r="B253" s="69" t="s">
        <v>234</v>
      </c>
      <c r="C253" s="69" t="s">
        <v>243</v>
      </c>
      <c r="D253" s="70" t="s">
        <v>154</v>
      </c>
      <c r="E253" s="70" t="s">
        <v>155</v>
      </c>
      <c r="F253" s="69" t="s">
        <v>105</v>
      </c>
      <c r="G253" s="71" t="s">
        <v>16</v>
      </c>
      <c r="H253" s="72"/>
      <c r="I253" s="73" t="n">
        <v>45967</v>
      </c>
      <c r="J253" s="69" t="s">
        <v>687</v>
      </c>
      <c r="K253" s="74" t="str">
        <f aca="false">IF(G253="No",MAX(0,AsOfDate-I253),"")</f>
        <v/>
      </c>
      <c r="L253" s="75" t="str">
        <f aca="false">IF(K253="","",IF(K253&lt;=90,"0-90",IF(K253&lt;=180,"91-180",IF(K253&lt;=270,"181-270","&gt;270"))))</f>
        <v/>
      </c>
      <c r="M253" s="75" t="str">
        <f aca="false">IF(G253="Obs",COUNTIF(G$2:G253,"Obs"),"")</f>
        <v/>
      </c>
      <c r="N253" s="75" t="str">
        <f aca="false">IF(G253="No",COUNTIF(G$2:G253,"No"),"")</f>
        <v/>
      </c>
    </row>
    <row r="254" customFormat="false" ht="15" hidden="false" customHeight="false" outlineLevel="0" collapsed="false">
      <c r="A254" s="10" t="s">
        <v>702</v>
      </c>
      <c r="B254" s="10" t="s">
        <v>234</v>
      </c>
      <c r="C254" s="10" t="s">
        <v>244</v>
      </c>
      <c r="D254" s="8" t="s">
        <v>154</v>
      </c>
      <c r="E254" s="8" t="s">
        <v>157</v>
      </c>
      <c r="F254" s="10" t="s">
        <v>105</v>
      </c>
      <c r="G254" s="11" t="s">
        <v>16</v>
      </c>
      <c r="H254" s="66"/>
      <c r="I254" s="67" t="n">
        <v>45967</v>
      </c>
      <c r="J254" s="10" t="s">
        <v>687</v>
      </c>
      <c r="K254" s="68" t="str">
        <f aca="false">IF(G254="No",MAX(0,AsOfDate-I254),"")</f>
        <v/>
      </c>
      <c r="L254" s="12" t="str">
        <f aca="false">IF(K254="","",IF(K254&lt;=90,"0-90",IF(K254&lt;=180,"91-180",IF(K254&lt;=270,"181-270","&gt;270"))))</f>
        <v/>
      </c>
      <c r="M254" s="12" t="str">
        <f aca="false">IF(G254="Obs",COUNTIF(G$2:G254,"Obs"),"")</f>
        <v/>
      </c>
      <c r="N254" s="12" t="str">
        <f aca="false">IF(G254="No",COUNTIF(G$2:G254,"No"),"")</f>
        <v/>
      </c>
    </row>
    <row r="255" customFormat="false" ht="23.85" hidden="false" customHeight="false" outlineLevel="0" collapsed="false">
      <c r="A255" s="69" t="s">
        <v>702</v>
      </c>
      <c r="B255" s="69" t="s">
        <v>234</v>
      </c>
      <c r="C255" s="69" t="s">
        <v>245</v>
      </c>
      <c r="D255" s="70" t="s">
        <v>159</v>
      </c>
      <c r="E255" s="70" t="s">
        <v>160</v>
      </c>
      <c r="F255" s="69" t="s">
        <v>99</v>
      </c>
      <c r="G255" s="71" t="s">
        <v>16</v>
      </c>
      <c r="H255" s="72"/>
      <c r="I255" s="73" t="n">
        <v>45967</v>
      </c>
      <c r="J255" s="69" t="s">
        <v>687</v>
      </c>
      <c r="K255" s="74" t="str">
        <f aca="false">IF(G255="No",MAX(0,AsOfDate-I255),"")</f>
        <v/>
      </c>
      <c r="L255" s="75" t="str">
        <f aca="false">IF(K255="","",IF(K255&lt;=90,"0-90",IF(K255&lt;=180,"91-180",IF(K255&lt;=270,"181-270","&gt;270"))))</f>
        <v/>
      </c>
      <c r="M255" s="75" t="str">
        <f aca="false">IF(G255="Obs",COUNTIF(G$2:G255,"Obs"),"")</f>
        <v/>
      </c>
      <c r="N255" s="75" t="str">
        <f aca="false">IF(G255="No",COUNTIF(G$2:G255,"No"),"")</f>
        <v/>
      </c>
    </row>
    <row r="256" customFormat="false" ht="23.85" hidden="false" customHeight="false" outlineLevel="0" collapsed="false">
      <c r="A256" s="10" t="s">
        <v>702</v>
      </c>
      <c r="B256" s="10" t="s">
        <v>234</v>
      </c>
      <c r="C256" s="10" t="s">
        <v>246</v>
      </c>
      <c r="D256" s="8" t="s">
        <v>159</v>
      </c>
      <c r="E256" s="8" t="s">
        <v>162</v>
      </c>
      <c r="F256" s="10" t="s">
        <v>99</v>
      </c>
      <c r="G256" s="11" t="s">
        <v>16</v>
      </c>
      <c r="H256" s="66"/>
      <c r="I256" s="67" t="n">
        <v>45967</v>
      </c>
      <c r="J256" s="10" t="s">
        <v>687</v>
      </c>
      <c r="K256" s="68" t="str">
        <f aca="false">IF(G256="No",MAX(0,AsOfDate-I256),"")</f>
        <v/>
      </c>
      <c r="L256" s="12" t="str">
        <f aca="false">IF(K256="","",IF(K256&lt;=90,"0-90",IF(K256&lt;=180,"91-180",IF(K256&lt;=270,"181-270","&gt;270"))))</f>
        <v/>
      </c>
      <c r="M256" s="12" t="str">
        <f aca="false">IF(G256="Obs",COUNTIF(G$2:G256,"Obs"),"")</f>
        <v/>
      </c>
      <c r="N256" s="12" t="str">
        <f aca="false">IF(G256="No",COUNTIF(G$2:G256,"No"),"")</f>
        <v/>
      </c>
    </row>
    <row r="257" customFormat="false" ht="23.85" hidden="false" customHeight="false" outlineLevel="0" collapsed="false">
      <c r="A257" s="69" t="s">
        <v>702</v>
      </c>
      <c r="B257" s="69" t="s">
        <v>234</v>
      </c>
      <c r="C257" s="69" t="s">
        <v>247</v>
      </c>
      <c r="D257" s="70" t="s">
        <v>159</v>
      </c>
      <c r="E257" s="70" t="s">
        <v>164</v>
      </c>
      <c r="F257" s="69" t="s">
        <v>110</v>
      </c>
      <c r="G257" s="71" t="s">
        <v>16</v>
      </c>
      <c r="H257" s="72"/>
      <c r="I257" s="73" t="n">
        <v>45967</v>
      </c>
      <c r="J257" s="69" t="s">
        <v>687</v>
      </c>
      <c r="K257" s="74" t="str">
        <f aca="false">IF(G257="No",MAX(0,AsOfDate-I257),"")</f>
        <v/>
      </c>
      <c r="L257" s="75" t="str">
        <f aca="false">IF(K257="","",IF(K257&lt;=90,"0-90",IF(K257&lt;=180,"91-180",IF(K257&lt;=270,"181-270","&gt;270"))))</f>
        <v/>
      </c>
      <c r="M257" s="75" t="str">
        <f aca="false">IF(G257="Obs",COUNTIF(G$2:G257,"Obs"),"")</f>
        <v/>
      </c>
      <c r="N257" s="75" t="str">
        <f aca="false">IF(G257="No",COUNTIF(G$2:G257,"No"),"")</f>
        <v/>
      </c>
    </row>
    <row r="258" customFormat="false" ht="15" hidden="false" customHeight="false" outlineLevel="0" collapsed="false">
      <c r="A258" s="10" t="s">
        <v>702</v>
      </c>
      <c r="B258" s="10" t="s">
        <v>234</v>
      </c>
      <c r="C258" s="10" t="s">
        <v>248</v>
      </c>
      <c r="D258" s="8" t="s">
        <v>166</v>
      </c>
      <c r="E258" s="8" t="s">
        <v>167</v>
      </c>
      <c r="F258" s="10" t="s">
        <v>99</v>
      </c>
      <c r="G258" s="11" t="s">
        <v>22</v>
      </c>
      <c r="H258" s="66" t="s">
        <v>536</v>
      </c>
      <c r="I258" s="67" t="n">
        <v>45967</v>
      </c>
      <c r="J258" s="10" t="s">
        <v>687</v>
      </c>
      <c r="K258" s="68" t="str">
        <f aca="false">IF(G258="No",MAX(0,AsOfDate-I258),"")</f>
        <v/>
      </c>
      <c r="L258" s="12" t="str">
        <f aca="false">IF(K258="","",IF(K258&lt;=90,"0-90",IF(K258&lt;=180,"91-180",IF(K258&lt;=270,"181-270","&gt;270"))))</f>
        <v/>
      </c>
      <c r="M258" s="12" t="n">
        <f aca="false">IF(G258="Obs",COUNTIF(G$2:G258,"Obs"),"")</f>
        <v>13</v>
      </c>
      <c r="N258" s="12" t="str">
        <f aca="false">IF(G258="No",COUNTIF(G$2:G258,"No"),"")</f>
        <v/>
      </c>
    </row>
    <row r="259" customFormat="false" ht="15" hidden="false" customHeight="false" outlineLevel="0" collapsed="false">
      <c r="A259" s="69" t="s">
        <v>702</v>
      </c>
      <c r="B259" s="69" t="s">
        <v>234</v>
      </c>
      <c r="C259" s="69" t="s">
        <v>249</v>
      </c>
      <c r="D259" s="70" t="s">
        <v>166</v>
      </c>
      <c r="E259" s="70" t="s">
        <v>169</v>
      </c>
      <c r="F259" s="69" t="s">
        <v>105</v>
      </c>
      <c r="G259" s="71" t="s">
        <v>16</v>
      </c>
      <c r="H259" s="72"/>
      <c r="I259" s="73" t="n">
        <v>45967</v>
      </c>
      <c r="J259" s="69" t="s">
        <v>687</v>
      </c>
      <c r="K259" s="74" t="str">
        <f aca="false">IF(G259="No",MAX(0,AsOfDate-I259),"")</f>
        <v/>
      </c>
      <c r="L259" s="75" t="str">
        <f aca="false">IF(K259="","",IF(K259&lt;=90,"0-90",IF(K259&lt;=180,"91-180",IF(K259&lt;=270,"181-270","&gt;270"))))</f>
        <v/>
      </c>
      <c r="M259" s="75" t="str">
        <f aca="false">IF(G259="Obs",COUNTIF(G$2:G259,"Obs"),"")</f>
        <v/>
      </c>
      <c r="N259" s="75" t="str">
        <f aca="false">IF(G259="No",COUNTIF(G$2:G259,"No"),"")</f>
        <v/>
      </c>
    </row>
    <row r="260" customFormat="false" ht="15" hidden="false" customHeight="false" outlineLevel="0" collapsed="false">
      <c r="A260" s="10" t="s">
        <v>702</v>
      </c>
      <c r="B260" s="10" t="s">
        <v>234</v>
      </c>
      <c r="C260" s="10" t="s">
        <v>250</v>
      </c>
      <c r="D260" s="8" t="s">
        <v>171</v>
      </c>
      <c r="E260" s="8" t="s">
        <v>172</v>
      </c>
      <c r="F260" s="10" t="s">
        <v>105</v>
      </c>
      <c r="G260" s="11" t="s">
        <v>18</v>
      </c>
      <c r="H260" s="66" t="s">
        <v>537</v>
      </c>
      <c r="I260" s="67" t="n">
        <v>45967</v>
      </c>
      <c r="J260" s="10" t="s">
        <v>687</v>
      </c>
      <c r="K260" s="68" t="n">
        <f aca="false">IF(G260="No",MAX(0,AsOfDate-I260),"")</f>
        <v>216</v>
      </c>
      <c r="L260" s="12" t="str">
        <f aca="false">IF(K260="","",IF(K260&lt;=90,"0-90",IF(K260&lt;=180,"91-180",IF(K260&lt;=270,"181-270","&gt;270"))))</f>
        <v>181-270</v>
      </c>
      <c r="M260" s="12" t="str">
        <f aca="false">IF(G260="Obs",COUNTIF(G$2:G260,"Obs"),"")</f>
        <v/>
      </c>
      <c r="N260" s="12" t="n">
        <f aca="false">IF(G260="No",COUNTIF(G$2:G260,"No"),"")</f>
        <v>21</v>
      </c>
    </row>
    <row r="261" customFormat="false" ht="15" hidden="false" customHeight="false" outlineLevel="0" collapsed="false">
      <c r="A261" s="69" t="s">
        <v>702</v>
      </c>
      <c r="B261" s="69" t="s">
        <v>234</v>
      </c>
      <c r="C261" s="69" t="s">
        <v>251</v>
      </c>
      <c r="D261" s="70" t="s">
        <v>171</v>
      </c>
      <c r="E261" s="70" t="s">
        <v>174</v>
      </c>
      <c r="F261" s="69" t="s">
        <v>99</v>
      </c>
      <c r="G261" s="71" t="s">
        <v>16</v>
      </c>
      <c r="H261" s="72"/>
      <c r="I261" s="73" t="n">
        <v>45967</v>
      </c>
      <c r="J261" s="69" t="s">
        <v>687</v>
      </c>
      <c r="K261" s="74" t="str">
        <f aca="false">IF(G261="No",MAX(0,AsOfDate-I261),"")</f>
        <v/>
      </c>
      <c r="L261" s="75" t="str">
        <f aca="false">IF(K261="","",IF(K261&lt;=90,"0-90",IF(K261&lt;=180,"91-180",IF(K261&lt;=270,"181-270","&gt;270"))))</f>
        <v/>
      </c>
      <c r="M261" s="75" t="str">
        <f aca="false">IF(G261="Obs",COUNTIF(G$2:G261,"Obs"),"")</f>
        <v/>
      </c>
      <c r="N261" s="75" t="str">
        <f aca="false">IF(G261="No",COUNTIF(G$2:G261,"No"),"")</f>
        <v/>
      </c>
    </row>
    <row r="262" customFormat="false" ht="15" hidden="false" customHeight="false" outlineLevel="0" collapsed="false">
      <c r="A262" s="10" t="s">
        <v>702</v>
      </c>
      <c r="B262" s="10" t="s">
        <v>234</v>
      </c>
      <c r="C262" s="10" t="s">
        <v>252</v>
      </c>
      <c r="D262" s="8" t="s">
        <v>176</v>
      </c>
      <c r="E262" s="8" t="s">
        <v>177</v>
      </c>
      <c r="F262" s="10" t="s">
        <v>105</v>
      </c>
      <c r="G262" s="11" t="s">
        <v>16</v>
      </c>
      <c r="H262" s="66"/>
      <c r="I262" s="67" t="n">
        <v>45967</v>
      </c>
      <c r="J262" s="10" t="s">
        <v>687</v>
      </c>
      <c r="K262" s="68" t="str">
        <f aca="false">IF(G262="No",MAX(0,AsOfDate-I262),"")</f>
        <v/>
      </c>
      <c r="L262" s="12" t="str">
        <f aca="false">IF(K262="","",IF(K262&lt;=90,"0-90",IF(K262&lt;=180,"91-180",IF(K262&lt;=270,"181-270","&gt;270"))))</f>
        <v/>
      </c>
      <c r="M262" s="12" t="str">
        <f aca="false">IF(G262="Obs",COUNTIF(G$2:G262,"Obs"),"")</f>
        <v/>
      </c>
      <c r="N262" s="12" t="str">
        <f aca="false">IF(G262="No",COUNTIF(G$2:G262,"No"),"")</f>
        <v/>
      </c>
    </row>
    <row r="263" customFormat="false" ht="15" hidden="false" customHeight="false" outlineLevel="0" collapsed="false">
      <c r="A263" s="69" t="s">
        <v>702</v>
      </c>
      <c r="B263" s="69" t="s">
        <v>234</v>
      </c>
      <c r="C263" s="69" t="s">
        <v>253</v>
      </c>
      <c r="D263" s="70" t="s">
        <v>176</v>
      </c>
      <c r="E263" s="70" t="s">
        <v>179</v>
      </c>
      <c r="F263" s="69" t="s">
        <v>105</v>
      </c>
      <c r="G263" s="71" t="s">
        <v>16</v>
      </c>
      <c r="H263" s="72"/>
      <c r="I263" s="73" t="n">
        <v>45967</v>
      </c>
      <c r="J263" s="69" t="s">
        <v>687</v>
      </c>
      <c r="K263" s="74" t="str">
        <f aca="false">IF(G263="No",MAX(0,AsOfDate-I263),"")</f>
        <v/>
      </c>
      <c r="L263" s="75" t="str">
        <f aca="false">IF(K263="","",IF(K263&lt;=90,"0-90",IF(K263&lt;=180,"91-180",IF(K263&lt;=270,"181-270","&gt;270"))))</f>
        <v/>
      </c>
      <c r="M263" s="75" t="str">
        <f aca="false">IF(G263="Obs",COUNTIF(G$2:G263,"Obs"),"")</f>
        <v/>
      </c>
      <c r="N263" s="75" t="str">
        <f aca="false">IF(G263="No",COUNTIF(G$2:G263,"No"),"")</f>
        <v/>
      </c>
    </row>
    <row r="264" customFormat="false" ht="15" hidden="false" customHeight="false" outlineLevel="0" collapsed="false">
      <c r="A264" s="10" t="s">
        <v>702</v>
      </c>
      <c r="B264" s="10" t="s">
        <v>234</v>
      </c>
      <c r="C264" s="10" t="s">
        <v>254</v>
      </c>
      <c r="D264" s="8" t="s">
        <v>255</v>
      </c>
      <c r="E264" s="8" t="s">
        <v>256</v>
      </c>
      <c r="F264" s="10" t="s">
        <v>105</v>
      </c>
      <c r="G264" s="11" t="s">
        <v>16</v>
      </c>
      <c r="H264" s="66"/>
      <c r="I264" s="67" t="n">
        <v>45967</v>
      </c>
      <c r="J264" s="10" t="s">
        <v>687</v>
      </c>
      <c r="K264" s="68" t="str">
        <f aca="false">IF(G264="No",MAX(0,AsOfDate-I264),"")</f>
        <v/>
      </c>
      <c r="L264" s="12" t="str">
        <f aca="false">IF(K264="","",IF(K264&lt;=90,"0-90",IF(K264&lt;=180,"91-180",IF(K264&lt;=270,"181-270","&gt;270"))))</f>
        <v/>
      </c>
      <c r="M264" s="12" t="str">
        <f aca="false">IF(G264="Obs",COUNTIF(G$2:G264,"Obs"),"")</f>
        <v/>
      </c>
      <c r="N264" s="12" t="str">
        <f aca="false">IF(G264="No",COUNTIF(G$2:G264,"No"),"")</f>
        <v/>
      </c>
    </row>
    <row r="265" customFormat="false" ht="15" hidden="false" customHeight="false" outlineLevel="0" collapsed="false">
      <c r="A265" s="69" t="s">
        <v>702</v>
      </c>
      <c r="B265" s="69" t="s">
        <v>234</v>
      </c>
      <c r="C265" s="69" t="s">
        <v>257</v>
      </c>
      <c r="D265" s="70" t="s">
        <v>255</v>
      </c>
      <c r="E265" s="70" t="s">
        <v>258</v>
      </c>
      <c r="F265" s="69" t="s">
        <v>105</v>
      </c>
      <c r="G265" s="71" t="s">
        <v>16</v>
      </c>
      <c r="H265" s="72"/>
      <c r="I265" s="73" t="n">
        <v>45967</v>
      </c>
      <c r="J265" s="69" t="s">
        <v>687</v>
      </c>
      <c r="K265" s="74" t="str">
        <f aca="false">IF(G265="No",MAX(0,AsOfDate-I265),"")</f>
        <v/>
      </c>
      <c r="L265" s="75" t="str">
        <f aca="false">IF(K265="","",IF(K265&lt;=90,"0-90",IF(K265&lt;=180,"91-180",IF(K265&lt;=270,"181-270","&gt;270"))))</f>
        <v/>
      </c>
      <c r="M265" s="75" t="str">
        <f aca="false">IF(G265="Obs",COUNTIF(G$2:G265,"Obs"),"")</f>
        <v/>
      </c>
      <c r="N265" s="75" t="str">
        <f aca="false">IF(G265="No",COUNTIF(G$2:G265,"No"),"")</f>
        <v/>
      </c>
    </row>
    <row r="266" customFormat="false" ht="15" hidden="false" customHeight="false" outlineLevel="0" collapsed="false">
      <c r="A266" s="10" t="s">
        <v>702</v>
      </c>
      <c r="B266" s="10" t="s">
        <v>234</v>
      </c>
      <c r="C266" s="10" t="s">
        <v>259</v>
      </c>
      <c r="D266" s="8" t="s">
        <v>255</v>
      </c>
      <c r="E266" s="8" t="s">
        <v>260</v>
      </c>
      <c r="F266" s="10" t="s">
        <v>99</v>
      </c>
      <c r="G266" s="11" t="s">
        <v>16</v>
      </c>
      <c r="H266" s="66"/>
      <c r="I266" s="67" t="n">
        <v>45967</v>
      </c>
      <c r="J266" s="10" t="s">
        <v>687</v>
      </c>
      <c r="K266" s="68" t="str">
        <f aca="false">IF(G266="No",MAX(0,AsOfDate-I266),"")</f>
        <v/>
      </c>
      <c r="L266" s="12" t="str">
        <f aca="false">IF(K266="","",IF(K266&lt;=90,"0-90",IF(K266&lt;=180,"91-180",IF(K266&lt;=270,"181-270","&gt;270"))))</f>
        <v/>
      </c>
      <c r="M266" s="12" t="str">
        <f aca="false">IF(G266="Obs",COUNTIF(G$2:G266,"Obs"),"")</f>
        <v/>
      </c>
      <c r="N266" s="12" t="str">
        <f aca="false">IF(G266="No",COUNTIF(G$2:G266,"No"),"")</f>
        <v/>
      </c>
    </row>
    <row r="267" customFormat="false" ht="15" hidden="false" customHeight="false" outlineLevel="0" collapsed="false">
      <c r="A267" s="69" t="s">
        <v>702</v>
      </c>
      <c r="B267" s="69" t="s">
        <v>234</v>
      </c>
      <c r="C267" s="69" t="s">
        <v>261</v>
      </c>
      <c r="D267" s="70" t="s">
        <v>255</v>
      </c>
      <c r="E267" s="70" t="s">
        <v>262</v>
      </c>
      <c r="F267" s="69" t="s">
        <v>99</v>
      </c>
      <c r="G267" s="71" t="s">
        <v>16</v>
      </c>
      <c r="H267" s="72"/>
      <c r="I267" s="73" t="n">
        <v>45967</v>
      </c>
      <c r="J267" s="69" t="s">
        <v>687</v>
      </c>
      <c r="K267" s="74" t="str">
        <f aca="false">IF(G267="No",MAX(0,AsOfDate-I267),"")</f>
        <v/>
      </c>
      <c r="L267" s="75" t="str">
        <f aca="false">IF(K267="","",IF(K267&lt;=90,"0-90",IF(K267&lt;=180,"91-180",IF(K267&lt;=270,"181-270","&gt;270"))))</f>
        <v/>
      </c>
      <c r="M267" s="75" t="str">
        <f aca="false">IF(G267="Obs",COUNTIF(G$2:G267,"Obs"),"")</f>
        <v/>
      </c>
      <c r="N267" s="75" t="str">
        <f aca="false">IF(G267="No",COUNTIF(G$2:G267,"No"),"")</f>
        <v/>
      </c>
    </row>
    <row r="268" customFormat="false" ht="15" hidden="false" customHeight="false" outlineLevel="0" collapsed="false">
      <c r="A268" s="10" t="s">
        <v>702</v>
      </c>
      <c r="B268" s="10" t="s">
        <v>234</v>
      </c>
      <c r="C268" s="10" t="s">
        <v>263</v>
      </c>
      <c r="D268" s="8" t="s">
        <v>255</v>
      </c>
      <c r="E268" s="8" t="s">
        <v>264</v>
      </c>
      <c r="F268" s="10" t="s">
        <v>105</v>
      </c>
      <c r="G268" s="11" t="s">
        <v>16</v>
      </c>
      <c r="H268" s="66"/>
      <c r="I268" s="67" t="n">
        <v>45967</v>
      </c>
      <c r="J268" s="10" t="s">
        <v>687</v>
      </c>
      <c r="K268" s="68" t="str">
        <f aca="false">IF(G268="No",MAX(0,AsOfDate-I268),"")</f>
        <v/>
      </c>
      <c r="L268" s="12" t="str">
        <f aca="false">IF(K268="","",IF(K268&lt;=90,"0-90",IF(K268&lt;=180,"91-180",IF(K268&lt;=270,"181-270","&gt;270"))))</f>
        <v/>
      </c>
      <c r="M268" s="12" t="str">
        <f aca="false">IF(G268="Obs",COUNTIF(G$2:G268,"Obs"),"")</f>
        <v/>
      </c>
      <c r="N268" s="12" t="str">
        <f aca="false">IF(G268="No",COUNTIF(G$2:G268,"No"),"")</f>
        <v/>
      </c>
    </row>
    <row r="269" customFormat="false" ht="23.85" hidden="false" customHeight="false" outlineLevel="0" collapsed="false">
      <c r="A269" s="69" t="s">
        <v>702</v>
      </c>
      <c r="B269" s="69" t="s">
        <v>234</v>
      </c>
      <c r="C269" s="69" t="s">
        <v>265</v>
      </c>
      <c r="D269" s="70" t="s">
        <v>255</v>
      </c>
      <c r="E269" s="70" t="s">
        <v>266</v>
      </c>
      <c r="F269" s="69" t="s">
        <v>99</v>
      </c>
      <c r="G269" s="71" t="s">
        <v>16</v>
      </c>
      <c r="H269" s="72"/>
      <c r="I269" s="73" t="n">
        <v>45967</v>
      </c>
      <c r="J269" s="69" t="s">
        <v>687</v>
      </c>
      <c r="K269" s="74" t="str">
        <f aca="false">IF(G269="No",MAX(0,AsOfDate-I269),"")</f>
        <v/>
      </c>
      <c r="L269" s="75" t="str">
        <f aca="false">IF(K269="","",IF(K269&lt;=90,"0-90",IF(K269&lt;=180,"91-180",IF(K269&lt;=270,"181-270","&gt;270"))))</f>
        <v/>
      </c>
      <c r="M269" s="75" t="str">
        <f aca="false">IF(G269="Obs",COUNTIF(G$2:G269,"Obs"),"")</f>
        <v/>
      </c>
      <c r="N269" s="75" t="str">
        <f aca="false">IF(G269="No",COUNTIF(G$2:G269,"No"),"")</f>
        <v/>
      </c>
    </row>
    <row r="270" customFormat="false" ht="15" hidden="false" customHeight="false" outlineLevel="0" collapsed="false">
      <c r="A270" s="10" t="s">
        <v>704</v>
      </c>
      <c r="B270" s="10" t="s">
        <v>234</v>
      </c>
      <c r="C270" s="10" t="s">
        <v>233</v>
      </c>
      <c r="D270" s="8" t="s">
        <v>133</v>
      </c>
      <c r="E270" s="8" t="s">
        <v>134</v>
      </c>
      <c r="F270" s="10" t="s">
        <v>99</v>
      </c>
      <c r="G270" s="11" t="s">
        <v>16</v>
      </c>
      <c r="H270" s="66"/>
      <c r="I270" s="67" t="n">
        <v>46072</v>
      </c>
      <c r="J270" s="10" t="s">
        <v>690</v>
      </c>
      <c r="K270" s="68" t="str">
        <f aca="false">IF(G270="No",MAX(0,AsOfDate-I270),"")</f>
        <v/>
      </c>
      <c r="L270" s="12" t="str">
        <f aca="false">IF(K270="","",IF(K270&lt;=90,"0-90",IF(K270&lt;=180,"91-180",IF(K270&lt;=270,"181-270","&gt;270"))))</f>
        <v/>
      </c>
      <c r="M270" s="12" t="str">
        <f aca="false">IF(G270="Obs",COUNTIF(G$2:G270,"Obs"),"")</f>
        <v/>
      </c>
      <c r="N270" s="12" t="str">
        <f aca="false">IF(G270="No",COUNTIF(G$2:G270,"No"),"")</f>
        <v/>
      </c>
    </row>
    <row r="271" customFormat="false" ht="15" hidden="false" customHeight="false" outlineLevel="0" collapsed="false">
      <c r="A271" s="69" t="s">
        <v>704</v>
      </c>
      <c r="B271" s="69" t="s">
        <v>234</v>
      </c>
      <c r="C271" s="69" t="s">
        <v>235</v>
      </c>
      <c r="D271" s="70" t="s">
        <v>133</v>
      </c>
      <c r="E271" s="70" t="s">
        <v>136</v>
      </c>
      <c r="F271" s="69" t="s">
        <v>99</v>
      </c>
      <c r="G271" s="71" t="s">
        <v>16</v>
      </c>
      <c r="H271" s="72"/>
      <c r="I271" s="73" t="n">
        <v>46072</v>
      </c>
      <c r="J271" s="69" t="s">
        <v>690</v>
      </c>
      <c r="K271" s="74" t="str">
        <f aca="false">IF(G271="No",MAX(0,AsOfDate-I271),"")</f>
        <v/>
      </c>
      <c r="L271" s="75" t="str">
        <f aca="false">IF(K271="","",IF(K271&lt;=90,"0-90",IF(K271&lt;=180,"91-180",IF(K271&lt;=270,"181-270","&gt;270"))))</f>
        <v/>
      </c>
      <c r="M271" s="75" t="str">
        <f aca="false">IF(G271="Obs",COUNTIF(G$2:G271,"Obs"),"")</f>
        <v/>
      </c>
      <c r="N271" s="75" t="str">
        <f aca="false">IF(G271="No",COUNTIF(G$2:G271,"No"),"")</f>
        <v/>
      </c>
    </row>
    <row r="272" customFormat="false" ht="15" hidden="false" customHeight="false" outlineLevel="0" collapsed="false">
      <c r="A272" s="10" t="s">
        <v>704</v>
      </c>
      <c r="B272" s="10" t="s">
        <v>234</v>
      </c>
      <c r="C272" s="10" t="s">
        <v>236</v>
      </c>
      <c r="D272" s="8" t="s">
        <v>133</v>
      </c>
      <c r="E272" s="8" t="s">
        <v>138</v>
      </c>
      <c r="F272" s="10" t="s">
        <v>105</v>
      </c>
      <c r="G272" s="11" t="s">
        <v>16</v>
      </c>
      <c r="H272" s="66"/>
      <c r="I272" s="67" t="n">
        <v>46072</v>
      </c>
      <c r="J272" s="10" t="s">
        <v>690</v>
      </c>
      <c r="K272" s="68" t="str">
        <f aca="false">IF(G272="No",MAX(0,AsOfDate-I272),"")</f>
        <v/>
      </c>
      <c r="L272" s="12" t="str">
        <f aca="false">IF(K272="","",IF(K272&lt;=90,"0-90",IF(K272&lt;=180,"91-180",IF(K272&lt;=270,"181-270","&gt;270"))))</f>
        <v/>
      </c>
      <c r="M272" s="12" t="str">
        <f aca="false">IF(G272="Obs",COUNTIF(G$2:G272,"Obs"),"")</f>
        <v/>
      </c>
      <c r="N272" s="12" t="str">
        <f aca="false">IF(G272="No",COUNTIF(G$2:G272,"No"),"")</f>
        <v/>
      </c>
    </row>
    <row r="273" customFormat="false" ht="15" hidden="false" customHeight="false" outlineLevel="0" collapsed="false">
      <c r="A273" s="69" t="s">
        <v>704</v>
      </c>
      <c r="B273" s="69" t="s">
        <v>234</v>
      </c>
      <c r="C273" s="69" t="s">
        <v>237</v>
      </c>
      <c r="D273" s="70" t="s">
        <v>140</v>
      </c>
      <c r="E273" s="70" t="s">
        <v>141</v>
      </c>
      <c r="F273" s="69" t="s">
        <v>99</v>
      </c>
      <c r="G273" s="71" t="s">
        <v>16</v>
      </c>
      <c r="H273" s="72"/>
      <c r="I273" s="73" t="n">
        <v>46072</v>
      </c>
      <c r="J273" s="69" t="s">
        <v>690</v>
      </c>
      <c r="K273" s="74" t="str">
        <f aca="false">IF(G273="No",MAX(0,AsOfDate-I273),"")</f>
        <v/>
      </c>
      <c r="L273" s="75" t="str">
        <f aca="false">IF(K273="","",IF(K273&lt;=90,"0-90",IF(K273&lt;=180,"91-180",IF(K273&lt;=270,"181-270","&gt;270"))))</f>
        <v/>
      </c>
      <c r="M273" s="75" t="str">
        <f aca="false">IF(G273="Obs",COUNTIF(G$2:G273,"Obs"),"")</f>
        <v/>
      </c>
      <c r="N273" s="75" t="str">
        <f aca="false">IF(G273="No",COUNTIF(G$2:G273,"No"),"")</f>
        <v/>
      </c>
    </row>
    <row r="274" customFormat="false" ht="15" hidden="false" customHeight="false" outlineLevel="0" collapsed="false">
      <c r="A274" s="10" t="s">
        <v>704</v>
      </c>
      <c r="B274" s="10" t="s">
        <v>234</v>
      </c>
      <c r="C274" s="10" t="s">
        <v>238</v>
      </c>
      <c r="D274" s="8" t="s">
        <v>140</v>
      </c>
      <c r="E274" s="8" t="s">
        <v>143</v>
      </c>
      <c r="F274" s="10" t="s">
        <v>105</v>
      </c>
      <c r="G274" s="11" t="s">
        <v>16</v>
      </c>
      <c r="H274" s="66"/>
      <c r="I274" s="67" t="n">
        <v>46072</v>
      </c>
      <c r="J274" s="10" t="s">
        <v>690</v>
      </c>
      <c r="K274" s="68" t="str">
        <f aca="false">IF(G274="No",MAX(0,AsOfDate-I274),"")</f>
        <v/>
      </c>
      <c r="L274" s="12" t="str">
        <f aca="false">IF(K274="","",IF(K274&lt;=90,"0-90",IF(K274&lt;=180,"91-180",IF(K274&lt;=270,"181-270","&gt;270"))))</f>
        <v/>
      </c>
      <c r="M274" s="12" t="str">
        <f aca="false">IF(G274="Obs",COUNTIF(G$2:G274,"Obs"),"")</f>
        <v/>
      </c>
      <c r="N274" s="12" t="str">
        <f aca="false">IF(G274="No",COUNTIF(G$2:G274,"No"),"")</f>
        <v/>
      </c>
    </row>
    <row r="275" customFormat="false" ht="15" hidden="false" customHeight="false" outlineLevel="0" collapsed="false">
      <c r="A275" s="69" t="s">
        <v>704</v>
      </c>
      <c r="B275" s="69" t="s">
        <v>234</v>
      </c>
      <c r="C275" s="69" t="s">
        <v>239</v>
      </c>
      <c r="D275" s="70" t="s">
        <v>140</v>
      </c>
      <c r="E275" s="70" t="s">
        <v>145</v>
      </c>
      <c r="F275" s="69" t="s">
        <v>99</v>
      </c>
      <c r="G275" s="71" t="s">
        <v>16</v>
      </c>
      <c r="H275" s="72"/>
      <c r="I275" s="73" t="n">
        <v>46072</v>
      </c>
      <c r="J275" s="69" t="s">
        <v>690</v>
      </c>
      <c r="K275" s="74" t="str">
        <f aca="false">IF(G275="No",MAX(0,AsOfDate-I275),"")</f>
        <v/>
      </c>
      <c r="L275" s="75" t="str">
        <f aca="false">IF(K275="","",IF(K275&lt;=90,"0-90",IF(K275&lt;=180,"91-180",IF(K275&lt;=270,"181-270","&gt;270"))))</f>
        <v/>
      </c>
      <c r="M275" s="75" t="str">
        <f aca="false">IF(G275="Obs",COUNTIF(G$2:G275,"Obs"),"")</f>
        <v/>
      </c>
      <c r="N275" s="75" t="str">
        <f aca="false">IF(G275="No",COUNTIF(G$2:G275,"No"),"")</f>
        <v/>
      </c>
    </row>
    <row r="276" customFormat="false" ht="15" hidden="false" customHeight="false" outlineLevel="0" collapsed="false">
      <c r="A276" s="10" t="s">
        <v>704</v>
      </c>
      <c r="B276" s="10" t="s">
        <v>234</v>
      </c>
      <c r="C276" s="10" t="s">
        <v>240</v>
      </c>
      <c r="D276" s="8" t="s">
        <v>147</v>
      </c>
      <c r="E276" s="8" t="s">
        <v>148</v>
      </c>
      <c r="F276" s="10" t="s">
        <v>99</v>
      </c>
      <c r="G276" s="11" t="s">
        <v>20</v>
      </c>
      <c r="H276" s="66"/>
      <c r="I276" s="67" t="n">
        <v>46072</v>
      </c>
      <c r="J276" s="10" t="s">
        <v>690</v>
      </c>
      <c r="K276" s="68" t="str">
        <f aca="false">IF(G276="No",MAX(0,AsOfDate-I276),"")</f>
        <v/>
      </c>
      <c r="L276" s="12" t="str">
        <f aca="false">IF(K276="","",IF(K276&lt;=90,"0-90",IF(K276&lt;=180,"91-180",IF(K276&lt;=270,"181-270","&gt;270"))))</f>
        <v/>
      </c>
      <c r="M276" s="12" t="str">
        <f aca="false">IF(G276="Obs",COUNTIF(G$2:G276,"Obs"),"")</f>
        <v/>
      </c>
      <c r="N276" s="12" t="str">
        <f aca="false">IF(G276="No",COUNTIF(G$2:G276,"No"),"")</f>
        <v/>
      </c>
    </row>
    <row r="277" customFormat="false" ht="15" hidden="false" customHeight="false" outlineLevel="0" collapsed="false">
      <c r="A277" s="69" t="s">
        <v>704</v>
      </c>
      <c r="B277" s="69" t="s">
        <v>234</v>
      </c>
      <c r="C277" s="69" t="s">
        <v>241</v>
      </c>
      <c r="D277" s="70" t="s">
        <v>147</v>
      </c>
      <c r="E277" s="70" t="s">
        <v>150</v>
      </c>
      <c r="F277" s="69" t="s">
        <v>105</v>
      </c>
      <c r="G277" s="71" t="s">
        <v>16</v>
      </c>
      <c r="H277" s="72"/>
      <c r="I277" s="73" t="n">
        <v>46072</v>
      </c>
      <c r="J277" s="69" t="s">
        <v>690</v>
      </c>
      <c r="K277" s="74" t="str">
        <f aca="false">IF(G277="No",MAX(0,AsOfDate-I277),"")</f>
        <v/>
      </c>
      <c r="L277" s="75" t="str">
        <f aca="false">IF(K277="","",IF(K277&lt;=90,"0-90",IF(K277&lt;=180,"91-180",IF(K277&lt;=270,"181-270","&gt;270"))))</f>
        <v/>
      </c>
      <c r="M277" s="75" t="str">
        <f aca="false">IF(G277="Obs",COUNTIF(G$2:G277,"Obs"),"")</f>
        <v/>
      </c>
      <c r="N277" s="75" t="str">
        <f aca="false">IF(G277="No",COUNTIF(G$2:G277,"No"),"")</f>
        <v/>
      </c>
    </row>
    <row r="278" customFormat="false" ht="23.85" hidden="false" customHeight="false" outlineLevel="0" collapsed="false">
      <c r="A278" s="10" t="s">
        <v>704</v>
      </c>
      <c r="B278" s="10" t="s">
        <v>234</v>
      </c>
      <c r="C278" s="10" t="s">
        <v>242</v>
      </c>
      <c r="D278" s="8" t="s">
        <v>147</v>
      </c>
      <c r="E278" s="8" t="s">
        <v>152</v>
      </c>
      <c r="F278" s="10" t="s">
        <v>99</v>
      </c>
      <c r="G278" s="11" t="s">
        <v>22</v>
      </c>
      <c r="H278" s="66" t="s">
        <v>667</v>
      </c>
      <c r="I278" s="67" t="n">
        <v>46072</v>
      </c>
      <c r="J278" s="10" t="s">
        <v>690</v>
      </c>
      <c r="K278" s="68" t="str">
        <f aca="false">IF(G278="No",MAX(0,AsOfDate-I278),"")</f>
        <v/>
      </c>
      <c r="L278" s="12" t="str">
        <f aca="false">IF(K278="","",IF(K278&lt;=90,"0-90",IF(K278&lt;=180,"91-180",IF(K278&lt;=270,"181-270","&gt;270"))))</f>
        <v/>
      </c>
      <c r="M278" s="12" t="n">
        <f aca="false">IF(G278="Obs",COUNTIF(G$2:G278,"Obs"),"")</f>
        <v>14</v>
      </c>
      <c r="N278" s="12" t="str">
        <f aca="false">IF(G278="No",COUNTIF(G$2:G278,"No"),"")</f>
        <v/>
      </c>
    </row>
    <row r="279" customFormat="false" ht="15" hidden="false" customHeight="false" outlineLevel="0" collapsed="false">
      <c r="A279" s="69" t="s">
        <v>704</v>
      </c>
      <c r="B279" s="69" t="s">
        <v>234</v>
      </c>
      <c r="C279" s="69" t="s">
        <v>243</v>
      </c>
      <c r="D279" s="70" t="s">
        <v>154</v>
      </c>
      <c r="E279" s="70" t="s">
        <v>155</v>
      </c>
      <c r="F279" s="69" t="s">
        <v>105</v>
      </c>
      <c r="G279" s="71" t="s">
        <v>20</v>
      </c>
      <c r="H279" s="72"/>
      <c r="I279" s="73" t="n">
        <v>46072</v>
      </c>
      <c r="J279" s="69" t="s">
        <v>690</v>
      </c>
      <c r="K279" s="74" t="str">
        <f aca="false">IF(G279="No",MAX(0,AsOfDate-I279),"")</f>
        <v/>
      </c>
      <c r="L279" s="75" t="str">
        <f aca="false">IF(K279="","",IF(K279&lt;=90,"0-90",IF(K279&lt;=180,"91-180",IF(K279&lt;=270,"181-270","&gt;270"))))</f>
        <v/>
      </c>
      <c r="M279" s="75" t="str">
        <f aca="false">IF(G279="Obs",COUNTIF(G$2:G279,"Obs"),"")</f>
        <v/>
      </c>
      <c r="N279" s="75" t="str">
        <f aca="false">IF(G279="No",COUNTIF(G$2:G279,"No"),"")</f>
        <v/>
      </c>
    </row>
    <row r="280" customFormat="false" ht="15" hidden="false" customHeight="false" outlineLevel="0" collapsed="false">
      <c r="A280" s="10" t="s">
        <v>704</v>
      </c>
      <c r="B280" s="10" t="s">
        <v>234</v>
      </c>
      <c r="C280" s="10" t="s">
        <v>244</v>
      </c>
      <c r="D280" s="8" t="s">
        <v>154</v>
      </c>
      <c r="E280" s="8" t="s">
        <v>157</v>
      </c>
      <c r="F280" s="10" t="s">
        <v>105</v>
      </c>
      <c r="G280" s="11" t="s">
        <v>16</v>
      </c>
      <c r="H280" s="66"/>
      <c r="I280" s="67" t="n">
        <v>46072</v>
      </c>
      <c r="J280" s="10" t="s">
        <v>690</v>
      </c>
      <c r="K280" s="68" t="str">
        <f aca="false">IF(G280="No",MAX(0,AsOfDate-I280),"")</f>
        <v/>
      </c>
      <c r="L280" s="12" t="str">
        <f aca="false">IF(K280="","",IF(K280&lt;=90,"0-90",IF(K280&lt;=180,"91-180",IF(K280&lt;=270,"181-270","&gt;270"))))</f>
        <v/>
      </c>
      <c r="M280" s="12" t="str">
        <f aca="false">IF(G280="Obs",COUNTIF(G$2:G280,"Obs"),"")</f>
        <v/>
      </c>
      <c r="N280" s="12" t="str">
        <f aca="false">IF(G280="No",COUNTIF(G$2:G280,"No"),"")</f>
        <v/>
      </c>
    </row>
    <row r="281" customFormat="false" ht="23.85" hidden="false" customHeight="false" outlineLevel="0" collapsed="false">
      <c r="A281" s="69" t="s">
        <v>704</v>
      </c>
      <c r="B281" s="69" t="s">
        <v>234</v>
      </c>
      <c r="C281" s="69" t="s">
        <v>245</v>
      </c>
      <c r="D281" s="70" t="s">
        <v>159</v>
      </c>
      <c r="E281" s="70" t="s">
        <v>160</v>
      </c>
      <c r="F281" s="69" t="s">
        <v>99</v>
      </c>
      <c r="G281" s="71" t="s">
        <v>16</v>
      </c>
      <c r="H281" s="72"/>
      <c r="I281" s="73" t="n">
        <v>46072</v>
      </c>
      <c r="J281" s="69" t="s">
        <v>690</v>
      </c>
      <c r="K281" s="74" t="str">
        <f aca="false">IF(G281="No",MAX(0,AsOfDate-I281),"")</f>
        <v/>
      </c>
      <c r="L281" s="75" t="str">
        <f aca="false">IF(K281="","",IF(K281&lt;=90,"0-90",IF(K281&lt;=180,"91-180",IF(K281&lt;=270,"181-270","&gt;270"))))</f>
        <v/>
      </c>
      <c r="M281" s="75" t="str">
        <f aca="false">IF(G281="Obs",COUNTIF(G$2:G281,"Obs"),"")</f>
        <v/>
      </c>
      <c r="N281" s="75" t="str">
        <f aca="false">IF(G281="No",COUNTIF(G$2:G281,"No"),"")</f>
        <v/>
      </c>
    </row>
    <row r="282" customFormat="false" ht="23.85" hidden="false" customHeight="false" outlineLevel="0" collapsed="false">
      <c r="A282" s="10" t="s">
        <v>704</v>
      </c>
      <c r="B282" s="10" t="s">
        <v>234</v>
      </c>
      <c r="C282" s="10" t="s">
        <v>246</v>
      </c>
      <c r="D282" s="8" t="s">
        <v>159</v>
      </c>
      <c r="E282" s="8" t="s">
        <v>162</v>
      </c>
      <c r="F282" s="10" t="s">
        <v>99</v>
      </c>
      <c r="G282" s="11" t="s">
        <v>16</v>
      </c>
      <c r="H282" s="66"/>
      <c r="I282" s="67" t="n">
        <v>46072</v>
      </c>
      <c r="J282" s="10" t="s">
        <v>690</v>
      </c>
      <c r="K282" s="68" t="str">
        <f aca="false">IF(G282="No",MAX(0,AsOfDate-I282),"")</f>
        <v/>
      </c>
      <c r="L282" s="12" t="str">
        <f aca="false">IF(K282="","",IF(K282&lt;=90,"0-90",IF(K282&lt;=180,"91-180",IF(K282&lt;=270,"181-270","&gt;270"))))</f>
        <v/>
      </c>
      <c r="M282" s="12" t="str">
        <f aca="false">IF(G282="Obs",COUNTIF(G$2:G282,"Obs"),"")</f>
        <v/>
      </c>
      <c r="N282" s="12" t="str">
        <f aca="false">IF(G282="No",COUNTIF(G$2:G282,"No"),"")</f>
        <v/>
      </c>
    </row>
    <row r="283" customFormat="false" ht="23.85" hidden="false" customHeight="false" outlineLevel="0" collapsed="false">
      <c r="A283" s="69" t="s">
        <v>704</v>
      </c>
      <c r="B283" s="69" t="s">
        <v>234</v>
      </c>
      <c r="C283" s="69" t="s">
        <v>247</v>
      </c>
      <c r="D283" s="70" t="s">
        <v>159</v>
      </c>
      <c r="E283" s="70" t="s">
        <v>164</v>
      </c>
      <c r="F283" s="69" t="s">
        <v>110</v>
      </c>
      <c r="G283" s="71" t="s">
        <v>16</v>
      </c>
      <c r="H283" s="72"/>
      <c r="I283" s="73" t="n">
        <v>46072</v>
      </c>
      <c r="J283" s="69" t="s">
        <v>690</v>
      </c>
      <c r="K283" s="74" t="str">
        <f aca="false">IF(G283="No",MAX(0,AsOfDate-I283),"")</f>
        <v/>
      </c>
      <c r="L283" s="75" t="str">
        <f aca="false">IF(K283="","",IF(K283&lt;=90,"0-90",IF(K283&lt;=180,"91-180",IF(K283&lt;=270,"181-270","&gt;270"))))</f>
        <v/>
      </c>
      <c r="M283" s="75" t="str">
        <f aca="false">IF(G283="Obs",COUNTIF(G$2:G283,"Obs"),"")</f>
        <v/>
      </c>
      <c r="N283" s="75" t="str">
        <f aca="false">IF(G283="No",COUNTIF(G$2:G283,"No"),"")</f>
        <v/>
      </c>
    </row>
    <row r="284" customFormat="false" ht="15" hidden="false" customHeight="false" outlineLevel="0" collapsed="false">
      <c r="A284" s="10" t="s">
        <v>704</v>
      </c>
      <c r="B284" s="10" t="s">
        <v>234</v>
      </c>
      <c r="C284" s="10" t="s">
        <v>248</v>
      </c>
      <c r="D284" s="8" t="s">
        <v>166</v>
      </c>
      <c r="E284" s="8" t="s">
        <v>167</v>
      </c>
      <c r="F284" s="10" t="s">
        <v>99</v>
      </c>
      <c r="G284" s="11" t="s">
        <v>16</v>
      </c>
      <c r="H284" s="66"/>
      <c r="I284" s="67" t="n">
        <v>46072</v>
      </c>
      <c r="J284" s="10" t="s">
        <v>690</v>
      </c>
      <c r="K284" s="68" t="str">
        <f aca="false">IF(G284="No",MAX(0,AsOfDate-I284),"")</f>
        <v/>
      </c>
      <c r="L284" s="12" t="str">
        <f aca="false">IF(K284="","",IF(K284&lt;=90,"0-90",IF(K284&lt;=180,"91-180",IF(K284&lt;=270,"181-270","&gt;270"))))</f>
        <v/>
      </c>
      <c r="M284" s="12" t="str">
        <f aca="false">IF(G284="Obs",COUNTIF(G$2:G284,"Obs"),"")</f>
        <v/>
      </c>
      <c r="N284" s="12" t="str">
        <f aca="false">IF(G284="No",COUNTIF(G$2:G284,"No"),"")</f>
        <v/>
      </c>
    </row>
    <row r="285" customFormat="false" ht="15" hidden="false" customHeight="false" outlineLevel="0" collapsed="false">
      <c r="A285" s="69" t="s">
        <v>704</v>
      </c>
      <c r="B285" s="69" t="s">
        <v>234</v>
      </c>
      <c r="C285" s="69" t="s">
        <v>249</v>
      </c>
      <c r="D285" s="70" t="s">
        <v>166</v>
      </c>
      <c r="E285" s="70" t="s">
        <v>169</v>
      </c>
      <c r="F285" s="69" t="s">
        <v>105</v>
      </c>
      <c r="G285" s="71" t="s">
        <v>16</v>
      </c>
      <c r="H285" s="72"/>
      <c r="I285" s="73" t="n">
        <v>46072</v>
      </c>
      <c r="J285" s="69" t="s">
        <v>690</v>
      </c>
      <c r="K285" s="74" t="str">
        <f aca="false">IF(G285="No",MAX(0,AsOfDate-I285),"")</f>
        <v/>
      </c>
      <c r="L285" s="75" t="str">
        <f aca="false">IF(K285="","",IF(K285&lt;=90,"0-90",IF(K285&lt;=180,"91-180",IF(K285&lt;=270,"181-270","&gt;270"))))</f>
        <v/>
      </c>
      <c r="M285" s="75" t="str">
        <f aca="false">IF(G285="Obs",COUNTIF(G$2:G285,"Obs"),"")</f>
        <v/>
      </c>
      <c r="N285" s="75" t="str">
        <f aca="false">IF(G285="No",COUNTIF(G$2:G285,"No"),"")</f>
        <v/>
      </c>
    </row>
    <row r="286" customFormat="false" ht="15" hidden="false" customHeight="false" outlineLevel="0" collapsed="false">
      <c r="A286" s="10" t="s">
        <v>704</v>
      </c>
      <c r="B286" s="10" t="s">
        <v>234</v>
      </c>
      <c r="C286" s="10" t="s">
        <v>250</v>
      </c>
      <c r="D286" s="8" t="s">
        <v>171</v>
      </c>
      <c r="E286" s="8" t="s">
        <v>172</v>
      </c>
      <c r="F286" s="10" t="s">
        <v>105</v>
      </c>
      <c r="G286" s="11" t="s">
        <v>16</v>
      </c>
      <c r="H286" s="66"/>
      <c r="I286" s="67" t="n">
        <v>46072</v>
      </c>
      <c r="J286" s="10" t="s">
        <v>690</v>
      </c>
      <c r="K286" s="68" t="str">
        <f aca="false">IF(G286="No",MAX(0,AsOfDate-I286),"")</f>
        <v/>
      </c>
      <c r="L286" s="12" t="str">
        <f aca="false">IF(K286="","",IF(K286&lt;=90,"0-90",IF(K286&lt;=180,"91-180",IF(K286&lt;=270,"181-270","&gt;270"))))</f>
        <v/>
      </c>
      <c r="M286" s="12" t="str">
        <f aca="false">IF(G286="Obs",COUNTIF(G$2:G286,"Obs"),"")</f>
        <v/>
      </c>
      <c r="N286" s="12" t="str">
        <f aca="false">IF(G286="No",COUNTIF(G$2:G286,"No"),"")</f>
        <v/>
      </c>
    </row>
    <row r="287" customFormat="false" ht="15" hidden="false" customHeight="false" outlineLevel="0" collapsed="false">
      <c r="A287" s="69" t="s">
        <v>704</v>
      </c>
      <c r="B287" s="69" t="s">
        <v>234</v>
      </c>
      <c r="C287" s="69" t="s">
        <v>251</v>
      </c>
      <c r="D287" s="70" t="s">
        <v>171</v>
      </c>
      <c r="E287" s="70" t="s">
        <v>174</v>
      </c>
      <c r="F287" s="69" t="s">
        <v>99</v>
      </c>
      <c r="G287" s="71" t="s">
        <v>16</v>
      </c>
      <c r="H287" s="72"/>
      <c r="I287" s="73" t="n">
        <v>46072</v>
      </c>
      <c r="J287" s="69" t="s">
        <v>690</v>
      </c>
      <c r="K287" s="74" t="str">
        <f aca="false">IF(G287="No",MAX(0,AsOfDate-I287),"")</f>
        <v/>
      </c>
      <c r="L287" s="75" t="str">
        <f aca="false">IF(K287="","",IF(K287&lt;=90,"0-90",IF(K287&lt;=180,"91-180",IF(K287&lt;=270,"181-270","&gt;270"))))</f>
        <v/>
      </c>
      <c r="M287" s="75" t="str">
        <f aca="false">IF(G287="Obs",COUNTIF(G$2:G287,"Obs"),"")</f>
        <v/>
      </c>
      <c r="N287" s="75" t="str">
        <f aca="false">IF(G287="No",COUNTIF(G$2:G287,"No"),"")</f>
        <v/>
      </c>
    </row>
    <row r="288" customFormat="false" ht="15" hidden="false" customHeight="false" outlineLevel="0" collapsed="false">
      <c r="A288" s="10" t="s">
        <v>704</v>
      </c>
      <c r="B288" s="10" t="s">
        <v>234</v>
      </c>
      <c r="C288" s="10" t="s">
        <v>252</v>
      </c>
      <c r="D288" s="8" t="s">
        <v>176</v>
      </c>
      <c r="E288" s="8" t="s">
        <v>177</v>
      </c>
      <c r="F288" s="10" t="s">
        <v>105</v>
      </c>
      <c r="G288" s="11" t="s">
        <v>16</v>
      </c>
      <c r="H288" s="66"/>
      <c r="I288" s="67" t="n">
        <v>46072</v>
      </c>
      <c r="J288" s="10" t="s">
        <v>690</v>
      </c>
      <c r="K288" s="68" t="str">
        <f aca="false">IF(G288="No",MAX(0,AsOfDate-I288),"")</f>
        <v/>
      </c>
      <c r="L288" s="12" t="str">
        <f aca="false">IF(K288="","",IF(K288&lt;=90,"0-90",IF(K288&lt;=180,"91-180",IF(K288&lt;=270,"181-270","&gt;270"))))</f>
        <v/>
      </c>
      <c r="M288" s="12" t="str">
        <f aca="false">IF(G288="Obs",COUNTIF(G$2:G288,"Obs"),"")</f>
        <v/>
      </c>
      <c r="N288" s="12" t="str">
        <f aca="false">IF(G288="No",COUNTIF(G$2:G288,"No"),"")</f>
        <v/>
      </c>
    </row>
    <row r="289" customFormat="false" ht="15" hidden="false" customHeight="false" outlineLevel="0" collapsed="false">
      <c r="A289" s="69" t="s">
        <v>704</v>
      </c>
      <c r="B289" s="69" t="s">
        <v>234</v>
      </c>
      <c r="C289" s="69" t="s">
        <v>253</v>
      </c>
      <c r="D289" s="70" t="s">
        <v>176</v>
      </c>
      <c r="E289" s="70" t="s">
        <v>179</v>
      </c>
      <c r="F289" s="69" t="s">
        <v>105</v>
      </c>
      <c r="G289" s="71" t="s">
        <v>16</v>
      </c>
      <c r="H289" s="72"/>
      <c r="I289" s="73" t="n">
        <v>46072</v>
      </c>
      <c r="J289" s="69" t="s">
        <v>690</v>
      </c>
      <c r="K289" s="74" t="str">
        <f aca="false">IF(G289="No",MAX(0,AsOfDate-I289),"")</f>
        <v/>
      </c>
      <c r="L289" s="75" t="str">
        <f aca="false">IF(K289="","",IF(K289&lt;=90,"0-90",IF(K289&lt;=180,"91-180",IF(K289&lt;=270,"181-270","&gt;270"))))</f>
        <v/>
      </c>
      <c r="M289" s="75" t="str">
        <f aca="false">IF(G289="Obs",COUNTIF(G$2:G289,"Obs"),"")</f>
        <v/>
      </c>
      <c r="N289" s="75" t="str">
        <f aca="false">IF(G289="No",COUNTIF(G$2:G289,"No"),"")</f>
        <v/>
      </c>
    </row>
    <row r="290" customFormat="false" ht="15" hidden="false" customHeight="false" outlineLevel="0" collapsed="false">
      <c r="A290" s="10" t="s">
        <v>704</v>
      </c>
      <c r="B290" s="10" t="s">
        <v>234</v>
      </c>
      <c r="C290" s="10" t="s">
        <v>254</v>
      </c>
      <c r="D290" s="8" t="s">
        <v>255</v>
      </c>
      <c r="E290" s="8" t="s">
        <v>256</v>
      </c>
      <c r="F290" s="10" t="s">
        <v>105</v>
      </c>
      <c r="G290" s="11" t="s">
        <v>16</v>
      </c>
      <c r="H290" s="66"/>
      <c r="I290" s="67" t="n">
        <v>46072</v>
      </c>
      <c r="J290" s="10" t="s">
        <v>690</v>
      </c>
      <c r="K290" s="68" t="str">
        <f aca="false">IF(G290="No",MAX(0,AsOfDate-I290),"")</f>
        <v/>
      </c>
      <c r="L290" s="12" t="str">
        <f aca="false">IF(K290="","",IF(K290&lt;=90,"0-90",IF(K290&lt;=180,"91-180",IF(K290&lt;=270,"181-270","&gt;270"))))</f>
        <v/>
      </c>
      <c r="M290" s="12" t="str">
        <f aca="false">IF(G290="Obs",COUNTIF(G$2:G290,"Obs"),"")</f>
        <v/>
      </c>
      <c r="N290" s="12" t="str">
        <f aca="false">IF(G290="No",COUNTIF(G$2:G290,"No"),"")</f>
        <v/>
      </c>
    </row>
    <row r="291" customFormat="false" ht="15" hidden="false" customHeight="false" outlineLevel="0" collapsed="false">
      <c r="A291" s="69" t="s">
        <v>704</v>
      </c>
      <c r="B291" s="69" t="s">
        <v>234</v>
      </c>
      <c r="C291" s="69" t="s">
        <v>257</v>
      </c>
      <c r="D291" s="70" t="s">
        <v>255</v>
      </c>
      <c r="E291" s="70" t="s">
        <v>258</v>
      </c>
      <c r="F291" s="69" t="s">
        <v>105</v>
      </c>
      <c r="G291" s="71" t="s">
        <v>16</v>
      </c>
      <c r="H291" s="72"/>
      <c r="I291" s="73" t="n">
        <v>46072</v>
      </c>
      <c r="J291" s="69" t="s">
        <v>690</v>
      </c>
      <c r="K291" s="74" t="str">
        <f aca="false">IF(G291="No",MAX(0,AsOfDate-I291),"")</f>
        <v/>
      </c>
      <c r="L291" s="75" t="str">
        <f aca="false">IF(K291="","",IF(K291&lt;=90,"0-90",IF(K291&lt;=180,"91-180",IF(K291&lt;=270,"181-270","&gt;270"))))</f>
        <v/>
      </c>
      <c r="M291" s="75" t="str">
        <f aca="false">IF(G291="Obs",COUNTIF(G$2:G291,"Obs"),"")</f>
        <v/>
      </c>
      <c r="N291" s="75" t="str">
        <f aca="false">IF(G291="No",COUNTIF(G$2:G291,"No"),"")</f>
        <v/>
      </c>
    </row>
    <row r="292" customFormat="false" ht="15" hidden="false" customHeight="false" outlineLevel="0" collapsed="false">
      <c r="A292" s="10" t="s">
        <v>704</v>
      </c>
      <c r="B292" s="10" t="s">
        <v>234</v>
      </c>
      <c r="C292" s="10" t="s">
        <v>259</v>
      </c>
      <c r="D292" s="8" t="s">
        <v>255</v>
      </c>
      <c r="E292" s="8" t="s">
        <v>260</v>
      </c>
      <c r="F292" s="10" t="s">
        <v>99</v>
      </c>
      <c r="G292" s="11" t="s">
        <v>22</v>
      </c>
      <c r="H292" s="66" t="s">
        <v>536</v>
      </c>
      <c r="I292" s="67" t="n">
        <v>46072</v>
      </c>
      <c r="J292" s="10" t="s">
        <v>690</v>
      </c>
      <c r="K292" s="68" t="str">
        <f aca="false">IF(G292="No",MAX(0,AsOfDate-I292),"")</f>
        <v/>
      </c>
      <c r="L292" s="12" t="str">
        <f aca="false">IF(K292="","",IF(K292&lt;=90,"0-90",IF(K292&lt;=180,"91-180",IF(K292&lt;=270,"181-270","&gt;270"))))</f>
        <v/>
      </c>
      <c r="M292" s="12" t="n">
        <f aca="false">IF(G292="Obs",COUNTIF(G$2:G292,"Obs"),"")</f>
        <v>15</v>
      </c>
      <c r="N292" s="12" t="str">
        <f aca="false">IF(G292="No",COUNTIF(G$2:G292,"No"),"")</f>
        <v/>
      </c>
    </row>
    <row r="293" customFormat="false" ht="15" hidden="false" customHeight="false" outlineLevel="0" collapsed="false">
      <c r="A293" s="69" t="s">
        <v>704</v>
      </c>
      <c r="B293" s="69" t="s">
        <v>234</v>
      </c>
      <c r="C293" s="69" t="s">
        <v>261</v>
      </c>
      <c r="D293" s="70" t="s">
        <v>255</v>
      </c>
      <c r="E293" s="70" t="s">
        <v>262</v>
      </c>
      <c r="F293" s="69" t="s">
        <v>99</v>
      </c>
      <c r="G293" s="71" t="s">
        <v>16</v>
      </c>
      <c r="H293" s="72"/>
      <c r="I293" s="73" t="n">
        <v>46072</v>
      </c>
      <c r="J293" s="69" t="s">
        <v>690</v>
      </c>
      <c r="K293" s="74" t="str">
        <f aca="false">IF(G293="No",MAX(0,AsOfDate-I293),"")</f>
        <v/>
      </c>
      <c r="L293" s="75" t="str">
        <f aca="false">IF(K293="","",IF(K293&lt;=90,"0-90",IF(K293&lt;=180,"91-180",IF(K293&lt;=270,"181-270","&gt;270"))))</f>
        <v/>
      </c>
      <c r="M293" s="75" t="str">
        <f aca="false">IF(G293="Obs",COUNTIF(G$2:G293,"Obs"),"")</f>
        <v/>
      </c>
      <c r="N293" s="75" t="str">
        <f aca="false">IF(G293="No",COUNTIF(G$2:G293,"No"),"")</f>
        <v/>
      </c>
    </row>
    <row r="294" customFormat="false" ht="15" hidden="false" customHeight="false" outlineLevel="0" collapsed="false">
      <c r="A294" s="10" t="s">
        <v>704</v>
      </c>
      <c r="B294" s="10" t="s">
        <v>234</v>
      </c>
      <c r="C294" s="10" t="s">
        <v>263</v>
      </c>
      <c r="D294" s="8" t="s">
        <v>255</v>
      </c>
      <c r="E294" s="8" t="s">
        <v>264</v>
      </c>
      <c r="F294" s="10" t="s">
        <v>105</v>
      </c>
      <c r="G294" s="11" t="s">
        <v>16</v>
      </c>
      <c r="H294" s="66"/>
      <c r="I294" s="67" t="n">
        <v>46072</v>
      </c>
      <c r="J294" s="10" t="s">
        <v>690</v>
      </c>
      <c r="K294" s="68" t="str">
        <f aca="false">IF(G294="No",MAX(0,AsOfDate-I294),"")</f>
        <v/>
      </c>
      <c r="L294" s="12" t="str">
        <f aca="false">IF(K294="","",IF(K294&lt;=90,"0-90",IF(K294&lt;=180,"91-180",IF(K294&lt;=270,"181-270","&gt;270"))))</f>
        <v/>
      </c>
      <c r="M294" s="12" t="str">
        <f aca="false">IF(G294="Obs",COUNTIF(G$2:G294,"Obs"),"")</f>
        <v/>
      </c>
      <c r="N294" s="12" t="str">
        <f aca="false">IF(G294="No",COUNTIF(G$2:G294,"No"),"")</f>
        <v/>
      </c>
    </row>
    <row r="295" customFormat="false" ht="23.85" hidden="false" customHeight="false" outlineLevel="0" collapsed="false">
      <c r="A295" s="69" t="s">
        <v>704</v>
      </c>
      <c r="B295" s="69" t="s">
        <v>234</v>
      </c>
      <c r="C295" s="69" t="s">
        <v>265</v>
      </c>
      <c r="D295" s="70" t="s">
        <v>255</v>
      </c>
      <c r="E295" s="70" t="s">
        <v>266</v>
      </c>
      <c r="F295" s="69" t="s">
        <v>99</v>
      </c>
      <c r="G295" s="71" t="s">
        <v>18</v>
      </c>
      <c r="H295" s="72" t="s">
        <v>742</v>
      </c>
      <c r="I295" s="73" t="n">
        <v>46072</v>
      </c>
      <c r="J295" s="69" t="s">
        <v>690</v>
      </c>
      <c r="K295" s="74" t="n">
        <f aca="false">IF(G295="No",MAX(0,AsOfDate-I295),"")</f>
        <v>111</v>
      </c>
      <c r="L295" s="75" t="str">
        <f aca="false">IF(K295="","",IF(K295&lt;=90,"0-90",IF(K295&lt;=180,"91-180",IF(K295&lt;=270,"181-270","&gt;270"))))</f>
        <v>91-180</v>
      </c>
      <c r="M295" s="75" t="str">
        <f aca="false">IF(G295="Obs",COUNTIF(G$2:G295,"Obs"),"")</f>
        <v/>
      </c>
      <c r="N295" s="75" t="n">
        <f aca="false">IF(G295="No",COUNTIF(G$2:G295,"No"),"")</f>
        <v>22</v>
      </c>
    </row>
    <row r="296" customFormat="false" ht="15" hidden="false" customHeight="false" outlineLevel="0" collapsed="false">
      <c r="A296" s="10" t="s">
        <v>706</v>
      </c>
      <c r="B296" s="10" t="s">
        <v>234</v>
      </c>
      <c r="C296" s="10" t="s">
        <v>233</v>
      </c>
      <c r="D296" s="8" t="s">
        <v>133</v>
      </c>
      <c r="E296" s="8" t="s">
        <v>134</v>
      </c>
      <c r="F296" s="10" t="s">
        <v>99</v>
      </c>
      <c r="G296" s="11" t="s">
        <v>16</v>
      </c>
      <c r="H296" s="66"/>
      <c r="I296" s="67" t="n">
        <v>46149</v>
      </c>
      <c r="J296" s="10" t="s">
        <v>693</v>
      </c>
      <c r="K296" s="68" t="str">
        <f aca="false">IF(G296="No",MAX(0,AsOfDate-I296),"")</f>
        <v/>
      </c>
      <c r="L296" s="12" t="str">
        <f aca="false">IF(K296="","",IF(K296&lt;=90,"0-90",IF(K296&lt;=180,"91-180",IF(K296&lt;=270,"181-270","&gt;270"))))</f>
        <v/>
      </c>
      <c r="M296" s="12" t="str">
        <f aca="false">IF(G296="Obs",COUNTIF(G$2:G296,"Obs"),"")</f>
        <v/>
      </c>
      <c r="N296" s="12" t="str">
        <f aca="false">IF(G296="No",COUNTIF(G$2:G296,"No"),"")</f>
        <v/>
      </c>
    </row>
    <row r="297" customFormat="false" ht="15" hidden="false" customHeight="false" outlineLevel="0" collapsed="false">
      <c r="A297" s="69" t="s">
        <v>706</v>
      </c>
      <c r="B297" s="69" t="s">
        <v>234</v>
      </c>
      <c r="C297" s="69" t="s">
        <v>235</v>
      </c>
      <c r="D297" s="70" t="s">
        <v>133</v>
      </c>
      <c r="E297" s="70" t="s">
        <v>136</v>
      </c>
      <c r="F297" s="69" t="s">
        <v>99</v>
      </c>
      <c r="G297" s="71" t="s">
        <v>18</v>
      </c>
      <c r="H297" s="72" t="s">
        <v>537</v>
      </c>
      <c r="I297" s="73" t="n">
        <v>46149</v>
      </c>
      <c r="J297" s="69" t="s">
        <v>693</v>
      </c>
      <c r="K297" s="74" t="n">
        <f aca="false">IF(G297="No",MAX(0,AsOfDate-I297),"")</f>
        <v>34</v>
      </c>
      <c r="L297" s="75" t="str">
        <f aca="false">IF(K297="","",IF(K297&lt;=90,"0-90",IF(K297&lt;=180,"91-180",IF(K297&lt;=270,"181-270","&gt;270"))))</f>
        <v>0-90</v>
      </c>
      <c r="M297" s="75" t="str">
        <f aca="false">IF(G297="Obs",COUNTIF(G$2:G297,"Obs"),"")</f>
        <v/>
      </c>
      <c r="N297" s="75" t="n">
        <f aca="false">IF(G297="No",COUNTIF(G$2:G297,"No"),"")</f>
        <v>23</v>
      </c>
    </row>
    <row r="298" customFormat="false" ht="15" hidden="false" customHeight="false" outlineLevel="0" collapsed="false">
      <c r="A298" s="10" t="s">
        <v>706</v>
      </c>
      <c r="B298" s="10" t="s">
        <v>234</v>
      </c>
      <c r="C298" s="10" t="s">
        <v>236</v>
      </c>
      <c r="D298" s="8" t="s">
        <v>133</v>
      </c>
      <c r="E298" s="8" t="s">
        <v>138</v>
      </c>
      <c r="F298" s="10" t="s">
        <v>105</v>
      </c>
      <c r="G298" s="11" t="s">
        <v>16</v>
      </c>
      <c r="H298" s="66"/>
      <c r="I298" s="67" t="n">
        <v>46149</v>
      </c>
      <c r="J298" s="10" t="s">
        <v>693</v>
      </c>
      <c r="K298" s="68" t="str">
        <f aca="false">IF(G298="No",MAX(0,AsOfDate-I298),"")</f>
        <v/>
      </c>
      <c r="L298" s="12" t="str">
        <f aca="false">IF(K298="","",IF(K298&lt;=90,"0-90",IF(K298&lt;=180,"91-180",IF(K298&lt;=270,"181-270","&gt;270"))))</f>
        <v/>
      </c>
      <c r="M298" s="12" t="str">
        <f aca="false">IF(G298="Obs",COUNTIF(G$2:G298,"Obs"),"")</f>
        <v/>
      </c>
      <c r="N298" s="12" t="str">
        <f aca="false">IF(G298="No",COUNTIF(G$2:G298,"No"),"")</f>
        <v/>
      </c>
    </row>
    <row r="299" customFormat="false" ht="15" hidden="false" customHeight="false" outlineLevel="0" collapsed="false">
      <c r="A299" s="69" t="s">
        <v>706</v>
      </c>
      <c r="B299" s="69" t="s">
        <v>234</v>
      </c>
      <c r="C299" s="69" t="s">
        <v>237</v>
      </c>
      <c r="D299" s="70" t="s">
        <v>140</v>
      </c>
      <c r="E299" s="70" t="s">
        <v>141</v>
      </c>
      <c r="F299" s="69" t="s">
        <v>99</v>
      </c>
      <c r="G299" s="71" t="s">
        <v>20</v>
      </c>
      <c r="H299" s="72"/>
      <c r="I299" s="73" t="n">
        <v>46149</v>
      </c>
      <c r="J299" s="69" t="s">
        <v>693</v>
      </c>
      <c r="K299" s="74" t="str">
        <f aca="false">IF(G299="No",MAX(0,AsOfDate-I299),"")</f>
        <v/>
      </c>
      <c r="L299" s="75" t="str">
        <f aca="false">IF(K299="","",IF(K299&lt;=90,"0-90",IF(K299&lt;=180,"91-180",IF(K299&lt;=270,"181-270","&gt;270"))))</f>
        <v/>
      </c>
      <c r="M299" s="75" t="str">
        <f aca="false">IF(G299="Obs",COUNTIF(G$2:G299,"Obs"),"")</f>
        <v/>
      </c>
      <c r="N299" s="75" t="str">
        <f aca="false">IF(G299="No",COUNTIF(G$2:G299,"No"),"")</f>
        <v/>
      </c>
    </row>
    <row r="300" customFormat="false" ht="15" hidden="false" customHeight="false" outlineLevel="0" collapsed="false">
      <c r="A300" s="10" t="s">
        <v>706</v>
      </c>
      <c r="B300" s="10" t="s">
        <v>234</v>
      </c>
      <c r="C300" s="10" t="s">
        <v>238</v>
      </c>
      <c r="D300" s="8" t="s">
        <v>140</v>
      </c>
      <c r="E300" s="8" t="s">
        <v>143</v>
      </c>
      <c r="F300" s="10" t="s">
        <v>105</v>
      </c>
      <c r="G300" s="11" t="s">
        <v>18</v>
      </c>
      <c r="H300" s="66" t="s">
        <v>537</v>
      </c>
      <c r="I300" s="67" t="n">
        <v>46149</v>
      </c>
      <c r="J300" s="10" t="s">
        <v>693</v>
      </c>
      <c r="K300" s="68" t="n">
        <f aca="false">IF(G300="No",MAX(0,AsOfDate-I300),"")</f>
        <v>34</v>
      </c>
      <c r="L300" s="12" t="str">
        <f aca="false">IF(K300="","",IF(K300&lt;=90,"0-90",IF(K300&lt;=180,"91-180",IF(K300&lt;=270,"181-270","&gt;270"))))</f>
        <v>0-90</v>
      </c>
      <c r="M300" s="12" t="str">
        <f aca="false">IF(G300="Obs",COUNTIF(G$2:G300,"Obs"),"")</f>
        <v/>
      </c>
      <c r="N300" s="12" t="n">
        <f aca="false">IF(G300="No",COUNTIF(G$2:G300,"No"),"")</f>
        <v>24</v>
      </c>
    </row>
    <row r="301" customFormat="false" ht="15" hidden="false" customHeight="false" outlineLevel="0" collapsed="false">
      <c r="A301" s="69" t="s">
        <v>706</v>
      </c>
      <c r="B301" s="69" t="s">
        <v>234</v>
      </c>
      <c r="C301" s="69" t="s">
        <v>239</v>
      </c>
      <c r="D301" s="70" t="s">
        <v>140</v>
      </c>
      <c r="E301" s="70" t="s">
        <v>145</v>
      </c>
      <c r="F301" s="69" t="s">
        <v>99</v>
      </c>
      <c r="G301" s="71" t="s">
        <v>16</v>
      </c>
      <c r="H301" s="72"/>
      <c r="I301" s="73" t="n">
        <v>46149</v>
      </c>
      <c r="J301" s="69" t="s">
        <v>693</v>
      </c>
      <c r="K301" s="74" t="str">
        <f aca="false">IF(G301="No",MAX(0,AsOfDate-I301),"")</f>
        <v/>
      </c>
      <c r="L301" s="75" t="str">
        <f aca="false">IF(K301="","",IF(K301&lt;=90,"0-90",IF(K301&lt;=180,"91-180",IF(K301&lt;=270,"181-270","&gt;270"))))</f>
        <v/>
      </c>
      <c r="M301" s="75" t="str">
        <f aca="false">IF(G301="Obs",COUNTIF(G$2:G301,"Obs"),"")</f>
        <v/>
      </c>
      <c r="N301" s="75" t="str">
        <f aca="false">IF(G301="No",COUNTIF(G$2:G301,"No"),"")</f>
        <v/>
      </c>
    </row>
    <row r="302" customFormat="false" ht="15" hidden="false" customHeight="false" outlineLevel="0" collapsed="false">
      <c r="A302" s="10" t="s">
        <v>706</v>
      </c>
      <c r="B302" s="10" t="s">
        <v>234</v>
      </c>
      <c r="C302" s="10" t="s">
        <v>240</v>
      </c>
      <c r="D302" s="8" t="s">
        <v>147</v>
      </c>
      <c r="E302" s="8" t="s">
        <v>148</v>
      </c>
      <c r="F302" s="10" t="s">
        <v>99</v>
      </c>
      <c r="G302" s="11" t="s">
        <v>16</v>
      </c>
      <c r="H302" s="66"/>
      <c r="I302" s="67" t="n">
        <v>46149</v>
      </c>
      <c r="J302" s="10" t="s">
        <v>693</v>
      </c>
      <c r="K302" s="68" t="str">
        <f aca="false">IF(G302="No",MAX(0,AsOfDate-I302),"")</f>
        <v/>
      </c>
      <c r="L302" s="12" t="str">
        <f aca="false">IF(K302="","",IF(K302&lt;=90,"0-90",IF(K302&lt;=180,"91-180",IF(K302&lt;=270,"181-270","&gt;270"))))</f>
        <v/>
      </c>
      <c r="M302" s="12" t="str">
        <f aca="false">IF(G302="Obs",COUNTIF(G$2:G302,"Obs"),"")</f>
        <v/>
      </c>
      <c r="N302" s="12" t="str">
        <f aca="false">IF(G302="No",COUNTIF(G$2:G302,"No"),"")</f>
        <v/>
      </c>
    </row>
    <row r="303" customFormat="false" ht="15" hidden="false" customHeight="false" outlineLevel="0" collapsed="false">
      <c r="A303" s="69" t="s">
        <v>706</v>
      </c>
      <c r="B303" s="69" t="s">
        <v>234</v>
      </c>
      <c r="C303" s="69" t="s">
        <v>241</v>
      </c>
      <c r="D303" s="70" t="s">
        <v>147</v>
      </c>
      <c r="E303" s="70" t="s">
        <v>150</v>
      </c>
      <c r="F303" s="69" t="s">
        <v>105</v>
      </c>
      <c r="G303" s="71" t="s">
        <v>16</v>
      </c>
      <c r="H303" s="72"/>
      <c r="I303" s="73" t="n">
        <v>46149</v>
      </c>
      <c r="J303" s="69" t="s">
        <v>693</v>
      </c>
      <c r="K303" s="74" t="str">
        <f aca="false">IF(G303="No",MAX(0,AsOfDate-I303),"")</f>
        <v/>
      </c>
      <c r="L303" s="75" t="str">
        <f aca="false">IF(K303="","",IF(K303&lt;=90,"0-90",IF(K303&lt;=180,"91-180",IF(K303&lt;=270,"181-270","&gt;270"))))</f>
        <v/>
      </c>
      <c r="M303" s="75" t="str">
        <f aca="false">IF(G303="Obs",COUNTIF(G$2:G303,"Obs"),"")</f>
        <v/>
      </c>
      <c r="N303" s="75" t="str">
        <f aca="false">IF(G303="No",COUNTIF(G$2:G303,"No"),"")</f>
        <v/>
      </c>
    </row>
    <row r="304" customFormat="false" ht="15" hidden="false" customHeight="false" outlineLevel="0" collapsed="false">
      <c r="A304" s="10" t="s">
        <v>706</v>
      </c>
      <c r="B304" s="10" t="s">
        <v>234</v>
      </c>
      <c r="C304" s="10" t="s">
        <v>242</v>
      </c>
      <c r="D304" s="8" t="s">
        <v>147</v>
      </c>
      <c r="E304" s="8" t="s">
        <v>152</v>
      </c>
      <c r="F304" s="10" t="s">
        <v>99</v>
      </c>
      <c r="G304" s="11" t="s">
        <v>16</v>
      </c>
      <c r="H304" s="66"/>
      <c r="I304" s="67" t="n">
        <v>46149</v>
      </c>
      <c r="J304" s="10" t="s">
        <v>693</v>
      </c>
      <c r="K304" s="68" t="str">
        <f aca="false">IF(G304="No",MAX(0,AsOfDate-I304),"")</f>
        <v/>
      </c>
      <c r="L304" s="12" t="str">
        <f aca="false">IF(K304="","",IF(K304&lt;=90,"0-90",IF(K304&lt;=180,"91-180",IF(K304&lt;=270,"181-270","&gt;270"))))</f>
        <v/>
      </c>
      <c r="M304" s="12" t="str">
        <f aca="false">IF(G304="Obs",COUNTIF(G$2:G304,"Obs"),"")</f>
        <v/>
      </c>
      <c r="N304" s="12" t="str">
        <f aca="false">IF(G304="No",COUNTIF(G$2:G304,"No"),"")</f>
        <v/>
      </c>
    </row>
    <row r="305" customFormat="false" ht="15" hidden="false" customHeight="false" outlineLevel="0" collapsed="false">
      <c r="A305" s="69" t="s">
        <v>706</v>
      </c>
      <c r="B305" s="69" t="s">
        <v>234</v>
      </c>
      <c r="C305" s="69" t="s">
        <v>243</v>
      </c>
      <c r="D305" s="70" t="s">
        <v>154</v>
      </c>
      <c r="E305" s="70" t="s">
        <v>155</v>
      </c>
      <c r="F305" s="69" t="s">
        <v>105</v>
      </c>
      <c r="G305" s="71" t="s">
        <v>16</v>
      </c>
      <c r="H305" s="72"/>
      <c r="I305" s="73" t="n">
        <v>46149</v>
      </c>
      <c r="J305" s="69" t="s">
        <v>693</v>
      </c>
      <c r="K305" s="74" t="str">
        <f aca="false">IF(G305="No",MAX(0,AsOfDate-I305),"")</f>
        <v/>
      </c>
      <c r="L305" s="75" t="str">
        <f aca="false">IF(K305="","",IF(K305&lt;=90,"0-90",IF(K305&lt;=180,"91-180",IF(K305&lt;=270,"181-270","&gt;270"))))</f>
        <v/>
      </c>
      <c r="M305" s="75" t="str">
        <f aca="false">IF(G305="Obs",COUNTIF(G$2:G305,"Obs"),"")</f>
        <v/>
      </c>
      <c r="N305" s="75" t="str">
        <f aca="false">IF(G305="No",COUNTIF(G$2:G305,"No"),"")</f>
        <v/>
      </c>
    </row>
    <row r="306" customFormat="false" ht="15" hidden="false" customHeight="false" outlineLevel="0" collapsed="false">
      <c r="A306" s="10" t="s">
        <v>706</v>
      </c>
      <c r="B306" s="10" t="s">
        <v>234</v>
      </c>
      <c r="C306" s="10" t="s">
        <v>244</v>
      </c>
      <c r="D306" s="8" t="s">
        <v>154</v>
      </c>
      <c r="E306" s="8" t="s">
        <v>157</v>
      </c>
      <c r="F306" s="10" t="s">
        <v>105</v>
      </c>
      <c r="G306" s="11" t="s">
        <v>16</v>
      </c>
      <c r="H306" s="66"/>
      <c r="I306" s="67" t="n">
        <v>46149</v>
      </c>
      <c r="J306" s="10" t="s">
        <v>693</v>
      </c>
      <c r="K306" s="68" t="str">
        <f aca="false">IF(G306="No",MAX(0,AsOfDate-I306),"")</f>
        <v/>
      </c>
      <c r="L306" s="12" t="str">
        <f aca="false">IF(K306="","",IF(K306&lt;=90,"0-90",IF(K306&lt;=180,"91-180",IF(K306&lt;=270,"181-270","&gt;270"))))</f>
        <v/>
      </c>
      <c r="M306" s="12" t="str">
        <f aca="false">IF(G306="Obs",COUNTIF(G$2:G306,"Obs"),"")</f>
        <v/>
      </c>
      <c r="N306" s="12" t="str">
        <f aca="false">IF(G306="No",COUNTIF(G$2:G306,"No"),"")</f>
        <v/>
      </c>
    </row>
    <row r="307" customFormat="false" ht="23.85" hidden="false" customHeight="false" outlineLevel="0" collapsed="false">
      <c r="A307" s="69" t="s">
        <v>706</v>
      </c>
      <c r="B307" s="69" t="s">
        <v>234</v>
      </c>
      <c r="C307" s="69" t="s">
        <v>245</v>
      </c>
      <c r="D307" s="70" t="s">
        <v>159</v>
      </c>
      <c r="E307" s="70" t="s">
        <v>160</v>
      </c>
      <c r="F307" s="69" t="s">
        <v>99</v>
      </c>
      <c r="G307" s="71" t="s">
        <v>18</v>
      </c>
      <c r="H307" s="72" t="s">
        <v>742</v>
      </c>
      <c r="I307" s="73" t="n">
        <v>46149</v>
      </c>
      <c r="J307" s="69" t="s">
        <v>693</v>
      </c>
      <c r="K307" s="74" t="n">
        <f aca="false">IF(G307="No",MAX(0,AsOfDate-I307),"")</f>
        <v>34</v>
      </c>
      <c r="L307" s="75" t="str">
        <f aca="false">IF(K307="","",IF(K307&lt;=90,"0-90",IF(K307&lt;=180,"91-180",IF(K307&lt;=270,"181-270","&gt;270"))))</f>
        <v>0-90</v>
      </c>
      <c r="M307" s="75" t="str">
        <f aca="false">IF(G307="Obs",COUNTIF(G$2:G307,"Obs"),"")</f>
        <v/>
      </c>
      <c r="N307" s="75" t="n">
        <f aca="false">IF(G307="No",COUNTIF(G$2:G307,"No"),"")</f>
        <v>25</v>
      </c>
    </row>
    <row r="308" customFormat="false" ht="23.85" hidden="false" customHeight="false" outlineLevel="0" collapsed="false">
      <c r="A308" s="10" t="s">
        <v>706</v>
      </c>
      <c r="B308" s="10" t="s">
        <v>234</v>
      </c>
      <c r="C308" s="10" t="s">
        <v>246</v>
      </c>
      <c r="D308" s="8" t="s">
        <v>159</v>
      </c>
      <c r="E308" s="8" t="s">
        <v>162</v>
      </c>
      <c r="F308" s="10" t="s">
        <v>99</v>
      </c>
      <c r="G308" s="11" t="s">
        <v>16</v>
      </c>
      <c r="H308" s="66"/>
      <c r="I308" s="67" t="n">
        <v>46149</v>
      </c>
      <c r="J308" s="10" t="s">
        <v>693</v>
      </c>
      <c r="K308" s="68" t="str">
        <f aca="false">IF(G308="No",MAX(0,AsOfDate-I308),"")</f>
        <v/>
      </c>
      <c r="L308" s="12" t="str">
        <f aca="false">IF(K308="","",IF(K308&lt;=90,"0-90",IF(K308&lt;=180,"91-180",IF(K308&lt;=270,"181-270","&gt;270"))))</f>
        <v/>
      </c>
      <c r="M308" s="12" t="str">
        <f aca="false">IF(G308="Obs",COUNTIF(G$2:G308,"Obs"),"")</f>
        <v/>
      </c>
      <c r="N308" s="12" t="str">
        <f aca="false">IF(G308="No",COUNTIF(G$2:G308,"No"),"")</f>
        <v/>
      </c>
    </row>
    <row r="309" customFormat="false" ht="23.85" hidden="false" customHeight="false" outlineLevel="0" collapsed="false">
      <c r="A309" s="69" t="s">
        <v>706</v>
      </c>
      <c r="B309" s="69" t="s">
        <v>234</v>
      </c>
      <c r="C309" s="69" t="s">
        <v>247</v>
      </c>
      <c r="D309" s="70" t="s">
        <v>159</v>
      </c>
      <c r="E309" s="70" t="s">
        <v>164</v>
      </c>
      <c r="F309" s="69" t="s">
        <v>110</v>
      </c>
      <c r="G309" s="71" t="s">
        <v>16</v>
      </c>
      <c r="H309" s="72"/>
      <c r="I309" s="73" t="n">
        <v>46149</v>
      </c>
      <c r="J309" s="69" t="s">
        <v>693</v>
      </c>
      <c r="K309" s="74" t="str">
        <f aca="false">IF(G309="No",MAX(0,AsOfDate-I309),"")</f>
        <v/>
      </c>
      <c r="L309" s="75" t="str">
        <f aca="false">IF(K309="","",IF(K309&lt;=90,"0-90",IF(K309&lt;=180,"91-180",IF(K309&lt;=270,"181-270","&gt;270"))))</f>
        <v/>
      </c>
      <c r="M309" s="75" t="str">
        <f aca="false">IF(G309="Obs",COUNTIF(G$2:G309,"Obs"),"")</f>
        <v/>
      </c>
      <c r="N309" s="75" t="str">
        <f aca="false">IF(G309="No",COUNTIF(G$2:G309,"No"),"")</f>
        <v/>
      </c>
    </row>
    <row r="310" customFormat="false" ht="15" hidden="false" customHeight="false" outlineLevel="0" collapsed="false">
      <c r="A310" s="10" t="s">
        <v>706</v>
      </c>
      <c r="B310" s="10" t="s">
        <v>234</v>
      </c>
      <c r="C310" s="10" t="s">
        <v>248</v>
      </c>
      <c r="D310" s="8" t="s">
        <v>166</v>
      </c>
      <c r="E310" s="8" t="s">
        <v>167</v>
      </c>
      <c r="F310" s="10" t="s">
        <v>99</v>
      </c>
      <c r="G310" s="11" t="s">
        <v>16</v>
      </c>
      <c r="H310" s="66"/>
      <c r="I310" s="67" t="n">
        <v>46149</v>
      </c>
      <c r="J310" s="10" t="s">
        <v>693</v>
      </c>
      <c r="K310" s="68" t="str">
        <f aca="false">IF(G310="No",MAX(0,AsOfDate-I310),"")</f>
        <v/>
      </c>
      <c r="L310" s="12" t="str">
        <f aca="false">IF(K310="","",IF(K310&lt;=90,"0-90",IF(K310&lt;=180,"91-180",IF(K310&lt;=270,"181-270","&gt;270"))))</f>
        <v/>
      </c>
      <c r="M310" s="12" t="str">
        <f aca="false">IF(G310="Obs",COUNTIF(G$2:G310,"Obs"),"")</f>
        <v/>
      </c>
      <c r="N310" s="12" t="str">
        <f aca="false">IF(G310="No",COUNTIF(G$2:G310,"No"),"")</f>
        <v/>
      </c>
    </row>
    <row r="311" customFormat="false" ht="15" hidden="false" customHeight="false" outlineLevel="0" collapsed="false">
      <c r="A311" s="69" t="s">
        <v>706</v>
      </c>
      <c r="B311" s="69" t="s">
        <v>234</v>
      </c>
      <c r="C311" s="69" t="s">
        <v>249</v>
      </c>
      <c r="D311" s="70" t="s">
        <v>166</v>
      </c>
      <c r="E311" s="70" t="s">
        <v>169</v>
      </c>
      <c r="F311" s="69" t="s">
        <v>105</v>
      </c>
      <c r="G311" s="71" t="s">
        <v>16</v>
      </c>
      <c r="H311" s="72"/>
      <c r="I311" s="73" t="n">
        <v>46149</v>
      </c>
      <c r="J311" s="69" t="s">
        <v>693</v>
      </c>
      <c r="K311" s="74" t="str">
        <f aca="false">IF(G311="No",MAX(0,AsOfDate-I311),"")</f>
        <v/>
      </c>
      <c r="L311" s="75" t="str">
        <f aca="false">IF(K311="","",IF(K311&lt;=90,"0-90",IF(K311&lt;=180,"91-180",IF(K311&lt;=270,"181-270","&gt;270"))))</f>
        <v/>
      </c>
      <c r="M311" s="75" t="str">
        <f aca="false">IF(G311="Obs",COUNTIF(G$2:G311,"Obs"),"")</f>
        <v/>
      </c>
      <c r="N311" s="75" t="str">
        <f aca="false">IF(G311="No",COUNTIF(G$2:G311,"No"),"")</f>
        <v/>
      </c>
    </row>
    <row r="312" customFormat="false" ht="15" hidden="false" customHeight="false" outlineLevel="0" collapsed="false">
      <c r="A312" s="10" t="s">
        <v>706</v>
      </c>
      <c r="B312" s="10" t="s">
        <v>234</v>
      </c>
      <c r="C312" s="10" t="s">
        <v>250</v>
      </c>
      <c r="D312" s="8" t="s">
        <v>171</v>
      </c>
      <c r="E312" s="8" t="s">
        <v>172</v>
      </c>
      <c r="F312" s="10" t="s">
        <v>105</v>
      </c>
      <c r="G312" s="11" t="s">
        <v>16</v>
      </c>
      <c r="H312" s="66"/>
      <c r="I312" s="67" t="n">
        <v>46149</v>
      </c>
      <c r="J312" s="10" t="s">
        <v>693</v>
      </c>
      <c r="K312" s="68" t="str">
        <f aca="false">IF(G312="No",MAX(0,AsOfDate-I312),"")</f>
        <v/>
      </c>
      <c r="L312" s="12" t="str">
        <f aca="false">IF(K312="","",IF(K312&lt;=90,"0-90",IF(K312&lt;=180,"91-180",IF(K312&lt;=270,"181-270","&gt;270"))))</f>
        <v/>
      </c>
      <c r="M312" s="12" t="str">
        <f aca="false">IF(G312="Obs",COUNTIF(G$2:G312,"Obs"),"")</f>
        <v/>
      </c>
      <c r="N312" s="12" t="str">
        <f aca="false">IF(G312="No",COUNTIF(G$2:G312,"No"),"")</f>
        <v/>
      </c>
    </row>
    <row r="313" customFormat="false" ht="15" hidden="false" customHeight="false" outlineLevel="0" collapsed="false">
      <c r="A313" s="69" t="s">
        <v>706</v>
      </c>
      <c r="B313" s="69" t="s">
        <v>234</v>
      </c>
      <c r="C313" s="69" t="s">
        <v>251</v>
      </c>
      <c r="D313" s="70" t="s">
        <v>171</v>
      </c>
      <c r="E313" s="70" t="s">
        <v>174</v>
      </c>
      <c r="F313" s="69" t="s">
        <v>99</v>
      </c>
      <c r="G313" s="71" t="s">
        <v>18</v>
      </c>
      <c r="H313" s="72" t="s">
        <v>742</v>
      </c>
      <c r="I313" s="73" t="n">
        <v>46149</v>
      </c>
      <c r="J313" s="69" t="s">
        <v>693</v>
      </c>
      <c r="K313" s="74" t="n">
        <f aca="false">IF(G313="No",MAX(0,AsOfDate-I313),"")</f>
        <v>34</v>
      </c>
      <c r="L313" s="75" t="str">
        <f aca="false">IF(K313="","",IF(K313&lt;=90,"0-90",IF(K313&lt;=180,"91-180",IF(K313&lt;=270,"181-270","&gt;270"))))</f>
        <v>0-90</v>
      </c>
      <c r="M313" s="75" t="str">
        <f aca="false">IF(G313="Obs",COUNTIF(G$2:G313,"Obs"),"")</f>
        <v/>
      </c>
      <c r="N313" s="75" t="n">
        <f aca="false">IF(G313="No",COUNTIF(G$2:G313,"No"),"")</f>
        <v>26</v>
      </c>
    </row>
    <row r="314" customFormat="false" ht="15" hidden="false" customHeight="false" outlineLevel="0" collapsed="false">
      <c r="A314" s="10" t="s">
        <v>706</v>
      </c>
      <c r="B314" s="10" t="s">
        <v>234</v>
      </c>
      <c r="C314" s="10" t="s">
        <v>252</v>
      </c>
      <c r="D314" s="8" t="s">
        <v>176</v>
      </c>
      <c r="E314" s="8" t="s">
        <v>177</v>
      </c>
      <c r="F314" s="10" t="s">
        <v>105</v>
      </c>
      <c r="G314" s="11" t="s">
        <v>16</v>
      </c>
      <c r="H314" s="66"/>
      <c r="I314" s="67" t="n">
        <v>46149</v>
      </c>
      <c r="J314" s="10" t="s">
        <v>693</v>
      </c>
      <c r="K314" s="68" t="str">
        <f aca="false">IF(G314="No",MAX(0,AsOfDate-I314),"")</f>
        <v/>
      </c>
      <c r="L314" s="12" t="str">
        <f aca="false">IF(K314="","",IF(K314&lt;=90,"0-90",IF(K314&lt;=180,"91-180",IF(K314&lt;=270,"181-270","&gt;270"))))</f>
        <v/>
      </c>
      <c r="M314" s="12" t="str">
        <f aca="false">IF(G314="Obs",COUNTIF(G$2:G314,"Obs"),"")</f>
        <v/>
      </c>
      <c r="N314" s="12" t="str">
        <f aca="false">IF(G314="No",COUNTIF(G$2:G314,"No"),"")</f>
        <v/>
      </c>
    </row>
    <row r="315" customFormat="false" ht="15" hidden="false" customHeight="false" outlineLevel="0" collapsed="false">
      <c r="A315" s="69" t="s">
        <v>706</v>
      </c>
      <c r="B315" s="69" t="s">
        <v>234</v>
      </c>
      <c r="C315" s="69" t="s">
        <v>253</v>
      </c>
      <c r="D315" s="70" t="s">
        <v>176</v>
      </c>
      <c r="E315" s="70" t="s">
        <v>179</v>
      </c>
      <c r="F315" s="69" t="s">
        <v>105</v>
      </c>
      <c r="G315" s="71" t="s">
        <v>16</v>
      </c>
      <c r="H315" s="72"/>
      <c r="I315" s="73" t="n">
        <v>46149</v>
      </c>
      <c r="J315" s="69" t="s">
        <v>693</v>
      </c>
      <c r="K315" s="74" t="str">
        <f aca="false">IF(G315="No",MAX(0,AsOfDate-I315),"")</f>
        <v/>
      </c>
      <c r="L315" s="75" t="str">
        <f aca="false">IF(K315="","",IF(K315&lt;=90,"0-90",IF(K315&lt;=180,"91-180",IF(K315&lt;=270,"181-270","&gt;270"))))</f>
        <v/>
      </c>
      <c r="M315" s="75" t="str">
        <f aca="false">IF(G315="Obs",COUNTIF(G$2:G315,"Obs"),"")</f>
        <v/>
      </c>
      <c r="N315" s="75" t="str">
        <f aca="false">IF(G315="No",COUNTIF(G$2:G315,"No"),"")</f>
        <v/>
      </c>
    </row>
    <row r="316" customFormat="false" ht="23.85" hidden="false" customHeight="false" outlineLevel="0" collapsed="false">
      <c r="A316" s="10" t="s">
        <v>706</v>
      </c>
      <c r="B316" s="10" t="s">
        <v>234</v>
      </c>
      <c r="C316" s="10" t="s">
        <v>254</v>
      </c>
      <c r="D316" s="8" t="s">
        <v>255</v>
      </c>
      <c r="E316" s="8" t="s">
        <v>256</v>
      </c>
      <c r="F316" s="10" t="s">
        <v>105</v>
      </c>
      <c r="G316" s="11" t="s">
        <v>22</v>
      </c>
      <c r="H316" s="66" t="s">
        <v>667</v>
      </c>
      <c r="I316" s="67" t="n">
        <v>46149</v>
      </c>
      <c r="J316" s="10" t="s">
        <v>693</v>
      </c>
      <c r="K316" s="68" t="str">
        <f aca="false">IF(G316="No",MAX(0,AsOfDate-I316),"")</f>
        <v/>
      </c>
      <c r="L316" s="12" t="str">
        <f aca="false">IF(K316="","",IF(K316&lt;=90,"0-90",IF(K316&lt;=180,"91-180",IF(K316&lt;=270,"181-270","&gt;270"))))</f>
        <v/>
      </c>
      <c r="M316" s="12" t="n">
        <f aca="false">IF(G316="Obs",COUNTIF(G$2:G316,"Obs"),"")</f>
        <v>16</v>
      </c>
      <c r="N316" s="12" t="str">
        <f aca="false">IF(G316="No",COUNTIF(G$2:G316,"No"),"")</f>
        <v/>
      </c>
    </row>
    <row r="317" customFormat="false" ht="15" hidden="false" customHeight="false" outlineLevel="0" collapsed="false">
      <c r="A317" s="69" t="s">
        <v>706</v>
      </c>
      <c r="B317" s="69" t="s">
        <v>234</v>
      </c>
      <c r="C317" s="69" t="s">
        <v>257</v>
      </c>
      <c r="D317" s="70" t="s">
        <v>255</v>
      </c>
      <c r="E317" s="70" t="s">
        <v>258</v>
      </c>
      <c r="F317" s="69" t="s">
        <v>105</v>
      </c>
      <c r="G317" s="71" t="s">
        <v>16</v>
      </c>
      <c r="H317" s="72"/>
      <c r="I317" s="73" t="n">
        <v>46149</v>
      </c>
      <c r="J317" s="69" t="s">
        <v>693</v>
      </c>
      <c r="K317" s="74" t="str">
        <f aca="false">IF(G317="No",MAX(0,AsOfDate-I317),"")</f>
        <v/>
      </c>
      <c r="L317" s="75" t="str">
        <f aca="false">IF(K317="","",IF(K317&lt;=90,"0-90",IF(K317&lt;=180,"91-180",IF(K317&lt;=270,"181-270","&gt;270"))))</f>
        <v/>
      </c>
      <c r="M317" s="75" t="str">
        <f aca="false">IF(G317="Obs",COUNTIF(G$2:G317,"Obs"),"")</f>
        <v/>
      </c>
      <c r="N317" s="75" t="str">
        <f aca="false">IF(G317="No",COUNTIF(G$2:G317,"No"),"")</f>
        <v/>
      </c>
    </row>
    <row r="318" customFormat="false" ht="15" hidden="false" customHeight="false" outlineLevel="0" collapsed="false">
      <c r="A318" s="10" t="s">
        <v>706</v>
      </c>
      <c r="B318" s="10" t="s">
        <v>234</v>
      </c>
      <c r="C318" s="10" t="s">
        <v>259</v>
      </c>
      <c r="D318" s="8" t="s">
        <v>255</v>
      </c>
      <c r="E318" s="8" t="s">
        <v>260</v>
      </c>
      <c r="F318" s="10" t="s">
        <v>99</v>
      </c>
      <c r="G318" s="11" t="s">
        <v>16</v>
      </c>
      <c r="H318" s="66"/>
      <c r="I318" s="67" t="n">
        <v>46149</v>
      </c>
      <c r="J318" s="10" t="s">
        <v>693</v>
      </c>
      <c r="K318" s="68" t="str">
        <f aca="false">IF(G318="No",MAX(0,AsOfDate-I318),"")</f>
        <v/>
      </c>
      <c r="L318" s="12" t="str">
        <f aca="false">IF(K318="","",IF(K318&lt;=90,"0-90",IF(K318&lt;=180,"91-180",IF(K318&lt;=270,"181-270","&gt;270"))))</f>
        <v/>
      </c>
      <c r="M318" s="12" t="str">
        <f aca="false">IF(G318="Obs",COUNTIF(G$2:G318,"Obs"),"")</f>
        <v/>
      </c>
      <c r="N318" s="12" t="str">
        <f aca="false">IF(G318="No",COUNTIF(G$2:G318,"No"),"")</f>
        <v/>
      </c>
    </row>
    <row r="319" customFormat="false" ht="15" hidden="false" customHeight="false" outlineLevel="0" collapsed="false">
      <c r="A319" s="69" t="s">
        <v>706</v>
      </c>
      <c r="B319" s="69" t="s">
        <v>234</v>
      </c>
      <c r="C319" s="69" t="s">
        <v>261</v>
      </c>
      <c r="D319" s="70" t="s">
        <v>255</v>
      </c>
      <c r="E319" s="70" t="s">
        <v>262</v>
      </c>
      <c r="F319" s="69" t="s">
        <v>99</v>
      </c>
      <c r="G319" s="71" t="s">
        <v>16</v>
      </c>
      <c r="H319" s="72"/>
      <c r="I319" s="73" t="n">
        <v>46149</v>
      </c>
      <c r="J319" s="69" t="s">
        <v>693</v>
      </c>
      <c r="K319" s="74" t="str">
        <f aca="false">IF(G319="No",MAX(0,AsOfDate-I319),"")</f>
        <v/>
      </c>
      <c r="L319" s="75" t="str">
        <f aca="false">IF(K319="","",IF(K319&lt;=90,"0-90",IF(K319&lt;=180,"91-180",IF(K319&lt;=270,"181-270","&gt;270"))))</f>
        <v/>
      </c>
      <c r="M319" s="75" t="str">
        <f aca="false">IF(G319="Obs",COUNTIF(G$2:G319,"Obs"),"")</f>
        <v/>
      </c>
      <c r="N319" s="75" t="str">
        <f aca="false">IF(G319="No",COUNTIF(G$2:G319,"No"),"")</f>
        <v/>
      </c>
    </row>
    <row r="320" customFormat="false" ht="15" hidden="false" customHeight="false" outlineLevel="0" collapsed="false">
      <c r="A320" s="10" t="s">
        <v>706</v>
      </c>
      <c r="B320" s="10" t="s">
        <v>234</v>
      </c>
      <c r="C320" s="10" t="s">
        <v>263</v>
      </c>
      <c r="D320" s="8" t="s">
        <v>255</v>
      </c>
      <c r="E320" s="8" t="s">
        <v>264</v>
      </c>
      <c r="F320" s="10" t="s">
        <v>105</v>
      </c>
      <c r="G320" s="11" t="s">
        <v>16</v>
      </c>
      <c r="H320" s="66"/>
      <c r="I320" s="67" t="n">
        <v>46149</v>
      </c>
      <c r="J320" s="10" t="s">
        <v>693</v>
      </c>
      <c r="K320" s="68" t="str">
        <f aca="false">IF(G320="No",MAX(0,AsOfDate-I320),"")</f>
        <v/>
      </c>
      <c r="L320" s="12" t="str">
        <f aca="false">IF(K320="","",IF(K320&lt;=90,"0-90",IF(K320&lt;=180,"91-180",IF(K320&lt;=270,"181-270","&gt;270"))))</f>
        <v/>
      </c>
      <c r="M320" s="12" t="str">
        <f aca="false">IF(G320="Obs",COUNTIF(G$2:G320,"Obs"),"")</f>
        <v/>
      </c>
      <c r="N320" s="12" t="str">
        <f aca="false">IF(G320="No",COUNTIF(G$2:G320,"No"),"")</f>
        <v/>
      </c>
    </row>
    <row r="321" customFormat="false" ht="23.85" hidden="false" customHeight="false" outlineLevel="0" collapsed="false">
      <c r="A321" s="69" t="s">
        <v>706</v>
      </c>
      <c r="B321" s="69" t="s">
        <v>234</v>
      </c>
      <c r="C321" s="69" t="s">
        <v>265</v>
      </c>
      <c r="D321" s="70" t="s">
        <v>255</v>
      </c>
      <c r="E321" s="70" t="s">
        <v>266</v>
      </c>
      <c r="F321" s="69" t="s">
        <v>99</v>
      </c>
      <c r="G321" s="71" t="s">
        <v>16</v>
      </c>
      <c r="H321" s="72"/>
      <c r="I321" s="73" t="n">
        <v>46149</v>
      </c>
      <c r="J321" s="69" t="s">
        <v>693</v>
      </c>
      <c r="K321" s="74" t="str">
        <f aca="false">IF(G321="No",MAX(0,AsOfDate-I321),"")</f>
        <v/>
      </c>
      <c r="L321" s="75" t="str">
        <f aca="false">IF(K321="","",IF(K321&lt;=90,"0-90",IF(K321&lt;=180,"91-180",IF(K321&lt;=270,"181-270","&gt;270"))))</f>
        <v/>
      </c>
      <c r="M321" s="75" t="str">
        <f aca="false">IF(G321="Obs",COUNTIF(G$2:G321,"Obs"),"")</f>
        <v/>
      </c>
      <c r="N321" s="75" t="str">
        <f aca="false">IF(G321="No",COUNTIF(G$2:G321,"No"),"")</f>
        <v/>
      </c>
    </row>
    <row r="322" customFormat="false" ht="15" hidden="false" customHeight="false" outlineLevel="0" collapsed="false">
      <c r="A322" s="10" t="s">
        <v>566</v>
      </c>
      <c r="B322" s="10" t="s">
        <v>268</v>
      </c>
      <c r="C322" s="10" t="s">
        <v>267</v>
      </c>
      <c r="D322" s="8" t="s">
        <v>133</v>
      </c>
      <c r="E322" s="8" t="s">
        <v>134</v>
      </c>
      <c r="F322" s="10" t="s">
        <v>99</v>
      </c>
      <c r="G322" s="11" t="s">
        <v>16</v>
      </c>
      <c r="H322" s="66"/>
      <c r="I322" s="67" t="n">
        <v>45883</v>
      </c>
      <c r="J322" s="10" t="s">
        <v>431</v>
      </c>
      <c r="K322" s="68" t="str">
        <f aca="false">IF(G322="No",MAX(0,AsOfDate-I322),"")</f>
        <v/>
      </c>
      <c r="L322" s="12" t="str">
        <f aca="false">IF(K322="","",IF(K322&lt;=90,"0-90",IF(K322&lt;=180,"91-180",IF(K322&lt;=270,"181-270","&gt;270"))))</f>
        <v/>
      </c>
      <c r="M322" s="12" t="str">
        <f aca="false">IF(G322="Obs",COUNTIF(G$2:G322,"Obs"),"")</f>
        <v/>
      </c>
      <c r="N322" s="12" t="str">
        <f aca="false">IF(G322="No",COUNTIF(G$2:G322,"No"),"")</f>
        <v/>
      </c>
    </row>
    <row r="323" customFormat="false" ht="15" hidden="false" customHeight="false" outlineLevel="0" collapsed="false">
      <c r="A323" s="69" t="s">
        <v>566</v>
      </c>
      <c r="B323" s="69" t="s">
        <v>268</v>
      </c>
      <c r="C323" s="69" t="s">
        <v>269</v>
      </c>
      <c r="D323" s="70" t="s">
        <v>133</v>
      </c>
      <c r="E323" s="70" t="s">
        <v>136</v>
      </c>
      <c r="F323" s="69" t="s">
        <v>99</v>
      </c>
      <c r="G323" s="71" t="s">
        <v>16</v>
      </c>
      <c r="H323" s="72"/>
      <c r="I323" s="73" t="n">
        <v>45883</v>
      </c>
      <c r="J323" s="69" t="s">
        <v>431</v>
      </c>
      <c r="K323" s="74" t="str">
        <f aca="false">IF(G323="No",MAX(0,AsOfDate-I323),"")</f>
        <v/>
      </c>
      <c r="L323" s="75" t="str">
        <f aca="false">IF(K323="","",IF(K323&lt;=90,"0-90",IF(K323&lt;=180,"91-180",IF(K323&lt;=270,"181-270","&gt;270"))))</f>
        <v/>
      </c>
      <c r="M323" s="75" t="str">
        <f aca="false">IF(G323="Obs",COUNTIF(G$2:G323,"Obs"),"")</f>
        <v/>
      </c>
      <c r="N323" s="75" t="str">
        <f aca="false">IF(G323="No",COUNTIF(G$2:G323,"No"),"")</f>
        <v/>
      </c>
    </row>
    <row r="324" customFormat="false" ht="15" hidden="false" customHeight="false" outlineLevel="0" collapsed="false">
      <c r="A324" s="10" t="s">
        <v>566</v>
      </c>
      <c r="B324" s="10" t="s">
        <v>268</v>
      </c>
      <c r="C324" s="10" t="s">
        <v>270</v>
      </c>
      <c r="D324" s="8" t="s">
        <v>133</v>
      </c>
      <c r="E324" s="8" t="s">
        <v>138</v>
      </c>
      <c r="F324" s="10" t="s">
        <v>105</v>
      </c>
      <c r="G324" s="11" t="s">
        <v>16</v>
      </c>
      <c r="H324" s="66"/>
      <c r="I324" s="67" t="n">
        <v>45883</v>
      </c>
      <c r="J324" s="10" t="s">
        <v>431</v>
      </c>
      <c r="K324" s="68" t="str">
        <f aca="false">IF(G324="No",MAX(0,AsOfDate-I324),"")</f>
        <v/>
      </c>
      <c r="L324" s="12" t="str">
        <f aca="false">IF(K324="","",IF(K324&lt;=90,"0-90",IF(K324&lt;=180,"91-180",IF(K324&lt;=270,"181-270","&gt;270"))))</f>
        <v/>
      </c>
      <c r="M324" s="12" t="str">
        <f aca="false">IF(G324="Obs",COUNTIF(G$2:G324,"Obs"),"")</f>
        <v/>
      </c>
      <c r="N324" s="12" t="str">
        <f aca="false">IF(G324="No",COUNTIF(G$2:G324,"No"),"")</f>
        <v/>
      </c>
    </row>
    <row r="325" customFormat="false" ht="15" hidden="false" customHeight="false" outlineLevel="0" collapsed="false">
      <c r="A325" s="69" t="s">
        <v>566</v>
      </c>
      <c r="B325" s="69" t="s">
        <v>268</v>
      </c>
      <c r="C325" s="69" t="s">
        <v>271</v>
      </c>
      <c r="D325" s="70" t="s">
        <v>140</v>
      </c>
      <c r="E325" s="70" t="s">
        <v>141</v>
      </c>
      <c r="F325" s="69" t="s">
        <v>99</v>
      </c>
      <c r="G325" s="71" t="s">
        <v>16</v>
      </c>
      <c r="H325" s="72"/>
      <c r="I325" s="73" t="n">
        <v>45883</v>
      </c>
      <c r="J325" s="69" t="s">
        <v>431</v>
      </c>
      <c r="K325" s="74" t="str">
        <f aca="false">IF(G325="No",MAX(0,AsOfDate-I325),"")</f>
        <v/>
      </c>
      <c r="L325" s="75" t="str">
        <f aca="false">IF(K325="","",IF(K325&lt;=90,"0-90",IF(K325&lt;=180,"91-180",IF(K325&lt;=270,"181-270","&gt;270"))))</f>
        <v/>
      </c>
      <c r="M325" s="75" t="str">
        <f aca="false">IF(G325="Obs",COUNTIF(G$2:G325,"Obs"),"")</f>
        <v/>
      </c>
      <c r="N325" s="75" t="str">
        <f aca="false">IF(G325="No",COUNTIF(G$2:G325,"No"),"")</f>
        <v/>
      </c>
    </row>
    <row r="326" customFormat="false" ht="15" hidden="false" customHeight="false" outlineLevel="0" collapsed="false">
      <c r="A326" s="10" t="s">
        <v>566</v>
      </c>
      <c r="B326" s="10" t="s">
        <v>268</v>
      </c>
      <c r="C326" s="10" t="s">
        <v>272</v>
      </c>
      <c r="D326" s="8" t="s">
        <v>140</v>
      </c>
      <c r="E326" s="8" t="s">
        <v>143</v>
      </c>
      <c r="F326" s="10" t="s">
        <v>105</v>
      </c>
      <c r="G326" s="11" t="s">
        <v>16</v>
      </c>
      <c r="H326" s="66"/>
      <c r="I326" s="67" t="n">
        <v>45883</v>
      </c>
      <c r="J326" s="10" t="s">
        <v>431</v>
      </c>
      <c r="K326" s="68" t="str">
        <f aca="false">IF(G326="No",MAX(0,AsOfDate-I326),"")</f>
        <v/>
      </c>
      <c r="L326" s="12" t="str">
        <f aca="false">IF(K326="","",IF(K326&lt;=90,"0-90",IF(K326&lt;=180,"91-180",IF(K326&lt;=270,"181-270","&gt;270"))))</f>
        <v/>
      </c>
      <c r="M326" s="12" t="str">
        <f aca="false">IF(G326="Obs",COUNTIF(G$2:G326,"Obs"),"")</f>
        <v/>
      </c>
      <c r="N326" s="12" t="str">
        <f aca="false">IF(G326="No",COUNTIF(G$2:G326,"No"),"")</f>
        <v/>
      </c>
    </row>
    <row r="327" customFormat="false" ht="23.85" hidden="false" customHeight="false" outlineLevel="0" collapsed="false">
      <c r="A327" s="69" t="s">
        <v>566</v>
      </c>
      <c r="B327" s="69" t="s">
        <v>268</v>
      </c>
      <c r="C327" s="69" t="s">
        <v>273</v>
      </c>
      <c r="D327" s="70" t="s">
        <v>140</v>
      </c>
      <c r="E327" s="70" t="s">
        <v>145</v>
      </c>
      <c r="F327" s="69" t="s">
        <v>99</v>
      </c>
      <c r="G327" s="71" t="s">
        <v>22</v>
      </c>
      <c r="H327" s="72" t="s">
        <v>592</v>
      </c>
      <c r="I327" s="73" t="n">
        <v>45883</v>
      </c>
      <c r="J327" s="69" t="s">
        <v>431</v>
      </c>
      <c r="K327" s="74" t="str">
        <f aca="false">IF(G327="No",MAX(0,AsOfDate-I327),"")</f>
        <v/>
      </c>
      <c r="L327" s="75" t="str">
        <f aca="false">IF(K327="","",IF(K327&lt;=90,"0-90",IF(K327&lt;=180,"91-180",IF(K327&lt;=270,"181-270","&gt;270"))))</f>
        <v/>
      </c>
      <c r="M327" s="75" t="n">
        <f aca="false">IF(G327="Obs",COUNTIF(G$2:G327,"Obs"),"")</f>
        <v>17</v>
      </c>
      <c r="N327" s="75" t="str">
        <f aca="false">IF(G327="No",COUNTIF(G$2:G327,"No"),"")</f>
        <v/>
      </c>
    </row>
    <row r="328" customFormat="false" ht="15" hidden="false" customHeight="false" outlineLevel="0" collapsed="false">
      <c r="A328" s="10" t="s">
        <v>566</v>
      </c>
      <c r="B328" s="10" t="s">
        <v>268</v>
      </c>
      <c r="C328" s="10" t="s">
        <v>274</v>
      </c>
      <c r="D328" s="8" t="s">
        <v>147</v>
      </c>
      <c r="E328" s="8" t="s">
        <v>148</v>
      </c>
      <c r="F328" s="10" t="s">
        <v>99</v>
      </c>
      <c r="G328" s="11" t="s">
        <v>16</v>
      </c>
      <c r="H328" s="66"/>
      <c r="I328" s="67" t="n">
        <v>45883</v>
      </c>
      <c r="J328" s="10" t="s">
        <v>431</v>
      </c>
      <c r="K328" s="68" t="str">
        <f aca="false">IF(G328="No",MAX(0,AsOfDate-I328),"")</f>
        <v/>
      </c>
      <c r="L328" s="12" t="str">
        <f aca="false">IF(K328="","",IF(K328&lt;=90,"0-90",IF(K328&lt;=180,"91-180",IF(K328&lt;=270,"181-270","&gt;270"))))</f>
        <v/>
      </c>
      <c r="M328" s="12" t="str">
        <f aca="false">IF(G328="Obs",COUNTIF(G$2:G328,"Obs"),"")</f>
        <v/>
      </c>
      <c r="N328" s="12" t="str">
        <f aca="false">IF(G328="No",COUNTIF(G$2:G328,"No"),"")</f>
        <v/>
      </c>
    </row>
    <row r="329" customFormat="false" ht="15" hidden="false" customHeight="false" outlineLevel="0" collapsed="false">
      <c r="A329" s="69" t="s">
        <v>566</v>
      </c>
      <c r="B329" s="69" t="s">
        <v>268</v>
      </c>
      <c r="C329" s="69" t="s">
        <v>275</v>
      </c>
      <c r="D329" s="70" t="s">
        <v>147</v>
      </c>
      <c r="E329" s="70" t="s">
        <v>150</v>
      </c>
      <c r="F329" s="69" t="s">
        <v>105</v>
      </c>
      <c r="G329" s="71" t="s">
        <v>16</v>
      </c>
      <c r="H329" s="72"/>
      <c r="I329" s="73" t="n">
        <v>45883</v>
      </c>
      <c r="J329" s="69" t="s">
        <v>431</v>
      </c>
      <c r="K329" s="74" t="str">
        <f aca="false">IF(G329="No",MAX(0,AsOfDate-I329),"")</f>
        <v/>
      </c>
      <c r="L329" s="75" t="str">
        <f aca="false">IF(K329="","",IF(K329&lt;=90,"0-90",IF(K329&lt;=180,"91-180",IF(K329&lt;=270,"181-270","&gt;270"))))</f>
        <v/>
      </c>
      <c r="M329" s="75" t="str">
        <f aca="false">IF(G329="Obs",COUNTIF(G$2:G329,"Obs"),"")</f>
        <v/>
      </c>
      <c r="N329" s="75" t="str">
        <f aca="false">IF(G329="No",COUNTIF(G$2:G329,"No"),"")</f>
        <v/>
      </c>
    </row>
    <row r="330" customFormat="false" ht="15" hidden="false" customHeight="false" outlineLevel="0" collapsed="false">
      <c r="A330" s="10" t="s">
        <v>566</v>
      </c>
      <c r="B330" s="10" t="s">
        <v>268</v>
      </c>
      <c r="C330" s="10" t="s">
        <v>276</v>
      </c>
      <c r="D330" s="8" t="s">
        <v>147</v>
      </c>
      <c r="E330" s="8" t="s">
        <v>152</v>
      </c>
      <c r="F330" s="10" t="s">
        <v>99</v>
      </c>
      <c r="G330" s="11" t="s">
        <v>16</v>
      </c>
      <c r="H330" s="66"/>
      <c r="I330" s="67" t="n">
        <v>45883</v>
      </c>
      <c r="J330" s="10" t="s">
        <v>431</v>
      </c>
      <c r="K330" s="68" t="str">
        <f aca="false">IF(G330="No",MAX(0,AsOfDate-I330),"")</f>
        <v/>
      </c>
      <c r="L330" s="12" t="str">
        <f aca="false">IF(K330="","",IF(K330&lt;=90,"0-90",IF(K330&lt;=180,"91-180",IF(K330&lt;=270,"181-270","&gt;270"))))</f>
        <v/>
      </c>
      <c r="M330" s="12" t="str">
        <f aca="false">IF(G330="Obs",COUNTIF(G$2:G330,"Obs"),"")</f>
        <v/>
      </c>
      <c r="N330" s="12" t="str">
        <f aca="false">IF(G330="No",COUNTIF(G$2:G330,"No"),"")</f>
        <v/>
      </c>
    </row>
    <row r="331" customFormat="false" ht="15" hidden="false" customHeight="false" outlineLevel="0" collapsed="false">
      <c r="A331" s="69" t="s">
        <v>566</v>
      </c>
      <c r="B331" s="69" t="s">
        <v>268</v>
      </c>
      <c r="C331" s="69" t="s">
        <v>277</v>
      </c>
      <c r="D331" s="70" t="s">
        <v>154</v>
      </c>
      <c r="E331" s="70" t="s">
        <v>155</v>
      </c>
      <c r="F331" s="69" t="s">
        <v>105</v>
      </c>
      <c r="G331" s="71" t="s">
        <v>16</v>
      </c>
      <c r="H331" s="72"/>
      <c r="I331" s="73" t="n">
        <v>45883</v>
      </c>
      <c r="J331" s="69" t="s">
        <v>431</v>
      </c>
      <c r="K331" s="74" t="str">
        <f aca="false">IF(G331="No",MAX(0,AsOfDate-I331),"")</f>
        <v/>
      </c>
      <c r="L331" s="75" t="str">
        <f aca="false">IF(K331="","",IF(K331&lt;=90,"0-90",IF(K331&lt;=180,"91-180",IF(K331&lt;=270,"181-270","&gt;270"))))</f>
        <v/>
      </c>
      <c r="M331" s="75" t="str">
        <f aca="false">IF(G331="Obs",COUNTIF(G$2:G331,"Obs"),"")</f>
        <v/>
      </c>
      <c r="N331" s="75" t="str">
        <f aca="false">IF(G331="No",COUNTIF(G$2:G331,"No"),"")</f>
        <v/>
      </c>
    </row>
    <row r="332" customFormat="false" ht="15" hidden="false" customHeight="false" outlineLevel="0" collapsed="false">
      <c r="A332" s="10" t="s">
        <v>566</v>
      </c>
      <c r="B332" s="10" t="s">
        <v>268</v>
      </c>
      <c r="C332" s="10" t="s">
        <v>278</v>
      </c>
      <c r="D332" s="8" t="s">
        <v>154</v>
      </c>
      <c r="E332" s="8" t="s">
        <v>157</v>
      </c>
      <c r="F332" s="10" t="s">
        <v>105</v>
      </c>
      <c r="G332" s="11" t="s">
        <v>20</v>
      </c>
      <c r="H332" s="66"/>
      <c r="I332" s="67" t="n">
        <v>45883</v>
      </c>
      <c r="J332" s="10" t="s">
        <v>431</v>
      </c>
      <c r="K332" s="68" t="str">
        <f aca="false">IF(G332="No",MAX(0,AsOfDate-I332),"")</f>
        <v/>
      </c>
      <c r="L332" s="12" t="str">
        <f aca="false">IF(K332="","",IF(K332&lt;=90,"0-90",IF(K332&lt;=180,"91-180",IF(K332&lt;=270,"181-270","&gt;270"))))</f>
        <v/>
      </c>
      <c r="M332" s="12" t="str">
        <f aca="false">IF(G332="Obs",COUNTIF(G$2:G332,"Obs"),"")</f>
        <v/>
      </c>
      <c r="N332" s="12" t="str">
        <f aca="false">IF(G332="No",COUNTIF(G$2:G332,"No"),"")</f>
        <v/>
      </c>
    </row>
    <row r="333" customFormat="false" ht="23.85" hidden="false" customHeight="false" outlineLevel="0" collapsed="false">
      <c r="A333" s="69" t="s">
        <v>566</v>
      </c>
      <c r="B333" s="69" t="s">
        <v>268</v>
      </c>
      <c r="C333" s="69" t="s">
        <v>279</v>
      </c>
      <c r="D333" s="70" t="s">
        <v>159</v>
      </c>
      <c r="E333" s="70" t="s">
        <v>160</v>
      </c>
      <c r="F333" s="69" t="s">
        <v>99</v>
      </c>
      <c r="G333" s="71" t="s">
        <v>16</v>
      </c>
      <c r="H333" s="72"/>
      <c r="I333" s="73" t="n">
        <v>45883</v>
      </c>
      <c r="J333" s="69" t="s">
        <v>431</v>
      </c>
      <c r="K333" s="74" t="str">
        <f aca="false">IF(G333="No",MAX(0,AsOfDate-I333),"")</f>
        <v/>
      </c>
      <c r="L333" s="75" t="str">
        <f aca="false">IF(K333="","",IF(K333&lt;=90,"0-90",IF(K333&lt;=180,"91-180",IF(K333&lt;=270,"181-270","&gt;270"))))</f>
        <v/>
      </c>
      <c r="M333" s="75" t="str">
        <f aca="false">IF(G333="Obs",COUNTIF(G$2:G333,"Obs"),"")</f>
        <v/>
      </c>
      <c r="N333" s="75" t="str">
        <f aca="false">IF(G333="No",COUNTIF(G$2:G333,"No"),"")</f>
        <v/>
      </c>
    </row>
    <row r="334" customFormat="false" ht="23.85" hidden="false" customHeight="false" outlineLevel="0" collapsed="false">
      <c r="A334" s="10" t="s">
        <v>566</v>
      </c>
      <c r="B334" s="10" t="s">
        <v>268</v>
      </c>
      <c r="C334" s="10" t="s">
        <v>280</v>
      </c>
      <c r="D334" s="8" t="s">
        <v>159</v>
      </c>
      <c r="E334" s="8" t="s">
        <v>162</v>
      </c>
      <c r="F334" s="10" t="s">
        <v>99</v>
      </c>
      <c r="G334" s="11" t="s">
        <v>16</v>
      </c>
      <c r="H334" s="66"/>
      <c r="I334" s="67" t="n">
        <v>45883</v>
      </c>
      <c r="J334" s="10" t="s">
        <v>431</v>
      </c>
      <c r="K334" s="68" t="str">
        <f aca="false">IF(G334="No",MAX(0,AsOfDate-I334),"")</f>
        <v/>
      </c>
      <c r="L334" s="12" t="str">
        <f aca="false">IF(K334="","",IF(K334&lt;=90,"0-90",IF(K334&lt;=180,"91-180",IF(K334&lt;=270,"181-270","&gt;270"))))</f>
        <v/>
      </c>
      <c r="M334" s="12" t="str">
        <f aca="false">IF(G334="Obs",COUNTIF(G$2:G334,"Obs"),"")</f>
        <v/>
      </c>
      <c r="N334" s="12" t="str">
        <f aca="false">IF(G334="No",COUNTIF(G$2:G334,"No"),"")</f>
        <v/>
      </c>
    </row>
    <row r="335" customFormat="false" ht="23.85" hidden="false" customHeight="false" outlineLevel="0" collapsed="false">
      <c r="A335" s="69" t="s">
        <v>566</v>
      </c>
      <c r="B335" s="69" t="s">
        <v>268</v>
      </c>
      <c r="C335" s="69" t="s">
        <v>281</v>
      </c>
      <c r="D335" s="70" t="s">
        <v>159</v>
      </c>
      <c r="E335" s="70" t="s">
        <v>164</v>
      </c>
      <c r="F335" s="69" t="s">
        <v>110</v>
      </c>
      <c r="G335" s="71" t="s">
        <v>16</v>
      </c>
      <c r="H335" s="72"/>
      <c r="I335" s="73" t="n">
        <v>45883</v>
      </c>
      <c r="J335" s="69" t="s">
        <v>431</v>
      </c>
      <c r="K335" s="74" t="str">
        <f aca="false">IF(G335="No",MAX(0,AsOfDate-I335),"")</f>
        <v/>
      </c>
      <c r="L335" s="75" t="str">
        <f aca="false">IF(K335="","",IF(K335&lt;=90,"0-90",IF(K335&lt;=180,"91-180",IF(K335&lt;=270,"181-270","&gt;270"))))</f>
        <v/>
      </c>
      <c r="M335" s="75" t="str">
        <f aca="false">IF(G335="Obs",COUNTIF(G$2:G335,"Obs"),"")</f>
        <v/>
      </c>
      <c r="N335" s="75" t="str">
        <f aca="false">IF(G335="No",COUNTIF(G$2:G335,"No"),"")</f>
        <v/>
      </c>
    </row>
    <row r="336" customFormat="false" ht="15" hidden="false" customHeight="false" outlineLevel="0" collapsed="false">
      <c r="A336" s="10" t="s">
        <v>566</v>
      </c>
      <c r="B336" s="10" t="s">
        <v>268</v>
      </c>
      <c r="C336" s="10" t="s">
        <v>282</v>
      </c>
      <c r="D336" s="8" t="s">
        <v>166</v>
      </c>
      <c r="E336" s="8" t="s">
        <v>167</v>
      </c>
      <c r="F336" s="10" t="s">
        <v>99</v>
      </c>
      <c r="G336" s="11" t="s">
        <v>16</v>
      </c>
      <c r="H336" s="66"/>
      <c r="I336" s="67" t="n">
        <v>45883</v>
      </c>
      <c r="J336" s="10" t="s">
        <v>431</v>
      </c>
      <c r="K336" s="68" t="str">
        <f aca="false">IF(G336="No",MAX(0,AsOfDate-I336),"")</f>
        <v/>
      </c>
      <c r="L336" s="12" t="str">
        <f aca="false">IF(K336="","",IF(K336&lt;=90,"0-90",IF(K336&lt;=180,"91-180",IF(K336&lt;=270,"181-270","&gt;270"))))</f>
        <v/>
      </c>
      <c r="M336" s="12" t="str">
        <f aca="false">IF(G336="Obs",COUNTIF(G$2:G336,"Obs"),"")</f>
        <v/>
      </c>
      <c r="N336" s="12" t="str">
        <f aca="false">IF(G336="No",COUNTIF(G$2:G336,"No"),"")</f>
        <v/>
      </c>
    </row>
    <row r="337" customFormat="false" ht="15" hidden="false" customHeight="false" outlineLevel="0" collapsed="false">
      <c r="A337" s="69" t="s">
        <v>566</v>
      </c>
      <c r="B337" s="69" t="s">
        <v>268</v>
      </c>
      <c r="C337" s="69" t="s">
        <v>283</v>
      </c>
      <c r="D337" s="70" t="s">
        <v>166</v>
      </c>
      <c r="E337" s="70" t="s">
        <v>169</v>
      </c>
      <c r="F337" s="69" t="s">
        <v>105</v>
      </c>
      <c r="G337" s="71" t="s">
        <v>16</v>
      </c>
      <c r="H337" s="72"/>
      <c r="I337" s="73" t="n">
        <v>45883</v>
      </c>
      <c r="J337" s="69" t="s">
        <v>431</v>
      </c>
      <c r="K337" s="74" t="str">
        <f aca="false">IF(G337="No",MAX(0,AsOfDate-I337),"")</f>
        <v/>
      </c>
      <c r="L337" s="75" t="str">
        <f aca="false">IF(K337="","",IF(K337&lt;=90,"0-90",IF(K337&lt;=180,"91-180",IF(K337&lt;=270,"181-270","&gt;270"))))</f>
        <v/>
      </c>
      <c r="M337" s="75" t="str">
        <f aca="false">IF(G337="Obs",COUNTIF(G$2:G337,"Obs"),"")</f>
        <v/>
      </c>
      <c r="N337" s="75" t="str">
        <f aca="false">IF(G337="No",COUNTIF(G$2:G337,"No"),"")</f>
        <v/>
      </c>
    </row>
    <row r="338" customFormat="false" ht="23.85" hidden="false" customHeight="false" outlineLevel="0" collapsed="false">
      <c r="A338" s="10" t="s">
        <v>566</v>
      </c>
      <c r="B338" s="10" t="s">
        <v>268</v>
      </c>
      <c r="C338" s="10" t="s">
        <v>284</v>
      </c>
      <c r="D338" s="8" t="s">
        <v>171</v>
      </c>
      <c r="E338" s="8" t="s">
        <v>172</v>
      </c>
      <c r="F338" s="10" t="s">
        <v>105</v>
      </c>
      <c r="G338" s="11" t="s">
        <v>22</v>
      </c>
      <c r="H338" s="66" t="s">
        <v>592</v>
      </c>
      <c r="I338" s="67" t="n">
        <v>45883</v>
      </c>
      <c r="J338" s="10" t="s">
        <v>431</v>
      </c>
      <c r="K338" s="68" t="str">
        <f aca="false">IF(G338="No",MAX(0,AsOfDate-I338),"")</f>
        <v/>
      </c>
      <c r="L338" s="12" t="str">
        <f aca="false">IF(K338="","",IF(K338&lt;=90,"0-90",IF(K338&lt;=180,"91-180",IF(K338&lt;=270,"181-270","&gt;270"))))</f>
        <v/>
      </c>
      <c r="M338" s="12" t="n">
        <f aca="false">IF(G338="Obs",COUNTIF(G$2:G338,"Obs"),"")</f>
        <v>18</v>
      </c>
      <c r="N338" s="12" t="str">
        <f aca="false">IF(G338="No",COUNTIF(G$2:G338,"No"),"")</f>
        <v/>
      </c>
    </row>
    <row r="339" customFormat="false" ht="15" hidden="false" customHeight="false" outlineLevel="0" collapsed="false">
      <c r="A339" s="69" t="s">
        <v>566</v>
      </c>
      <c r="B339" s="69" t="s">
        <v>268</v>
      </c>
      <c r="C339" s="69" t="s">
        <v>285</v>
      </c>
      <c r="D339" s="70" t="s">
        <v>171</v>
      </c>
      <c r="E339" s="70" t="s">
        <v>174</v>
      </c>
      <c r="F339" s="69" t="s">
        <v>99</v>
      </c>
      <c r="G339" s="71" t="s">
        <v>18</v>
      </c>
      <c r="H339" s="72" t="s">
        <v>537</v>
      </c>
      <c r="I339" s="73" t="n">
        <v>45883</v>
      </c>
      <c r="J339" s="69" t="s">
        <v>431</v>
      </c>
      <c r="K339" s="74" t="n">
        <f aca="false">IF(G339="No",MAX(0,AsOfDate-I339),"")</f>
        <v>300</v>
      </c>
      <c r="L339" s="75" t="str">
        <f aca="false">IF(K339="","",IF(K339&lt;=90,"0-90",IF(K339&lt;=180,"91-180",IF(K339&lt;=270,"181-270","&gt;270"))))</f>
        <v>&gt;270</v>
      </c>
      <c r="M339" s="75" t="str">
        <f aca="false">IF(G339="Obs",COUNTIF(G$2:G339,"Obs"),"")</f>
        <v/>
      </c>
      <c r="N339" s="75" t="n">
        <f aca="false">IF(G339="No",COUNTIF(G$2:G339,"No"),"")</f>
        <v>27</v>
      </c>
    </row>
    <row r="340" customFormat="false" ht="15" hidden="false" customHeight="false" outlineLevel="0" collapsed="false">
      <c r="A340" s="10" t="s">
        <v>566</v>
      </c>
      <c r="B340" s="10" t="s">
        <v>268</v>
      </c>
      <c r="C340" s="10" t="s">
        <v>286</v>
      </c>
      <c r="D340" s="8" t="s">
        <v>176</v>
      </c>
      <c r="E340" s="8" t="s">
        <v>177</v>
      </c>
      <c r="F340" s="10" t="s">
        <v>105</v>
      </c>
      <c r="G340" s="11" t="s">
        <v>16</v>
      </c>
      <c r="H340" s="66"/>
      <c r="I340" s="67" t="n">
        <v>45883</v>
      </c>
      <c r="J340" s="10" t="s">
        <v>431</v>
      </c>
      <c r="K340" s="68" t="str">
        <f aca="false">IF(G340="No",MAX(0,AsOfDate-I340),"")</f>
        <v/>
      </c>
      <c r="L340" s="12" t="str">
        <f aca="false">IF(K340="","",IF(K340&lt;=90,"0-90",IF(K340&lt;=180,"91-180",IF(K340&lt;=270,"181-270","&gt;270"))))</f>
        <v/>
      </c>
      <c r="M340" s="12" t="str">
        <f aca="false">IF(G340="Obs",COUNTIF(G$2:G340,"Obs"),"")</f>
        <v/>
      </c>
      <c r="N340" s="12" t="str">
        <f aca="false">IF(G340="No",COUNTIF(G$2:G340,"No"),"")</f>
        <v/>
      </c>
    </row>
    <row r="341" customFormat="false" ht="15" hidden="false" customHeight="false" outlineLevel="0" collapsed="false">
      <c r="A341" s="69" t="s">
        <v>566</v>
      </c>
      <c r="B341" s="69" t="s">
        <v>268</v>
      </c>
      <c r="C341" s="69" t="s">
        <v>287</v>
      </c>
      <c r="D341" s="70" t="s">
        <v>176</v>
      </c>
      <c r="E341" s="70" t="s">
        <v>179</v>
      </c>
      <c r="F341" s="69" t="s">
        <v>105</v>
      </c>
      <c r="G341" s="71" t="s">
        <v>16</v>
      </c>
      <c r="H341" s="72"/>
      <c r="I341" s="73" t="n">
        <v>45883</v>
      </c>
      <c r="J341" s="69" t="s">
        <v>431</v>
      </c>
      <c r="K341" s="74" t="str">
        <f aca="false">IF(G341="No",MAX(0,AsOfDate-I341),"")</f>
        <v/>
      </c>
      <c r="L341" s="75" t="str">
        <f aca="false">IF(K341="","",IF(K341&lt;=90,"0-90",IF(K341&lt;=180,"91-180",IF(K341&lt;=270,"181-270","&gt;270"))))</f>
        <v/>
      </c>
      <c r="M341" s="75" t="str">
        <f aca="false">IF(G341="Obs",COUNTIF(G$2:G341,"Obs"),"")</f>
        <v/>
      </c>
      <c r="N341" s="75" t="str">
        <f aca="false">IF(G341="No",COUNTIF(G$2:G341,"No"),"")</f>
        <v/>
      </c>
    </row>
    <row r="342" customFormat="false" ht="23.85" hidden="false" customHeight="false" outlineLevel="0" collapsed="false">
      <c r="A342" s="10" t="s">
        <v>566</v>
      </c>
      <c r="B342" s="10" t="s">
        <v>268</v>
      </c>
      <c r="C342" s="10" t="s">
        <v>288</v>
      </c>
      <c r="D342" s="8" t="s">
        <v>289</v>
      </c>
      <c r="E342" s="8" t="s">
        <v>290</v>
      </c>
      <c r="F342" s="10" t="s">
        <v>99</v>
      </c>
      <c r="G342" s="11" t="s">
        <v>16</v>
      </c>
      <c r="H342" s="66"/>
      <c r="I342" s="67" t="n">
        <v>45883</v>
      </c>
      <c r="J342" s="10" t="s">
        <v>431</v>
      </c>
      <c r="K342" s="68" t="str">
        <f aca="false">IF(G342="No",MAX(0,AsOfDate-I342),"")</f>
        <v/>
      </c>
      <c r="L342" s="12" t="str">
        <f aca="false">IF(K342="","",IF(K342&lt;=90,"0-90",IF(K342&lt;=180,"91-180",IF(K342&lt;=270,"181-270","&gt;270"))))</f>
        <v/>
      </c>
      <c r="M342" s="12" t="str">
        <f aca="false">IF(G342="Obs",COUNTIF(G$2:G342,"Obs"),"")</f>
        <v/>
      </c>
      <c r="N342" s="12" t="str">
        <f aca="false">IF(G342="No",COUNTIF(G$2:G342,"No"),"")</f>
        <v/>
      </c>
    </row>
    <row r="343" customFormat="false" ht="15" hidden="false" customHeight="false" outlineLevel="0" collapsed="false">
      <c r="A343" s="69" t="s">
        <v>566</v>
      </c>
      <c r="B343" s="69" t="s">
        <v>268</v>
      </c>
      <c r="C343" s="69" t="s">
        <v>291</v>
      </c>
      <c r="D343" s="70" t="s">
        <v>289</v>
      </c>
      <c r="E343" s="70" t="s">
        <v>292</v>
      </c>
      <c r="F343" s="69" t="s">
        <v>99</v>
      </c>
      <c r="G343" s="71" t="s">
        <v>16</v>
      </c>
      <c r="H343" s="72"/>
      <c r="I343" s="73" t="n">
        <v>45883</v>
      </c>
      <c r="J343" s="69" t="s">
        <v>431</v>
      </c>
      <c r="K343" s="74" t="str">
        <f aca="false">IF(G343="No",MAX(0,AsOfDate-I343),"")</f>
        <v/>
      </c>
      <c r="L343" s="75" t="str">
        <f aca="false">IF(K343="","",IF(K343&lt;=90,"0-90",IF(K343&lt;=180,"91-180",IF(K343&lt;=270,"181-270","&gt;270"))))</f>
        <v/>
      </c>
      <c r="M343" s="75" t="str">
        <f aca="false">IF(G343="Obs",COUNTIF(G$2:G343,"Obs"),"")</f>
        <v/>
      </c>
      <c r="N343" s="75" t="str">
        <f aca="false">IF(G343="No",COUNTIF(G$2:G343,"No"),"")</f>
        <v/>
      </c>
    </row>
    <row r="344" customFormat="false" ht="15" hidden="false" customHeight="false" outlineLevel="0" collapsed="false">
      <c r="A344" s="10" t="s">
        <v>566</v>
      </c>
      <c r="B344" s="10" t="s">
        <v>268</v>
      </c>
      <c r="C344" s="10" t="s">
        <v>293</v>
      </c>
      <c r="D344" s="8" t="s">
        <v>289</v>
      </c>
      <c r="E344" s="8" t="s">
        <v>294</v>
      </c>
      <c r="F344" s="10" t="s">
        <v>105</v>
      </c>
      <c r="G344" s="11" t="s">
        <v>16</v>
      </c>
      <c r="H344" s="66"/>
      <c r="I344" s="67" t="n">
        <v>45883</v>
      </c>
      <c r="J344" s="10" t="s">
        <v>431</v>
      </c>
      <c r="K344" s="68" t="str">
        <f aca="false">IF(G344="No",MAX(0,AsOfDate-I344),"")</f>
        <v/>
      </c>
      <c r="L344" s="12" t="str">
        <f aca="false">IF(K344="","",IF(K344&lt;=90,"0-90",IF(K344&lt;=180,"91-180",IF(K344&lt;=270,"181-270","&gt;270"))))</f>
        <v/>
      </c>
      <c r="M344" s="12" t="str">
        <f aca="false">IF(G344="Obs",COUNTIF(G$2:G344,"Obs"),"")</f>
        <v/>
      </c>
      <c r="N344" s="12" t="str">
        <f aca="false">IF(G344="No",COUNTIF(G$2:G344,"No"),"")</f>
        <v/>
      </c>
    </row>
    <row r="345" customFormat="false" ht="15" hidden="false" customHeight="false" outlineLevel="0" collapsed="false">
      <c r="A345" s="69" t="s">
        <v>566</v>
      </c>
      <c r="B345" s="69" t="s">
        <v>268</v>
      </c>
      <c r="C345" s="69" t="s">
        <v>295</v>
      </c>
      <c r="D345" s="70" t="s">
        <v>289</v>
      </c>
      <c r="E345" s="70" t="s">
        <v>296</v>
      </c>
      <c r="F345" s="69" t="s">
        <v>99</v>
      </c>
      <c r="G345" s="71" t="s">
        <v>16</v>
      </c>
      <c r="H345" s="72"/>
      <c r="I345" s="73" t="n">
        <v>45883</v>
      </c>
      <c r="J345" s="69" t="s">
        <v>431</v>
      </c>
      <c r="K345" s="74" t="str">
        <f aca="false">IF(G345="No",MAX(0,AsOfDate-I345),"")</f>
        <v/>
      </c>
      <c r="L345" s="75" t="str">
        <f aca="false">IF(K345="","",IF(K345&lt;=90,"0-90",IF(K345&lt;=180,"91-180",IF(K345&lt;=270,"181-270","&gt;270"))))</f>
        <v/>
      </c>
      <c r="M345" s="75" t="str">
        <f aca="false">IF(G345="Obs",COUNTIF(G$2:G345,"Obs"),"")</f>
        <v/>
      </c>
      <c r="N345" s="75" t="str">
        <f aca="false">IF(G345="No",COUNTIF(G$2:G345,"No"),"")</f>
        <v/>
      </c>
    </row>
    <row r="346" customFormat="false" ht="15" hidden="false" customHeight="false" outlineLevel="0" collapsed="false">
      <c r="A346" s="10" t="s">
        <v>566</v>
      </c>
      <c r="B346" s="10" t="s">
        <v>268</v>
      </c>
      <c r="C346" s="10" t="s">
        <v>297</v>
      </c>
      <c r="D346" s="8" t="s">
        <v>289</v>
      </c>
      <c r="E346" s="8" t="s">
        <v>298</v>
      </c>
      <c r="F346" s="10" t="s">
        <v>105</v>
      </c>
      <c r="G346" s="11" t="s">
        <v>16</v>
      </c>
      <c r="H346" s="66"/>
      <c r="I346" s="67" t="n">
        <v>45883</v>
      </c>
      <c r="J346" s="10" t="s">
        <v>431</v>
      </c>
      <c r="K346" s="68" t="str">
        <f aca="false">IF(G346="No",MAX(0,AsOfDate-I346),"")</f>
        <v/>
      </c>
      <c r="L346" s="12" t="str">
        <f aca="false">IF(K346="","",IF(K346&lt;=90,"0-90",IF(K346&lt;=180,"91-180",IF(K346&lt;=270,"181-270","&gt;270"))))</f>
        <v/>
      </c>
      <c r="M346" s="12" t="str">
        <f aca="false">IF(G346="Obs",COUNTIF(G$2:G346,"Obs"),"")</f>
        <v/>
      </c>
      <c r="N346" s="12" t="str">
        <f aca="false">IF(G346="No",COUNTIF(G$2:G346,"No"),"")</f>
        <v/>
      </c>
    </row>
    <row r="347" customFormat="false" ht="15" hidden="false" customHeight="false" outlineLevel="0" collapsed="false">
      <c r="A347" s="69" t="s">
        <v>566</v>
      </c>
      <c r="B347" s="69" t="s">
        <v>268</v>
      </c>
      <c r="C347" s="69" t="s">
        <v>299</v>
      </c>
      <c r="D347" s="70" t="s">
        <v>289</v>
      </c>
      <c r="E347" s="70" t="s">
        <v>300</v>
      </c>
      <c r="F347" s="69" t="s">
        <v>105</v>
      </c>
      <c r="G347" s="71" t="s">
        <v>16</v>
      </c>
      <c r="H347" s="72"/>
      <c r="I347" s="73" t="n">
        <v>45883</v>
      </c>
      <c r="J347" s="69" t="s">
        <v>431</v>
      </c>
      <c r="K347" s="74" t="str">
        <f aca="false">IF(G347="No",MAX(0,AsOfDate-I347),"")</f>
        <v/>
      </c>
      <c r="L347" s="75" t="str">
        <f aca="false">IF(K347="","",IF(K347&lt;=90,"0-90",IF(K347&lt;=180,"91-180",IF(K347&lt;=270,"181-270","&gt;270"))))</f>
        <v/>
      </c>
      <c r="M347" s="75" t="str">
        <f aca="false">IF(G347="Obs",COUNTIF(G$2:G347,"Obs"),"")</f>
        <v/>
      </c>
      <c r="N347" s="75" t="str">
        <f aca="false">IF(G347="No",COUNTIF(G$2:G347,"No"),"")</f>
        <v/>
      </c>
    </row>
    <row r="348" customFormat="false" ht="23.85" hidden="false" customHeight="false" outlineLevel="0" collapsed="false">
      <c r="A348" s="10" t="s">
        <v>709</v>
      </c>
      <c r="B348" s="10" t="s">
        <v>268</v>
      </c>
      <c r="C348" s="10" t="s">
        <v>267</v>
      </c>
      <c r="D348" s="8" t="s">
        <v>133</v>
      </c>
      <c r="E348" s="8" t="s">
        <v>134</v>
      </c>
      <c r="F348" s="10" t="s">
        <v>99</v>
      </c>
      <c r="G348" s="11" t="s">
        <v>22</v>
      </c>
      <c r="H348" s="66" t="s">
        <v>592</v>
      </c>
      <c r="I348" s="67" t="n">
        <v>45967</v>
      </c>
      <c r="J348" s="10" t="s">
        <v>687</v>
      </c>
      <c r="K348" s="68" t="str">
        <f aca="false">IF(G348="No",MAX(0,AsOfDate-I348),"")</f>
        <v/>
      </c>
      <c r="L348" s="12" t="str">
        <f aca="false">IF(K348="","",IF(K348&lt;=90,"0-90",IF(K348&lt;=180,"91-180",IF(K348&lt;=270,"181-270","&gt;270"))))</f>
        <v/>
      </c>
      <c r="M348" s="12" t="n">
        <f aca="false">IF(G348="Obs",COUNTIF(G$2:G348,"Obs"),"")</f>
        <v>19</v>
      </c>
      <c r="N348" s="12" t="str">
        <f aca="false">IF(G348="No",COUNTIF(G$2:G348,"No"),"")</f>
        <v/>
      </c>
    </row>
    <row r="349" customFormat="false" ht="15" hidden="false" customHeight="false" outlineLevel="0" collapsed="false">
      <c r="A349" s="69" t="s">
        <v>709</v>
      </c>
      <c r="B349" s="69" t="s">
        <v>268</v>
      </c>
      <c r="C349" s="69" t="s">
        <v>269</v>
      </c>
      <c r="D349" s="70" t="s">
        <v>133</v>
      </c>
      <c r="E349" s="70" t="s">
        <v>136</v>
      </c>
      <c r="F349" s="69" t="s">
        <v>99</v>
      </c>
      <c r="G349" s="71" t="s">
        <v>16</v>
      </c>
      <c r="H349" s="72"/>
      <c r="I349" s="73" t="n">
        <v>45967</v>
      </c>
      <c r="J349" s="69" t="s">
        <v>687</v>
      </c>
      <c r="K349" s="74" t="str">
        <f aca="false">IF(G349="No",MAX(0,AsOfDate-I349),"")</f>
        <v/>
      </c>
      <c r="L349" s="75" t="str">
        <f aca="false">IF(K349="","",IF(K349&lt;=90,"0-90",IF(K349&lt;=180,"91-180",IF(K349&lt;=270,"181-270","&gt;270"))))</f>
        <v/>
      </c>
      <c r="M349" s="75" t="str">
        <f aca="false">IF(G349="Obs",COUNTIF(G$2:G349,"Obs"),"")</f>
        <v/>
      </c>
      <c r="N349" s="75" t="str">
        <f aca="false">IF(G349="No",COUNTIF(G$2:G349,"No"),"")</f>
        <v/>
      </c>
    </row>
    <row r="350" customFormat="false" ht="15" hidden="false" customHeight="false" outlineLevel="0" collapsed="false">
      <c r="A350" s="10" t="s">
        <v>709</v>
      </c>
      <c r="B350" s="10" t="s">
        <v>268</v>
      </c>
      <c r="C350" s="10" t="s">
        <v>270</v>
      </c>
      <c r="D350" s="8" t="s">
        <v>133</v>
      </c>
      <c r="E350" s="8" t="s">
        <v>138</v>
      </c>
      <c r="F350" s="10" t="s">
        <v>105</v>
      </c>
      <c r="G350" s="11" t="s">
        <v>16</v>
      </c>
      <c r="H350" s="66"/>
      <c r="I350" s="67" t="n">
        <v>45967</v>
      </c>
      <c r="J350" s="10" t="s">
        <v>687</v>
      </c>
      <c r="K350" s="68" t="str">
        <f aca="false">IF(G350="No",MAX(0,AsOfDate-I350),"")</f>
        <v/>
      </c>
      <c r="L350" s="12" t="str">
        <f aca="false">IF(K350="","",IF(K350&lt;=90,"0-90",IF(K350&lt;=180,"91-180",IF(K350&lt;=270,"181-270","&gt;270"))))</f>
        <v/>
      </c>
      <c r="M350" s="12" t="str">
        <f aca="false">IF(G350="Obs",COUNTIF(G$2:G350,"Obs"),"")</f>
        <v/>
      </c>
      <c r="N350" s="12" t="str">
        <f aca="false">IF(G350="No",COUNTIF(G$2:G350,"No"),"")</f>
        <v/>
      </c>
    </row>
    <row r="351" customFormat="false" ht="15" hidden="false" customHeight="false" outlineLevel="0" collapsed="false">
      <c r="A351" s="69" t="s">
        <v>709</v>
      </c>
      <c r="B351" s="69" t="s">
        <v>268</v>
      </c>
      <c r="C351" s="69" t="s">
        <v>271</v>
      </c>
      <c r="D351" s="70" t="s">
        <v>140</v>
      </c>
      <c r="E351" s="70" t="s">
        <v>141</v>
      </c>
      <c r="F351" s="69" t="s">
        <v>99</v>
      </c>
      <c r="G351" s="71" t="s">
        <v>16</v>
      </c>
      <c r="H351" s="72"/>
      <c r="I351" s="73" t="n">
        <v>45967</v>
      </c>
      <c r="J351" s="69" t="s">
        <v>687</v>
      </c>
      <c r="K351" s="74" t="str">
        <f aca="false">IF(G351="No",MAX(0,AsOfDate-I351),"")</f>
        <v/>
      </c>
      <c r="L351" s="75" t="str">
        <f aca="false">IF(K351="","",IF(K351&lt;=90,"0-90",IF(K351&lt;=180,"91-180",IF(K351&lt;=270,"181-270","&gt;270"))))</f>
        <v/>
      </c>
      <c r="M351" s="75" t="str">
        <f aca="false">IF(G351="Obs",COUNTIF(G$2:G351,"Obs"),"")</f>
        <v/>
      </c>
      <c r="N351" s="75" t="str">
        <f aca="false">IF(G351="No",COUNTIF(G$2:G351,"No"),"")</f>
        <v/>
      </c>
    </row>
    <row r="352" customFormat="false" ht="15" hidden="false" customHeight="false" outlineLevel="0" collapsed="false">
      <c r="A352" s="10" t="s">
        <v>709</v>
      </c>
      <c r="B352" s="10" t="s">
        <v>268</v>
      </c>
      <c r="C352" s="10" t="s">
        <v>272</v>
      </c>
      <c r="D352" s="8" t="s">
        <v>140</v>
      </c>
      <c r="E352" s="8" t="s">
        <v>143</v>
      </c>
      <c r="F352" s="10" t="s">
        <v>105</v>
      </c>
      <c r="G352" s="11" t="s">
        <v>16</v>
      </c>
      <c r="H352" s="66"/>
      <c r="I352" s="67" t="n">
        <v>45967</v>
      </c>
      <c r="J352" s="10" t="s">
        <v>687</v>
      </c>
      <c r="K352" s="68" t="str">
        <f aca="false">IF(G352="No",MAX(0,AsOfDate-I352),"")</f>
        <v/>
      </c>
      <c r="L352" s="12" t="str">
        <f aca="false">IF(K352="","",IF(K352&lt;=90,"0-90",IF(K352&lt;=180,"91-180",IF(K352&lt;=270,"181-270","&gt;270"))))</f>
        <v/>
      </c>
      <c r="M352" s="12" t="str">
        <f aca="false">IF(G352="Obs",COUNTIF(G$2:G352,"Obs"),"")</f>
        <v/>
      </c>
      <c r="N352" s="12" t="str">
        <f aca="false">IF(G352="No",COUNTIF(G$2:G352,"No"),"")</f>
        <v/>
      </c>
    </row>
    <row r="353" customFormat="false" ht="15" hidden="false" customHeight="false" outlineLevel="0" collapsed="false">
      <c r="A353" s="69" t="s">
        <v>709</v>
      </c>
      <c r="B353" s="69" t="s">
        <v>268</v>
      </c>
      <c r="C353" s="69" t="s">
        <v>273</v>
      </c>
      <c r="D353" s="70" t="s">
        <v>140</v>
      </c>
      <c r="E353" s="70" t="s">
        <v>145</v>
      </c>
      <c r="F353" s="69" t="s">
        <v>99</v>
      </c>
      <c r="G353" s="71" t="s">
        <v>16</v>
      </c>
      <c r="H353" s="72"/>
      <c r="I353" s="73" t="n">
        <v>45967</v>
      </c>
      <c r="J353" s="69" t="s">
        <v>687</v>
      </c>
      <c r="K353" s="74" t="str">
        <f aca="false">IF(G353="No",MAX(0,AsOfDate-I353),"")</f>
        <v/>
      </c>
      <c r="L353" s="75" t="str">
        <f aca="false">IF(K353="","",IF(K353&lt;=90,"0-90",IF(K353&lt;=180,"91-180",IF(K353&lt;=270,"181-270","&gt;270"))))</f>
        <v/>
      </c>
      <c r="M353" s="75" t="str">
        <f aca="false">IF(G353="Obs",COUNTIF(G$2:G353,"Obs"),"")</f>
        <v/>
      </c>
      <c r="N353" s="75" t="str">
        <f aca="false">IF(G353="No",COUNTIF(G$2:G353,"No"),"")</f>
        <v/>
      </c>
    </row>
    <row r="354" customFormat="false" ht="15" hidden="false" customHeight="false" outlineLevel="0" collapsed="false">
      <c r="A354" s="10" t="s">
        <v>709</v>
      </c>
      <c r="B354" s="10" t="s">
        <v>268</v>
      </c>
      <c r="C354" s="10" t="s">
        <v>274</v>
      </c>
      <c r="D354" s="8" t="s">
        <v>147</v>
      </c>
      <c r="E354" s="8" t="s">
        <v>148</v>
      </c>
      <c r="F354" s="10" t="s">
        <v>99</v>
      </c>
      <c r="G354" s="11" t="s">
        <v>16</v>
      </c>
      <c r="H354" s="66"/>
      <c r="I354" s="67" t="n">
        <v>45967</v>
      </c>
      <c r="J354" s="10" t="s">
        <v>687</v>
      </c>
      <c r="K354" s="68" t="str">
        <f aca="false">IF(G354="No",MAX(0,AsOfDate-I354),"")</f>
        <v/>
      </c>
      <c r="L354" s="12" t="str">
        <f aca="false">IF(K354="","",IF(K354&lt;=90,"0-90",IF(K354&lt;=180,"91-180",IF(K354&lt;=270,"181-270","&gt;270"))))</f>
        <v/>
      </c>
      <c r="M354" s="12" t="str">
        <f aca="false">IF(G354="Obs",COUNTIF(G$2:G354,"Obs"),"")</f>
        <v/>
      </c>
      <c r="N354" s="12" t="str">
        <f aca="false">IF(G354="No",COUNTIF(G$2:G354,"No"),"")</f>
        <v/>
      </c>
    </row>
    <row r="355" customFormat="false" ht="15" hidden="false" customHeight="false" outlineLevel="0" collapsed="false">
      <c r="A355" s="69" t="s">
        <v>709</v>
      </c>
      <c r="B355" s="69" t="s">
        <v>268</v>
      </c>
      <c r="C355" s="69" t="s">
        <v>275</v>
      </c>
      <c r="D355" s="70" t="s">
        <v>147</v>
      </c>
      <c r="E355" s="70" t="s">
        <v>150</v>
      </c>
      <c r="F355" s="69" t="s">
        <v>105</v>
      </c>
      <c r="G355" s="71" t="s">
        <v>16</v>
      </c>
      <c r="H355" s="72"/>
      <c r="I355" s="73" t="n">
        <v>45967</v>
      </c>
      <c r="J355" s="69" t="s">
        <v>687</v>
      </c>
      <c r="K355" s="74" t="str">
        <f aca="false">IF(G355="No",MAX(0,AsOfDate-I355),"")</f>
        <v/>
      </c>
      <c r="L355" s="75" t="str">
        <f aca="false">IF(K355="","",IF(K355&lt;=90,"0-90",IF(K355&lt;=180,"91-180",IF(K355&lt;=270,"181-270","&gt;270"))))</f>
        <v/>
      </c>
      <c r="M355" s="75" t="str">
        <f aca="false">IF(G355="Obs",COUNTIF(G$2:G355,"Obs"),"")</f>
        <v/>
      </c>
      <c r="N355" s="75" t="str">
        <f aca="false">IF(G355="No",COUNTIF(G$2:G355,"No"),"")</f>
        <v/>
      </c>
    </row>
    <row r="356" customFormat="false" ht="15" hidden="false" customHeight="false" outlineLevel="0" collapsed="false">
      <c r="A356" s="10" t="s">
        <v>709</v>
      </c>
      <c r="B356" s="10" t="s">
        <v>268</v>
      </c>
      <c r="C356" s="10" t="s">
        <v>276</v>
      </c>
      <c r="D356" s="8" t="s">
        <v>147</v>
      </c>
      <c r="E356" s="8" t="s">
        <v>152</v>
      </c>
      <c r="F356" s="10" t="s">
        <v>99</v>
      </c>
      <c r="G356" s="11" t="s">
        <v>16</v>
      </c>
      <c r="H356" s="66"/>
      <c r="I356" s="67" t="n">
        <v>45967</v>
      </c>
      <c r="J356" s="10" t="s">
        <v>687</v>
      </c>
      <c r="K356" s="68" t="str">
        <f aca="false">IF(G356="No",MAX(0,AsOfDate-I356),"")</f>
        <v/>
      </c>
      <c r="L356" s="12" t="str">
        <f aca="false">IF(K356="","",IF(K356&lt;=90,"0-90",IF(K356&lt;=180,"91-180",IF(K356&lt;=270,"181-270","&gt;270"))))</f>
        <v/>
      </c>
      <c r="M356" s="12" t="str">
        <f aca="false">IF(G356="Obs",COUNTIF(G$2:G356,"Obs"),"")</f>
        <v/>
      </c>
      <c r="N356" s="12" t="str">
        <f aca="false">IF(G356="No",COUNTIF(G$2:G356,"No"),"")</f>
        <v/>
      </c>
    </row>
    <row r="357" customFormat="false" ht="15" hidden="false" customHeight="false" outlineLevel="0" collapsed="false">
      <c r="A357" s="69" t="s">
        <v>709</v>
      </c>
      <c r="B357" s="69" t="s">
        <v>268</v>
      </c>
      <c r="C357" s="69" t="s">
        <v>277</v>
      </c>
      <c r="D357" s="70" t="s">
        <v>154</v>
      </c>
      <c r="E357" s="70" t="s">
        <v>155</v>
      </c>
      <c r="F357" s="69" t="s">
        <v>105</v>
      </c>
      <c r="G357" s="71" t="s">
        <v>16</v>
      </c>
      <c r="H357" s="72"/>
      <c r="I357" s="73" t="n">
        <v>45967</v>
      </c>
      <c r="J357" s="69" t="s">
        <v>687</v>
      </c>
      <c r="K357" s="74" t="str">
        <f aca="false">IF(G357="No",MAX(0,AsOfDate-I357),"")</f>
        <v/>
      </c>
      <c r="L357" s="75" t="str">
        <f aca="false">IF(K357="","",IF(K357&lt;=90,"0-90",IF(K357&lt;=180,"91-180",IF(K357&lt;=270,"181-270","&gt;270"))))</f>
        <v/>
      </c>
      <c r="M357" s="75" t="str">
        <f aca="false">IF(G357="Obs",COUNTIF(G$2:G357,"Obs"),"")</f>
        <v/>
      </c>
      <c r="N357" s="75" t="str">
        <f aca="false">IF(G357="No",COUNTIF(G$2:G357,"No"),"")</f>
        <v/>
      </c>
    </row>
    <row r="358" customFormat="false" ht="15" hidden="false" customHeight="false" outlineLevel="0" collapsed="false">
      <c r="A358" s="10" t="s">
        <v>709</v>
      </c>
      <c r="B358" s="10" t="s">
        <v>268</v>
      </c>
      <c r="C358" s="10" t="s">
        <v>278</v>
      </c>
      <c r="D358" s="8" t="s">
        <v>154</v>
      </c>
      <c r="E358" s="8" t="s">
        <v>157</v>
      </c>
      <c r="F358" s="10" t="s">
        <v>105</v>
      </c>
      <c r="G358" s="11" t="s">
        <v>20</v>
      </c>
      <c r="H358" s="66"/>
      <c r="I358" s="67" t="n">
        <v>45967</v>
      </c>
      <c r="J358" s="10" t="s">
        <v>687</v>
      </c>
      <c r="K358" s="68" t="str">
        <f aca="false">IF(G358="No",MAX(0,AsOfDate-I358),"")</f>
        <v/>
      </c>
      <c r="L358" s="12" t="str">
        <f aca="false">IF(K358="","",IF(K358&lt;=90,"0-90",IF(K358&lt;=180,"91-180",IF(K358&lt;=270,"181-270","&gt;270"))))</f>
        <v/>
      </c>
      <c r="M358" s="12" t="str">
        <f aca="false">IF(G358="Obs",COUNTIF(G$2:G358,"Obs"),"")</f>
        <v/>
      </c>
      <c r="N358" s="12" t="str">
        <f aca="false">IF(G358="No",COUNTIF(G$2:G358,"No"),"")</f>
        <v/>
      </c>
    </row>
    <row r="359" customFormat="false" ht="23.85" hidden="false" customHeight="false" outlineLevel="0" collapsed="false">
      <c r="A359" s="69" t="s">
        <v>709</v>
      </c>
      <c r="B359" s="69" t="s">
        <v>268</v>
      </c>
      <c r="C359" s="69" t="s">
        <v>279</v>
      </c>
      <c r="D359" s="70" t="s">
        <v>159</v>
      </c>
      <c r="E359" s="70" t="s">
        <v>160</v>
      </c>
      <c r="F359" s="69" t="s">
        <v>99</v>
      </c>
      <c r="G359" s="71" t="s">
        <v>16</v>
      </c>
      <c r="H359" s="72"/>
      <c r="I359" s="73" t="n">
        <v>45967</v>
      </c>
      <c r="J359" s="69" t="s">
        <v>687</v>
      </c>
      <c r="K359" s="74" t="str">
        <f aca="false">IF(G359="No",MAX(0,AsOfDate-I359),"")</f>
        <v/>
      </c>
      <c r="L359" s="75" t="str">
        <f aca="false">IF(K359="","",IF(K359&lt;=90,"0-90",IF(K359&lt;=180,"91-180",IF(K359&lt;=270,"181-270","&gt;270"))))</f>
        <v/>
      </c>
      <c r="M359" s="75" t="str">
        <f aca="false">IF(G359="Obs",COUNTIF(G$2:G359,"Obs"),"")</f>
        <v/>
      </c>
      <c r="N359" s="75" t="str">
        <f aca="false">IF(G359="No",COUNTIF(G$2:G359,"No"),"")</f>
        <v/>
      </c>
    </row>
    <row r="360" customFormat="false" ht="23.85" hidden="false" customHeight="false" outlineLevel="0" collapsed="false">
      <c r="A360" s="10" t="s">
        <v>709</v>
      </c>
      <c r="B360" s="10" t="s">
        <v>268</v>
      </c>
      <c r="C360" s="10" t="s">
        <v>280</v>
      </c>
      <c r="D360" s="8" t="s">
        <v>159</v>
      </c>
      <c r="E360" s="8" t="s">
        <v>162</v>
      </c>
      <c r="F360" s="10" t="s">
        <v>99</v>
      </c>
      <c r="G360" s="11" t="s">
        <v>16</v>
      </c>
      <c r="H360" s="66"/>
      <c r="I360" s="67" t="n">
        <v>45967</v>
      </c>
      <c r="J360" s="10" t="s">
        <v>687</v>
      </c>
      <c r="K360" s="68" t="str">
        <f aca="false">IF(G360="No",MAX(0,AsOfDate-I360),"")</f>
        <v/>
      </c>
      <c r="L360" s="12" t="str">
        <f aca="false">IF(K360="","",IF(K360&lt;=90,"0-90",IF(K360&lt;=180,"91-180",IF(K360&lt;=270,"181-270","&gt;270"))))</f>
        <v/>
      </c>
      <c r="M360" s="12" t="str">
        <f aca="false">IF(G360="Obs",COUNTIF(G$2:G360,"Obs"),"")</f>
        <v/>
      </c>
      <c r="N360" s="12" t="str">
        <f aca="false">IF(G360="No",COUNTIF(G$2:G360,"No"),"")</f>
        <v/>
      </c>
    </row>
    <row r="361" customFormat="false" ht="23.85" hidden="false" customHeight="false" outlineLevel="0" collapsed="false">
      <c r="A361" s="69" t="s">
        <v>709</v>
      </c>
      <c r="B361" s="69" t="s">
        <v>268</v>
      </c>
      <c r="C361" s="69" t="s">
        <v>281</v>
      </c>
      <c r="D361" s="70" t="s">
        <v>159</v>
      </c>
      <c r="E361" s="70" t="s">
        <v>164</v>
      </c>
      <c r="F361" s="69" t="s">
        <v>110</v>
      </c>
      <c r="G361" s="71" t="s">
        <v>16</v>
      </c>
      <c r="H361" s="72"/>
      <c r="I361" s="73" t="n">
        <v>45967</v>
      </c>
      <c r="J361" s="69" t="s">
        <v>687</v>
      </c>
      <c r="K361" s="74" t="str">
        <f aca="false">IF(G361="No",MAX(0,AsOfDate-I361),"")</f>
        <v/>
      </c>
      <c r="L361" s="75" t="str">
        <f aca="false">IF(K361="","",IF(K361&lt;=90,"0-90",IF(K361&lt;=180,"91-180",IF(K361&lt;=270,"181-270","&gt;270"))))</f>
        <v/>
      </c>
      <c r="M361" s="75" t="str">
        <f aca="false">IF(G361="Obs",COUNTIF(G$2:G361,"Obs"),"")</f>
        <v/>
      </c>
      <c r="N361" s="75" t="str">
        <f aca="false">IF(G361="No",COUNTIF(G$2:G361,"No"),"")</f>
        <v/>
      </c>
    </row>
    <row r="362" customFormat="false" ht="15" hidden="false" customHeight="false" outlineLevel="0" collapsed="false">
      <c r="A362" s="10" t="s">
        <v>709</v>
      </c>
      <c r="B362" s="10" t="s">
        <v>268</v>
      </c>
      <c r="C362" s="10" t="s">
        <v>282</v>
      </c>
      <c r="D362" s="8" t="s">
        <v>166</v>
      </c>
      <c r="E362" s="8" t="s">
        <v>167</v>
      </c>
      <c r="F362" s="10" t="s">
        <v>99</v>
      </c>
      <c r="G362" s="11" t="s">
        <v>16</v>
      </c>
      <c r="H362" s="66"/>
      <c r="I362" s="67" t="n">
        <v>45967</v>
      </c>
      <c r="J362" s="10" t="s">
        <v>687</v>
      </c>
      <c r="K362" s="68" t="str">
        <f aca="false">IF(G362="No",MAX(0,AsOfDate-I362),"")</f>
        <v/>
      </c>
      <c r="L362" s="12" t="str">
        <f aca="false">IF(K362="","",IF(K362&lt;=90,"0-90",IF(K362&lt;=180,"91-180",IF(K362&lt;=270,"181-270","&gt;270"))))</f>
        <v/>
      </c>
      <c r="M362" s="12" t="str">
        <f aca="false">IF(G362="Obs",COUNTIF(G$2:G362,"Obs"),"")</f>
        <v/>
      </c>
      <c r="N362" s="12" t="str">
        <f aca="false">IF(G362="No",COUNTIF(G$2:G362,"No"),"")</f>
        <v/>
      </c>
    </row>
    <row r="363" customFormat="false" ht="15" hidden="false" customHeight="false" outlineLevel="0" collapsed="false">
      <c r="A363" s="69" t="s">
        <v>709</v>
      </c>
      <c r="B363" s="69" t="s">
        <v>268</v>
      </c>
      <c r="C363" s="69" t="s">
        <v>283</v>
      </c>
      <c r="D363" s="70" t="s">
        <v>166</v>
      </c>
      <c r="E363" s="70" t="s">
        <v>169</v>
      </c>
      <c r="F363" s="69" t="s">
        <v>105</v>
      </c>
      <c r="G363" s="71" t="s">
        <v>22</v>
      </c>
      <c r="H363" s="72" t="s">
        <v>562</v>
      </c>
      <c r="I363" s="73" t="n">
        <v>45967</v>
      </c>
      <c r="J363" s="69" t="s">
        <v>687</v>
      </c>
      <c r="K363" s="74" t="str">
        <f aca="false">IF(G363="No",MAX(0,AsOfDate-I363),"")</f>
        <v/>
      </c>
      <c r="L363" s="75" t="str">
        <f aca="false">IF(K363="","",IF(K363&lt;=90,"0-90",IF(K363&lt;=180,"91-180",IF(K363&lt;=270,"181-270","&gt;270"))))</f>
        <v/>
      </c>
      <c r="M363" s="75" t="n">
        <f aca="false">IF(G363="Obs",COUNTIF(G$2:G363,"Obs"),"")</f>
        <v>20</v>
      </c>
      <c r="N363" s="75" t="str">
        <f aca="false">IF(G363="No",COUNTIF(G$2:G363,"No"),"")</f>
        <v/>
      </c>
    </row>
    <row r="364" customFormat="false" ht="15" hidden="false" customHeight="false" outlineLevel="0" collapsed="false">
      <c r="A364" s="10" t="s">
        <v>709</v>
      </c>
      <c r="B364" s="10" t="s">
        <v>268</v>
      </c>
      <c r="C364" s="10" t="s">
        <v>284</v>
      </c>
      <c r="D364" s="8" t="s">
        <v>171</v>
      </c>
      <c r="E364" s="8" t="s">
        <v>172</v>
      </c>
      <c r="F364" s="10" t="s">
        <v>105</v>
      </c>
      <c r="G364" s="11" t="s">
        <v>16</v>
      </c>
      <c r="H364" s="66"/>
      <c r="I364" s="67" t="n">
        <v>45967</v>
      </c>
      <c r="J364" s="10" t="s">
        <v>687</v>
      </c>
      <c r="K364" s="68" t="str">
        <f aca="false">IF(G364="No",MAX(0,AsOfDate-I364),"")</f>
        <v/>
      </c>
      <c r="L364" s="12" t="str">
        <f aca="false">IF(K364="","",IF(K364&lt;=90,"0-90",IF(K364&lt;=180,"91-180",IF(K364&lt;=270,"181-270","&gt;270"))))</f>
        <v/>
      </c>
      <c r="M364" s="12" t="str">
        <f aca="false">IF(G364="Obs",COUNTIF(G$2:G364,"Obs"),"")</f>
        <v/>
      </c>
      <c r="N364" s="12" t="str">
        <f aca="false">IF(G364="No",COUNTIF(G$2:G364,"No"),"")</f>
        <v/>
      </c>
    </row>
    <row r="365" customFormat="false" ht="15" hidden="false" customHeight="false" outlineLevel="0" collapsed="false">
      <c r="A365" s="69" t="s">
        <v>709</v>
      </c>
      <c r="B365" s="69" t="s">
        <v>268</v>
      </c>
      <c r="C365" s="69" t="s">
        <v>285</v>
      </c>
      <c r="D365" s="70" t="s">
        <v>171</v>
      </c>
      <c r="E365" s="70" t="s">
        <v>174</v>
      </c>
      <c r="F365" s="69" t="s">
        <v>99</v>
      </c>
      <c r="G365" s="71" t="s">
        <v>16</v>
      </c>
      <c r="H365" s="72"/>
      <c r="I365" s="73" t="n">
        <v>45967</v>
      </c>
      <c r="J365" s="69" t="s">
        <v>687</v>
      </c>
      <c r="K365" s="74" t="str">
        <f aca="false">IF(G365="No",MAX(0,AsOfDate-I365),"")</f>
        <v/>
      </c>
      <c r="L365" s="75" t="str">
        <f aca="false">IF(K365="","",IF(K365&lt;=90,"0-90",IF(K365&lt;=180,"91-180",IF(K365&lt;=270,"181-270","&gt;270"))))</f>
        <v/>
      </c>
      <c r="M365" s="75" t="str">
        <f aca="false">IF(G365="Obs",COUNTIF(G$2:G365,"Obs"),"")</f>
        <v/>
      </c>
      <c r="N365" s="75" t="str">
        <f aca="false">IF(G365="No",COUNTIF(G$2:G365,"No"),"")</f>
        <v/>
      </c>
    </row>
    <row r="366" customFormat="false" ht="15" hidden="false" customHeight="false" outlineLevel="0" collapsed="false">
      <c r="A366" s="10" t="s">
        <v>709</v>
      </c>
      <c r="B366" s="10" t="s">
        <v>268</v>
      </c>
      <c r="C366" s="10" t="s">
        <v>286</v>
      </c>
      <c r="D366" s="8" t="s">
        <v>176</v>
      </c>
      <c r="E366" s="8" t="s">
        <v>177</v>
      </c>
      <c r="F366" s="10" t="s">
        <v>105</v>
      </c>
      <c r="G366" s="11" t="s">
        <v>16</v>
      </c>
      <c r="H366" s="66"/>
      <c r="I366" s="67" t="n">
        <v>45967</v>
      </c>
      <c r="J366" s="10" t="s">
        <v>687</v>
      </c>
      <c r="K366" s="68" t="str">
        <f aca="false">IF(G366="No",MAX(0,AsOfDate-I366),"")</f>
        <v/>
      </c>
      <c r="L366" s="12" t="str">
        <f aca="false">IF(K366="","",IF(K366&lt;=90,"0-90",IF(K366&lt;=180,"91-180",IF(K366&lt;=270,"181-270","&gt;270"))))</f>
        <v/>
      </c>
      <c r="M366" s="12" t="str">
        <f aca="false">IF(G366="Obs",COUNTIF(G$2:G366,"Obs"),"")</f>
        <v/>
      </c>
      <c r="N366" s="12" t="str">
        <f aca="false">IF(G366="No",COUNTIF(G$2:G366,"No"),"")</f>
        <v/>
      </c>
    </row>
    <row r="367" customFormat="false" ht="15" hidden="false" customHeight="false" outlineLevel="0" collapsed="false">
      <c r="A367" s="69" t="s">
        <v>709</v>
      </c>
      <c r="B367" s="69" t="s">
        <v>268</v>
      </c>
      <c r="C367" s="69" t="s">
        <v>287</v>
      </c>
      <c r="D367" s="70" t="s">
        <v>176</v>
      </c>
      <c r="E367" s="70" t="s">
        <v>179</v>
      </c>
      <c r="F367" s="69" t="s">
        <v>105</v>
      </c>
      <c r="G367" s="71" t="s">
        <v>16</v>
      </c>
      <c r="H367" s="72"/>
      <c r="I367" s="73" t="n">
        <v>45967</v>
      </c>
      <c r="J367" s="69" t="s">
        <v>687</v>
      </c>
      <c r="K367" s="74" t="str">
        <f aca="false">IF(G367="No",MAX(0,AsOfDate-I367),"")</f>
        <v/>
      </c>
      <c r="L367" s="75" t="str">
        <f aca="false">IF(K367="","",IF(K367&lt;=90,"0-90",IF(K367&lt;=180,"91-180",IF(K367&lt;=270,"181-270","&gt;270"))))</f>
        <v/>
      </c>
      <c r="M367" s="75" t="str">
        <f aca="false">IF(G367="Obs",COUNTIF(G$2:G367,"Obs"),"")</f>
        <v/>
      </c>
      <c r="N367" s="75" t="str">
        <f aca="false">IF(G367="No",COUNTIF(G$2:G367,"No"),"")</f>
        <v/>
      </c>
    </row>
    <row r="368" customFormat="false" ht="23.85" hidden="false" customHeight="false" outlineLevel="0" collapsed="false">
      <c r="A368" s="10" t="s">
        <v>709</v>
      </c>
      <c r="B368" s="10" t="s">
        <v>268</v>
      </c>
      <c r="C368" s="10" t="s">
        <v>288</v>
      </c>
      <c r="D368" s="8" t="s">
        <v>289</v>
      </c>
      <c r="E368" s="8" t="s">
        <v>290</v>
      </c>
      <c r="F368" s="10" t="s">
        <v>99</v>
      </c>
      <c r="G368" s="11" t="s">
        <v>16</v>
      </c>
      <c r="H368" s="66"/>
      <c r="I368" s="67" t="n">
        <v>45967</v>
      </c>
      <c r="J368" s="10" t="s">
        <v>687</v>
      </c>
      <c r="K368" s="68" t="str">
        <f aca="false">IF(G368="No",MAX(0,AsOfDate-I368),"")</f>
        <v/>
      </c>
      <c r="L368" s="12" t="str">
        <f aca="false">IF(K368="","",IF(K368&lt;=90,"0-90",IF(K368&lt;=180,"91-180",IF(K368&lt;=270,"181-270","&gt;270"))))</f>
        <v/>
      </c>
      <c r="M368" s="12" t="str">
        <f aca="false">IF(G368="Obs",COUNTIF(G$2:G368,"Obs"),"")</f>
        <v/>
      </c>
      <c r="N368" s="12" t="str">
        <f aca="false">IF(G368="No",COUNTIF(G$2:G368,"No"),"")</f>
        <v/>
      </c>
    </row>
    <row r="369" customFormat="false" ht="15" hidden="false" customHeight="false" outlineLevel="0" collapsed="false">
      <c r="A369" s="69" t="s">
        <v>709</v>
      </c>
      <c r="B369" s="69" t="s">
        <v>268</v>
      </c>
      <c r="C369" s="69" t="s">
        <v>291</v>
      </c>
      <c r="D369" s="70" t="s">
        <v>289</v>
      </c>
      <c r="E369" s="70" t="s">
        <v>292</v>
      </c>
      <c r="F369" s="69" t="s">
        <v>99</v>
      </c>
      <c r="G369" s="71" t="s">
        <v>16</v>
      </c>
      <c r="H369" s="72"/>
      <c r="I369" s="73" t="n">
        <v>45967</v>
      </c>
      <c r="J369" s="69" t="s">
        <v>687</v>
      </c>
      <c r="K369" s="74" t="str">
        <f aca="false">IF(G369="No",MAX(0,AsOfDate-I369),"")</f>
        <v/>
      </c>
      <c r="L369" s="75" t="str">
        <f aca="false">IF(K369="","",IF(K369&lt;=90,"0-90",IF(K369&lt;=180,"91-180",IF(K369&lt;=270,"181-270","&gt;270"))))</f>
        <v/>
      </c>
      <c r="M369" s="75" t="str">
        <f aca="false">IF(G369="Obs",COUNTIF(G$2:G369,"Obs"),"")</f>
        <v/>
      </c>
      <c r="N369" s="75" t="str">
        <f aca="false">IF(G369="No",COUNTIF(G$2:G369,"No"),"")</f>
        <v/>
      </c>
    </row>
    <row r="370" customFormat="false" ht="15" hidden="false" customHeight="false" outlineLevel="0" collapsed="false">
      <c r="A370" s="10" t="s">
        <v>709</v>
      </c>
      <c r="B370" s="10" t="s">
        <v>268</v>
      </c>
      <c r="C370" s="10" t="s">
        <v>293</v>
      </c>
      <c r="D370" s="8" t="s">
        <v>289</v>
      </c>
      <c r="E370" s="8" t="s">
        <v>294</v>
      </c>
      <c r="F370" s="10" t="s">
        <v>105</v>
      </c>
      <c r="G370" s="11" t="s">
        <v>16</v>
      </c>
      <c r="H370" s="66"/>
      <c r="I370" s="67" t="n">
        <v>45967</v>
      </c>
      <c r="J370" s="10" t="s">
        <v>687</v>
      </c>
      <c r="K370" s="68" t="str">
        <f aca="false">IF(G370="No",MAX(0,AsOfDate-I370),"")</f>
        <v/>
      </c>
      <c r="L370" s="12" t="str">
        <f aca="false">IF(K370="","",IF(K370&lt;=90,"0-90",IF(K370&lt;=180,"91-180",IF(K370&lt;=270,"181-270","&gt;270"))))</f>
        <v/>
      </c>
      <c r="M370" s="12" t="str">
        <f aca="false">IF(G370="Obs",COUNTIF(G$2:G370,"Obs"),"")</f>
        <v/>
      </c>
      <c r="N370" s="12" t="str">
        <f aca="false">IF(G370="No",COUNTIF(G$2:G370,"No"),"")</f>
        <v/>
      </c>
    </row>
    <row r="371" customFormat="false" ht="23.85" hidden="false" customHeight="false" outlineLevel="0" collapsed="false">
      <c r="A371" s="69" t="s">
        <v>709</v>
      </c>
      <c r="B371" s="69" t="s">
        <v>268</v>
      </c>
      <c r="C371" s="69" t="s">
        <v>295</v>
      </c>
      <c r="D371" s="70" t="s">
        <v>289</v>
      </c>
      <c r="E371" s="70" t="s">
        <v>296</v>
      </c>
      <c r="F371" s="69" t="s">
        <v>99</v>
      </c>
      <c r="G371" s="71" t="s">
        <v>22</v>
      </c>
      <c r="H371" s="72" t="s">
        <v>592</v>
      </c>
      <c r="I371" s="73" t="n">
        <v>45967</v>
      </c>
      <c r="J371" s="69" t="s">
        <v>687</v>
      </c>
      <c r="K371" s="74" t="str">
        <f aca="false">IF(G371="No",MAX(0,AsOfDate-I371),"")</f>
        <v/>
      </c>
      <c r="L371" s="75" t="str">
        <f aca="false">IF(K371="","",IF(K371&lt;=90,"0-90",IF(K371&lt;=180,"91-180",IF(K371&lt;=270,"181-270","&gt;270"))))</f>
        <v/>
      </c>
      <c r="M371" s="75" t="n">
        <f aca="false">IF(G371="Obs",COUNTIF(G$2:G371,"Obs"),"")</f>
        <v>21</v>
      </c>
      <c r="N371" s="75" t="str">
        <f aca="false">IF(G371="No",COUNTIF(G$2:G371,"No"),"")</f>
        <v/>
      </c>
    </row>
    <row r="372" customFormat="false" ht="15" hidden="false" customHeight="false" outlineLevel="0" collapsed="false">
      <c r="A372" s="10" t="s">
        <v>709</v>
      </c>
      <c r="B372" s="10" t="s">
        <v>268</v>
      </c>
      <c r="C372" s="10" t="s">
        <v>297</v>
      </c>
      <c r="D372" s="8" t="s">
        <v>289</v>
      </c>
      <c r="E372" s="8" t="s">
        <v>298</v>
      </c>
      <c r="F372" s="10" t="s">
        <v>105</v>
      </c>
      <c r="G372" s="11" t="s">
        <v>16</v>
      </c>
      <c r="H372" s="66"/>
      <c r="I372" s="67" t="n">
        <v>45967</v>
      </c>
      <c r="J372" s="10" t="s">
        <v>687</v>
      </c>
      <c r="K372" s="68" t="str">
        <f aca="false">IF(G372="No",MAX(0,AsOfDate-I372),"")</f>
        <v/>
      </c>
      <c r="L372" s="12" t="str">
        <f aca="false">IF(K372="","",IF(K372&lt;=90,"0-90",IF(K372&lt;=180,"91-180",IF(K372&lt;=270,"181-270","&gt;270"))))</f>
        <v/>
      </c>
      <c r="M372" s="12" t="str">
        <f aca="false">IF(G372="Obs",COUNTIF(G$2:G372,"Obs"),"")</f>
        <v/>
      </c>
      <c r="N372" s="12" t="str">
        <f aca="false">IF(G372="No",COUNTIF(G$2:G372,"No"),"")</f>
        <v/>
      </c>
    </row>
    <row r="373" customFormat="false" ht="15" hidden="false" customHeight="false" outlineLevel="0" collapsed="false">
      <c r="A373" s="69" t="s">
        <v>709</v>
      </c>
      <c r="B373" s="69" t="s">
        <v>268</v>
      </c>
      <c r="C373" s="69" t="s">
        <v>299</v>
      </c>
      <c r="D373" s="70" t="s">
        <v>289</v>
      </c>
      <c r="E373" s="70" t="s">
        <v>300</v>
      </c>
      <c r="F373" s="69" t="s">
        <v>105</v>
      </c>
      <c r="G373" s="71" t="s">
        <v>20</v>
      </c>
      <c r="H373" s="72"/>
      <c r="I373" s="73" t="n">
        <v>45967</v>
      </c>
      <c r="J373" s="69" t="s">
        <v>687</v>
      </c>
      <c r="K373" s="74" t="str">
        <f aca="false">IF(G373="No",MAX(0,AsOfDate-I373),"")</f>
        <v/>
      </c>
      <c r="L373" s="75" t="str">
        <f aca="false">IF(K373="","",IF(K373&lt;=90,"0-90",IF(K373&lt;=180,"91-180",IF(K373&lt;=270,"181-270","&gt;270"))))</f>
        <v/>
      </c>
      <c r="M373" s="75" t="str">
        <f aca="false">IF(G373="Obs",COUNTIF(G$2:G373,"Obs"),"")</f>
        <v/>
      </c>
      <c r="N373" s="75" t="str">
        <f aca="false">IF(G373="No",COUNTIF(G$2:G373,"No"),"")</f>
        <v/>
      </c>
    </row>
    <row r="374" customFormat="false" ht="15" hidden="false" customHeight="false" outlineLevel="0" collapsed="false">
      <c r="A374" s="10" t="s">
        <v>711</v>
      </c>
      <c r="B374" s="10" t="s">
        <v>268</v>
      </c>
      <c r="C374" s="10" t="s">
        <v>267</v>
      </c>
      <c r="D374" s="8" t="s">
        <v>133</v>
      </c>
      <c r="E374" s="8" t="s">
        <v>134</v>
      </c>
      <c r="F374" s="10" t="s">
        <v>99</v>
      </c>
      <c r="G374" s="11" t="s">
        <v>16</v>
      </c>
      <c r="H374" s="66"/>
      <c r="I374" s="67" t="n">
        <v>46072</v>
      </c>
      <c r="J374" s="10" t="s">
        <v>690</v>
      </c>
      <c r="K374" s="68" t="str">
        <f aca="false">IF(G374="No",MAX(0,AsOfDate-I374),"")</f>
        <v/>
      </c>
      <c r="L374" s="12" t="str">
        <f aca="false">IF(K374="","",IF(K374&lt;=90,"0-90",IF(K374&lt;=180,"91-180",IF(K374&lt;=270,"181-270","&gt;270"))))</f>
        <v/>
      </c>
      <c r="M374" s="12" t="str">
        <f aca="false">IF(G374="Obs",COUNTIF(G$2:G374,"Obs"),"")</f>
        <v/>
      </c>
      <c r="N374" s="12" t="str">
        <f aca="false">IF(G374="No",COUNTIF(G$2:G374,"No"),"")</f>
        <v/>
      </c>
    </row>
    <row r="375" customFormat="false" ht="15" hidden="false" customHeight="false" outlineLevel="0" collapsed="false">
      <c r="A375" s="69" t="s">
        <v>711</v>
      </c>
      <c r="B375" s="69" t="s">
        <v>268</v>
      </c>
      <c r="C375" s="69" t="s">
        <v>269</v>
      </c>
      <c r="D375" s="70" t="s">
        <v>133</v>
      </c>
      <c r="E375" s="70" t="s">
        <v>136</v>
      </c>
      <c r="F375" s="69" t="s">
        <v>99</v>
      </c>
      <c r="G375" s="71" t="s">
        <v>16</v>
      </c>
      <c r="H375" s="72"/>
      <c r="I375" s="73" t="n">
        <v>46072</v>
      </c>
      <c r="J375" s="69" t="s">
        <v>690</v>
      </c>
      <c r="K375" s="74" t="str">
        <f aca="false">IF(G375="No",MAX(0,AsOfDate-I375),"")</f>
        <v/>
      </c>
      <c r="L375" s="75" t="str">
        <f aca="false">IF(K375="","",IF(K375&lt;=90,"0-90",IF(K375&lt;=180,"91-180",IF(K375&lt;=270,"181-270","&gt;270"))))</f>
        <v/>
      </c>
      <c r="M375" s="75" t="str">
        <f aca="false">IF(G375="Obs",COUNTIF(G$2:G375,"Obs"),"")</f>
        <v/>
      </c>
      <c r="N375" s="75" t="str">
        <f aca="false">IF(G375="No",COUNTIF(G$2:G375,"No"),"")</f>
        <v/>
      </c>
    </row>
    <row r="376" customFormat="false" ht="15" hidden="false" customHeight="false" outlineLevel="0" collapsed="false">
      <c r="A376" s="10" t="s">
        <v>711</v>
      </c>
      <c r="B376" s="10" t="s">
        <v>268</v>
      </c>
      <c r="C376" s="10" t="s">
        <v>270</v>
      </c>
      <c r="D376" s="8" t="s">
        <v>133</v>
      </c>
      <c r="E376" s="8" t="s">
        <v>138</v>
      </c>
      <c r="F376" s="10" t="s">
        <v>105</v>
      </c>
      <c r="G376" s="11" t="s">
        <v>20</v>
      </c>
      <c r="H376" s="66"/>
      <c r="I376" s="67" t="n">
        <v>46072</v>
      </c>
      <c r="J376" s="10" t="s">
        <v>690</v>
      </c>
      <c r="K376" s="68" t="str">
        <f aca="false">IF(G376="No",MAX(0,AsOfDate-I376),"")</f>
        <v/>
      </c>
      <c r="L376" s="12" t="str">
        <f aca="false">IF(K376="","",IF(K376&lt;=90,"0-90",IF(K376&lt;=180,"91-180",IF(K376&lt;=270,"181-270","&gt;270"))))</f>
        <v/>
      </c>
      <c r="M376" s="12" t="str">
        <f aca="false">IF(G376="Obs",COUNTIF(G$2:G376,"Obs"),"")</f>
        <v/>
      </c>
      <c r="N376" s="12" t="str">
        <f aca="false">IF(G376="No",COUNTIF(G$2:G376,"No"),"")</f>
        <v/>
      </c>
    </row>
    <row r="377" customFormat="false" ht="15" hidden="false" customHeight="false" outlineLevel="0" collapsed="false">
      <c r="A377" s="69" t="s">
        <v>711</v>
      </c>
      <c r="B377" s="69" t="s">
        <v>268</v>
      </c>
      <c r="C377" s="69" t="s">
        <v>271</v>
      </c>
      <c r="D377" s="70" t="s">
        <v>140</v>
      </c>
      <c r="E377" s="70" t="s">
        <v>141</v>
      </c>
      <c r="F377" s="69" t="s">
        <v>99</v>
      </c>
      <c r="G377" s="71" t="s">
        <v>16</v>
      </c>
      <c r="H377" s="72"/>
      <c r="I377" s="73" t="n">
        <v>46072</v>
      </c>
      <c r="J377" s="69" t="s">
        <v>690</v>
      </c>
      <c r="K377" s="74" t="str">
        <f aca="false">IF(G377="No",MAX(0,AsOfDate-I377),"")</f>
        <v/>
      </c>
      <c r="L377" s="75" t="str">
        <f aca="false">IF(K377="","",IF(K377&lt;=90,"0-90",IF(K377&lt;=180,"91-180",IF(K377&lt;=270,"181-270","&gt;270"))))</f>
        <v/>
      </c>
      <c r="M377" s="75" t="str">
        <f aca="false">IF(G377="Obs",COUNTIF(G$2:G377,"Obs"),"")</f>
        <v/>
      </c>
      <c r="N377" s="75" t="str">
        <f aca="false">IF(G377="No",COUNTIF(G$2:G377,"No"),"")</f>
        <v/>
      </c>
    </row>
    <row r="378" customFormat="false" ht="15" hidden="false" customHeight="false" outlineLevel="0" collapsed="false">
      <c r="A378" s="10" t="s">
        <v>711</v>
      </c>
      <c r="B378" s="10" t="s">
        <v>268</v>
      </c>
      <c r="C378" s="10" t="s">
        <v>272</v>
      </c>
      <c r="D378" s="8" t="s">
        <v>140</v>
      </c>
      <c r="E378" s="8" t="s">
        <v>143</v>
      </c>
      <c r="F378" s="10" t="s">
        <v>105</v>
      </c>
      <c r="G378" s="11" t="s">
        <v>18</v>
      </c>
      <c r="H378" s="66" t="s">
        <v>741</v>
      </c>
      <c r="I378" s="67" t="n">
        <v>46072</v>
      </c>
      <c r="J378" s="10" t="s">
        <v>690</v>
      </c>
      <c r="K378" s="68" t="n">
        <f aca="false">IF(G378="No",MAX(0,AsOfDate-I378),"")</f>
        <v>111</v>
      </c>
      <c r="L378" s="12" t="str">
        <f aca="false">IF(K378="","",IF(K378&lt;=90,"0-90",IF(K378&lt;=180,"91-180",IF(K378&lt;=270,"181-270","&gt;270"))))</f>
        <v>91-180</v>
      </c>
      <c r="M378" s="12" t="str">
        <f aca="false">IF(G378="Obs",COUNTIF(G$2:G378,"Obs"),"")</f>
        <v/>
      </c>
      <c r="N378" s="12" t="n">
        <f aca="false">IF(G378="No",COUNTIF(G$2:G378,"No"),"")</f>
        <v>28</v>
      </c>
    </row>
    <row r="379" customFormat="false" ht="15" hidden="false" customHeight="false" outlineLevel="0" collapsed="false">
      <c r="A379" s="69" t="s">
        <v>711</v>
      </c>
      <c r="B379" s="69" t="s">
        <v>268</v>
      </c>
      <c r="C379" s="69" t="s">
        <v>273</v>
      </c>
      <c r="D379" s="70" t="s">
        <v>140</v>
      </c>
      <c r="E379" s="70" t="s">
        <v>145</v>
      </c>
      <c r="F379" s="69" t="s">
        <v>99</v>
      </c>
      <c r="G379" s="71" t="s">
        <v>16</v>
      </c>
      <c r="H379" s="72"/>
      <c r="I379" s="73" t="n">
        <v>46072</v>
      </c>
      <c r="J379" s="69" t="s">
        <v>690</v>
      </c>
      <c r="K379" s="74" t="str">
        <f aca="false">IF(G379="No",MAX(0,AsOfDate-I379),"")</f>
        <v/>
      </c>
      <c r="L379" s="75" t="str">
        <f aca="false">IF(K379="","",IF(K379&lt;=90,"0-90",IF(K379&lt;=180,"91-180",IF(K379&lt;=270,"181-270","&gt;270"))))</f>
        <v/>
      </c>
      <c r="M379" s="75" t="str">
        <f aca="false">IF(G379="Obs",COUNTIF(G$2:G379,"Obs"),"")</f>
        <v/>
      </c>
      <c r="N379" s="75" t="str">
        <f aca="false">IF(G379="No",COUNTIF(G$2:G379,"No"),"")</f>
        <v/>
      </c>
    </row>
    <row r="380" customFormat="false" ht="15" hidden="false" customHeight="false" outlineLevel="0" collapsed="false">
      <c r="A380" s="10" t="s">
        <v>711</v>
      </c>
      <c r="B380" s="10" t="s">
        <v>268</v>
      </c>
      <c r="C380" s="10" t="s">
        <v>274</v>
      </c>
      <c r="D380" s="8" t="s">
        <v>147</v>
      </c>
      <c r="E380" s="8" t="s">
        <v>148</v>
      </c>
      <c r="F380" s="10" t="s">
        <v>99</v>
      </c>
      <c r="G380" s="11" t="s">
        <v>16</v>
      </c>
      <c r="H380" s="66"/>
      <c r="I380" s="67" t="n">
        <v>46072</v>
      </c>
      <c r="J380" s="10" t="s">
        <v>690</v>
      </c>
      <c r="K380" s="68" t="str">
        <f aca="false">IF(G380="No",MAX(0,AsOfDate-I380),"")</f>
        <v/>
      </c>
      <c r="L380" s="12" t="str">
        <f aca="false">IF(K380="","",IF(K380&lt;=90,"0-90",IF(K380&lt;=180,"91-180",IF(K380&lt;=270,"181-270","&gt;270"))))</f>
        <v/>
      </c>
      <c r="M380" s="12" t="str">
        <f aca="false">IF(G380="Obs",COUNTIF(G$2:G380,"Obs"),"")</f>
        <v/>
      </c>
      <c r="N380" s="12" t="str">
        <f aca="false">IF(G380="No",COUNTIF(G$2:G380,"No"),"")</f>
        <v/>
      </c>
    </row>
    <row r="381" customFormat="false" ht="15" hidden="false" customHeight="false" outlineLevel="0" collapsed="false">
      <c r="A381" s="69" t="s">
        <v>711</v>
      </c>
      <c r="B381" s="69" t="s">
        <v>268</v>
      </c>
      <c r="C381" s="69" t="s">
        <v>275</v>
      </c>
      <c r="D381" s="70" t="s">
        <v>147</v>
      </c>
      <c r="E381" s="70" t="s">
        <v>150</v>
      </c>
      <c r="F381" s="69" t="s">
        <v>105</v>
      </c>
      <c r="G381" s="71" t="s">
        <v>16</v>
      </c>
      <c r="H381" s="72"/>
      <c r="I381" s="73" t="n">
        <v>46072</v>
      </c>
      <c r="J381" s="69" t="s">
        <v>690</v>
      </c>
      <c r="K381" s="74" t="str">
        <f aca="false">IF(G381="No",MAX(0,AsOfDate-I381),"")</f>
        <v/>
      </c>
      <c r="L381" s="75" t="str">
        <f aca="false">IF(K381="","",IF(K381&lt;=90,"0-90",IF(K381&lt;=180,"91-180",IF(K381&lt;=270,"181-270","&gt;270"))))</f>
        <v/>
      </c>
      <c r="M381" s="75" t="str">
        <f aca="false">IF(G381="Obs",COUNTIF(G$2:G381,"Obs"),"")</f>
        <v/>
      </c>
      <c r="N381" s="75" t="str">
        <f aca="false">IF(G381="No",COUNTIF(G$2:G381,"No"),"")</f>
        <v/>
      </c>
    </row>
    <row r="382" customFormat="false" ht="15" hidden="false" customHeight="false" outlineLevel="0" collapsed="false">
      <c r="A382" s="10" t="s">
        <v>711</v>
      </c>
      <c r="B382" s="10" t="s">
        <v>268</v>
      </c>
      <c r="C382" s="10" t="s">
        <v>276</v>
      </c>
      <c r="D382" s="8" t="s">
        <v>147</v>
      </c>
      <c r="E382" s="8" t="s">
        <v>152</v>
      </c>
      <c r="F382" s="10" t="s">
        <v>99</v>
      </c>
      <c r="G382" s="11" t="s">
        <v>16</v>
      </c>
      <c r="H382" s="66"/>
      <c r="I382" s="67" t="n">
        <v>46072</v>
      </c>
      <c r="J382" s="10" t="s">
        <v>690</v>
      </c>
      <c r="K382" s="68" t="str">
        <f aca="false">IF(G382="No",MAX(0,AsOfDate-I382),"")</f>
        <v/>
      </c>
      <c r="L382" s="12" t="str">
        <f aca="false">IF(K382="","",IF(K382&lt;=90,"0-90",IF(K382&lt;=180,"91-180",IF(K382&lt;=270,"181-270","&gt;270"))))</f>
        <v/>
      </c>
      <c r="M382" s="12" t="str">
        <f aca="false">IF(G382="Obs",COUNTIF(G$2:G382,"Obs"),"")</f>
        <v/>
      </c>
      <c r="N382" s="12" t="str">
        <f aca="false">IF(G382="No",COUNTIF(G$2:G382,"No"),"")</f>
        <v/>
      </c>
    </row>
    <row r="383" customFormat="false" ht="15" hidden="false" customHeight="false" outlineLevel="0" collapsed="false">
      <c r="A383" s="69" t="s">
        <v>711</v>
      </c>
      <c r="B383" s="69" t="s">
        <v>268</v>
      </c>
      <c r="C383" s="69" t="s">
        <v>277</v>
      </c>
      <c r="D383" s="70" t="s">
        <v>154</v>
      </c>
      <c r="E383" s="70" t="s">
        <v>155</v>
      </c>
      <c r="F383" s="69" t="s">
        <v>105</v>
      </c>
      <c r="G383" s="71" t="s">
        <v>16</v>
      </c>
      <c r="H383" s="72"/>
      <c r="I383" s="73" t="n">
        <v>46072</v>
      </c>
      <c r="J383" s="69" t="s">
        <v>690</v>
      </c>
      <c r="K383" s="74" t="str">
        <f aca="false">IF(G383="No",MAX(0,AsOfDate-I383),"")</f>
        <v/>
      </c>
      <c r="L383" s="75" t="str">
        <f aca="false">IF(K383="","",IF(K383&lt;=90,"0-90",IF(K383&lt;=180,"91-180",IF(K383&lt;=270,"181-270","&gt;270"))))</f>
        <v/>
      </c>
      <c r="M383" s="75" t="str">
        <f aca="false">IF(G383="Obs",COUNTIF(G$2:G383,"Obs"),"")</f>
        <v/>
      </c>
      <c r="N383" s="75" t="str">
        <f aca="false">IF(G383="No",COUNTIF(G$2:G383,"No"),"")</f>
        <v/>
      </c>
    </row>
    <row r="384" customFormat="false" ht="23.85" hidden="false" customHeight="false" outlineLevel="0" collapsed="false">
      <c r="A384" s="10" t="s">
        <v>711</v>
      </c>
      <c r="B384" s="10" t="s">
        <v>268</v>
      </c>
      <c r="C384" s="10" t="s">
        <v>278</v>
      </c>
      <c r="D384" s="8" t="s">
        <v>154</v>
      </c>
      <c r="E384" s="8" t="s">
        <v>157</v>
      </c>
      <c r="F384" s="10" t="s">
        <v>105</v>
      </c>
      <c r="G384" s="11" t="s">
        <v>22</v>
      </c>
      <c r="H384" s="66" t="s">
        <v>667</v>
      </c>
      <c r="I384" s="67" t="n">
        <v>46072</v>
      </c>
      <c r="J384" s="10" t="s">
        <v>690</v>
      </c>
      <c r="K384" s="68" t="str">
        <f aca="false">IF(G384="No",MAX(0,AsOfDate-I384),"")</f>
        <v/>
      </c>
      <c r="L384" s="12" t="str">
        <f aca="false">IF(K384="","",IF(K384&lt;=90,"0-90",IF(K384&lt;=180,"91-180",IF(K384&lt;=270,"181-270","&gt;270"))))</f>
        <v/>
      </c>
      <c r="M384" s="12" t="n">
        <f aca="false">IF(G384="Obs",COUNTIF(G$2:G384,"Obs"),"")</f>
        <v>22</v>
      </c>
      <c r="N384" s="12" t="str">
        <f aca="false">IF(G384="No",COUNTIF(G$2:G384,"No"),"")</f>
        <v/>
      </c>
    </row>
    <row r="385" customFormat="false" ht="23.85" hidden="false" customHeight="false" outlineLevel="0" collapsed="false">
      <c r="A385" s="69" t="s">
        <v>711</v>
      </c>
      <c r="B385" s="69" t="s">
        <v>268</v>
      </c>
      <c r="C385" s="69" t="s">
        <v>279</v>
      </c>
      <c r="D385" s="70" t="s">
        <v>159</v>
      </c>
      <c r="E385" s="70" t="s">
        <v>160</v>
      </c>
      <c r="F385" s="69" t="s">
        <v>99</v>
      </c>
      <c r="G385" s="71" t="s">
        <v>20</v>
      </c>
      <c r="H385" s="72"/>
      <c r="I385" s="73" t="n">
        <v>46072</v>
      </c>
      <c r="J385" s="69" t="s">
        <v>690</v>
      </c>
      <c r="K385" s="74" t="str">
        <f aca="false">IF(G385="No",MAX(0,AsOfDate-I385),"")</f>
        <v/>
      </c>
      <c r="L385" s="75" t="str">
        <f aca="false">IF(K385="","",IF(K385&lt;=90,"0-90",IF(K385&lt;=180,"91-180",IF(K385&lt;=270,"181-270","&gt;270"))))</f>
        <v/>
      </c>
      <c r="M385" s="75" t="str">
        <f aca="false">IF(G385="Obs",COUNTIF(G$2:G385,"Obs"),"")</f>
        <v/>
      </c>
      <c r="N385" s="75" t="str">
        <f aca="false">IF(G385="No",COUNTIF(G$2:G385,"No"),"")</f>
        <v/>
      </c>
    </row>
    <row r="386" customFormat="false" ht="23.85" hidden="false" customHeight="false" outlineLevel="0" collapsed="false">
      <c r="A386" s="10" t="s">
        <v>711</v>
      </c>
      <c r="B386" s="10" t="s">
        <v>268</v>
      </c>
      <c r="C386" s="10" t="s">
        <v>280</v>
      </c>
      <c r="D386" s="8" t="s">
        <v>159</v>
      </c>
      <c r="E386" s="8" t="s">
        <v>162</v>
      </c>
      <c r="F386" s="10" t="s">
        <v>99</v>
      </c>
      <c r="G386" s="11" t="s">
        <v>16</v>
      </c>
      <c r="H386" s="66"/>
      <c r="I386" s="67" t="n">
        <v>46072</v>
      </c>
      <c r="J386" s="10" t="s">
        <v>690</v>
      </c>
      <c r="K386" s="68" t="str">
        <f aca="false">IF(G386="No",MAX(0,AsOfDate-I386),"")</f>
        <v/>
      </c>
      <c r="L386" s="12" t="str">
        <f aca="false">IF(K386="","",IF(K386&lt;=90,"0-90",IF(K386&lt;=180,"91-180",IF(K386&lt;=270,"181-270","&gt;270"))))</f>
        <v/>
      </c>
      <c r="M386" s="12" t="str">
        <f aca="false">IF(G386="Obs",COUNTIF(G$2:G386,"Obs"),"")</f>
        <v/>
      </c>
      <c r="N386" s="12" t="str">
        <f aca="false">IF(G386="No",COUNTIF(G$2:G386,"No"),"")</f>
        <v/>
      </c>
    </row>
    <row r="387" customFormat="false" ht="23.85" hidden="false" customHeight="false" outlineLevel="0" collapsed="false">
      <c r="A387" s="69" t="s">
        <v>711</v>
      </c>
      <c r="B387" s="69" t="s">
        <v>268</v>
      </c>
      <c r="C387" s="69" t="s">
        <v>281</v>
      </c>
      <c r="D387" s="70" t="s">
        <v>159</v>
      </c>
      <c r="E387" s="70" t="s">
        <v>164</v>
      </c>
      <c r="F387" s="69" t="s">
        <v>110</v>
      </c>
      <c r="G387" s="71" t="s">
        <v>16</v>
      </c>
      <c r="H387" s="72"/>
      <c r="I387" s="73" t="n">
        <v>46072</v>
      </c>
      <c r="J387" s="69" t="s">
        <v>690</v>
      </c>
      <c r="K387" s="74" t="str">
        <f aca="false">IF(G387="No",MAX(0,AsOfDate-I387),"")</f>
        <v/>
      </c>
      <c r="L387" s="75" t="str">
        <f aca="false">IF(K387="","",IF(K387&lt;=90,"0-90",IF(K387&lt;=180,"91-180",IF(K387&lt;=270,"181-270","&gt;270"))))</f>
        <v/>
      </c>
      <c r="M387" s="75" t="str">
        <f aca="false">IF(G387="Obs",COUNTIF(G$2:G387,"Obs"),"")</f>
        <v/>
      </c>
      <c r="N387" s="75" t="str">
        <f aca="false">IF(G387="No",COUNTIF(G$2:G387,"No"),"")</f>
        <v/>
      </c>
    </row>
    <row r="388" customFormat="false" ht="15" hidden="false" customHeight="false" outlineLevel="0" collapsed="false">
      <c r="A388" s="10" t="s">
        <v>711</v>
      </c>
      <c r="B388" s="10" t="s">
        <v>268</v>
      </c>
      <c r="C388" s="10" t="s">
        <v>282</v>
      </c>
      <c r="D388" s="8" t="s">
        <v>166</v>
      </c>
      <c r="E388" s="8" t="s">
        <v>167</v>
      </c>
      <c r="F388" s="10" t="s">
        <v>99</v>
      </c>
      <c r="G388" s="11" t="s">
        <v>22</v>
      </c>
      <c r="H388" s="66" t="s">
        <v>562</v>
      </c>
      <c r="I388" s="67" t="n">
        <v>46072</v>
      </c>
      <c r="J388" s="10" t="s">
        <v>690</v>
      </c>
      <c r="K388" s="68" t="str">
        <f aca="false">IF(G388="No",MAX(0,AsOfDate-I388),"")</f>
        <v/>
      </c>
      <c r="L388" s="12" t="str">
        <f aca="false">IF(K388="","",IF(K388&lt;=90,"0-90",IF(K388&lt;=180,"91-180",IF(K388&lt;=270,"181-270","&gt;270"))))</f>
        <v/>
      </c>
      <c r="M388" s="12" t="n">
        <f aca="false">IF(G388="Obs",COUNTIF(G$2:G388,"Obs"),"")</f>
        <v>23</v>
      </c>
      <c r="N388" s="12" t="str">
        <f aca="false">IF(G388="No",COUNTIF(G$2:G388,"No"),"")</f>
        <v/>
      </c>
    </row>
    <row r="389" customFormat="false" ht="15" hidden="false" customHeight="false" outlineLevel="0" collapsed="false">
      <c r="A389" s="69" t="s">
        <v>711</v>
      </c>
      <c r="B389" s="69" t="s">
        <v>268</v>
      </c>
      <c r="C389" s="69" t="s">
        <v>283</v>
      </c>
      <c r="D389" s="70" t="s">
        <v>166</v>
      </c>
      <c r="E389" s="70" t="s">
        <v>169</v>
      </c>
      <c r="F389" s="69" t="s">
        <v>105</v>
      </c>
      <c r="G389" s="71" t="s">
        <v>16</v>
      </c>
      <c r="H389" s="72"/>
      <c r="I389" s="73" t="n">
        <v>46072</v>
      </c>
      <c r="J389" s="69" t="s">
        <v>690</v>
      </c>
      <c r="K389" s="74" t="str">
        <f aca="false">IF(G389="No",MAX(0,AsOfDate-I389),"")</f>
        <v/>
      </c>
      <c r="L389" s="75" t="str">
        <f aca="false">IF(K389="","",IF(K389&lt;=90,"0-90",IF(K389&lt;=180,"91-180",IF(K389&lt;=270,"181-270","&gt;270"))))</f>
        <v/>
      </c>
      <c r="M389" s="75" t="str">
        <f aca="false">IF(G389="Obs",COUNTIF(G$2:G389,"Obs"),"")</f>
        <v/>
      </c>
      <c r="N389" s="75" t="str">
        <f aca="false">IF(G389="No",COUNTIF(G$2:G389,"No"),"")</f>
        <v/>
      </c>
    </row>
    <row r="390" customFormat="false" ht="23.85" hidden="false" customHeight="false" outlineLevel="0" collapsed="false">
      <c r="A390" s="10" t="s">
        <v>711</v>
      </c>
      <c r="B390" s="10" t="s">
        <v>268</v>
      </c>
      <c r="C390" s="10" t="s">
        <v>284</v>
      </c>
      <c r="D390" s="8" t="s">
        <v>171</v>
      </c>
      <c r="E390" s="8" t="s">
        <v>172</v>
      </c>
      <c r="F390" s="10" t="s">
        <v>105</v>
      </c>
      <c r="G390" s="11" t="s">
        <v>18</v>
      </c>
      <c r="H390" s="66" t="s">
        <v>563</v>
      </c>
      <c r="I390" s="67" t="n">
        <v>46072</v>
      </c>
      <c r="J390" s="10" t="s">
        <v>690</v>
      </c>
      <c r="K390" s="68" t="n">
        <f aca="false">IF(G390="No",MAX(0,AsOfDate-I390),"")</f>
        <v>111</v>
      </c>
      <c r="L390" s="12" t="str">
        <f aca="false">IF(K390="","",IF(K390&lt;=90,"0-90",IF(K390&lt;=180,"91-180",IF(K390&lt;=270,"181-270","&gt;270"))))</f>
        <v>91-180</v>
      </c>
      <c r="M390" s="12" t="str">
        <f aca="false">IF(G390="Obs",COUNTIF(G$2:G390,"Obs"),"")</f>
        <v/>
      </c>
      <c r="N390" s="12" t="n">
        <f aca="false">IF(G390="No",COUNTIF(G$2:G390,"No"),"")</f>
        <v>29</v>
      </c>
    </row>
    <row r="391" customFormat="false" ht="15" hidden="false" customHeight="false" outlineLevel="0" collapsed="false">
      <c r="A391" s="69" t="s">
        <v>711</v>
      </c>
      <c r="B391" s="69" t="s">
        <v>268</v>
      </c>
      <c r="C391" s="69" t="s">
        <v>285</v>
      </c>
      <c r="D391" s="70" t="s">
        <v>171</v>
      </c>
      <c r="E391" s="70" t="s">
        <v>174</v>
      </c>
      <c r="F391" s="69" t="s">
        <v>99</v>
      </c>
      <c r="G391" s="71" t="s">
        <v>16</v>
      </c>
      <c r="H391" s="72"/>
      <c r="I391" s="73" t="n">
        <v>46072</v>
      </c>
      <c r="J391" s="69" t="s">
        <v>690</v>
      </c>
      <c r="K391" s="74" t="str">
        <f aca="false">IF(G391="No",MAX(0,AsOfDate-I391),"")</f>
        <v/>
      </c>
      <c r="L391" s="75" t="str">
        <f aca="false">IF(K391="","",IF(K391&lt;=90,"0-90",IF(K391&lt;=180,"91-180",IF(K391&lt;=270,"181-270","&gt;270"))))</f>
        <v/>
      </c>
      <c r="M391" s="75" t="str">
        <f aca="false">IF(G391="Obs",COUNTIF(G$2:G391,"Obs"),"")</f>
        <v/>
      </c>
      <c r="N391" s="75" t="str">
        <f aca="false">IF(G391="No",COUNTIF(G$2:G391,"No"),"")</f>
        <v/>
      </c>
    </row>
    <row r="392" customFormat="false" ht="15" hidden="false" customHeight="false" outlineLevel="0" collapsed="false">
      <c r="A392" s="10" t="s">
        <v>711</v>
      </c>
      <c r="B392" s="10" t="s">
        <v>268</v>
      </c>
      <c r="C392" s="10" t="s">
        <v>286</v>
      </c>
      <c r="D392" s="8" t="s">
        <v>176</v>
      </c>
      <c r="E392" s="8" t="s">
        <v>177</v>
      </c>
      <c r="F392" s="10" t="s">
        <v>105</v>
      </c>
      <c r="G392" s="11" t="s">
        <v>16</v>
      </c>
      <c r="H392" s="66"/>
      <c r="I392" s="67" t="n">
        <v>46072</v>
      </c>
      <c r="J392" s="10" t="s">
        <v>690</v>
      </c>
      <c r="K392" s="68" t="str">
        <f aca="false">IF(G392="No",MAX(0,AsOfDate-I392),"")</f>
        <v/>
      </c>
      <c r="L392" s="12" t="str">
        <f aca="false">IF(K392="","",IF(K392&lt;=90,"0-90",IF(K392&lt;=180,"91-180",IF(K392&lt;=270,"181-270","&gt;270"))))</f>
        <v/>
      </c>
      <c r="M392" s="12" t="str">
        <f aca="false">IF(G392="Obs",COUNTIF(G$2:G392,"Obs"),"")</f>
        <v/>
      </c>
      <c r="N392" s="12" t="str">
        <f aca="false">IF(G392="No",COUNTIF(G$2:G392,"No"),"")</f>
        <v/>
      </c>
    </row>
    <row r="393" customFormat="false" ht="15" hidden="false" customHeight="false" outlineLevel="0" collapsed="false">
      <c r="A393" s="69" t="s">
        <v>711</v>
      </c>
      <c r="B393" s="69" t="s">
        <v>268</v>
      </c>
      <c r="C393" s="69" t="s">
        <v>287</v>
      </c>
      <c r="D393" s="70" t="s">
        <v>176</v>
      </c>
      <c r="E393" s="70" t="s">
        <v>179</v>
      </c>
      <c r="F393" s="69" t="s">
        <v>105</v>
      </c>
      <c r="G393" s="71" t="s">
        <v>16</v>
      </c>
      <c r="H393" s="72"/>
      <c r="I393" s="73" t="n">
        <v>46072</v>
      </c>
      <c r="J393" s="69" t="s">
        <v>690</v>
      </c>
      <c r="K393" s="74" t="str">
        <f aca="false">IF(G393="No",MAX(0,AsOfDate-I393),"")</f>
        <v/>
      </c>
      <c r="L393" s="75" t="str">
        <f aca="false">IF(K393="","",IF(K393&lt;=90,"0-90",IF(K393&lt;=180,"91-180",IF(K393&lt;=270,"181-270","&gt;270"))))</f>
        <v/>
      </c>
      <c r="M393" s="75" t="str">
        <f aca="false">IF(G393="Obs",COUNTIF(G$2:G393,"Obs"),"")</f>
        <v/>
      </c>
      <c r="N393" s="75" t="str">
        <f aca="false">IF(G393="No",COUNTIF(G$2:G393,"No"),"")</f>
        <v/>
      </c>
    </row>
    <row r="394" customFormat="false" ht="23.85" hidden="false" customHeight="false" outlineLevel="0" collapsed="false">
      <c r="A394" s="10" t="s">
        <v>711</v>
      </c>
      <c r="B394" s="10" t="s">
        <v>268</v>
      </c>
      <c r="C394" s="10" t="s">
        <v>288</v>
      </c>
      <c r="D394" s="8" t="s">
        <v>289</v>
      </c>
      <c r="E394" s="8" t="s">
        <v>290</v>
      </c>
      <c r="F394" s="10" t="s">
        <v>99</v>
      </c>
      <c r="G394" s="11" t="s">
        <v>16</v>
      </c>
      <c r="H394" s="66"/>
      <c r="I394" s="67" t="n">
        <v>46072</v>
      </c>
      <c r="J394" s="10" t="s">
        <v>690</v>
      </c>
      <c r="K394" s="68" t="str">
        <f aca="false">IF(G394="No",MAX(0,AsOfDate-I394),"")</f>
        <v/>
      </c>
      <c r="L394" s="12" t="str">
        <f aca="false">IF(K394="","",IF(K394&lt;=90,"0-90",IF(K394&lt;=180,"91-180",IF(K394&lt;=270,"181-270","&gt;270"))))</f>
        <v/>
      </c>
      <c r="M394" s="12" t="str">
        <f aca="false">IF(G394="Obs",COUNTIF(G$2:G394,"Obs"),"")</f>
        <v/>
      </c>
      <c r="N394" s="12" t="str">
        <f aca="false">IF(G394="No",COUNTIF(G$2:G394,"No"),"")</f>
        <v/>
      </c>
    </row>
    <row r="395" customFormat="false" ht="15" hidden="false" customHeight="false" outlineLevel="0" collapsed="false">
      <c r="A395" s="69" t="s">
        <v>711</v>
      </c>
      <c r="B395" s="69" t="s">
        <v>268</v>
      </c>
      <c r="C395" s="69" t="s">
        <v>291</v>
      </c>
      <c r="D395" s="70" t="s">
        <v>289</v>
      </c>
      <c r="E395" s="70" t="s">
        <v>292</v>
      </c>
      <c r="F395" s="69" t="s">
        <v>99</v>
      </c>
      <c r="G395" s="71" t="s">
        <v>20</v>
      </c>
      <c r="H395" s="72"/>
      <c r="I395" s="73" t="n">
        <v>46072</v>
      </c>
      <c r="J395" s="69" t="s">
        <v>690</v>
      </c>
      <c r="K395" s="74" t="str">
        <f aca="false">IF(G395="No",MAX(0,AsOfDate-I395),"")</f>
        <v/>
      </c>
      <c r="L395" s="75" t="str">
        <f aca="false">IF(K395="","",IF(K395&lt;=90,"0-90",IF(K395&lt;=180,"91-180",IF(K395&lt;=270,"181-270","&gt;270"))))</f>
        <v/>
      </c>
      <c r="M395" s="75" t="str">
        <f aca="false">IF(G395="Obs",COUNTIF(G$2:G395,"Obs"),"")</f>
        <v/>
      </c>
      <c r="N395" s="75" t="str">
        <f aca="false">IF(G395="No",COUNTIF(G$2:G395,"No"),"")</f>
        <v/>
      </c>
    </row>
    <row r="396" customFormat="false" ht="15" hidden="false" customHeight="false" outlineLevel="0" collapsed="false">
      <c r="A396" s="10" t="s">
        <v>711</v>
      </c>
      <c r="B396" s="10" t="s">
        <v>268</v>
      </c>
      <c r="C396" s="10" t="s">
        <v>293</v>
      </c>
      <c r="D396" s="8" t="s">
        <v>289</v>
      </c>
      <c r="E396" s="8" t="s">
        <v>294</v>
      </c>
      <c r="F396" s="10" t="s">
        <v>105</v>
      </c>
      <c r="G396" s="11" t="s">
        <v>16</v>
      </c>
      <c r="H396" s="66"/>
      <c r="I396" s="67" t="n">
        <v>46072</v>
      </c>
      <c r="J396" s="10" t="s">
        <v>690</v>
      </c>
      <c r="K396" s="68" t="str">
        <f aca="false">IF(G396="No",MAX(0,AsOfDate-I396),"")</f>
        <v/>
      </c>
      <c r="L396" s="12" t="str">
        <f aca="false">IF(K396="","",IF(K396&lt;=90,"0-90",IF(K396&lt;=180,"91-180",IF(K396&lt;=270,"181-270","&gt;270"))))</f>
        <v/>
      </c>
      <c r="M396" s="12" t="str">
        <f aca="false">IF(G396="Obs",COUNTIF(G$2:G396,"Obs"),"")</f>
        <v/>
      </c>
      <c r="N396" s="12" t="str">
        <f aca="false">IF(G396="No",COUNTIF(G$2:G396,"No"),"")</f>
        <v/>
      </c>
    </row>
    <row r="397" customFormat="false" ht="15" hidden="false" customHeight="false" outlineLevel="0" collapsed="false">
      <c r="A397" s="69" t="s">
        <v>711</v>
      </c>
      <c r="B397" s="69" t="s">
        <v>268</v>
      </c>
      <c r="C397" s="69" t="s">
        <v>295</v>
      </c>
      <c r="D397" s="70" t="s">
        <v>289</v>
      </c>
      <c r="E397" s="70" t="s">
        <v>296</v>
      </c>
      <c r="F397" s="69" t="s">
        <v>99</v>
      </c>
      <c r="G397" s="71" t="s">
        <v>16</v>
      </c>
      <c r="H397" s="72"/>
      <c r="I397" s="73" t="n">
        <v>46072</v>
      </c>
      <c r="J397" s="69" t="s">
        <v>690</v>
      </c>
      <c r="K397" s="74" t="str">
        <f aca="false">IF(G397="No",MAX(0,AsOfDate-I397),"")</f>
        <v/>
      </c>
      <c r="L397" s="75" t="str">
        <f aca="false">IF(K397="","",IF(K397&lt;=90,"0-90",IF(K397&lt;=180,"91-180",IF(K397&lt;=270,"181-270","&gt;270"))))</f>
        <v/>
      </c>
      <c r="M397" s="75" t="str">
        <f aca="false">IF(G397="Obs",COUNTIF(G$2:G397,"Obs"),"")</f>
        <v/>
      </c>
      <c r="N397" s="75" t="str">
        <f aca="false">IF(G397="No",COUNTIF(G$2:G397,"No"),"")</f>
        <v/>
      </c>
    </row>
    <row r="398" customFormat="false" ht="15" hidden="false" customHeight="false" outlineLevel="0" collapsed="false">
      <c r="A398" s="10" t="s">
        <v>711</v>
      </c>
      <c r="B398" s="10" t="s">
        <v>268</v>
      </c>
      <c r="C398" s="10" t="s">
        <v>297</v>
      </c>
      <c r="D398" s="8" t="s">
        <v>289</v>
      </c>
      <c r="E398" s="8" t="s">
        <v>298</v>
      </c>
      <c r="F398" s="10" t="s">
        <v>105</v>
      </c>
      <c r="G398" s="11" t="s">
        <v>16</v>
      </c>
      <c r="H398" s="66"/>
      <c r="I398" s="67" t="n">
        <v>46072</v>
      </c>
      <c r="J398" s="10" t="s">
        <v>690</v>
      </c>
      <c r="K398" s="68" t="str">
        <f aca="false">IF(G398="No",MAX(0,AsOfDate-I398),"")</f>
        <v/>
      </c>
      <c r="L398" s="12" t="str">
        <f aca="false">IF(K398="","",IF(K398&lt;=90,"0-90",IF(K398&lt;=180,"91-180",IF(K398&lt;=270,"181-270","&gt;270"))))</f>
        <v/>
      </c>
      <c r="M398" s="12" t="str">
        <f aca="false">IF(G398="Obs",COUNTIF(G$2:G398,"Obs"),"")</f>
        <v/>
      </c>
      <c r="N398" s="12" t="str">
        <f aca="false">IF(G398="No",COUNTIF(G$2:G398,"No"),"")</f>
        <v/>
      </c>
    </row>
    <row r="399" customFormat="false" ht="23.85" hidden="false" customHeight="false" outlineLevel="0" collapsed="false">
      <c r="A399" s="69" t="s">
        <v>711</v>
      </c>
      <c r="B399" s="69" t="s">
        <v>268</v>
      </c>
      <c r="C399" s="69" t="s">
        <v>299</v>
      </c>
      <c r="D399" s="70" t="s">
        <v>289</v>
      </c>
      <c r="E399" s="70" t="s">
        <v>300</v>
      </c>
      <c r="F399" s="69" t="s">
        <v>105</v>
      </c>
      <c r="G399" s="71" t="s">
        <v>18</v>
      </c>
      <c r="H399" s="72" t="s">
        <v>616</v>
      </c>
      <c r="I399" s="73" t="n">
        <v>46072</v>
      </c>
      <c r="J399" s="69" t="s">
        <v>690</v>
      </c>
      <c r="K399" s="74" t="n">
        <f aca="false">IF(G399="No",MAX(0,AsOfDate-I399),"")</f>
        <v>111</v>
      </c>
      <c r="L399" s="75" t="str">
        <f aca="false">IF(K399="","",IF(K399&lt;=90,"0-90",IF(K399&lt;=180,"91-180",IF(K399&lt;=270,"181-270","&gt;270"))))</f>
        <v>91-180</v>
      </c>
      <c r="M399" s="75" t="str">
        <f aca="false">IF(G399="Obs",COUNTIF(G$2:G399,"Obs"),"")</f>
        <v/>
      </c>
      <c r="N399" s="75" t="n">
        <f aca="false">IF(G399="No",COUNTIF(G$2:G399,"No"),"")</f>
        <v>30</v>
      </c>
    </row>
    <row r="400" customFormat="false" ht="15" hidden="false" customHeight="false" outlineLevel="0" collapsed="false">
      <c r="A400" s="10" t="s">
        <v>713</v>
      </c>
      <c r="B400" s="10" t="s">
        <v>268</v>
      </c>
      <c r="C400" s="10" t="s">
        <v>267</v>
      </c>
      <c r="D400" s="8" t="s">
        <v>133</v>
      </c>
      <c r="E400" s="8" t="s">
        <v>134</v>
      </c>
      <c r="F400" s="10" t="s">
        <v>99</v>
      </c>
      <c r="G400" s="11" t="s">
        <v>16</v>
      </c>
      <c r="H400" s="66"/>
      <c r="I400" s="67" t="n">
        <v>46149</v>
      </c>
      <c r="J400" s="10" t="s">
        <v>693</v>
      </c>
      <c r="K400" s="68" t="str">
        <f aca="false">IF(G400="No",MAX(0,AsOfDate-I400),"")</f>
        <v/>
      </c>
      <c r="L400" s="12" t="str">
        <f aca="false">IF(K400="","",IF(K400&lt;=90,"0-90",IF(K400&lt;=180,"91-180",IF(K400&lt;=270,"181-270","&gt;270"))))</f>
        <v/>
      </c>
      <c r="M400" s="12" t="str">
        <f aca="false">IF(G400="Obs",COUNTIF(G$2:G400,"Obs"),"")</f>
        <v/>
      </c>
      <c r="N400" s="12" t="str">
        <f aca="false">IF(G400="No",COUNTIF(G$2:G400,"No"),"")</f>
        <v/>
      </c>
    </row>
    <row r="401" customFormat="false" ht="15" hidden="false" customHeight="false" outlineLevel="0" collapsed="false">
      <c r="A401" s="69" t="s">
        <v>713</v>
      </c>
      <c r="B401" s="69" t="s">
        <v>268</v>
      </c>
      <c r="C401" s="69" t="s">
        <v>269</v>
      </c>
      <c r="D401" s="70" t="s">
        <v>133</v>
      </c>
      <c r="E401" s="70" t="s">
        <v>136</v>
      </c>
      <c r="F401" s="69" t="s">
        <v>99</v>
      </c>
      <c r="G401" s="71" t="s">
        <v>18</v>
      </c>
      <c r="H401" s="72" t="s">
        <v>496</v>
      </c>
      <c r="I401" s="73" t="n">
        <v>46149</v>
      </c>
      <c r="J401" s="69" t="s">
        <v>693</v>
      </c>
      <c r="K401" s="74" t="n">
        <f aca="false">IF(G401="No",MAX(0,AsOfDate-I401),"")</f>
        <v>34</v>
      </c>
      <c r="L401" s="75" t="str">
        <f aca="false">IF(K401="","",IF(K401&lt;=90,"0-90",IF(K401&lt;=180,"91-180",IF(K401&lt;=270,"181-270","&gt;270"))))</f>
        <v>0-90</v>
      </c>
      <c r="M401" s="75" t="str">
        <f aca="false">IF(G401="Obs",COUNTIF(G$2:G401,"Obs"),"")</f>
        <v/>
      </c>
      <c r="N401" s="75" t="n">
        <f aca="false">IF(G401="No",COUNTIF(G$2:G401,"No"),"")</f>
        <v>31</v>
      </c>
    </row>
    <row r="402" customFormat="false" ht="15" hidden="false" customHeight="false" outlineLevel="0" collapsed="false">
      <c r="A402" s="10" t="s">
        <v>713</v>
      </c>
      <c r="B402" s="10" t="s">
        <v>268</v>
      </c>
      <c r="C402" s="10" t="s">
        <v>270</v>
      </c>
      <c r="D402" s="8" t="s">
        <v>133</v>
      </c>
      <c r="E402" s="8" t="s">
        <v>138</v>
      </c>
      <c r="F402" s="10" t="s">
        <v>105</v>
      </c>
      <c r="G402" s="11" t="s">
        <v>16</v>
      </c>
      <c r="H402" s="66"/>
      <c r="I402" s="67" t="n">
        <v>46149</v>
      </c>
      <c r="J402" s="10" t="s">
        <v>693</v>
      </c>
      <c r="K402" s="68" t="str">
        <f aca="false">IF(G402="No",MAX(0,AsOfDate-I402),"")</f>
        <v/>
      </c>
      <c r="L402" s="12" t="str">
        <f aca="false">IF(K402="","",IF(K402&lt;=90,"0-90",IF(K402&lt;=180,"91-180",IF(K402&lt;=270,"181-270","&gt;270"))))</f>
        <v/>
      </c>
      <c r="M402" s="12" t="str">
        <f aca="false">IF(G402="Obs",COUNTIF(G$2:G402,"Obs"),"")</f>
        <v/>
      </c>
      <c r="N402" s="12" t="str">
        <f aca="false">IF(G402="No",COUNTIF(G$2:G402,"No"),"")</f>
        <v/>
      </c>
    </row>
    <row r="403" customFormat="false" ht="15" hidden="false" customHeight="false" outlineLevel="0" collapsed="false">
      <c r="A403" s="69" t="s">
        <v>713</v>
      </c>
      <c r="B403" s="69" t="s">
        <v>268</v>
      </c>
      <c r="C403" s="69" t="s">
        <v>271</v>
      </c>
      <c r="D403" s="70" t="s">
        <v>140</v>
      </c>
      <c r="E403" s="70" t="s">
        <v>141</v>
      </c>
      <c r="F403" s="69" t="s">
        <v>99</v>
      </c>
      <c r="G403" s="71" t="s">
        <v>16</v>
      </c>
      <c r="H403" s="72"/>
      <c r="I403" s="73" t="n">
        <v>46149</v>
      </c>
      <c r="J403" s="69" t="s">
        <v>693</v>
      </c>
      <c r="K403" s="74" t="str">
        <f aca="false">IF(G403="No",MAX(0,AsOfDate-I403),"")</f>
        <v/>
      </c>
      <c r="L403" s="75" t="str">
        <f aca="false">IF(K403="","",IF(K403&lt;=90,"0-90",IF(K403&lt;=180,"91-180",IF(K403&lt;=270,"181-270","&gt;270"))))</f>
        <v/>
      </c>
      <c r="M403" s="75" t="str">
        <f aca="false">IF(G403="Obs",COUNTIF(G$2:G403,"Obs"),"")</f>
        <v/>
      </c>
      <c r="N403" s="75" t="str">
        <f aca="false">IF(G403="No",COUNTIF(G$2:G403,"No"),"")</f>
        <v/>
      </c>
    </row>
    <row r="404" customFormat="false" ht="15" hidden="false" customHeight="false" outlineLevel="0" collapsed="false">
      <c r="A404" s="10" t="s">
        <v>713</v>
      </c>
      <c r="B404" s="10" t="s">
        <v>268</v>
      </c>
      <c r="C404" s="10" t="s">
        <v>272</v>
      </c>
      <c r="D404" s="8" t="s">
        <v>140</v>
      </c>
      <c r="E404" s="8" t="s">
        <v>143</v>
      </c>
      <c r="F404" s="10" t="s">
        <v>105</v>
      </c>
      <c r="G404" s="11" t="s">
        <v>16</v>
      </c>
      <c r="H404" s="66"/>
      <c r="I404" s="67" t="n">
        <v>46149</v>
      </c>
      <c r="J404" s="10" t="s">
        <v>693</v>
      </c>
      <c r="K404" s="68" t="str">
        <f aca="false">IF(G404="No",MAX(0,AsOfDate-I404),"")</f>
        <v/>
      </c>
      <c r="L404" s="12" t="str">
        <f aca="false">IF(K404="","",IF(K404&lt;=90,"0-90",IF(K404&lt;=180,"91-180",IF(K404&lt;=270,"181-270","&gt;270"))))</f>
        <v/>
      </c>
      <c r="M404" s="12" t="str">
        <f aca="false">IF(G404="Obs",COUNTIF(G$2:G404,"Obs"),"")</f>
        <v/>
      </c>
      <c r="N404" s="12" t="str">
        <f aca="false">IF(G404="No",COUNTIF(G$2:G404,"No"),"")</f>
        <v/>
      </c>
    </row>
    <row r="405" customFormat="false" ht="15" hidden="false" customHeight="false" outlineLevel="0" collapsed="false">
      <c r="A405" s="69" t="s">
        <v>713</v>
      </c>
      <c r="B405" s="69" t="s">
        <v>268</v>
      </c>
      <c r="C405" s="69" t="s">
        <v>273</v>
      </c>
      <c r="D405" s="70" t="s">
        <v>140</v>
      </c>
      <c r="E405" s="70" t="s">
        <v>145</v>
      </c>
      <c r="F405" s="69" t="s">
        <v>99</v>
      </c>
      <c r="G405" s="71" t="s">
        <v>16</v>
      </c>
      <c r="H405" s="72"/>
      <c r="I405" s="73" t="n">
        <v>46149</v>
      </c>
      <c r="J405" s="69" t="s">
        <v>693</v>
      </c>
      <c r="K405" s="74" t="str">
        <f aca="false">IF(G405="No",MAX(0,AsOfDate-I405),"")</f>
        <v/>
      </c>
      <c r="L405" s="75" t="str">
        <f aca="false">IF(K405="","",IF(K405&lt;=90,"0-90",IF(K405&lt;=180,"91-180",IF(K405&lt;=270,"181-270","&gt;270"))))</f>
        <v/>
      </c>
      <c r="M405" s="75" t="str">
        <f aca="false">IF(G405="Obs",COUNTIF(G$2:G405,"Obs"),"")</f>
        <v/>
      </c>
      <c r="N405" s="75" t="str">
        <f aca="false">IF(G405="No",COUNTIF(G$2:G405,"No"),"")</f>
        <v/>
      </c>
    </row>
    <row r="406" customFormat="false" ht="23.85" hidden="false" customHeight="false" outlineLevel="0" collapsed="false">
      <c r="A406" s="10" t="s">
        <v>713</v>
      </c>
      <c r="B406" s="10" t="s">
        <v>268</v>
      </c>
      <c r="C406" s="10" t="s">
        <v>274</v>
      </c>
      <c r="D406" s="8" t="s">
        <v>147</v>
      </c>
      <c r="E406" s="8" t="s">
        <v>148</v>
      </c>
      <c r="F406" s="10" t="s">
        <v>99</v>
      </c>
      <c r="G406" s="11" t="s">
        <v>22</v>
      </c>
      <c r="H406" s="66" t="s">
        <v>667</v>
      </c>
      <c r="I406" s="67" t="n">
        <v>46149</v>
      </c>
      <c r="J406" s="10" t="s">
        <v>693</v>
      </c>
      <c r="K406" s="68" t="str">
        <f aca="false">IF(G406="No",MAX(0,AsOfDate-I406),"")</f>
        <v/>
      </c>
      <c r="L406" s="12" t="str">
        <f aca="false">IF(K406="","",IF(K406&lt;=90,"0-90",IF(K406&lt;=180,"91-180",IF(K406&lt;=270,"181-270","&gt;270"))))</f>
        <v/>
      </c>
      <c r="M406" s="12" t="n">
        <f aca="false">IF(G406="Obs",COUNTIF(G$2:G406,"Obs"),"")</f>
        <v>24</v>
      </c>
      <c r="N406" s="12" t="str">
        <f aca="false">IF(G406="No",COUNTIF(G$2:G406,"No"),"")</f>
        <v/>
      </c>
    </row>
    <row r="407" customFormat="false" ht="15" hidden="false" customHeight="false" outlineLevel="0" collapsed="false">
      <c r="A407" s="69" t="s">
        <v>713</v>
      </c>
      <c r="B407" s="69" t="s">
        <v>268</v>
      </c>
      <c r="C407" s="69" t="s">
        <v>275</v>
      </c>
      <c r="D407" s="70" t="s">
        <v>147</v>
      </c>
      <c r="E407" s="70" t="s">
        <v>150</v>
      </c>
      <c r="F407" s="69" t="s">
        <v>105</v>
      </c>
      <c r="G407" s="71" t="s">
        <v>16</v>
      </c>
      <c r="H407" s="72"/>
      <c r="I407" s="73" t="n">
        <v>46149</v>
      </c>
      <c r="J407" s="69" t="s">
        <v>693</v>
      </c>
      <c r="K407" s="74" t="str">
        <f aca="false">IF(G407="No",MAX(0,AsOfDate-I407),"")</f>
        <v/>
      </c>
      <c r="L407" s="75" t="str">
        <f aca="false">IF(K407="","",IF(K407&lt;=90,"0-90",IF(K407&lt;=180,"91-180",IF(K407&lt;=270,"181-270","&gt;270"))))</f>
        <v/>
      </c>
      <c r="M407" s="75" t="str">
        <f aca="false">IF(G407="Obs",COUNTIF(G$2:G407,"Obs"),"")</f>
        <v/>
      </c>
      <c r="N407" s="75" t="str">
        <f aca="false">IF(G407="No",COUNTIF(G$2:G407,"No"),"")</f>
        <v/>
      </c>
    </row>
    <row r="408" customFormat="false" ht="15" hidden="false" customHeight="false" outlineLevel="0" collapsed="false">
      <c r="A408" s="10" t="s">
        <v>713</v>
      </c>
      <c r="B408" s="10" t="s">
        <v>268</v>
      </c>
      <c r="C408" s="10" t="s">
        <v>276</v>
      </c>
      <c r="D408" s="8" t="s">
        <v>147</v>
      </c>
      <c r="E408" s="8" t="s">
        <v>152</v>
      </c>
      <c r="F408" s="10" t="s">
        <v>99</v>
      </c>
      <c r="G408" s="11" t="s">
        <v>22</v>
      </c>
      <c r="H408" s="66" t="s">
        <v>562</v>
      </c>
      <c r="I408" s="67" t="n">
        <v>46149</v>
      </c>
      <c r="J408" s="10" t="s">
        <v>693</v>
      </c>
      <c r="K408" s="68" t="str">
        <f aca="false">IF(G408="No",MAX(0,AsOfDate-I408),"")</f>
        <v/>
      </c>
      <c r="L408" s="12" t="str">
        <f aca="false">IF(K408="","",IF(K408&lt;=90,"0-90",IF(K408&lt;=180,"91-180",IF(K408&lt;=270,"181-270","&gt;270"))))</f>
        <v/>
      </c>
      <c r="M408" s="12" t="n">
        <f aca="false">IF(G408="Obs",COUNTIF(G$2:G408,"Obs"),"")</f>
        <v>25</v>
      </c>
      <c r="N408" s="12" t="str">
        <f aca="false">IF(G408="No",COUNTIF(G$2:G408,"No"),"")</f>
        <v/>
      </c>
    </row>
    <row r="409" customFormat="false" ht="15" hidden="false" customHeight="false" outlineLevel="0" collapsed="false">
      <c r="A409" s="69" t="s">
        <v>713</v>
      </c>
      <c r="B409" s="69" t="s">
        <v>268</v>
      </c>
      <c r="C409" s="69" t="s">
        <v>277</v>
      </c>
      <c r="D409" s="70" t="s">
        <v>154</v>
      </c>
      <c r="E409" s="70" t="s">
        <v>155</v>
      </c>
      <c r="F409" s="69" t="s">
        <v>105</v>
      </c>
      <c r="G409" s="71" t="s">
        <v>16</v>
      </c>
      <c r="H409" s="72"/>
      <c r="I409" s="73" t="n">
        <v>46149</v>
      </c>
      <c r="J409" s="69" t="s">
        <v>693</v>
      </c>
      <c r="K409" s="74" t="str">
        <f aca="false">IF(G409="No",MAX(0,AsOfDate-I409),"")</f>
        <v/>
      </c>
      <c r="L409" s="75" t="str">
        <f aca="false">IF(K409="","",IF(K409&lt;=90,"0-90",IF(K409&lt;=180,"91-180",IF(K409&lt;=270,"181-270","&gt;270"))))</f>
        <v/>
      </c>
      <c r="M409" s="75" t="str">
        <f aca="false">IF(G409="Obs",COUNTIF(G$2:G409,"Obs"),"")</f>
        <v/>
      </c>
      <c r="N409" s="75" t="str">
        <f aca="false">IF(G409="No",COUNTIF(G$2:G409,"No"),"")</f>
        <v/>
      </c>
    </row>
    <row r="410" customFormat="false" ht="15" hidden="false" customHeight="false" outlineLevel="0" collapsed="false">
      <c r="A410" s="10" t="s">
        <v>713</v>
      </c>
      <c r="B410" s="10" t="s">
        <v>268</v>
      </c>
      <c r="C410" s="10" t="s">
        <v>278</v>
      </c>
      <c r="D410" s="8" t="s">
        <v>154</v>
      </c>
      <c r="E410" s="8" t="s">
        <v>157</v>
      </c>
      <c r="F410" s="10" t="s">
        <v>105</v>
      </c>
      <c r="G410" s="11" t="s">
        <v>16</v>
      </c>
      <c r="H410" s="66"/>
      <c r="I410" s="67" t="n">
        <v>46149</v>
      </c>
      <c r="J410" s="10" t="s">
        <v>693</v>
      </c>
      <c r="K410" s="68" t="str">
        <f aca="false">IF(G410="No",MAX(0,AsOfDate-I410),"")</f>
        <v/>
      </c>
      <c r="L410" s="12" t="str">
        <f aca="false">IF(K410="","",IF(K410&lt;=90,"0-90",IF(K410&lt;=180,"91-180",IF(K410&lt;=270,"181-270","&gt;270"))))</f>
        <v/>
      </c>
      <c r="M410" s="12" t="str">
        <f aca="false">IF(G410="Obs",COUNTIF(G$2:G410,"Obs"),"")</f>
        <v/>
      </c>
      <c r="N410" s="12" t="str">
        <f aca="false">IF(G410="No",COUNTIF(G$2:G410,"No"),"")</f>
        <v/>
      </c>
    </row>
    <row r="411" customFormat="false" ht="23.85" hidden="false" customHeight="false" outlineLevel="0" collapsed="false">
      <c r="A411" s="69" t="s">
        <v>713</v>
      </c>
      <c r="B411" s="69" t="s">
        <v>268</v>
      </c>
      <c r="C411" s="69" t="s">
        <v>279</v>
      </c>
      <c r="D411" s="70" t="s">
        <v>159</v>
      </c>
      <c r="E411" s="70" t="s">
        <v>160</v>
      </c>
      <c r="F411" s="69" t="s">
        <v>99</v>
      </c>
      <c r="G411" s="71" t="s">
        <v>16</v>
      </c>
      <c r="H411" s="72"/>
      <c r="I411" s="73" t="n">
        <v>46149</v>
      </c>
      <c r="J411" s="69" t="s">
        <v>693</v>
      </c>
      <c r="K411" s="74" t="str">
        <f aca="false">IF(G411="No",MAX(0,AsOfDate-I411),"")</f>
        <v/>
      </c>
      <c r="L411" s="75" t="str">
        <f aca="false">IF(K411="","",IF(K411&lt;=90,"0-90",IF(K411&lt;=180,"91-180",IF(K411&lt;=270,"181-270","&gt;270"))))</f>
        <v/>
      </c>
      <c r="M411" s="75" t="str">
        <f aca="false">IF(G411="Obs",COUNTIF(G$2:G411,"Obs"),"")</f>
        <v/>
      </c>
      <c r="N411" s="75" t="str">
        <f aca="false">IF(G411="No",COUNTIF(G$2:G411,"No"),"")</f>
        <v/>
      </c>
    </row>
    <row r="412" customFormat="false" ht="23.85" hidden="false" customHeight="false" outlineLevel="0" collapsed="false">
      <c r="A412" s="10" t="s">
        <v>713</v>
      </c>
      <c r="B412" s="10" t="s">
        <v>268</v>
      </c>
      <c r="C412" s="10" t="s">
        <v>280</v>
      </c>
      <c r="D412" s="8" t="s">
        <v>159</v>
      </c>
      <c r="E412" s="8" t="s">
        <v>162</v>
      </c>
      <c r="F412" s="10" t="s">
        <v>99</v>
      </c>
      <c r="G412" s="11" t="s">
        <v>16</v>
      </c>
      <c r="H412" s="66"/>
      <c r="I412" s="67" t="n">
        <v>46149</v>
      </c>
      <c r="J412" s="10" t="s">
        <v>693</v>
      </c>
      <c r="K412" s="68" t="str">
        <f aca="false">IF(G412="No",MAX(0,AsOfDate-I412),"")</f>
        <v/>
      </c>
      <c r="L412" s="12" t="str">
        <f aca="false">IF(K412="","",IF(K412&lt;=90,"0-90",IF(K412&lt;=180,"91-180",IF(K412&lt;=270,"181-270","&gt;270"))))</f>
        <v/>
      </c>
      <c r="M412" s="12" t="str">
        <f aca="false">IF(G412="Obs",COUNTIF(G$2:G412,"Obs"),"")</f>
        <v/>
      </c>
      <c r="N412" s="12" t="str">
        <f aca="false">IF(G412="No",COUNTIF(G$2:G412,"No"),"")</f>
        <v/>
      </c>
    </row>
    <row r="413" customFormat="false" ht="23.85" hidden="false" customHeight="false" outlineLevel="0" collapsed="false">
      <c r="A413" s="69" t="s">
        <v>713</v>
      </c>
      <c r="B413" s="69" t="s">
        <v>268</v>
      </c>
      <c r="C413" s="69" t="s">
        <v>281</v>
      </c>
      <c r="D413" s="70" t="s">
        <v>159</v>
      </c>
      <c r="E413" s="70" t="s">
        <v>164</v>
      </c>
      <c r="F413" s="69" t="s">
        <v>110</v>
      </c>
      <c r="G413" s="71" t="s">
        <v>16</v>
      </c>
      <c r="H413" s="72"/>
      <c r="I413" s="73" t="n">
        <v>46149</v>
      </c>
      <c r="J413" s="69" t="s">
        <v>693</v>
      </c>
      <c r="K413" s="74" t="str">
        <f aca="false">IF(G413="No",MAX(0,AsOfDate-I413),"")</f>
        <v/>
      </c>
      <c r="L413" s="75" t="str">
        <f aca="false">IF(K413="","",IF(K413&lt;=90,"0-90",IF(K413&lt;=180,"91-180",IF(K413&lt;=270,"181-270","&gt;270"))))</f>
        <v/>
      </c>
      <c r="M413" s="75" t="str">
        <f aca="false">IF(G413="Obs",COUNTIF(G$2:G413,"Obs"),"")</f>
        <v/>
      </c>
      <c r="N413" s="75" t="str">
        <f aca="false">IF(G413="No",COUNTIF(G$2:G413,"No"),"")</f>
        <v/>
      </c>
    </row>
    <row r="414" customFormat="false" ht="15" hidden="false" customHeight="false" outlineLevel="0" collapsed="false">
      <c r="A414" s="10" t="s">
        <v>713</v>
      </c>
      <c r="B414" s="10" t="s">
        <v>268</v>
      </c>
      <c r="C414" s="10" t="s">
        <v>282</v>
      </c>
      <c r="D414" s="8" t="s">
        <v>166</v>
      </c>
      <c r="E414" s="8" t="s">
        <v>167</v>
      </c>
      <c r="F414" s="10" t="s">
        <v>99</v>
      </c>
      <c r="G414" s="11" t="s">
        <v>20</v>
      </c>
      <c r="H414" s="66"/>
      <c r="I414" s="67" t="n">
        <v>46149</v>
      </c>
      <c r="J414" s="10" t="s">
        <v>693</v>
      </c>
      <c r="K414" s="68" t="str">
        <f aca="false">IF(G414="No",MAX(0,AsOfDate-I414),"")</f>
        <v/>
      </c>
      <c r="L414" s="12" t="str">
        <f aca="false">IF(K414="","",IF(K414&lt;=90,"0-90",IF(K414&lt;=180,"91-180",IF(K414&lt;=270,"181-270","&gt;270"))))</f>
        <v/>
      </c>
      <c r="M414" s="12" t="str">
        <f aca="false">IF(G414="Obs",COUNTIF(G$2:G414,"Obs"),"")</f>
        <v/>
      </c>
      <c r="N414" s="12" t="str">
        <f aca="false">IF(G414="No",COUNTIF(G$2:G414,"No"),"")</f>
        <v/>
      </c>
    </row>
    <row r="415" customFormat="false" ht="15" hidden="false" customHeight="false" outlineLevel="0" collapsed="false">
      <c r="A415" s="69" t="s">
        <v>713</v>
      </c>
      <c r="B415" s="69" t="s">
        <v>268</v>
      </c>
      <c r="C415" s="69" t="s">
        <v>283</v>
      </c>
      <c r="D415" s="70" t="s">
        <v>166</v>
      </c>
      <c r="E415" s="70" t="s">
        <v>169</v>
      </c>
      <c r="F415" s="69" t="s">
        <v>105</v>
      </c>
      <c r="G415" s="71" t="s">
        <v>16</v>
      </c>
      <c r="H415" s="72"/>
      <c r="I415" s="73" t="n">
        <v>46149</v>
      </c>
      <c r="J415" s="69" t="s">
        <v>693</v>
      </c>
      <c r="K415" s="74" t="str">
        <f aca="false">IF(G415="No",MAX(0,AsOfDate-I415),"")</f>
        <v/>
      </c>
      <c r="L415" s="75" t="str">
        <f aca="false">IF(K415="","",IF(K415&lt;=90,"0-90",IF(K415&lt;=180,"91-180",IF(K415&lt;=270,"181-270","&gt;270"))))</f>
        <v/>
      </c>
      <c r="M415" s="75" t="str">
        <f aca="false">IF(G415="Obs",COUNTIF(G$2:G415,"Obs"),"")</f>
        <v/>
      </c>
      <c r="N415" s="75" t="str">
        <f aca="false">IF(G415="No",COUNTIF(G$2:G415,"No"),"")</f>
        <v/>
      </c>
    </row>
    <row r="416" customFormat="false" ht="15" hidden="false" customHeight="false" outlineLevel="0" collapsed="false">
      <c r="A416" s="10" t="s">
        <v>713</v>
      </c>
      <c r="B416" s="10" t="s">
        <v>268</v>
      </c>
      <c r="C416" s="10" t="s">
        <v>284</v>
      </c>
      <c r="D416" s="8" t="s">
        <v>171</v>
      </c>
      <c r="E416" s="8" t="s">
        <v>172</v>
      </c>
      <c r="F416" s="10" t="s">
        <v>105</v>
      </c>
      <c r="G416" s="11" t="s">
        <v>16</v>
      </c>
      <c r="H416" s="66"/>
      <c r="I416" s="67" t="n">
        <v>46149</v>
      </c>
      <c r="J416" s="10" t="s">
        <v>693</v>
      </c>
      <c r="K416" s="68" t="str">
        <f aca="false">IF(G416="No",MAX(0,AsOfDate-I416),"")</f>
        <v/>
      </c>
      <c r="L416" s="12" t="str">
        <f aca="false">IF(K416="","",IF(K416&lt;=90,"0-90",IF(K416&lt;=180,"91-180",IF(K416&lt;=270,"181-270","&gt;270"))))</f>
        <v/>
      </c>
      <c r="M416" s="12" t="str">
        <f aca="false">IF(G416="Obs",COUNTIF(G$2:G416,"Obs"),"")</f>
        <v/>
      </c>
      <c r="N416" s="12" t="str">
        <f aca="false">IF(G416="No",COUNTIF(G$2:G416,"No"),"")</f>
        <v/>
      </c>
    </row>
    <row r="417" customFormat="false" ht="15" hidden="false" customHeight="false" outlineLevel="0" collapsed="false">
      <c r="A417" s="69" t="s">
        <v>713</v>
      </c>
      <c r="B417" s="69" t="s">
        <v>268</v>
      </c>
      <c r="C417" s="69" t="s">
        <v>285</v>
      </c>
      <c r="D417" s="70" t="s">
        <v>171</v>
      </c>
      <c r="E417" s="70" t="s">
        <v>174</v>
      </c>
      <c r="F417" s="69" t="s">
        <v>99</v>
      </c>
      <c r="G417" s="71" t="s">
        <v>20</v>
      </c>
      <c r="H417" s="72"/>
      <c r="I417" s="73" t="n">
        <v>46149</v>
      </c>
      <c r="J417" s="69" t="s">
        <v>693</v>
      </c>
      <c r="K417" s="74" t="str">
        <f aca="false">IF(G417="No",MAX(0,AsOfDate-I417),"")</f>
        <v/>
      </c>
      <c r="L417" s="75" t="str">
        <f aca="false">IF(K417="","",IF(K417&lt;=90,"0-90",IF(K417&lt;=180,"91-180",IF(K417&lt;=270,"181-270","&gt;270"))))</f>
        <v/>
      </c>
      <c r="M417" s="75" t="str">
        <f aca="false">IF(G417="Obs",COUNTIF(G$2:G417,"Obs"),"")</f>
        <v/>
      </c>
      <c r="N417" s="75" t="str">
        <f aca="false">IF(G417="No",COUNTIF(G$2:G417,"No"),"")</f>
        <v/>
      </c>
    </row>
    <row r="418" customFormat="false" ht="15" hidden="false" customHeight="false" outlineLevel="0" collapsed="false">
      <c r="A418" s="10" t="s">
        <v>713</v>
      </c>
      <c r="B418" s="10" t="s">
        <v>268</v>
      </c>
      <c r="C418" s="10" t="s">
        <v>286</v>
      </c>
      <c r="D418" s="8" t="s">
        <v>176</v>
      </c>
      <c r="E418" s="8" t="s">
        <v>177</v>
      </c>
      <c r="F418" s="10" t="s">
        <v>105</v>
      </c>
      <c r="G418" s="11" t="s">
        <v>16</v>
      </c>
      <c r="H418" s="66"/>
      <c r="I418" s="67" t="n">
        <v>46149</v>
      </c>
      <c r="J418" s="10" t="s">
        <v>693</v>
      </c>
      <c r="K418" s="68" t="str">
        <f aca="false">IF(G418="No",MAX(0,AsOfDate-I418),"")</f>
        <v/>
      </c>
      <c r="L418" s="12" t="str">
        <f aca="false">IF(K418="","",IF(K418&lt;=90,"0-90",IF(K418&lt;=180,"91-180",IF(K418&lt;=270,"181-270","&gt;270"))))</f>
        <v/>
      </c>
      <c r="M418" s="12" t="str">
        <f aca="false">IF(G418="Obs",COUNTIF(G$2:G418,"Obs"),"")</f>
        <v/>
      </c>
      <c r="N418" s="12" t="str">
        <f aca="false">IF(G418="No",COUNTIF(G$2:G418,"No"),"")</f>
        <v/>
      </c>
    </row>
    <row r="419" customFormat="false" ht="15" hidden="false" customHeight="false" outlineLevel="0" collapsed="false">
      <c r="A419" s="69" t="s">
        <v>713</v>
      </c>
      <c r="B419" s="69" t="s">
        <v>268</v>
      </c>
      <c r="C419" s="69" t="s">
        <v>287</v>
      </c>
      <c r="D419" s="70" t="s">
        <v>176</v>
      </c>
      <c r="E419" s="70" t="s">
        <v>179</v>
      </c>
      <c r="F419" s="69" t="s">
        <v>105</v>
      </c>
      <c r="G419" s="71" t="s">
        <v>16</v>
      </c>
      <c r="H419" s="72"/>
      <c r="I419" s="73" t="n">
        <v>46149</v>
      </c>
      <c r="J419" s="69" t="s">
        <v>693</v>
      </c>
      <c r="K419" s="74" t="str">
        <f aca="false">IF(G419="No",MAX(0,AsOfDate-I419),"")</f>
        <v/>
      </c>
      <c r="L419" s="75" t="str">
        <f aca="false">IF(K419="","",IF(K419&lt;=90,"0-90",IF(K419&lt;=180,"91-180",IF(K419&lt;=270,"181-270","&gt;270"))))</f>
        <v/>
      </c>
      <c r="M419" s="75" t="str">
        <f aca="false">IF(G419="Obs",COUNTIF(G$2:G419,"Obs"),"")</f>
        <v/>
      </c>
      <c r="N419" s="75" t="str">
        <f aca="false">IF(G419="No",COUNTIF(G$2:G419,"No"),"")</f>
        <v/>
      </c>
    </row>
    <row r="420" customFormat="false" ht="23.85" hidden="false" customHeight="false" outlineLevel="0" collapsed="false">
      <c r="A420" s="10" t="s">
        <v>713</v>
      </c>
      <c r="B420" s="10" t="s">
        <v>268</v>
      </c>
      <c r="C420" s="10" t="s">
        <v>288</v>
      </c>
      <c r="D420" s="8" t="s">
        <v>289</v>
      </c>
      <c r="E420" s="8" t="s">
        <v>290</v>
      </c>
      <c r="F420" s="10" t="s">
        <v>99</v>
      </c>
      <c r="G420" s="11" t="s">
        <v>20</v>
      </c>
      <c r="H420" s="66"/>
      <c r="I420" s="67" t="n">
        <v>46149</v>
      </c>
      <c r="J420" s="10" t="s">
        <v>693</v>
      </c>
      <c r="K420" s="68" t="str">
        <f aca="false">IF(G420="No",MAX(0,AsOfDate-I420),"")</f>
        <v/>
      </c>
      <c r="L420" s="12" t="str">
        <f aca="false">IF(K420="","",IF(K420&lt;=90,"0-90",IF(K420&lt;=180,"91-180",IF(K420&lt;=270,"181-270","&gt;270"))))</f>
        <v/>
      </c>
      <c r="M420" s="12" t="str">
        <f aca="false">IF(G420="Obs",COUNTIF(G$2:G420,"Obs"),"")</f>
        <v/>
      </c>
      <c r="N420" s="12" t="str">
        <f aca="false">IF(G420="No",COUNTIF(G$2:G420,"No"),"")</f>
        <v/>
      </c>
    </row>
    <row r="421" customFormat="false" ht="15" hidden="false" customHeight="false" outlineLevel="0" collapsed="false">
      <c r="A421" s="69" t="s">
        <v>713</v>
      </c>
      <c r="B421" s="69" t="s">
        <v>268</v>
      </c>
      <c r="C421" s="69" t="s">
        <v>291</v>
      </c>
      <c r="D421" s="70" t="s">
        <v>289</v>
      </c>
      <c r="E421" s="70" t="s">
        <v>292</v>
      </c>
      <c r="F421" s="69" t="s">
        <v>99</v>
      </c>
      <c r="G421" s="71" t="s">
        <v>22</v>
      </c>
      <c r="H421" s="72" t="s">
        <v>536</v>
      </c>
      <c r="I421" s="73" t="n">
        <v>46149</v>
      </c>
      <c r="J421" s="69" t="s">
        <v>693</v>
      </c>
      <c r="K421" s="74" t="str">
        <f aca="false">IF(G421="No",MAX(0,AsOfDate-I421),"")</f>
        <v/>
      </c>
      <c r="L421" s="75" t="str">
        <f aca="false">IF(K421="","",IF(K421&lt;=90,"0-90",IF(K421&lt;=180,"91-180",IF(K421&lt;=270,"181-270","&gt;270"))))</f>
        <v/>
      </c>
      <c r="M421" s="75" t="n">
        <f aca="false">IF(G421="Obs",COUNTIF(G$2:G421,"Obs"),"")</f>
        <v>26</v>
      </c>
      <c r="N421" s="75" t="str">
        <f aca="false">IF(G421="No",COUNTIF(G$2:G421,"No"),"")</f>
        <v/>
      </c>
    </row>
    <row r="422" customFormat="false" ht="15" hidden="false" customHeight="false" outlineLevel="0" collapsed="false">
      <c r="A422" s="10" t="s">
        <v>713</v>
      </c>
      <c r="B422" s="10" t="s">
        <v>268</v>
      </c>
      <c r="C422" s="10" t="s">
        <v>293</v>
      </c>
      <c r="D422" s="8" t="s">
        <v>289</v>
      </c>
      <c r="E422" s="8" t="s">
        <v>294</v>
      </c>
      <c r="F422" s="10" t="s">
        <v>105</v>
      </c>
      <c r="G422" s="11" t="s">
        <v>18</v>
      </c>
      <c r="H422" s="66" t="s">
        <v>496</v>
      </c>
      <c r="I422" s="67" t="n">
        <v>46149</v>
      </c>
      <c r="J422" s="10" t="s">
        <v>693</v>
      </c>
      <c r="K422" s="68" t="n">
        <f aca="false">IF(G422="No",MAX(0,AsOfDate-I422),"")</f>
        <v>34</v>
      </c>
      <c r="L422" s="12" t="str">
        <f aca="false">IF(K422="","",IF(K422&lt;=90,"0-90",IF(K422&lt;=180,"91-180",IF(K422&lt;=270,"181-270","&gt;270"))))</f>
        <v>0-90</v>
      </c>
      <c r="M422" s="12" t="str">
        <f aca="false">IF(G422="Obs",COUNTIF(G$2:G422,"Obs"),"")</f>
        <v/>
      </c>
      <c r="N422" s="12" t="n">
        <f aca="false">IF(G422="No",COUNTIF(G$2:G422,"No"),"")</f>
        <v>32</v>
      </c>
    </row>
    <row r="423" customFormat="false" ht="15" hidden="false" customHeight="false" outlineLevel="0" collapsed="false">
      <c r="A423" s="69" t="s">
        <v>713</v>
      </c>
      <c r="B423" s="69" t="s">
        <v>268</v>
      </c>
      <c r="C423" s="69" t="s">
        <v>295</v>
      </c>
      <c r="D423" s="70" t="s">
        <v>289</v>
      </c>
      <c r="E423" s="70" t="s">
        <v>296</v>
      </c>
      <c r="F423" s="69" t="s">
        <v>99</v>
      </c>
      <c r="G423" s="71" t="s">
        <v>16</v>
      </c>
      <c r="H423" s="72"/>
      <c r="I423" s="73" t="n">
        <v>46149</v>
      </c>
      <c r="J423" s="69" t="s">
        <v>693</v>
      </c>
      <c r="K423" s="74" t="str">
        <f aca="false">IF(G423="No",MAX(0,AsOfDate-I423),"")</f>
        <v/>
      </c>
      <c r="L423" s="75" t="str">
        <f aca="false">IF(K423="","",IF(K423&lt;=90,"0-90",IF(K423&lt;=180,"91-180",IF(K423&lt;=270,"181-270","&gt;270"))))</f>
        <v/>
      </c>
      <c r="M423" s="75" t="str">
        <f aca="false">IF(G423="Obs",COUNTIF(G$2:G423,"Obs"),"")</f>
        <v/>
      </c>
      <c r="N423" s="75" t="str">
        <f aca="false">IF(G423="No",COUNTIF(G$2:G423,"No"),"")</f>
        <v/>
      </c>
    </row>
    <row r="424" customFormat="false" ht="15" hidden="false" customHeight="false" outlineLevel="0" collapsed="false">
      <c r="A424" s="10" t="s">
        <v>713</v>
      </c>
      <c r="B424" s="10" t="s">
        <v>268</v>
      </c>
      <c r="C424" s="10" t="s">
        <v>297</v>
      </c>
      <c r="D424" s="8" t="s">
        <v>289</v>
      </c>
      <c r="E424" s="8" t="s">
        <v>298</v>
      </c>
      <c r="F424" s="10" t="s">
        <v>105</v>
      </c>
      <c r="G424" s="11" t="s">
        <v>16</v>
      </c>
      <c r="H424" s="66"/>
      <c r="I424" s="67" t="n">
        <v>46149</v>
      </c>
      <c r="J424" s="10" t="s">
        <v>693</v>
      </c>
      <c r="K424" s="68" t="str">
        <f aca="false">IF(G424="No",MAX(0,AsOfDate-I424),"")</f>
        <v/>
      </c>
      <c r="L424" s="12" t="str">
        <f aca="false">IF(K424="","",IF(K424&lt;=90,"0-90",IF(K424&lt;=180,"91-180",IF(K424&lt;=270,"181-270","&gt;270"))))</f>
        <v/>
      </c>
      <c r="M424" s="12" t="str">
        <f aca="false">IF(G424="Obs",COUNTIF(G$2:G424,"Obs"),"")</f>
        <v/>
      </c>
      <c r="N424" s="12" t="str">
        <f aca="false">IF(G424="No",COUNTIF(G$2:G424,"No"),"")</f>
        <v/>
      </c>
    </row>
    <row r="425" customFormat="false" ht="15" hidden="false" customHeight="false" outlineLevel="0" collapsed="false">
      <c r="A425" s="69" t="s">
        <v>713</v>
      </c>
      <c r="B425" s="69" t="s">
        <v>268</v>
      </c>
      <c r="C425" s="69" t="s">
        <v>299</v>
      </c>
      <c r="D425" s="70" t="s">
        <v>289</v>
      </c>
      <c r="E425" s="70" t="s">
        <v>300</v>
      </c>
      <c r="F425" s="69" t="s">
        <v>105</v>
      </c>
      <c r="G425" s="71" t="s">
        <v>20</v>
      </c>
      <c r="H425" s="72"/>
      <c r="I425" s="73" t="n">
        <v>46149</v>
      </c>
      <c r="J425" s="69" t="s">
        <v>693</v>
      </c>
      <c r="K425" s="74" t="str">
        <f aca="false">IF(G425="No",MAX(0,AsOfDate-I425),"")</f>
        <v/>
      </c>
      <c r="L425" s="75" t="str">
        <f aca="false">IF(K425="","",IF(K425&lt;=90,"0-90",IF(K425&lt;=180,"91-180",IF(K425&lt;=270,"181-270","&gt;270"))))</f>
        <v/>
      </c>
      <c r="M425" s="75" t="str">
        <f aca="false">IF(G425="Obs",COUNTIF(G$2:G425,"Obs"),"")</f>
        <v/>
      </c>
      <c r="N425" s="75" t="str">
        <f aca="false">IF(G425="No",COUNTIF(G$2:G425,"No"),"")</f>
        <v/>
      </c>
    </row>
    <row r="426" customFormat="false" ht="15" hidden="false" customHeight="false" outlineLevel="0" collapsed="false">
      <c r="A426" s="10" t="s">
        <v>595</v>
      </c>
      <c r="B426" s="10" t="s">
        <v>302</v>
      </c>
      <c r="C426" s="10" t="s">
        <v>301</v>
      </c>
      <c r="D426" s="8" t="s">
        <v>133</v>
      </c>
      <c r="E426" s="8" t="s">
        <v>134</v>
      </c>
      <c r="F426" s="10" t="s">
        <v>99</v>
      </c>
      <c r="G426" s="11" t="s">
        <v>16</v>
      </c>
      <c r="H426" s="66"/>
      <c r="I426" s="67" t="n">
        <v>45883</v>
      </c>
      <c r="J426" s="10" t="s">
        <v>431</v>
      </c>
      <c r="K426" s="68" t="str">
        <f aca="false">IF(G426="No",MAX(0,AsOfDate-I426),"")</f>
        <v/>
      </c>
      <c r="L426" s="12" t="str">
        <f aca="false">IF(K426="","",IF(K426&lt;=90,"0-90",IF(K426&lt;=180,"91-180",IF(K426&lt;=270,"181-270","&gt;270"))))</f>
        <v/>
      </c>
      <c r="M426" s="12" t="str">
        <f aca="false">IF(G426="Obs",COUNTIF(G$2:G426,"Obs"),"")</f>
        <v/>
      </c>
      <c r="N426" s="12" t="str">
        <f aca="false">IF(G426="No",COUNTIF(G$2:G426,"No"),"")</f>
        <v/>
      </c>
    </row>
    <row r="427" customFormat="false" ht="15" hidden="false" customHeight="false" outlineLevel="0" collapsed="false">
      <c r="A427" s="69" t="s">
        <v>595</v>
      </c>
      <c r="B427" s="69" t="s">
        <v>302</v>
      </c>
      <c r="C427" s="69" t="s">
        <v>303</v>
      </c>
      <c r="D427" s="70" t="s">
        <v>133</v>
      </c>
      <c r="E427" s="70" t="s">
        <v>136</v>
      </c>
      <c r="F427" s="69" t="s">
        <v>99</v>
      </c>
      <c r="G427" s="71" t="s">
        <v>16</v>
      </c>
      <c r="H427" s="72"/>
      <c r="I427" s="73" t="n">
        <v>45883</v>
      </c>
      <c r="J427" s="69" t="s">
        <v>431</v>
      </c>
      <c r="K427" s="74" t="str">
        <f aca="false">IF(G427="No",MAX(0,AsOfDate-I427),"")</f>
        <v/>
      </c>
      <c r="L427" s="75" t="str">
        <f aca="false">IF(K427="","",IF(K427&lt;=90,"0-90",IF(K427&lt;=180,"91-180",IF(K427&lt;=270,"181-270","&gt;270"))))</f>
        <v/>
      </c>
      <c r="M427" s="75" t="str">
        <f aca="false">IF(G427="Obs",COUNTIF(G$2:G427,"Obs"),"")</f>
        <v/>
      </c>
      <c r="N427" s="75" t="str">
        <f aca="false">IF(G427="No",COUNTIF(G$2:G427,"No"),"")</f>
        <v/>
      </c>
    </row>
    <row r="428" customFormat="false" ht="15" hidden="false" customHeight="false" outlineLevel="0" collapsed="false">
      <c r="A428" s="10" t="s">
        <v>595</v>
      </c>
      <c r="B428" s="10" t="s">
        <v>302</v>
      </c>
      <c r="C428" s="10" t="s">
        <v>304</v>
      </c>
      <c r="D428" s="8" t="s">
        <v>133</v>
      </c>
      <c r="E428" s="8" t="s">
        <v>138</v>
      </c>
      <c r="F428" s="10" t="s">
        <v>105</v>
      </c>
      <c r="G428" s="11" t="s">
        <v>16</v>
      </c>
      <c r="H428" s="66"/>
      <c r="I428" s="67" t="n">
        <v>45883</v>
      </c>
      <c r="J428" s="10" t="s">
        <v>431</v>
      </c>
      <c r="K428" s="68" t="str">
        <f aca="false">IF(G428="No",MAX(0,AsOfDate-I428),"")</f>
        <v/>
      </c>
      <c r="L428" s="12" t="str">
        <f aca="false">IF(K428="","",IF(K428&lt;=90,"0-90",IF(K428&lt;=180,"91-180",IF(K428&lt;=270,"181-270","&gt;270"))))</f>
        <v/>
      </c>
      <c r="M428" s="12" t="str">
        <f aca="false">IF(G428="Obs",COUNTIF(G$2:G428,"Obs"),"")</f>
        <v/>
      </c>
      <c r="N428" s="12" t="str">
        <f aca="false">IF(G428="No",COUNTIF(G$2:G428,"No"),"")</f>
        <v/>
      </c>
    </row>
    <row r="429" customFormat="false" ht="15" hidden="false" customHeight="false" outlineLevel="0" collapsed="false">
      <c r="A429" s="69" t="s">
        <v>595</v>
      </c>
      <c r="B429" s="69" t="s">
        <v>302</v>
      </c>
      <c r="C429" s="69" t="s">
        <v>305</v>
      </c>
      <c r="D429" s="70" t="s">
        <v>140</v>
      </c>
      <c r="E429" s="70" t="s">
        <v>141</v>
      </c>
      <c r="F429" s="69" t="s">
        <v>99</v>
      </c>
      <c r="G429" s="71" t="s">
        <v>16</v>
      </c>
      <c r="H429" s="72"/>
      <c r="I429" s="73" t="n">
        <v>45883</v>
      </c>
      <c r="J429" s="69" t="s">
        <v>431</v>
      </c>
      <c r="K429" s="74" t="str">
        <f aca="false">IF(G429="No",MAX(0,AsOfDate-I429),"")</f>
        <v/>
      </c>
      <c r="L429" s="75" t="str">
        <f aca="false">IF(K429="","",IF(K429&lt;=90,"0-90",IF(K429&lt;=180,"91-180",IF(K429&lt;=270,"181-270","&gt;270"))))</f>
        <v/>
      </c>
      <c r="M429" s="75" t="str">
        <f aca="false">IF(G429="Obs",COUNTIF(G$2:G429,"Obs"),"")</f>
        <v/>
      </c>
      <c r="N429" s="75" t="str">
        <f aca="false">IF(G429="No",COUNTIF(G$2:G429,"No"),"")</f>
        <v/>
      </c>
    </row>
    <row r="430" customFormat="false" ht="15" hidden="false" customHeight="false" outlineLevel="0" collapsed="false">
      <c r="A430" s="10" t="s">
        <v>595</v>
      </c>
      <c r="B430" s="10" t="s">
        <v>302</v>
      </c>
      <c r="C430" s="10" t="s">
        <v>306</v>
      </c>
      <c r="D430" s="8" t="s">
        <v>140</v>
      </c>
      <c r="E430" s="8" t="s">
        <v>143</v>
      </c>
      <c r="F430" s="10" t="s">
        <v>105</v>
      </c>
      <c r="G430" s="11" t="s">
        <v>18</v>
      </c>
      <c r="H430" s="66" t="s">
        <v>496</v>
      </c>
      <c r="I430" s="67" t="n">
        <v>45883</v>
      </c>
      <c r="J430" s="10" t="s">
        <v>431</v>
      </c>
      <c r="K430" s="68" t="n">
        <f aca="false">IF(G430="No",MAX(0,AsOfDate-I430),"")</f>
        <v>300</v>
      </c>
      <c r="L430" s="12" t="str">
        <f aca="false">IF(K430="","",IF(K430&lt;=90,"0-90",IF(K430&lt;=180,"91-180",IF(K430&lt;=270,"181-270","&gt;270"))))</f>
        <v>&gt;270</v>
      </c>
      <c r="M430" s="12" t="str">
        <f aca="false">IF(G430="Obs",COUNTIF(G$2:G430,"Obs"),"")</f>
        <v/>
      </c>
      <c r="N430" s="12" t="n">
        <f aca="false">IF(G430="No",COUNTIF(G$2:G430,"No"),"")</f>
        <v>33</v>
      </c>
    </row>
    <row r="431" customFormat="false" ht="15" hidden="false" customHeight="false" outlineLevel="0" collapsed="false">
      <c r="A431" s="69" t="s">
        <v>595</v>
      </c>
      <c r="B431" s="69" t="s">
        <v>302</v>
      </c>
      <c r="C431" s="69" t="s">
        <v>307</v>
      </c>
      <c r="D431" s="70" t="s">
        <v>140</v>
      </c>
      <c r="E431" s="70" t="s">
        <v>145</v>
      </c>
      <c r="F431" s="69" t="s">
        <v>99</v>
      </c>
      <c r="G431" s="71" t="s">
        <v>16</v>
      </c>
      <c r="H431" s="72"/>
      <c r="I431" s="73" t="n">
        <v>45883</v>
      </c>
      <c r="J431" s="69" t="s">
        <v>431</v>
      </c>
      <c r="K431" s="74" t="str">
        <f aca="false">IF(G431="No",MAX(0,AsOfDate-I431),"")</f>
        <v/>
      </c>
      <c r="L431" s="75" t="str">
        <f aca="false">IF(K431="","",IF(K431&lt;=90,"0-90",IF(K431&lt;=180,"91-180",IF(K431&lt;=270,"181-270","&gt;270"))))</f>
        <v/>
      </c>
      <c r="M431" s="75" t="str">
        <f aca="false">IF(G431="Obs",COUNTIF(G$2:G431,"Obs"),"")</f>
        <v/>
      </c>
      <c r="N431" s="75" t="str">
        <f aca="false">IF(G431="No",COUNTIF(G$2:G431,"No"),"")</f>
        <v/>
      </c>
    </row>
    <row r="432" customFormat="false" ht="15" hidden="false" customHeight="false" outlineLevel="0" collapsed="false">
      <c r="A432" s="10" t="s">
        <v>595</v>
      </c>
      <c r="B432" s="10" t="s">
        <v>302</v>
      </c>
      <c r="C432" s="10" t="s">
        <v>308</v>
      </c>
      <c r="D432" s="8" t="s">
        <v>147</v>
      </c>
      <c r="E432" s="8" t="s">
        <v>148</v>
      </c>
      <c r="F432" s="10" t="s">
        <v>99</v>
      </c>
      <c r="G432" s="11" t="s">
        <v>20</v>
      </c>
      <c r="H432" s="66"/>
      <c r="I432" s="67" t="n">
        <v>45883</v>
      </c>
      <c r="J432" s="10" t="s">
        <v>431</v>
      </c>
      <c r="K432" s="68" t="str">
        <f aca="false">IF(G432="No",MAX(0,AsOfDate-I432),"")</f>
        <v/>
      </c>
      <c r="L432" s="12" t="str">
        <f aca="false">IF(K432="","",IF(K432&lt;=90,"0-90",IF(K432&lt;=180,"91-180",IF(K432&lt;=270,"181-270","&gt;270"))))</f>
        <v/>
      </c>
      <c r="M432" s="12" t="str">
        <f aca="false">IF(G432="Obs",COUNTIF(G$2:G432,"Obs"),"")</f>
        <v/>
      </c>
      <c r="N432" s="12" t="str">
        <f aca="false">IF(G432="No",COUNTIF(G$2:G432,"No"),"")</f>
        <v/>
      </c>
    </row>
    <row r="433" customFormat="false" ht="15" hidden="false" customHeight="false" outlineLevel="0" collapsed="false">
      <c r="A433" s="69" t="s">
        <v>595</v>
      </c>
      <c r="B433" s="69" t="s">
        <v>302</v>
      </c>
      <c r="C433" s="69" t="s">
        <v>309</v>
      </c>
      <c r="D433" s="70" t="s">
        <v>147</v>
      </c>
      <c r="E433" s="70" t="s">
        <v>150</v>
      </c>
      <c r="F433" s="69" t="s">
        <v>105</v>
      </c>
      <c r="G433" s="71" t="s">
        <v>16</v>
      </c>
      <c r="H433" s="72"/>
      <c r="I433" s="73" t="n">
        <v>45883</v>
      </c>
      <c r="J433" s="69" t="s">
        <v>431</v>
      </c>
      <c r="K433" s="74" t="str">
        <f aca="false">IF(G433="No",MAX(0,AsOfDate-I433),"")</f>
        <v/>
      </c>
      <c r="L433" s="75" t="str">
        <f aca="false">IF(K433="","",IF(K433&lt;=90,"0-90",IF(K433&lt;=180,"91-180",IF(K433&lt;=270,"181-270","&gt;270"))))</f>
        <v/>
      </c>
      <c r="M433" s="75" t="str">
        <f aca="false">IF(G433="Obs",COUNTIF(G$2:G433,"Obs"),"")</f>
        <v/>
      </c>
      <c r="N433" s="75" t="str">
        <f aca="false">IF(G433="No",COUNTIF(G$2:G433,"No"),"")</f>
        <v/>
      </c>
    </row>
    <row r="434" customFormat="false" ht="15" hidden="false" customHeight="false" outlineLevel="0" collapsed="false">
      <c r="A434" s="10" t="s">
        <v>595</v>
      </c>
      <c r="B434" s="10" t="s">
        <v>302</v>
      </c>
      <c r="C434" s="10" t="s">
        <v>310</v>
      </c>
      <c r="D434" s="8" t="s">
        <v>147</v>
      </c>
      <c r="E434" s="8" t="s">
        <v>152</v>
      </c>
      <c r="F434" s="10" t="s">
        <v>99</v>
      </c>
      <c r="G434" s="11" t="s">
        <v>16</v>
      </c>
      <c r="H434" s="66"/>
      <c r="I434" s="67" t="n">
        <v>45883</v>
      </c>
      <c r="J434" s="10" t="s">
        <v>431</v>
      </c>
      <c r="K434" s="68" t="str">
        <f aca="false">IF(G434="No",MAX(0,AsOfDate-I434),"")</f>
        <v/>
      </c>
      <c r="L434" s="12" t="str">
        <f aca="false">IF(K434="","",IF(K434&lt;=90,"0-90",IF(K434&lt;=180,"91-180",IF(K434&lt;=270,"181-270","&gt;270"))))</f>
        <v/>
      </c>
      <c r="M434" s="12" t="str">
        <f aca="false">IF(G434="Obs",COUNTIF(G$2:G434,"Obs"),"")</f>
        <v/>
      </c>
      <c r="N434" s="12" t="str">
        <f aca="false">IF(G434="No",COUNTIF(G$2:G434,"No"),"")</f>
        <v/>
      </c>
    </row>
    <row r="435" customFormat="false" ht="15" hidden="false" customHeight="false" outlineLevel="0" collapsed="false">
      <c r="A435" s="69" t="s">
        <v>595</v>
      </c>
      <c r="B435" s="69" t="s">
        <v>302</v>
      </c>
      <c r="C435" s="69" t="s">
        <v>311</v>
      </c>
      <c r="D435" s="70" t="s">
        <v>154</v>
      </c>
      <c r="E435" s="70" t="s">
        <v>155</v>
      </c>
      <c r="F435" s="69" t="s">
        <v>105</v>
      </c>
      <c r="G435" s="71" t="s">
        <v>16</v>
      </c>
      <c r="H435" s="72"/>
      <c r="I435" s="73" t="n">
        <v>45883</v>
      </c>
      <c r="J435" s="69" t="s">
        <v>431</v>
      </c>
      <c r="K435" s="74" t="str">
        <f aca="false">IF(G435="No",MAX(0,AsOfDate-I435),"")</f>
        <v/>
      </c>
      <c r="L435" s="75" t="str">
        <f aca="false">IF(K435="","",IF(K435&lt;=90,"0-90",IF(K435&lt;=180,"91-180",IF(K435&lt;=270,"181-270","&gt;270"))))</f>
        <v/>
      </c>
      <c r="M435" s="75" t="str">
        <f aca="false">IF(G435="Obs",COUNTIF(G$2:G435,"Obs"),"")</f>
        <v/>
      </c>
      <c r="N435" s="75" t="str">
        <f aca="false">IF(G435="No",COUNTIF(G$2:G435,"No"),"")</f>
        <v/>
      </c>
    </row>
    <row r="436" customFormat="false" ht="15" hidden="false" customHeight="false" outlineLevel="0" collapsed="false">
      <c r="A436" s="10" t="s">
        <v>595</v>
      </c>
      <c r="B436" s="10" t="s">
        <v>302</v>
      </c>
      <c r="C436" s="10" t="s">
        <v>312</v>
      </c>
      <c r="D436" s="8" t="s">
        <v>154</v>
      </c>
      <c r="E436" s="8" t="s">
        <v>157</v>
      </c>
      <c r="F436" s="10" t="s">
        <v>105</v>
      </c>
      <c r="G436" s="11" t="s">
        <v>22</v>
      </c>
      <c r="H436" s="66" t="s">
        <v>536</v>
      </c>
      <c r="I436" s="67" t="n">
        <v>45883</v>
      </c>
      <c r="J436" s="10" t="s">
        <v>431</v>
      </c>
      <c r="K436" s="68" t="str">
        <f aca="false">IF(G436="No",MAX(0,AsOfDate-I436),"")</f>
        <v/>
      </c>
      <c r="L436" s="12" t="str">
        <f aca="false">IF(K436="","",IF(K436&lt;=90,"0-90",IF(K436&lt;=180,"91-180",IF(K436&lt;=270,"181-270","&gt;270"))))</f>
        <v/>
      </c>
      <c r="M436" s="12" t="n">
        <f aca="false">IF(G436="Obs",COUNTIF(G$2:G436,"Obs"),"")</f>
        <v>27</v>
      </c>
      <c r="N436" s="12" t="str">
        <f aca="false">IF(G436="No",COUNTIF(G$2:G436,"No"),"")</f>
        <v/>
      </c>
    </row>
    <row r="437" customFormat="false" ht="23.85" hidden="false" customHeight="false" outlineLevel="0" collapsed="false">
      <c r="A437" s="69" t="s">
        <v>595</v>
      </c>
      <c r="B437" s="69" t="s">
        <v>302</v>
      </c>
      <c r="C437" s="69" t="s">
        <v>313</v>
      </c>
      <c r="D437" s="70" t="s">
        <v>159</v>
      </c>
      <c r="E437" s="70" t="s">
        <v>160</v>
      </c>
      <c r="F437" s="69" t="s">
        <v>99</v>
      </c>
      <c r="G437" s="71" t="s">
        <v>16</v>
      </c>
      <c r="H437" s="72"/>
      <c r="I437" s="73" t="n">
        <v>45883</v>
      </c>
      <c r="J437" s="69" t="s">
        <v>431</v>
      </c>
      <c r="K437" s="74" t="str">
        <f aca="false">IF(G437="No",MAX(0,AsOfDate-I437),"")</f>
        <v/>
      </c>
      <c r="L437" s="75" t="str">
        <f aca="false">IF(K437="","",IF(K437&lt;=90,"0-90",IF(K437&lt;=180,"91-180",IF(K437&lt;=270,"181-270","&gt;270"))))</f>
        <v/>
      </c>
      <c r="M437" s="75" t="str">
        <f aca="false">IF(G437="Obs",COUNTIF(G$2:G437,"Obs"),"")</f>
        <v/>
      </c>
      <c r="N437" s="75" t="str">
        <f aca="false">IF(G437="No",COUNTIF(G$2:G437,"No"),"")</f>
        <v/>
      </c>
    </row>
    <row r="438" customFormat="false" ht="23.85" hidden="false" customHeight="false" outlineLevel="0" collapsed="false">
      <c r="A438" s="10" t="s">
        <v>595</v>
      </c>
      <c r="B438" s="10" t="s">
        <v>302</v>
      </c>
      <c r="C438" s="10" t="s">
        <v>314</v>
      </c>
      <c r="D438" s="8" t="s">
        <v>159</v>
      </c>
      <c r="E438" s="8" t="s">
        <v>162</v>
      </c>
      <c r="F438" s="10" t="s">
        <v>99</v>
      </c>
      <c r="G438" s="11" t="s">
        <v>22</v>
      </c>
      <c r="H438" s="66" t="s">
        <v>536</v>
      </c>
      <c r="I438" s="67" t="n">
        <v>45883</v>
      </c>
      <c r="J438" s="10" t="s">
        <v>431</v>
      </c>
      <c r="K438" s="68" t="str">
        <f aca="false">IF(G438="No",MAX(0,AsOfDate-I438),"")</f>
        <v/>
      </c>
      <c r="L438" s="12" t="str">
        <f aca="false">IF(K438="","",IF(K438&lt;=90,"0-90",IF(K438&lt;=180,"91-180",IF(K438&lt;=270,"181-270","&gt;270"))))</f>
        <v/>
      </c>
      <c r="M438" s="12" t="n">
        <f aca="false">IF(G438="Obs",COUNTIF(G$2:G438,"Obs"),"")</f>
        <v>28</v>
      </c>
      <c r="N438" s="12" t="str">
        <f aca="false">IF(G438="No",COUNTIF(G$2:G438,"No"),"")</f>
        <v/>
      </c>
    </row>
    <row r="439" customFormat="false" ht="23.85" hidden="false" customHeight="false" outlineLevel="0" collapsed="false">
      <c r="A439" s="69" t="s">
        <v>595</v>
      </c>
      <c r="B439" s="69" t="s">
        <v>302</v>
      </c>
      <c r="C439" s="69" t="s">
        <v>315</v>
      </c>
      <c r="D439" s="70" t="s">
        <v>159</v>
      </c>
      <c r="E439" s="70" t="s">
        <v>164</v>
      </c>
      <c r="F439" s="69" t="s">
        <v>110</v>
      </c>
      <c r="G439" s="71" t="s">
        <v>16</v>
      </c>
      <c r="H439" s="72"/>
      <c r="I439" s="73" t="n">
        <v>45883</v>
      </c>
      <c r="J439" s="69" t="s">
        <v>431</v>
      </c>
      <c r="K439" s="74" t="str">
        <f aca="false">IF(G439="No",MAX(0,AsOfDate-I439),"")</f>
        <v/>
      </c>
      <c r="L439" s="75" t="str">
        <f aca="false">IF(K439="","",IF(K439&lt;=90,"0-90",IF(K439&lt;=180,"91-180",IF(K439&lt;=270,"181-270","&gt;270"))))</f>
        <v/>
      </c>
      <c r="M439" s="75" t="str">
        <f aca="false">IF(G439="Obs",COUNTIF(G$2:G439,"Obs"),"")</f>
        <v/>
      </c>
      <c r="N439" s="75" t="str">
        <f aca="false">IF(G439="No",COUNTIF(G$2:G439,"No"),"")</f>
        <v/>
      </c>
    </row>
    <row r="440" customFormat="false" ht="15" hidden="false" customHeight="false" outlineLevel="0" collapsed="false">
      <c r="A440" s="10" t="s">
        <v>595</v>
      </c>
      <c r="B440" s="10" t="s">
        <v>302</v>
      </c>
      <c r="C440" s="10" t="s">
        <v>316</v>
      </c>
      <c r="D440" s="8" t="s">
        <v>166</v>
      </c>
      <c r="E440" s="8" t="s">
        <v>167</v>
      </c>
      <c r="F440" s="10" t="s">
        <v>99</v>
      </c>
      <c r="G440" s="11" t="s">
        <v>16</v>
      </c>
      <c r="H440" s="66"/>
      <c r="I440" s="67" t="n">
        <v>45883</v>
      </c>
      <c r="J440" s="10" t="s">
        <v>431</v>
      </c>
      <c r="K440" s="68" t="str">
        <f aca="false">IF(G440="No",MAX(0,AsOfDate-I440),"")</f>
        <v/>
      </c>
      <c r="L440" s="12" t="str">
        <f aca="false">IF(K440="","",IF(K440&lt;=90,"0-90",IF(K440&lt;=180,"91-180",IF(K440&lt;=270,"181-270","&gt;270"))))</f>
        <v/>
      </c>
      <c r="M440" s="12" t="str">
        <f aca="false">IF(G440="Obs",COUNTIF(G$2:G440,"Obs"),"")</f>
        <v/>
      </c>
      <c r="N440" s="12" t="str">
        <f aca="false">IF(G440="No",COUNTIF(G$2:G440,"No"),"")</f>
        <v/>
      </c>
    </row>
    <row r="441" customFormat="false" ht="15" hidden="false" customHeight="false" outlineLevel="0" collapsed="false">
      <c r="A441" s="69" t="s">
        <v>595</v>
      </c>
      <c r="B441" s="69" t="s">
        <v>302</v>
      </c>
      <c r="C441" s="69" t="s">
        <v>317</v>
      </c>
      <c r="D441" s="70" t="s">
        <v>166</v>
      </c>
      <c r="E441" s="70" t="s">
        <v>169</v>
      </c>
      <c r="F441" s="69" t="s">
        <v>105</v>
      </c>
      <c r="G441" s="71" t="s">
        <v>16</v>
      </c>
      <c r="H441" s="72"/>
      <c r="I441" s="73" t="n">
        <v>45883</v>
      </c>
      <c r="J441" s="69" t="s">
        <v>431</v>
      </c>
      <c r="K441" s="74" t="str">
        <f aca="false">IF(G441="No",MAX(0,AsOfDate-I441),"")</f>
        <v/>
      </c>
      <c r="L441" s="75" t="str">
        <f aca="false">IF(K441="","",IF(K441&lt;=90,"0-90",IF(K441&lt;=180,"91-180",IF(K441&lt;=270,"181-270","&gt;270"))))</f>
        <v/>
      </c>
      <c r="M441" s="75" t="str">
        <f aca="false">IF(G441="Obs",COUNTIF(G$2:G441,"Obs"),"")</f>
        <v/>
      </c>
      <c r="N441" s="75" t="str">
        <f aca="false">IF(G441="No",COUNTIF(G$2:G441,"No"),"")</f>
        <v/>
      </c>
    </row>
    <row r="442" customFormat="false" ht="15" hidden="false" customHeight="false" outlineLevel="0" collapsed="false">
      <c r="A442" s="10" t="s">
        <v>595</v>
      </c>
      <c r="B442" s="10" t="s">
        <v>302</v>
      </c>
      <c r="C442" s="10" t="s">
        <v>318</v>
      </c>
      <c r="D442" s="8" t="s">
        <v>171</v>
      </c>
      <c r="E442" s="8" t="s">
        <v>172</v>
      </c>
      <c r="F442" s="10" t="s">
        <v>105</v>
      </c>
      <c r="G442" s="11" t="s">
        <v>22</v>
      </c>
      <c r="H442" s="66" t="s">
        <v>562</v>
      </c>
      <c r="I442" s="67" t="n">
        <v>45883</v>
      </c>
      <c r="J442" s="10" t="s">
        <v>431</v>
      </c>
      <c r="K442" s="68" t="str">
        <f aca="false">IF(G442="No",MAX(0,AsOfDate-I442),"")</f>
        <v/>
      </c>
      <c r="L442" s="12" t="str">
        <f aca="false">IF(K442="","",IF(K442&lt;=90,"0-90",IF(K442&lt;=180,"91-180",IF(K442&lt;=270,"181-270","&gt;270"))))</f>
        <v/>
      </c>
      <c r="M442" s="12" t="n">
        <f aca="false">IF(G442="Obs",COUNTIF(G$2:G442,"Obs"),"")</f>
        <v>29</v>
      </c>
      <c r="N442" s="12" t="str">
        <f aca="false">IF(G442="No",COUNTIF(G$2:G442,"No"),"")</f>
        <v/>
      </c>
    </row>
    <row r="443" customFormat="false" ht="15" hidden="false" customHeight="false" outlineLevel="0" collapsed="false">
      <c r="A443" s="69" t="s">
        <v>595</v>
      </c>
      <c r="B443" s="69" t="s">
        <v>302</v>
      </c>
      <c r="C443" s="69" t="s">
        <v>319</v>
      </c>
      <c r="D443" s="70" t="s">
        <v>171</v>
      </c>
      <c r="E443" s="70" t="s">
        <v>174</v>
      </c>
      <c r="F443" s="69" t="s">
        <v>99</v>
      </c>
      <c r="G443" s="71" t="s">
        <v>16</v>
      </c>
      <c r="H443" s="72"/>
      <c r="I443" s="73" t="n">
        <v>45883</v>
      </c>
      <c r="J443" s="69" t="s">
        <v>431</v>
      </c>
      <c r="K443" s="74" t="str">
        <f aca="false">IF(G443="No",MAX(0,AsOfDate-I443),"")</f>
        <v/>
      </c>
      <c r="L443" s="75" t="str">
        <f aca="false">IF(K443="","",IF(K443&lt;=90,"0-90",IF(K443&lt;=180,"91-180",IF(K443&lt;=270,"181-270","&gt;270"))))</f>
        <v/>
      </c>
      <c r="M443" s="75" t="str">
        <f aca="false">IF(G443="Obs",COUNTIF(G$2:G443,"Obs"),"")</f>
        <v/>
      </c>
      <c r="N443" s="75" t="str">
        <f aca="false">IF(G443="No",COUNTIF(G$2:G443,"No"),"")</f>
        <v/>
      </c>
    </row>
    <row r="444" customFormat="false" ht="15" hidden="false" customHeight="false" outlineLevel="0" collapsed="false">
      <c r="A444" s="10" t="s">
        <v>595</v>
      </c>
      <c r="B444" s="10" t="s">
        <v>302</v>
      </c>
      <c r="C444" s="10" t="s">
        <v>320</v>
      </c>
      <c r="D444" s="8" t="s">
        <v>176</v>
      </c>
      <c r="E444" s="8" t="s">
        <v>177</v>
      </c>
      <c r="F444" s="10" t="s">
        <v>105</v>
      </c>
      <c r="G444" s="11" t="s">
        <v>16</v>
      </c>
      <c r="H444" s="66"/>
      <c r="I444" s="67" t="n">
        <v>45883</v>
      </c>
      <c r="J444" s="10" t="s">
        <v>431</v>
      </c>
      <c r="K444" s="68" t="str">
        <f aca="false">IF(G444="No",MAX(0,AsOfDate-I444),"")</f>
        <v/>
      </c>
      <c r="L444" s="12" t="str">
        <f aca="false">IF(K444="","",IF(K444&lt;=90,"0-90",IF(K444&lt;=180,"91-180",IF(K444&lt;=270,"181-270","&gt;270"))))</f>
        <v/>
      </c>
      <c r="M444" s="12" t="str">
        <f aca="false">IF(G444="Obs",COUNTIF(G$2:G444,"Obs"),"")</f>
        <v/>
      </c>
      <c r="N444" s="12" t="str">
        <f aca="false">IF(G444="No",COUNTIF(G$2:G444,"No"),"")</f>
        <v/>
      </c>
    </row>
    <row r="445" customFormat="false" ht="15" hidden="false" customHeight="false" outlineLevel="0" collapsed="false">
      <c r="A445" s="69" t="s">
        <v>595</v>
      </c>
      <c r="B445" s="69" t="s">
        <v>302</v>
      </c>
      <c r="C445" s="69" t="s">
        <v>321</v>
      </c>
      <c r="D445" s="70" t="s">
        <v>176</v>
      </c>
      <c r="E445" s="70" t="s">
        <v>179</v>
      </c>
      <c r="F445" s="69" t="s">
        <v>105</v>
      </c>
      <c r="G445" s="71" t="s">
        <v>16</v>
      </c>
      <c r="H445" s="72"/>
      <c r="I445" s="73" t="n">
        <v>45883</v>
      </c>
      <c r="J445" s="69" t="s">
        <v>431</v>
      </c>
      <c r="K445" s="74" t="str">
        <f aca="false">IF(G445="No",MAX(0,AsOfDate-I445),"")</f>
        <v/>
      </c>
      <c r="L445" s="75" t="str">
        <f aca="false">IF(K445="","",IF(K445&lt;=90,"0-90",IF(K445&lt;=180,"91-180",IF(K445&lt;=270,"181-270","&gt;270"))))</f>
        <v/>
      </c>
      <c r="M445" s="75" t="str">
        <f aca="false">IF(G445="Obs",COUNTIF(G$2:G445,"Obs"),"")</f>
        <v/>
      </c>
      <c r="N445" s="75" t="str">
        <f aca="false">IF(G445="No",COUNTIF(G$2:G445,"No"),"")</f>
        <v/>
      </c>
    </row>
    <row r="446" customFormat="false" ht="23.85" hidden="false" customHeight="false" outlineLevel="0" collapsed="false">
      <c r="A446" s="10" t="s">
        <v>595</v>
      </c>
      <c r="B446" s="10" t="s">
        <v>302</v>
      </c>
      <c r="C446" s="10" t="s">
        <v>322</v>
      </c>
      <c r="D446" s="8" t="s">
        <v>323</v>
      </c>
      <c r="E446" s="8" t="s">
        <v>324</v>
      </c>
      <c r="F446" s="10" t="s">
        <v>99</v>
      </c>
      <c r="G446" s="11" t="s">
        <v>18</v>
      </c>
      <c r="H446" s="66" t="s">
        <v>616</v>
      </c>
      <c r="I446" s="67" t="n">
        <v>45883</v>
      </c>
      <c r="J446" s="10" t="s">
        <v>431</v>
      </c>
      <c r="K446" s="68" t="n">
        <f aca="false">IF(G446="No",MAX(0,AsOfDate-I446),"")</f>
        <v>300</v>
      </c>
      <c r="L446" s="12" t="str">
        <f aca="false">IF(K446="","",IF(K446&lt;=90,"0-90",IF(K446&lt;=180,"91-180",IF(K446&lt;=270,"181-270","&gt;270"))))</f>
        <v>&gt;270</v>
      </c>
      <c r="M446" s="12" t="str">
        <f aca="false">IF(G446="Obs",COUNTIF(G$2:G446,"Obs"),"")</f>
        <v/>
      </c>
      <c r="N446" s="12" t="n">
        <f aca="false">IF(G446="No",COUNTIF(G$2:G446,"No"),"")</f>
        <v>34</v>
      </c>
    </row>
    <row r="447" customFormat="false" ht="15" hidden="false" customHeight="false" outlineLevel="0" collapsed="false">
      <c r="A447" s="69" t="s">
        <v>595</v>
      </c>
      <c r="B447" s="69" t="s">
        <v>302</v>
      </c>
      <c r="C447" s="69" t="s">
        <v>325</v>
      </c>
      <c r="D447" s="70" t="s">
        <v>323</v>
      </c>
      <c r="E447" s="70" t="s">
        <v>326</v>
      </c>
      <c r="F447" s="69" t="s">
        <v>99</v>
      </c>
      <c r="G447" s="71" t="s">
        <v>16</v>
      </c>
      <c r="H447" s="72"/>
      <c r="I447" s="73" t="n">
        <v>45883</v>
      </c>
      <c r="J447" s="69" t="s">
        <v>431</v>
      </c>
      <c r="K447" s="74" t="str">
        <f aca="false">IF(G447="No",MAX(0,AsOfDate-I447),"")</f>
        <v/>
      </c>
      <c r="L447" s="75" t="str">
        <f aca="false">IF(K447="","",IF(K447&lt;=90,"0-90",IF(K447&lt;=180,"91-180",IF(K447&lt;=270,"181-270","&gt;270"))))</f>
        <v/>
      </c>
      <c r="M447" s="75" t="str">
        <f aca="false">IF(G447="Obs",COUNTIF(G$2:G447,"Obs"),"")</f>
        <v/>
      </c>
      <c r="N447" s="75" t="str">
        <f aca="false">IF(G447="No",COUNTIF(G$2:G447,"No"),"")</f>
        <v/>
      </c>
    </row>
    <row r="448" customFormat="false" ht="15" hidden="false" customHeight="false" outlineLevel="0" collapsed="false">
      <c r="A448" s="10" t="s">
        <v>595</v>
      </c>
      <c r="B448" s="10" t="s">
        <v>302</v>
      </c>
      <c r="C448" s="10" t="s">
        <v>327</v>
      </c>
      <c r="D448" s="8" t="s">
        <v>323</v>
      </c>
      <c r="E448" s="8" t="s">
        <v>328</v>
      </c>
      <c r="F448" s="10" t="s">
        <v>105</v>
      </c>
      <c r="G448" s="11" t="s">
        <v>20</v>
      </c>
      <c r="H448" s="66"/>
      <c r="I448" s="67" t="n">
        <v>45883</v>
      </c>
      <c r="J448" s="10" t="s">
        <v>431</v>
      </c>
      <c r="K448" s="68" t="str">
        <f aca="false">IF(G448="No",MAX(0,AsOfDate-I448),"")</f>
        <v/>
      </c>
      <c r="L448" s="12" t="str">
        <f aca="false">IF(K448="","",IF(K448&lt;=90,"0-90",IF(K448&lt;=180,"91-180",IF(K448&lt;=270,"181-270","&gt;270"))))</f>
        <v/>
      </c>
      <c r="M448" s="12" t="str">
        <f aca="false">IF(G448="Obs",COUNTIF(G$2:G448,"Obs"),"")</f>
        <v/>
      </c>
      <c r="N448" s="12" t="str">
        <f aca="false">IF(G448="No",COUNTIF(G$2:G448,"No"),"")</f>
        <v/>
      </c>
    </row>
    <row r="449" customFormat="false" ht="15" hidden="false" customHeight="false" outlineLevel="0" collapsed="false">
      <c r="A449" s="69" t="s">
        <v>595</v>
      </c>
      <c r="B449" s="69" t="s">
        <v>302</v>
      </c>
      <c r="C449" s="69" t="s">
        <v>329</v>
      </c>
      <c r="D449" s="70" t="s">
        <v>323</v>
      </c>
      <c r="E449" s="70" t="s">
        <v>330</v>
      </c>
      <c r="F449" s="69" t="s">
        <v>99</v>
      </c>
      <c r="G449" s="71" t="s">
        <v>16</v>
      </c>
      <c r="H449" s="72"/>
      <c r="I449" s="73" t="n">
        <v>45883</v>
      </c>
      <c r="J449" s="69" t="s">
        <v>431</v>
      </c>
      <c r="K449" s="74" t="str">
        <f aca="false">IF(G449="No",MAX(0,AsOfDate-I449),"")</f>
        <v/>
      </c>
      <c r="L449" s="75" t="str">
        <f aca="false">IF(K449="","",IF(K449&lt;=90,"0-90",IF(K449&lt;=180,"91-180",IF(K449&lt;=270,"181-270","&gt;270"))))</f>
        <v/>
      </c>
      <c r="M449" s="75" t="str">
        <f aca="false">IF(G449="Obs",COUNTIF(G$2:G449,"Obs"),"")</f>
        <v/>
      </c>
      <c r="N449" s="75" t="str">
        <f aca="false">IF(G449="No",COUNTIF(G$2:G449,"No"),"")</f>
        <v/>
      </c>
    </row>
    <row r="450" customFormat="false" ht="15" hidden="false" customHeight="false" outlineLevel="0" collapsed="false">
      <c r="A450" s="10" t="s">
        <v>595</v>
      </c>
      <c r="B450" s="10" t="s">
        <v>302</v>
      </c>
      <c r="C450" s="10" t="s">
        <v>331</v>
      </c>
      <c r="D450" s="8" t="s">
        <v>323</v>
      </c>
      <c r="E450" s="8" t="s">
        <v>332</v>
      </c>
      <c r="F450" s="10" t="s">
        <v>105</v>
      </c>
      <c r="G450" s="11" t="s">
        <v>16</v>
      </c>
      <c r="H450" s="66"/>
      <c r="I450" s="67" t="n">
        <v>45883</v>
      </c>
      <c r="J450" s="10" t="s">
        <v>431</v>
      </c>
      <c r="K450" s="68" t="str">
        <f aca="false">IF(G450="No",MAX(0,AsOfDate-I450),"")</f>
        <v/>
      </c>
      <c r="L450" s="12" t="str">
        <f aca="false">IF(K450="","",IF(K450&lt;=90,"0-90",IF(K450&lt;=180,"91-180",IF(K450&lt;=270,"181-270","&gt;270"))))</f>
        <v/>
      </c>
      <c r="M450" s="12" t="str">
        <f aca="false">IF(G450="Obs",COUNTIF(G$2:G450,"Obs"),"")</f>
        <v/>
      </c>
      <c r="N450" s="12" t="str">
        <f aca="false">IF(G450="No",COUNTIF(G$2:G450,"No"),"")</f>
        <v/>
      </c>
    </row>
    <row r="451" customFormat="false" ht="15" hidden="false" customHeight="false" outlineLevel="0" collapsed="false">
      <c r="A451" s="69" t="s">
        <v>595</v>
      </c>
      <c r="B451" s="69" t="s">
        <v>302</v>
      </c>
      <c r="C451" s="69" t="s">
        <v>333</v>
      </c>
      <c r="D451" s="70" t="s">
        <v>323</v>
      </c>
      <c r="E451" s="70" t="s">
        <v>334</v>
      </c>
      <c r="F451" s="69" t="s">
        <v>105</v>
      </c>
      <c r="G451" s="71" t="s">
        <v>16</v>
      </c>
      <c r="H451" s="72"/>
      <c r="I451" s="73" t="n">
        <v>45883</v>
      </c>
      <c r="J451" s="69" t="s">
        <v>431</v>
      </c>
      <c r="K451" s="74" t="str">
        <f aca="false">IF(G451="No",MAX(0,AsOfDate-I451),"")</f>
        <v/>
      </c>
      <c r="L451" s="75" t="str">
        <f aca="false">IF(K451="","",IF(K451&lt;=90,"0-90",IF(K451&lt;=180,"91-180",IF(K451&lt;=270,"181-270","&gt;270"))))</f>
        <v/>
      </c>
      <c r="M451" s="75" t="str">
        <f aca="false">IF(G451="Obs",COUNTIF(G$2:G451,"Obs"),"")</f>
        <v/>
      </c>
      <c r="N451" s="75" t="str">
        <f aca="false">IF(G451="No",COUNTIF(G$2:G451,"No"),"")</f>
        <v/>
      </c>
    </row>
    <row r="452" customFormat="false" ht="15" hidden="false" customHeight="false" outlineLevel="0" collapsed="false">
      <c r="A452" s="10" t="s">
        <v>595</v>
      </c>
      <c r="B452" s="10" t="s">
        <v>302</v>
      </c>
      <c r="C452" s="10" t="s">
        <v>335</v>
      </c>
      <c r="D452" s="8" t="s">
        <v>323</v>
      </c>
      <c r="E452" s="8" t="s">
        <v>336</v>
      </c>
      <c r="F452" s="10" t="s">
        <v>110</v>
      </c>
      <c r="G452" s="11" t="s">
        <v>16</v>
      </c>
      <c r="H452" s="66"/>
      <c r="I452" s="67" t="n">
        <v>45883</v>
      </c>
      <c r="J452" s="10" t="s">
        <v>431</v>
      </c>
      <c r="K452" s="68" t="str">
        <f aca="false">IF(G452="No",MAX(0,AsOfDate-I452),"")</f>
        <v/>
      </c>
      <c r="L452" s="12" t="str">
        <f aca="false">IF(K452="","",IF(K452&lt;=90,"0-90",IF(K452&lt;=180,"91-180",IF(K452&lt;=270,"181-270","&gt;270"))))</f>
        <v/>
      </c>
      <c r="M452" s="12" t="str">
        <f aca="false">IF(G452="Obs",COUNTIF(G$2:G452,"Obs"),"")</f>
        <v/>
      </c>
      <c r="N452" s="12" t="str">
        <f aca="false">IF(G452="No",COUNTIF(G$2:G452,"No"),"")</f>
        <v/>
      </c>
    </row>
    <row r="453" customFormat="false" ht="15" hidden="false" customHeight="false" outlineLevel="0" collapsed="false">
      <c r="A453" s="69" t="s">
        <v>716</v>
      </c>
      <c r="B453" s="69" t="s">
        <v>302</v>
      </c>
      <c r="C453" s="69" t="s">
        <v>301</v>
      </c>
      <c r="D453" s="70" t="s">
        <v>133</v>
      </c>
      <c r="E453" s="70" t="s">
        <v>134</v>
      </c>
      <c r="F453" s="69" t="s">
        <v>99</v>
      </c>
      <c r="G453" s="71" t="s">
        <v>16</v>
      </c>
      <c r="H453" s="72"/>
      <c r="I453" s="73" t="n">
        <v>45967</v>
      </c>
      <c r="J453" s="69" t="s">
        <v>687</v>
      </c>
      <c r="K453" s="74" t="str">
        <f aca="false">IF(G453="No",MAX(0,AsOfDate-I453),"")</f>
        <v/>
      </c>
      <c r="L453" s="75" t="str">
        <f aca="false">IF(K453="","",IF(K453&lt;=90,"0-90",IF(K453&lt;=180,"91-180",IF(K453&lt;=270,"181-270","&gt;270"))))</f>
        <v/>
      </c>
      <c r="M453" s="75" t="str">
        <f aca="false">IF(G453="Obs",COUNTIF(G$2:G453,"Obs"),"")</f>
        <v/>
      </c>
      <c r="N453" s="75" t="str">
        <f aca="false">IF(G453="No",COUNTIF(G$2:G453,"No"),"")</f>
        <v/>
      </c>
    </row>
    <row r="454" customFormat="false" ht="15" hidden="false" customHeight="false" outlineLevel="0" collapsed="false">
      <c r="A454" s="10" t="s">
        <v>716</v>
      </c>
      <c r="B454" s="10" t="s">
        <v>302</v>
      </c>
      <c r="C454" s="10" t="s">
        <v>303</v>
      </c>
      <c r="D454" s="8" t="s">
        <v>133</v>
      </c>
      <c r="E454" s="8" t="s">
        <v>136</v>
      </c>
      <c r="F454" s="10" t="s">
        <v>99</v>
      </c>
      <c r="G454" s="11" t="s">
        <v>16</v>
      </c>
      <c r="H454" s="66"/>
      <c r="I454" s="67" t="n">
        <v>45967</v>
      </c>
      <c r="J454" s="10" t="s">
        <v>687</v>
      </c>
      <c r="K454" s="68" t="str">
        <f aca="false">IF(G454="No",MAX(0,AsOfDate-I454),"")</f>
        <v/>
      </c>
      <c r="L454" s="12" t="str">
        <f aca="false">IF(K454="","",IF(K454&lt;=90,"0-90",IF(K454&lt;=180,"91-180",IF(K454&lt;=270,"181-270","&gt;270"))))</f>
        <v/>
      </c>
      <c r="M454" s="12" t="str">
        <f aca="false">IF(G454="Obs",COUNTIF(G$2:G454,"Obs"),"")</f>
        <v/>
      </c>
      <c r="N454" s="12" t="str">
        <f aca="false">IF(G454="No",COUNTIF(G$2:G454,"No"),"")</f>
        <v/>
      </c>
    </row>
    <row r="455" customFormat="false" ht="15" hidden="false" customHeight="false" outlineLevel="0" collapsed="false">
      <c r="A455" s="69" t="s">
        <v>716</v>
      </c>
      <c r="B455" s="69" t="s">
        <v>302</v>
      </c>
      <c r="C455" s="69" t="s">
        <v>304</v>
      </c>
      <c r="D455" s="70" t="s">
        <v>133</v>
      </c>
      <c r="E455" s="70" t="s">
        <v>138</v>
      </c>
      <c r="F455" s="69" t="s">
        <v>105</v>
      </c>
      <c r="G455" s="71" t="s">
        <v>16</v>
      </c>
      <c r="H455" s="72"/>
      <c r="I455" s="73" t="n">
        <v>45967</v>
      </c>
      <c r="J455" s="69" t="s">
        <v>687</v>
      </c>
      <c r="K455" s="74" t="str">
        <f aca="false">IF(G455="No",MAX(0,AsOfDate-I455),"")</f>
        <v/>
      </c>
      <c r="L455" s="75" t="str">
        <f aca="false">IF(K455="","",IF(K455&lt;=90,"0-90",IF(K455&lt;=180,"91-180",IF(K455&lt;=270,"181-270","&gt;270"))))</f>
        <v/>
      </c>
      <c r="M455" s="75" t="str">
        <f aca="false">IF(G455="Obs",COUNTIF(G$2:G455,"Obs"),"")</f>
        <v/>
      </c>
      <c r="N455" s="75" t="str">
        <f aca="false">IF(G455="No",COUNTIF(G$2:G455,"No"),"")</f>
        <v/>
      </c>
    </row>
    <row r="456" customFormat="false" ht="15" hidden="false" customHeight="false" outlineLevel="0" collapsed="false">
      <c r="A456" s="10" t="s">
        <v>716</v>
      </c>
      <c r="B456" s="10" t="s">
        <v>302</v>
      </c>
      <c r="C456" s="10" t="s">
        <v>305</v>
      </c>
      <c r="D456" s="8" t="s">
        <v>140</v>
      </c>
      <c r="E456" s="8" t="s">
        <v>141</v>
      </c>
      <c r="F456" s="10" t="s">
        <v>99</v>
      </c>
      <c r="G456" s="11" t="s">
        <v>16</v>
      </c>
      <c r="H456" s="66"/>
      <c r="I456" s="67" t="n">
        <v>45967</v>
      </c>
      <c r="J456" s="10" t="s">
        <v>687</v>
      </c>
      <c r="K456" s="68" t="str">
        <f aca="false">IF(G456="No",MAX(0,AsOfDate-I456),"")</f>
        <v/>
      </c>
      <c r="L456" s="12" t="str">
        <f aca="false">IF(K456="","",IF(K456&lt;=90,"0-90",IF(K456&lt;=180,"91-180",IF(K456&lt;=270,"181-270","&gt;270"))))</f>
        <v/>
      </c>
      <c r="M456" s="12" t="str">
        <f aca="false">IF(G456="Obs",COUNTIF(G$2:G456,"Obs"),"")</f>
        <v/>
      </c>
      <c r="N456" s="12" t="str">
        <f aca="false">IF(G456="No",COUNTIF(G$2:G456,"No"),"")</f>
        <v/>
      </c>
    </row>
    <row r="457" customFormat="false" ht="15" hidden="false" customHeight="false" outlineLevel="0" collapsed="false">
      <c r="A457" s="69" t="s">
        <v>716</v>
      </c>
      <c r="B457" s="69" t="s">
        <v>302</v>
      </c>
      <c r="C457" s="69" t="s">
        <v>306</v>
      </c>
      <c r="D457" s="70" t="s">
        <v>140</v>
      </c>
      <c r="E457" s="70" t="s">
        <v>143</v>
      </c>
      <c r="F457" s="69" t="s">
        <v>105</v>
      </c>
      <c r="G457" s="71" t="s">
        <v>16</v>
      </c>
      <c r="H457" s="72"/>
      <c r="I457" s="73" t="n">
        <v>45967</v>
      </c>
      <c r="J457" s="69" t="s">
        <v>687</v>
      </c>
      <c r="K457" s="74" t="str">
        <f aca="false">IF(G457="No",MAX(0,AsOfDate-I457),"")</f>
        <v/>
      </c>
      <c r="L457" s="75" t="str">
        <f aca="false">IF(K457="","",IF(K457&lt;=90,"0-90",IF(K457&lt;=180,"91-180",IF(K457&lt;=270,"181-270","&gt;270"))))</f>
        <v/>
      </c>
      <c r="M457" s="75" t="str">
        <f aca="false">IF(G457="Obs",COUNTIF(G$2:G457,"Obs"),"")</f>
        <v/>
      </c>
      <c r="N457" s="75" t="str">
        <f aca="false">IF(G457="No",COUNTIF(G$2:G457,"No"),"")</f>
        <v/>
      </c>
    </row>
    <row r="458" customFormat="false" ht="23.85" hidden="false" customHeight="false" outlineLevel="0" collapsed="false">
      <c r="A458" s="10" t="s">
        <v>716</v>
      </c>
      <c r="B458" s="10" t="s">
        <v>302</v>
      </c>
      <c r="C458" s="10" t="s">
        <v>307</v>
      </c>
      <c r="D458" s="8" t="s">
        <v>140</v>
      </c>
      <c r="E458" s="8" t="s">
        <v>145</v>
      </c>
      <c r="F458" s="10" t="s">
        <v>99</v>
      </c>
      <c r="G458" s="11" t="s">
        <v>18</v>
      </c>
      <c r="H458" s="66" t="s">
        <v>563</v>
      </c>
      <c r="I458" s="67" t="n">
        <v>45967</v>
      </c>
      <c r="J458" s="10" t="s">
        <v>687</v>
      </c>
      <c r="K458" s="68" t="n">
        <f aca="false">IF(G458="No",MAX(0,AsOfDate-I458),"")</f>
        <v>216</v>
      </c>
      <c r="L458" s="12" t="str">
        <f aca="false">IF(K458="","",IF(K458&lt;=90,"0-90",IF(K458&lt;=180,"91-180",IF(K458&lt;=270,"181-270","&gt;270"))))</f>
        <v>181-270</v>
      </c>
      <c r="M458" s="12" t="str">
        <f aca="false">IF(G458="Obs",COUNTIF(G$2:G458,"Obs"),"")</f>
        <v/>
      </c>
      <c r="N458" s="12" t="n">
        <f aca="false">IF(G458="No",COUNTIF(G$2:G458,"No"),"")</f>
        <v>35</v>
      </c>
    </row>
    <row r="459" customFormat="false" ht="15" hidden="false" customHeight="false" outlineLevel="0" collapsed="false">
      <c r="A459" s="69" t="s">
        <v>716</v>
      </c>
      <c r="B459" s="69" t="s">
        <v>302</v>
      </c>
      <c r="C459" s="69" t="s">
        <v>308</v>
      </c>
      <c r="D459" s="70" t="s">
        <v>147</v>
      </c>
      <c r="E459" s="70" t="s">
        <v>148</v>
      </c>
      <c r="F459" s="69" t="s">
        <v>99</v>
      </c>
      <c r="G459" s="71" t="s">
        <v>16</v>
      </c>
      <c r="H459" s="72"/>
      <c r="I459" s="73" t="n">
        <v>45967</v>
      </c>
      <c r="J459" s="69" t="s">
        <v>687</v>
      </c>
      <c r="K459" s="74" t="str">
        <f aca="false">IF(G459="No",MAX(0,AsOfDate-I459),"")</f>
        <v/>
      </c>
      <c r="L459" s="75" t="str">
        <f aca="false">IF(K459="","",IF(K459&lt;=90,"0-90",IF(K459&lt;=180,"91-180",IF(K459&lt;=270,"181-270","&gt;270"))))</f>
        <v/>
      </c>
      <c r="M459" s="75" t="str">
        <f aca="false">IF(G459="Obs",COUNTIF(G$2:G459,"Obs"),"")</f>
        <v/>
      </c>
      <c r="N459" s="75" t="str">
        <f aca="false">IF(G459="No",COUNTIF(G$2:G459,"No"),"")</f>
        <v/>
      </c>
    </row>
    <row r="460" customFormat="false" ht="15" hidden="false" customHeight="false" outlineLevel="0" collapsed="false">
      <c r="A460" s="10" t="s">
        <v>716</v>
      </c>
      <c r="B460" s="10" t="s">
        <v>302</v>
      </c>
      <c r="C460" s="10" t="s">
        <v>309</v>
      </c>
      <c r="D460" s="8" t="s">
        <v>147</v>
      </c>
      <c r="E460" s="8" t="s">
        <v>150</v>
      </c>
      <c r="F460" s="10" t="s">
        <v>105</v>
      </c>
      <c r="G460" s="11" t="s">
        <v>22</v>
      </c>
      <c r="H460" s="66" t="s">
        <v>536</v>
      </c>
      <c r="I460" s="67" t="n">
        <v>45967</v>
      </c>
      <c r="J460" s="10" t="s">
        <v>687</v>
      </c>
      <c r="K460" s="68" t="str">
        <f aca="false">IF(G460="No",MAX(0,AsOfDate-I460),"")</f>
        <v/>
      </c>
      <c r="L460" s="12" t="str">
        <f aca="false">IF(K460="","",IF(K460&lt;=90,"0-90",IF(K460&lt;=180,"91-180",IF(K460&lt;=270,"181-270","&gt;270"))))</f>
        <v/>
      </c>
      <c r="M460" s="12" t="n">
        <f aca="false">IF(G460="Obs",COUNTIF(G$2:G460,"Obs"),"")</f>
        <v>30</v>
      </c>
      <c r="N460" s="12" t="str">
        <f aca="false">IF(G460="No",COUNTIF(G$2:G460,"No"),"")</f>
        <v/>
      </c>
    </row>
    <row r="461" customFormat="false" ht="15" hidden="false" customHeight="false" outlineLevel="0" collapsed="false">
      <c r="A461" s="69" t="s">
        <v>716</v>
      </c>
      <c r="B461" s="69" t="s">
        <v>302</v>
      </c>
      <c r="C461" s="69" t="s">
        <v>310</v>
      </c>
      <c r="D461" s="70" t="s">
        <v>147</v>
      </c>
      <c r="E461" s="70" t="s">
        <v>152</v>
      </c>
      <c r="F461" s="69" t="s">
        <v>99</v>
      </c>
      <c r="G461" s="71" t="s">
        <v>16</v>
      </c>
      <c r="H461" s="72"/>
      <c r="I461" s="73" t="n">
        <v>45967</v>
      </c>
      <c r="J461" s="69" t="s">
        <v>687</v>
      </c>
      <c r="K461" s="74" t="str">
        <f aca="false">IF(G461="No",MAX(0,AsOfDate-I461),"")</f>
        <v/>
      </c>
      <c r="L461" s="75" t="str">
        <f aca="false">IF(K461="","",IF(K461&lt;=90,"0-90",IF(K461&lt;=180,"91-180",IF(K461&lt;=270,"181-270","&gt;270"))))</f>
        <v/>
      </c>
      <c r="M461" s="75" t="str">
        <f aca="false">IF(G461="Obs",COUNTIF(G$2:G461,"Obs"),"")</f>
        <v/>
      </c>
      <c r="N461" s="75" t="str">
        <f aca="false">IF(G461="No",COUNTIF(G$2:G461,"No"),"")</f>
        <v/>
      </c>
    </row>
    <row r="462" customFormat="false" ht="15" hidden="false" customHeight="false" outlineLevel="0" collapsed="false">
      <c r="A462" s="10" t="s">
        <v>716</v>
      </c>
      <c r="B462" s="10" t="s">
        <v>302</v>
      </c>
      <c r="C462" s="10" t="s">
        <v>311</v>
      </c>
      <c r="D462" s="8" t="s">
        <v>154</v>
      </c>
      <c r="E462" s="8" t="s">
        <v>155</v>
      </c>
      <c r="F462" s="10" t="s">
        <v>105</v>
      </c>
      <c r="G462" s="11" t="s">
        <v>16</v>
      </c>
      <c r="H462" s="66"/>
      <c r="I462" s="67" t="n">
        <v>45967</v>
      </c>
      <c r="J462" s="10" t="s">
        <v>687</v>
      </c>
      <c r="K462" s="68" t="str">
        <f aca="false">IF(G462="No",MAX(0,AsOfDate-I462),"")</f>
        <v/>
      </c>
      <c r="L462" s="12" t="str">
        <f aca="false">IF(K462="","",IF(K462&lt;=90,"0-90",IF(K462&lt;=180,"91-180",IF(K462&lt;=270,"181-270","&gt;270"))))</f>
        <v/>
      </c>
      <c r="M462" s="12" t="str">
        <f aca="false">IF(G462="Obs",COUNTIF(G$2:G462,"Obs"),"")</f>
        <v/>
      </c>
      <c r="N462" s="12" t="str">
        <f aca="false">IF(G462="No",COUNTIF(G$2:G462,"No"),"")</f>
        <v/>
      </c>
    </row>
    <row r="463" customFormat="false" ht="15" hidden="false" customHeight="false" outlineLevel="0" collapsed="false">
      <c r="A463" s="69" t="s">
        <v>716</v>
      </c>
      <c r="B463" s="69" t="s">
        <v>302</v>
      </c>
      <c r="C463" s="69" t="s">
        <v>312</v>
      </c>
      <c r="D463" s="70" t="s">
        <v>154</v>
      </c>
      <c r="E463" s="70" t="s">
        <v>157</v>
      </c>
      <c r="F463" s="69" t="s">
        <v>105</v>
      </c>
      <c r="G463" s="71" t="s">
        <v>16</v>
      </c>
      <c r="H463" s="72"/>
      <c r="I463" s="73" t="n">
        <v>45967</v>
      </c>
      <c r="J463" s="69" t="s">
        <v>687</v>
      </c>
      <c r="K463" s="74" t="str">
        <f aca="false">IF(G463="No",MAX(0,AsOfDate-I463),"")</f>
        <v/>
      </c>
      <c r="L463" s="75" t="str">
        <f aca="false">IF(K463="","",IF(K463&lt;=90,"0-90",IF(K463&lt;=180,"91-180",IF(K463&lt;=270,"181-270","&gt;270"))))</f>
        <v/>
      </c>
      <c r="M463" s="75" t="str">
        <f aca="false">IF(G463="Obs",COUNTIF(G$2:G463,"Obs"),"")</f>
        <v/>
      </c>
      <c r="N463" s="75" t="str">
        <f aca="false">IF(G463="No",COUNTIF(G$2:G463,"No"),"")</f>
        <v/>
      </c>
    </row>
    <row r="464" customFormat="false" ht="23.85" hidden="false" customHeight="false" outlineLevel="0" collapsed="false">
      <c r="A464" s="10" t="s">
        <v>716</v>
      </c>
      <c r="B464" s="10" t="s">
        <v>302</v>
      </c>
      <c r="C464" s="10" t="s">
        <v>313</v>
      </c>
      <c r="D464" s="8" t="s">
        <v>159</v>
      </c>
      <c r="E464" s="8" t="s">
        <v>160</v>
      </c>
      <c r="F464" s="10" t="s">
        <v>99</v>
      </c>
      <c r="G464" s="11" t="s">
        <v>16</v>
      </c>
      <c r="H464" s="66"/>
      <c r="I464" s="67" t="n">
        <v>45967</v>
      </c>
      <c r="J464" s="10" t="s">
        <v>687</v>
      </c>
      <c r="K464" s="68" t="str">
        <f aca="false">IF(G464="No",MAX(0,AsOfDate-I464),"")</f>
        <v/>
      </c>
      <c r="L464" s="12" t="str">
        <f aca="false">IF(K464="","",IF(K464&lt;=90,"0-90",IF(K464&lt;=180,"91-180",IF(K464&lt;=270,"181-270","&gt;270"))))</f>
        <v/>
      </c>
      <c r="M464" s="12" t="str">
        <f aca="false">IF(G464="Obs",COUNTIF(G$2:G464,"Obs"),"")</f>
        <v/>
      </c>
      <c r="N464" s="12" t="str">
        <f aca="false">IF(G464="No",COUNTIF(G$2:G464,"No"),"")</f>
        <v/>
      </c>
    </row>
    <row r="465" customFormat="false" ht="23.85" hidden="false" customHeight="false" outlineLevel="0" collapsed="false">
      <c r="A465" s="69" t="s">
        <v>716</v>
      </c>
      <c r="B465" s="69" t="s">
        <v>302</v>
      </c>
      <c r="C465" s="69" t="s">
        <v>314</v>
      </c>
      <c r="D465" s="70" t="s">
        <v>159</v>
      </c>
      <c r="E465" s="70" t="s">
        <v>162</v>
      </c>
      <c r="F465" s="69" t="s">
        <v>99</v>
      </c>
      <c r="G465" s="71" t="s">
        <v>16</v>
      </c>
      <c r="H465" s="72"/>
      <c r="I465" s="73" t="n">
        <v>45967</v>
      </c>
      <c r="J465" s="69" t="s">
        <v>687</v>
      </c>
      <c r="K465" s="74" t="str">
        <f aca="false">IF(G465="No",MAX(0,AsOfDate-I465),"")</f>
        <v/>
      </c>
      <c r="L465" s="75" t="str">
        <f aca="false">IF(K465="","",IF(K465&lt;=90,"0-90",IF(K465&lt;=180,"91-180",IF(K465&lt;=270,"181-270","&gt;270"))))</f>
        <v/>
      </c>
      <c r="M465" s="75" t="str">
        <f aca="false">IF(G465="Obs",COUNTIF(G$2:G465,"Obs"),"")</f>
        <v/>
      </c>
      <c r="N465" s="75" t="str">
        <f aca="false">IF(G465="No",COUNTIF(G$2:G465,"No"),"")</f>
        <v/>
      </c>
    </row>
    <row r="466" customFormat="false" ht="23.85" hidden="false" customHeight="false" outlineLevel="0" collapsed="false">
      <c r="A466" s="10" t="s">
        <v>716</v>
      </c>
      <c r="B466" s="10" t="s">
        <v>302</v>
      </c>
      <c r="C466" s="10" t="s">
        <v>315</v>
      </c>
      <c r="D466" s="8" t="s">
        <v>159</v>
      </c>
      <c r="E466" s="8" t="s">
        <v>164</v>
      </c>
      <c r="F466" s="10" t="s">
        <v>110</v>
      </c>
      <c r="G466" s="11" t="s">
        <v>16</v>
      </c>
      <c r="H466" s="66"/>
      <c r="I466" s="67" t="n">
        <v>45967</v>
      </c>
      <c r="J466" s="10" t="s">
        <v>687</v>
      </c>
      <c r="K466" s="68" t="str">
        <f aca="false">IF(G466="No",MAX(0,AsOfDate-I466),"")</f>
        <v/>
      </c>
      <c r="L466" s="12" t="str">
        <f aca="false">IF(K466="","",IF(K466&lt;=90,"0-90",IF(K466&lt;=180,"91-180",IF(K466&lt;=270,"181-270","&gt;270"))))</f>
        <v/>
      </c>
      <c r="M466" s="12" t="str">
        <f aca="false">IF(G466="Obs",COUNTIF(G$2:G466,"Obs"),"")</f>
        <v/>
      </c>
      <c r="N466" s="12" t="str">
        <f aca="false">IF(G466="No",COUNTIF(G$2:G466,"No"),"")</f>
        <v/>
      </c>
    </row>
    <row r="467" customFormat="false" ht="15" hidden="false" customHeight="false" outlineLevel="0" collapsed="false">
      <c r="A467" s="69" t="s">
        <v>716</v>
      </c>
      <c r="B467" s="69" t="s">
        <v>302</v>
      </c>
      <c r="C467" s="69" t="s">
        <v>316</v>
      </c>
      <c r="D467" s="70" t="s">
        <v>166</v>
      </c>
      <c r="E467" s="70" t="s">
        <v>167</v>
      </c>
      <c r="F467" s="69" t="s">
        <v>99</v>
      </c>
      <c r="G467" s="71" t="s">
        <v>16</v>
      </c>
      <c r="H467" s="72"/>
      <c r="I467" s="73" t="n">
        <v>45967</v>
      </c>
      <c r="J467" s="69" t="s">
        <v>687</v>
      </c>
      <c r="K467" s="74" t="str">
        <f aca="false">IF(G467="No",MAX(0,AsOfDate-I467),"")</f>
        <v/>
      </c>
      <c r="L467" s="75" t="str">
        <f aca="false">IF(K467="","",IF(K467&lt;=90,"0-90",IF(K467&lt;=180,"91-180",IF(K467&lt;=270,"181-270","&gt;270"))))</f>
        <v/>
      </c>
      <c r="M467" s="75" t="str">
        <f aca="false">IF(G467="Obs",COUNTIF(G$2:G467,"Obs"),"")</f>
        <v/>
      </c>
      <c r="N467" s="75" t="str">
        <f aca="false">IF(G467="No",COUNTIF(G$2:G467,"No"),"")</f>
        <v/>
      </c>
    </row>
    <row r="468" customFormat="false" ht="15" hidden="false" customHeight="false" outlineLevel="0" collapsed="false">
      <c r="A468" s="10" t="s">
        <v>716</v>
      </c>
      <c r="B468" s="10" t="s">
        <v>302</v>
      </c>
      <c r="C468" s="10" t="s">
        <v>317</v>
      </c>
      <c r="D468" s="8" t="s">
        <v>166</v>
      </c>
      <c r="E468" s="8" t="s">
        <v>169</v>
      </c>
      <c r="F468" s="10" t="s">
        <v>105</v>
      </c>
      <c r="G468" s="11" t="s">
        <v>16</v>
      </c>
      <c r="H468" s="66"/>
      <c r="I468" s="67" t="n">
        <v>45967</v>
      </c>
      <c r="J468" s="10" t="s">
        <v>687</v>
      </c>
      <c r="K468" s="68" t="str">
        <f aca="false">IF(G468="No",MAX(0,AsOfDate-I468),"")</f>
        <v/>
      </c>
      <c r="L468" s="12" t="str">
        <f aca="false">IF(K468="","",IF(K468&lt;=90,"0-90",IF(K468&lt;=180,"91-180",IF(K468&lt;=270,"181-270","&gt;270"))))</f>
        <v/>
      </c>
      <c r="M468" s="12" t="str">
        <f aca="false">IF(G468="Obs",COUNTIF(G$2:G468,"Obs"),"")</f>
        <v/>
      </c>
      <c r="N468" s="12" t="str">
        <f aca="false">IF(G468="No",COUNTIF(G$2:G468,"No"),"")</f>
        <v/>
      </c>
    </row>
    <row r="469" customFormat="false" ht="15" hidden="false" customHeight="false" outlineLevel="0" collapsed="false">
      <c r="A469" s="69" t="s">
        <v>716</v>
      </c>
      <c r="B469" s="69" t="s">
        <v>302</v>
      </c>
      <c r="C469" s="69" t="s">
        <v>318</v>
      </c>
      <c r="D469" s="70" t="s">
        <v>171</v>
      </c>
      <c r="E469" s="70" t="s">
        <v>172</v>
      </c>
      <c r="F469" s="69" t="s">
        <v>105</v>
      </c>
      <c r="G469" s="71" t="s">
        <v>16</v>
      </c>
      <c r="H469" s="72"/>
      <c r="I469" s="73" t="n">
        <v>45967</v>
      </c>
      <c r="J469" s="69" t="s">
        <v>687</v>
      </c>
      <c r="K469" s="74" t="str">
        <f aca="false">IF(G469="No",MAX(0,AsOfDate-I469),"")</f>
        <v/>
      </c>
      <c r="L469" s="75" t="str">
        <f aca="false">IF(K469="","",IF(K469&lt;=90,"0-90",IF(K469&lt;=180,"91-180",IF(K469&lt;=270,"181-270","&gt;270"))))</f>
        <v/>
      </c>
      <c r="M469" s="75" t="str">
        <f aca="false">IF(G469="Obs",COUNTIF(G$2:G469,"Obs"),"")</f>
        <v/>
      </c>
      <c r="N469" s="75" t="str">
        <f aca="false">IF(G469="No",COUNTIF(G$2:G469,"No"),"")</f>
        <v/>
      </c>
    </row>
    <row r="470" customFormat="false" ht="15" hidden="false" customHeight="false" outlineLevel="0" collapsed="false">
      <c r="A470" s="10" t="s">
        <v>716</v>
      </c>
      <c r="B470" s="10" t="s">
        <v>302</v>
      </c>
      <c r="C470" s="10" t="s">
        <v>319</v>
      </c>
      <c r="D470" s="8" t="s">
        <v>171</v>
      </c>
      <c r="E470" s="8" t="s">
        <v>174</v>
      </c>
      <c r="F470" s="10" t="s">
        <v>99</v>
      </c>
      <c r="G470" s="11" t="s">
        <v>16</v>
      </c>
      <c r="H470" s="66"/>
      <c r="I470" s="67" t="n">
        <v>45967</v>
      </c>
      <c r="J470" s="10" t="s">
        <v>687</v>
      </c>
      <c r="K470" s="68" t="str">
        <f aca="false">IF(G470="No",MAX(0,AsOfDate-I470),"")</f>
        <v/>
      </c>
      <c r="L470" s="12" t="str">
        <f aca="false">IF(K470="","",IF(K470&lt;=90,"0-90",IF(K470&lt;=180,"91-180",IF(K470&lt;=270,"181-270","&gt;270"))))</f>
        <v/>
      </c>
      <c r="M470" s="12" t="str">
        <f aca="false">IF(G470="Obs",COUNTIF(G$2:G470,"Obs"),"")</f>
        <v/>
      </c>
      <c r="N470" s="12" t="str">
        <f aca="false">IF(G470="No",COUNTIF(G$2:G470,"No"),"")</f>
        <v/>
      </c>
    </row>
    <row r="471" customFormat="false" ht="15" hidden="false" customHeight="false" outlineLevel="0" collapsed="false">
      <c r="A471" s="69" t="s">
        <v>716</v>
      </c>
      <c r="B471" s="69" t="s">
        <v>302</v>
      </c>
      <c r="C471" s="69" t="s">
        <v>320</v>
      </c>
      <c r="D471" s="70" t="s">
        <v>176</v>
      </c>
      <c r="E471" s="70" t="s">
        <v>177</v>
      </c>
      <c r="F471" s="69" t="s">
        <v>105</v>
      </c>
      <c r="G471" s="71" t="s">
        <v>16</v>
      </c>
      <c r="H471" s="72"/>
      <c r="I471" s="73" t="n">
        <v>45967</v>
      </c>
      <c r="J471" s="69" t="s">
        <v>687</v>
      </c>
      <c r="K471" s="74" t="str">
        <f aca="false">IF(G471="No",MAX(0,AsOfDate-I471),"")</f>
        <v/>
      </c>
      <c r="L471" s="75" t="str">
        <f aca="false">IF(K471="","",IF(K471&lt;=90,"0-90",IF(K471&lt;=180,"91-180",IF(K471&lt;=270,"181-270","&gt;270"))))</f>
        <v/>
      </c>
      <c r="M471" s="75" t="str">
        <f aca="false">IF(G471="Obs",COUNTIF(G$2:G471,"Obs"),"")</f>
        <v/>
      </c>
      <c r="N471" s="75" t="str">
        <f aca="false">IF(G471="No",COUNTIF(G$2:G471,"No"),"")</f>
        <v/>
      </c>
    </row>
    <row r="472" customFormat="false" ht="15" hidden="false" customHeight="false" outlineLevel="0" collapsed="false">
      <c r="A472" s="10" t="s">
        <v>716</v>
      </c>
      <c r="B472" s="10" t="s">
        <v>302</v>
      </c>
      <c r="C472" s="10" t="s">
        <v>321</v>
      </c>
      <c r="D472" s="8" t="s">
        <v>176</v>
      </c>
      <c r="E472" s="8" t="s">
        <v>179</v>
      </c>
      <c r="F472" s="10" t="s">
        <v>105</v>
      </c>
      <c r="G472" s="11" t="s">
        <v>16</v>
      </c>
      <c r="H472" s="66"/>
      <c r="I472" s="67" t="n">
        <v>45967</v>
      </c>
      <c r="J472" s="10" t="s">
        <v>687</v>
      </c>
      <c r="K472" s="68" t="str">
        <f aca="false">IF(G472="No",MAX(0,AsOfDate-I472),"")</f>
        <v/>
      </c>
      <c r="L472" s="12" t="str">
        <f aca="false">IF(K472="","",IF(K472&lt;=90,"0-90",IF(K472&lt;=180,"91-180",IF(K472&lt;=270,"181-270","&gt;270"))))</f>
        <v/>
      </c>
      <c r="M472" s="12" t="str">
        <f aca="false">IF(G472="Obs",COUNTIF(G$2:G472,"Obs"),"")</f>
        <v/>
      </c>
      <c r="N472" s="12" t="str">
        <f aca="false">IF(G472="No",COUNTIF(G$2:G472,"No"),"")</f>
        <v/>
      </c>
    </row>
    <row r="473" customFormat="false" ht="23.85" hidden="false" customHeight="false" outlineLevel="0" collapsed="false">
      <c r="A473" s="69" t="s">
        <v>716</v>
      </c>
      <c r="B473" s="69" t="s">
        <v>302</v>
      </c>
      <c r="C473" s="69" t="s">
        <v>322</v>
      </c>
      <c r="D473" s="70" t="s">
        <v>323</v>
      </c>
      <c r="E473" s="70" t="s">
        <v>324</v>
      </c>
      <c r="F473" s="69" t="s">
        <v>99</v>
      </c>
      <c r="G473" s="71" t="s">
        <v>16</v>
      </c>
      <c r="H473" s="72"/>
      <c r="I473" s="73" t="n">
        <v>45967</v>
      </c>
      <c r="J473" s="69" t="s">
        <v>687</v>
      </c>
      <c r="K473" s="74" t="str">
        <f aca="false">IF(G473="No",MAX(0,AsOfDate-I473),"")</f>
        <v/>
      </c>
      <c r="L473" s="75" t="str">
        <f aca="false">IF(K473="","",IF(K473&lt;=90,"0-90",IF(K473&lt;=180,"91-180",IF(K473&lt;=270,"181-270","&gt;270"))))</f>
        <v/>
      </c>
      <c r="M473" s="75" t="str">
        <f aca="false">IF(G473="Obs",COUNTIF(G$2:G473,"Obs"),"")</f>
        <v/>
      </c>
      <c r="N473" s="75" t="str">
        <f aca="false">IF(G473="No",COUNTIF(G$2:G473,"No"),"")</f>
        <v/>
      </c>
    </row>
    <row r="474" customFormat="false" ht="23.85" hidden="false" customHeight="false" outlineLevel="0" collapsed="false">
      <c r="A474" s="10" t="s">
        <v>716</v>
      </c>
      <c r="B474" s="10" t="s">
        <v>302</v>
      </c>
      <c r="C474" s="10" t="s">
        <v>325</v>
      </c>
      <c r="D474" s="8" t="s">
        <v>323</v>
      </c>
      <c r="E474" s="8" t="s">
        <v>326</v>
      </c>
      <c r="F474" s="10" t="s">
        <v>99</v>
      </c>
      <c r="G474" s="11" t="s">
        <v>22</v>
      </c>
      <c r="H474" s="66" t="s">
        <v>592</v>
      </c>
      <c r="I474" s="67" t="n">
        <v>45967</v>
      </c>
      <c r="J474" s="10" t="s">
        <v>687</v>
      </c>
      <c r="K474" s="68" t="str">
        <f aca="false">IF(G474="No",MAX(0,AsOfDate-I474),"")</f>
        <v/>
      </c>
      <c r="L474" s="12" t="str">
        <f aca="false">IF(K474="","",IF(K474&lt;=90,"0-90",IF(K474&lt;=180,"91-180",IF(K474&lt;=270,"181-270","&gt;270"))))</f>
        <v/>
      </c>
      <c r="M474" s="12" t="n">
        <f aca="false">IF(G474="Obs",COUNTIF(G$2:G474,"Obs"),"")</f>
        <v>31</v>
      </c>
      <c r="N474" s="12" t="str">
        <f aca="false">IF(G474="No",COUNTIF(G$2:G474,"No"),"")</f>
        <v/>
      </c>
    </row>
    <row r="475" customFormat="false" ht="15" hidden="false" customHeight="false" outlineLevel="0" collapsed="false">
      <c r="A475" s="69" t="s">
        <v>716</v>
      </c>
      <c r="B475" s="69" t="s">
        <v>302</v>
      </c>
      <c r="C475" s="69" t="s">
        <v>327</v>
      </c>
      <c r="D475" s="70" t="s">
        <v>323</v>
      </c>
      <c r="E475" s="70" t="s">
        <v>328</v>
      </c>
      <c r="F475" s="69" t="s">
        <v>105</v>
      </c>
      <c r="G475" s="71" t="s">
        <v>16</v>
      </c>
      <c r="H475" s="72"/>
      <c r="I475" s="73" t="n">
        <v>45967</v>
      </c>
      <c r="J475" s="69" t="s">
        <v>687</v>
      </c>
      <c r="K475" s="74" t="str">
        <f aca="false">IF(G475="No",MAX(0,AsOfDate-I475),"")</f>
        <v/>
      </c>
      <c r="L475" s="75" t="str">
        <f aca="false">IF(K475="","",IF(K475&lt;=90,"0-90",IF(K475&lt;=180,"91-180",IF(K475&lt;=270,"181-270","&gt;270"))))</f>
        <v/>
      </c>
      <c r="M475" s="75" t="str">
        <f aca="false">IF(G475="Obs",COUNTIF(G$2:G475,"Obs"),"")</f>
        <v/>
      </c>
      <c r="N475" s="75" t="str">
        <f aca="false">IF(G475="No",COUNTIF(G$2:G475,"No"),"")</f>
        <v/>
      </c>
    </row>
    <row r="476" customFormat="false" ht="15" hidden="false" customHeight="false" outlineLevel="0" collapsed="false">
      <c r="A476" s="10" t="s">
        <v>716</v>
      </c>
      <c r="B476" s="10" t="s">
        <v>302</v>
      </c>
      <c r="C476" s="10" t="s">
        <v>329</v>
      </c>
      <c r="D476" s="8" t="s">
        <v>323</v>
      </c>
      <c r="E476" s="8" t="s">
        <v>330</v>
      </c>
      <c r="F476" s="10" t="s">
        <v>99</v>
      </c>
      <c r="G476" s="11" t="s">
        <v>16</v>
      </c>
      <c r="H476" s="66"/>
      <c r="I476" s="67" t="n">
        <v>45967</v>
      </c>
      <c r="J476" s="10" t="s">
        <v>687</v>
      </c>
      <c r="K476" s="68" t="str">
        <f aca="false">IF(G476="No",MAX(0,AsOfDate-I476),"")</f>
        <v/>
      </c>
      <c r="L476" s="12" t="str">
        <f aca="false">IF(K476="","",IF(K476&lt;=90,"0-90",IF(K476&lt;=180,"91-180",IF(K476&lt;=270,"181-270","&gt;270"))))</f>
        <v/>
      </c>
      <c r="M476" s="12" t="str">
        <f aca="false">IF(G476="Obs",COUNTIF(G$2:G476,"Obs"),"")</f>
        <v/>
      </c>
      <c r="N476" s="12" t="str">
        <f aca="false">IF(G476="No",COUNTIF(G$2:G476,"No"),"")</f>
        <v/>
      </c>
    </row>
    <row r="477" customFormat="false" ht="15" hidden="false" customHeight="false" outlineLevel="0" collapsed="false">
      <c r="A477" s="69" t="s">
        <v>716</v>
      </c>
      <c r="B477" s="69" t="s">
        <v>302</v>
      </c>
      <c r="C477" s="69" t="s">
        <v>331</v>
      </c>
      <c r="D477" s="70" t="s">
        <v>323</v>
      </c>
      <c r="E477" s="70" t="s">
        <v>332</v>
      </c>
      <c r="F477" s="69" t="s">
        <v>105</v>
      </c>
      <c r="G477" s="71" t="s">
        <v>16</v>
      </c>
      <c r="H477" s="72"/>
      <c r="I477" s="73" t="n">
        <v>45967</v>
      </c>
      <c r="J477" s="69" t="s">
        <v>687</v>
      </c>
      <c r="K477" s="74" t="str">
        <f aca="false">IF(G477="No",MAX(0,AsOfDate-I477),"")</f>
        <v/>
      </c>
      <c r="L477" s="75" t="str">
        <f aca="false">IF(K477="","",IF(K477&lt;=90,"0-90",IF(K477&lt;=180,"91-180",IF(K477&lt;=270,"181-270","&gt;270"))))</f>
        <v/>
      </c>
      <c r="M477" s="75" t="str">
        <f aca="false">IF(G477="Obs",COUNTIF(G$2:G477,"Obs"),"")</f>
        <v/>
      </c>
      <c r="N477" s="75" t="str">
        <f aca="false">IF(G477="No",COUNTIF(G$2:G477,"No"),"")</f>
        <v/>
      </c>
    </row>
    <row r="478" customFormat="false" ht="15" hidden="false" customHeight="false" outlineLevel="0" collapsed="false">
      <c r="A478" s="10" t="s">
        <v>716</v>
      </c>
      <c r="B478" s="10" t="s">
        <v>302</v>
      </c>
      <c r="C478" s="10" t="s">
        <v>333</v>
      </c>
      <c r="D478" s="8" t="s">
        <v>323</v>
      </c>
      <c r="E478" s="8" t="s">
        <v>334</v>
      </c>
      <c r="F478" s="10" t="s">
        <v>105</v>
      </c>
      <c r="G478" s="11" t="s">
        <v>16</v>
      </c>
      <c r="H478" s="66"/>
      <c r="I478" s="67" t="n">
        <v>45967</v>
      </c>
      <c r="J478" s="10" t="s">
        <v>687</v>
      </c>
      <c r="K478" s="68" t="str">
        <f aca="false">IF(G478="No",MAX(0,AsOfDate-I478),"")</f>
        <v/>
      </c>
      <c r="L478" s="12" t="str">
        <f aca="false">IF(K478="","",IF(K478&lt;=90,"0-90",IF(K478&lt;=180,"91-180",IF(K478&lt;=270,"181-270","&gt;270"))))</f>
        <v/>
      </c>
      <c r="M478" s="12" t="str">
        <f aca="false">IF(G478="Obs",COUNTIF(G$2:G478,"Obs"),"")</f>
        <v/>
      </c>
      <c r="N478" s="12" t="str">
        <f aca="false">IF(G478="No",COUNTIF(G$2:G478,"No"),"")</f>
        <v/>
      </c>
    </row>
    <row r="479" customFormat="false" ht="15" hidden="false" customHeight="false" outlineLevel="0" collapsed="false">
      <c r="A479" s="69" t="s">
        <v>716</v>
      </c>
      <c r="B479" s="69" t="s">
        <v>302</v>
      </c>
      <c r="C479" s="69" t="s">
        <v>335</v>
      </c>
      <c r="D479" s="70" t="s">
        <v>323</v>
      </c>
      <c r="E479" s="70" t="s">
        <v>336</v>
      </c>
      <c r="F479" s="69" t="s">
        <v>110</v>
      </c>
      <c r="G479" s="71" t="s">
        <v>18</v>
      </c>
      <c r="H479" s="72" t="s">
        <v>741</v>
      </c>
      <c r="I479" s="73" t="n">
        <v>45967</v>
      </c>
      <c r="J479" s="69" t="s">
        <v>687</v>
      </c>
      <c r="K479" s="74" t="n">
        <f aca="false">IF(G479="No",MAX(0,AsOfDate-I479),"")</f>
        <v>216</v>
      </c>
      <c r="L479" s="75" t="str">
        <f aca="false">IF(K479="","",IF(K479&lt;=90,"0-90",IF(K479&lt;=180,"91-180",IF(K479&lt;=270,"181-270","&gt;270"))))</f>
        <v>181-270</v>
      </c>
      <c r="M479" s="75" t="str">
        <f aca="false">IF(G479="Obs",COUNTIF(G$2:G479,"Obs"),"")</f>
        <v/>
      </c>
      <c r="N479" s="75" t="n">
        <f aca="false">IF(G479="No",COUNTIF(G$2:G479,"No"),"")</f>
        <v>36</v>
      </c>
    </row>
    <row r="480" customFormat="false" ht="15" hidden="false" customHeight="false" outlineLevel="0" collapsed="false">
      <c r="A480" s="10" t="s">
        <v>718</v>
      </c>
      <c r="B480" s="10" t="s">
        <v>302</v>
      </c>
      <c r="C480" s="10" t="s">
        <v>301</v>
      </c>
      <c r="D480" s="8" t="s">
        <v>133</v>
      </c>
      <c r="E480" s="8" t="s">
        <v>134</v>
      </c>
      <c r="F480" s="10" t="s">
        <v>99</v>
      </c>
      <c r="G480" s="11" t="s">
        <v>16</v>
      </c>
      <c r="H480" s="66"/>
      <c r="I480" s="67" t="n">
        <v>46072</v>
      </c>
      <c r="J480" s="10" t="s">
        <v>690</v>
      </c>
      <c r="K480" s="68" t="str">
        <f aca="false">IF(G480="No",MAX(0,AsOfDate-I480),"")</f>
        <v/>
      </c>
      <c r="L480" s="12" t="str">
        <f aca="false">IF(K480="","",IF(K480&lt;=90,"0-90",IF(K480&lt;=180,"91-180",IF(K480&lt;=270,"181-270","&gt;270"))))</f>
        <v/>
      </c>
      <c r="M480" s="12" t="str">
        <f aca="false">IF(G480="Obs",COUNTIF(G$2:G480,"Obs"),"")</f>
        <v/>
      </c>
      <c r="N480" s="12" t="str">
        <f aca="false">IF(G480="No",COUNTIF(G$2:G480,"No"),"")</f>
        <v/>
      </c>
    </row>
    <row r="481" customFormat="false" ht="15" hidden="false" customHeight="false" outlineLevel="0" collapsed="false">
      <c r="A481" s="69" t="s">
        <v>718</v>
      </c>
      <c r="B481" s="69" t="s">
        <v>302</v>
      </c>
      <c r="C481" s="69" t="s">
        <v>303</v>
      </c>
      <c r="D481" s="70" t="s">
        <v>133</v>
      </c>
      <c r="E481" s="70" t="s">
        <v>136</v>
      </c>
      <c r="F481" s="69" t="s">
        <v>99</v>
      </c>
      <c r="G481" s="71" t="s">
        <v>16</v>
      </c>
      <c r="H481" s="72"/>
      <c r="I481" s="73" t="n">
        <v>46072</v>
      </c>
      <c r="J481" s="69" t="s">
        <v>690</v>
      </c>
      <c r="K481" s="74" t="str">
        <f aca="false">IF(G481="No",MAX(0,AsOfDate-I481),"")</f>
        <v/>
      </c>
      <c r="L481" s="75" t="str">
        <f aca="false">IF(K481="","",IF(K481&lt;=90,"0-90",IF(K481&lt;=180,"91-180",IF(K481&lt;=270,"181-270","&gt;270"))))</f>
        <v/>
      </c>
      <c r="M481" s="75" t="str">
        <f aca="false">IF(G481="Obs",COUNTIF(G$2:G481,"Obs"),"")</f>
        <v/>
      </c>
      <c r="N481" s="75" t="str">
        <f aca="false">IF(G481="No",COUNTIF(G$2:G481,"No"),"")</f>
        <v/>
      </c>
    </row>
    <row r="482" customFormat="false" ht="15" hidden="false" customHeight="false" outlineLevel="0" collapsed="false">
      <c r="A482" s="10" t="s">
        <v>718</v>
      </c>
      <c r="B482" s="10" t="s">
        <v>302</v>
      </c>
      <c r="C482" s="10" t="s">
        <v>304</v>
      </c>
      <c r="D482" s="8" t="s">
        <v>133</v>
      </c>
      <c r="E482" s="8" t="s">
        <v>138</v>
      </c>
      <c r="F482" s="10" t="s">
        <v>105</v>
      </c>
      <c r="G482" s="11" t="s">
        <v>16</v>
      </c>
      <c r="H482" s="66"/>
      <c r="I482" s="67" t="n">
        <v>46072</v>
      </c>
      <c r="J482" s="10" t="s">
        <v>690</v>
      </c>
      <c r="K482" s="68" t="str">
        <f aca="false">IF(G482="No",MAX(0,AsOfDate-I482),"")</f>
        <v/>
      </c>
      <c r="L482" s="12" t="str">
        <f aca="false">IF(K482="","",IF(K482&lt;=90,"0-90",IF(K482&lt;=180,"91-180",IF(K482&lt;=270,"181-270","&gt;270"))))</f>
        <v/>
      </c>
      <c r="M482" s="12" t="str">
        <f aca="false">IF(G482="Obs",COUNTIF(G$2:G482,"Obs"),"")</f>
        <v/>
      </c>
      <c r="N482" s="12" t="str">
        <f aca="false">IF(G482="No",COUNTIF(G$2:G482,"No"),"")</f>
        <v/>
      </c>
    </row>
    <row r="483" customFormat="false" ht="15" hidden="false" customHeight="false" outlineLevel="0" collapsed="false">
      <c r="A483" s="69" t="s">
        <v>718</v>
      </c>
      <c r="B483" s="69" t="s">
        <v>302</v>
      </c>
      <c r="C483" s="69" t="s">
        <v>305</v>
      </c>
      <c r="D483" s="70" t="s">
        <v>140</v>
      </c>
      <c r="E483" s="70" t="s">
        <v>141</v>
      </c>
      <c r="F483" s="69" t="s">
        <v>99</v>
      </c>
      <c r="G483" s="71" t="s">
        <v>16</v>
      </c>
      <c r="H483" s="72"/>
      <c r="I483" s="73" t="n">
        <v>46072</v>
      </c>
      <c r="J483" s="69" t="s">
        <v>690</v>
      </c>
      <c r="K483" s="74" t="str">
        <f aca="false">IF(G483="No",MAX(0,AsOfDate-I483),"")</f>
        <v/>
      </c>
      <c r="L483" s="75" t="str">
        <f aca="false">IF(K483="","",IF(K483&lt;=90,"0-90",IF(K483&lt;=180,"91-180",IF(K483&lt;=270,"181-270","&gt;270"))))</f>
        <v/>
      </c>
      <c r="M483" s="75" t="str">
        <f aca="false">IF(G483="Obs",COUNTIF(G$2:G483,"Obs"),"")</f>
        <v/>
      </c>
      <c r="N483" s="75" t="str">
        <f aca="false">IF(G483="No",COUNTIF(G$2:G483,"No"),"")</f>
        <v/>
      </c>
    </row>
    <row r="484" customFormat="false" ht="15" hidden="false" customHeight="false" outlineLevel="0" collapsed="false">
      <c r="A484" s="10" t="s">
        <v>718</v>
      </c>
      <c r="B484" s="10" t="s">
        <v>302</v>
      </c>
      <c r="C484" s="10" t="s">
        <v>306</v>
      </c>
      <c r="D484" s="8" t="s">
        <v>140</v>
      </c>
      <c r="E484" s="8" t="s">
        <v>143</v>
      </c>
      <c r="F484" s="10" t="s">
        <v>105</v>
      </c>
      <c r="G484" s="11" t="s">
        <v>16</v>
      </c>
      <c r="H484" s="66"/>
      <c r="I484" s="67" t="n">
        <v>46072</v>
      </c>
      <c r="J484" s="10" t="s">
        <v>690</v>
      </c>
      <c r="K484" s="68" t="str">
        <f aca="false">IF(G484="No",MAX(0,AsOfDate-I484),"")</f>
        <v/>
      </c>
      <c r="L484" s="12" t="str">
        <f aca="false">IF(K484="","",IF(K484&lt;=90,"0-90",IF(K484&lt;=180,"91-180",IF(K484&lt;=270,"181-270","&gt;270"))))</f>
        <v/>
      </c>
      <c r="M484" s="12" t="str">
        <f aca="false">IF(G484="Obs",COUNTIF(G$2:G484,"Obs"),"")</f>
        <v/>
      </c>
      <c r="N484" s="12" t="str">
        <f aca="false">IF(G484="No",COUNTIF(G$2:G484,"No"),"")</f>
        <v/>
      </c>
    </row>
    <row r="485" customFormat="false" ht="15" hidden="false" customHeight="false" outlineLevel="0" collapsed="false">
      <c r="A485" s="69" t="s">
        <v>718</v>
      </c>
      <c r="B485" s="69" t="s">
        <v>302</v>
      </c>
      <c r="C485" s="69" t="s">
        <v>307</v>
      </c>
      <c r="D485" s="70" t="s">
        <v>140</v>
      </c>
      <c r="E485" s="70" t="s">
        <v>145</v>
      </c>
      <c r="F485" s="69" t="s">
        <v>99</v>
      </c>
      <c r="G485" s="71" t="s">
        <v>16</v>
      </c>
      <c r="H485" s="72"/>
      <c r="I485" s="73" t="n">
        <v>46072</v>
      </c>
      <c r="J485" s="69" t="s">
        <v>690</v>
      </c>
      <c r="K485" s="74" t="str">
        <f aca="false">IF(G485="No",MAX(0,AsOfDate-I485),"")</f>
        <v/>
      </c>
      <c r="L485" s="75" t="str">
        <f aca="false">IF(K485="","",IF(K485&lt;=90,"0-90",IF(K485&lt;=180,"91-180",IF(K485&lt;=270,"181-270","&gt;270"))))</f>
        <v/>
      </c>
      <c r="M485" s="75" t="str">
        <f aca="false">IF(G485="Obs",COUNTIF(G$2:G485,"Obs"),"")</f>
        <v/>
      </c>
      <c r="N485" s="75" t="str">
        <f aca="false">IF(G485="No",COUNTIF(G$2:G485,"No"),"")</f>
        <v/>
      </c>
    </row>
    <row r="486" customFormat="false" ht="15" hidden="false" customHeight="false" outlineLevel="0" collapsed="false">
      <c r="A486" s="10" t="s">
        <v>718</v>
      </c>
      <c r="B486" s="10" t="s">
        <v>302</v>
      </c>
      <c r="C486" s="10" t="s">
        <v>308</v>
      </c>
      <c r="D486" s="8" t="s">
        <v>147</v>
      </c>
      <c r="E486" s="8" t="s">
        <v>148</v>
      </c>
      <c r="F486" s="10" t="s">
        <v>99</v>
      </c>
      <c r="G486" s="11" t="s">
        <v>16</v>
      </c>
      <c r="H486" s="66"/>
      <c r="I486" s="67" t="n">
        <v>46072</v>
      </c>
      <c r="J486" s="10" t="s">
        <v>690</v>
      </c>
      <c r="K486" s="68" t="str">
        <f aca="false">IF(G486="No",MAX(0,AsOfDate-I486),"")</f>
        <v/>
      </c>
      <c r="L486" s="12" t="str">
        <f aca="false">IF(K486="","",IF(K486&lt;=90,"0-90",IF(K486&lt;=180,"91-180",IF(K486&lt;=270,"181-270","&gt;270"))))</f>
        <v/>
      </c>
      <c r="M486" s="12" t="str">
        <f aca="false">IF(G486="Obs",COUNTIF(G$2:G486,"Obs"),"")</f>
        <v/>
      </c>
      <c r="N486" s="12" t="str">
        <f aca="false">IF(G486="No",COUNTIF(G$2:G486,"No"),"")</f>
        <v/>
      </c>
    </row>
    <row r="487" customFormat="false" ht="15" hidden="false" customHeight="false" outlineLevel="0" collapsed="false">
      <c r="A487" s="69" t="s">
        <v>718</v>
      </c>
      <c r="B487" s="69" t="s">
        <v>302</v>
      </c>
      <c r="C487" s="69" t="s">
        <v>309</v>
      </c>
      <c r="D487" s="70" t="s">
        <v>147</v>
      </c>
      <c r="E487" s="70" t="s">
        <v>150</v>
      </c>
      <c r="F487" s="69" t="s">
        <v>105</v>
      </c>
      <c r="G487" s="71" t="s">
        <v>16</v>
      </c>
      <c r="H487" s="72"/>
      <c r="I487" s="73" t="n">
        <v>46072</v>
      </c>
      <c r="J487" s="69" t="s">
        <v>690</v>
      </c>
      <c r="K487" s="74" t="str">
        <f aca="false">IF(G487="No",MAX(0,AsOfDate-I487),"")</f>
        <v/>
      </c>
      <c r="L487" s="75" t="str">
        <f aca="false">IF(K487="","",IF(K487&lt;=90,"0-90",IF(K487&lt;=180,"91-180",IF(K487&lt;=270,"181-270","&gt;270"))))</f>
        <v/>
      </c>
      <c r="M487" s="75" t="str">
        <f aca="false">IF(G487="Obs",COUNTIF(G$2:G487,"Obs"),"")</f>
        <v/>
      </c>
      <c r="N487" s="75" t="str">
        <f aca="false">IF(G487="No",COUNTIF(G$2:G487,"No"),"")</f>
        <v/>
      </c>
    </row>
    <row r="488" customFormat="false" ht="15" hidden="false" customHeight="false" outlineLevel="0" collapsed="false">
      <c r="A488" s="10" t="s">
        <v>718</v>
      </c>
      <c r="B488" s="10" t="s">
        <v>302</v>
      </c>
      <c r="C488" s="10" t="s">
        <v>310</v>
      </c>
      <c r="D488" s="8" t="s">
        <v>147</v>
      </c>
      <c r="E488" s="8" t="s">
        <v>152</v>
      </c>
      <c r="F488" s="10" t="s">
        <v>99</v>
      </c>
      <c r="G488" s="11" t="s">
        <v>18</v>
      </c>
      <c r="H488" s="66" t="s">
        <v>496</v>
      </c>
      <c r="I488" s="67" t="n">
        <v>46072</v>
      </c>
      <c r="J488" s="10" t="s">
        <v>690</v>
      </c>
      <c r="K488" s="68" t="n">
        <f aca="false">IF(G488="No",MAX(0,AsOfDate-I488),"")</f>
        <v>111</v>
      </c>
      <c r="L488" s="12" t="str">
        <f aca="false">IF(K488="","",IF(K488&lt;=90,"0-90",IF(K488&lt;=180,"91-180",IF(K488&lt;=270,"181-270","&gt;270"))))</f>
        <v>91-180</v>
      </c>
      <c r="M488" s="12" t="str">
        <f aca="false">IF(G488="Obs",COUNTIF(G$2:G488,"Obs"),"")</f>
        <v/>
      </c>
      <c r="N488" s="12" t="n">
        <f aca="false">IF(G488="No",COUNTIF(G$2:G488,"No"),"")</f>
        <v>37</v>
      </c>
    </row>
    <row r="489" customFormat="false" ht="15" hidden="false" customHeight="false" outlineLevel="0" collapsed="false">
      <c r="A489" s="69" t="s">
        <v>718</v>
      </c>
      <c r="B489" s="69" t="s">
        <v>302</v>
      </c>
      <c r="C489" s="69" t="s">
        <v>311</v>
      </c>
      <c r="D489" s="70" t="s">
        <v>154</v>
      </c>
      <c r="E489" s="70" t="s">
        <v>155</v>
      </c>
      <c r="F489" s="69" t="s">
        <v>105</v>
      </c>
      <c r="G489" s="71" t="s">
        <v>20</v>
      </c>
      <c r="H489" s="72"/>
      <c r="I489" s="73" t="n">
        <v>46072</v>
      </c>
      <c r="J489" s="69" t="s">
        <v>690</v>
      </c>
      <c r="K489" s="74" t="str">
        <f aca="false">IF(G489="No",MAX(0,AsOfDate-I489),"")</f>
        <v/>
      </c>
      <c r="L489" s="75" t="str">
        <f aca="false">IF(K489="","",IF(K489&lt;=90,"0-90",IF(K489&lt;=180,"91-180",IF(K489&lt;=270,"181-270","&gt;270"))))</f>
        <v/>
      </c>
      <c r="M489" s="75" t="str">
        <f aca="false">IF(G489="Obs",COUNTIF(G$2:G489,"Obs"),"")</f>
        <v/>
      </c>
      <c r="N489" s="75" t="str">
        <f aca="false">IF(G489="No",COUNTIF(G$2:G489,"No"),"")</f>
        <v/>
      </c>
    </row>
    <row r="490" customFormat="false" ht="15" hidden="false" customHeight="false" outlineLevel="0" collapsed="false">
      <c r="A490" s="10" t="s">
        <v>718</v>
      </c>
      <c r="B490" s="10" t="s">
        <v>302</v>
      </c>
      <c r="C490" s="10" t="s">
        <v>312</v>
      </c>
      <c r="D490" s="8" t="s">
        <v>154</v>
      </c>
      <c r="E490" s="8" t="s">
        <v>157</v>
      </c>
      <c r="F490" s="10" t="s">
        <v>105</v>
      </c>
      <c r="G490" s="11" t="s">
        <v>16</v>
      </c>
      <c r="H490" s="66"/>
      <c r="I490" s="67" t="n">
        <v>46072</v>
      </c>
      <c r="J490" s="10" t="s">
        <v>690</v>
      </c>
      <c r="K490" s="68" t="str">
        <f aca="false">IF(G490="No",MAX(0,AsOfDate-I490),"")</f>
        <v/>
      </c>
      <c r="L490" s="12" t="str">
        <f aca="false">IF(K490="","",IF(K490&lt;=90,"0-90",IF(K490&lt;=180,"91-180",IF(K490&lt;=270,"181-270","&gt;270"))))</f>
        <v/>
      </c>
      <c r="M490" s="12" t="str">
        <f aca="false">IF(G490="Obs",COUNTIF(G$2:G490,"Obs"),"")</f>
        <v/>
      </c>
      <c r="N490" s="12" t="str">
        <f aca="false">IF(G490="No",COUNTIF(G$2:G490,"No"),"")</f>
        <v/>
      </c>
    </row>
    <row r="491" customFormat="false" ht="23.85" hidden="false" customHeight="false" outlineLevel="0" collapsed="false">
      <c r="A491" s="69" t="s">
        <v>718</v>
      </c>
      <c r="B491" s="69" t="s">
        <v>302</v>
      </c>
      <c r="C491" s="69" t="s">
        <v>313</v>
      </c>
      <c r="D491" s="70" t="s">
        <v>159</v>
      </c>
      <c r="E491" s="70" t="s">
        <v>160</v>
      </c>
      <c r="F491" s="69" t="s">
        <v>99</v>
      </c>
      <c r="G491" s="71" t="s">
        <v>16</v>
      </c>
      <c r="H491" s="72"/>
      <c r="I491" s="73" t="n">
        <v>46072</v>
      </c>
      <c r="J491" s="69" t="s">
        <v>690</v>
      </c>
      <c r="K491" s="74" t="str">
        <f aca="false">IF(G491="No",MAX(0,AsOfDate-I491),"")</f>
        <v/>
      </c>
      <c r="L491" s="75" t="str">
        <f aca="false">IF(K491="","",IF(K491&lt;=90,"0-90",IF(K491&lt;=180,"91-180",IF(K491&lt;=270,"181-270","&gt;270"))))</f>
        <v/>
      </c>
      <c r="M491" s="75" t="str">
        <f aca="false">IF(G491="Obs",COUNTIF(G$2:G491,"Obs"),"")</f>
        <v/>
      </c>
      <c r="N491" s="75" t="str">
        <f aca="false">IF(G491="No",COUNTIF(G$2:G491,"No"),"")</f>
        <v/>
      </c>
    </row>
    <row r="492" customFormat="false" ht="23.85" hidden="false" customHeight="false" outlineLevel="0" collapsed="false">
      <c r="A492" s="10" t="s">
        <v>718</v>
      </c>
      <c r="B492" s="10" t="s">
        <v>302</v>
      </c>
      <c r="C492" s="10" t="s">
        <v>314</v>
      </c>
      <c r="D492" s="8" t="s">
        <v>159</v>
      </c>
      <c r="E492" s="8" t="s">
        <v>162</v>
      </c>
      <c r="F492" s="10" t="s">
        <v>99</v>
      </c>
      <c r="G492" s="11" t="s">
        <v>16</v>
      </c>
      <c r="H492" s="66"/>
      <c r="I492" s="67" t="n">
        <v>46072</v>
      </c>
      <c r="J492" s="10" t="s">
        <v>690</v>
      </c>
      <c r="K492" s="68" t="str">
        <f aca="false">IF(G492="No",MAX(0,AsOfDate-I492),"")</f>
        <v/>
      </c>
      <c r="L492" s="12" t="str">
        <f aca="false">IF(K492="","",IF(K492&lt;=90,"0-90",IF(K492&lt;=180,"91-180",IF(K492&lt;=270,"181-270","&gt;270"))))</f>
        <v/>
      </c>
      <c r="M492" s="12" t="str">
        <f aca="false">IF(G492="Obs",COUNTIF(G$2:G492,"Obs"),"")</f>
        <v/>
      </c>
      <c r="N492" s="12" t="str">
        <f aca="false">IF(G492="No",COUNTIF(G$2:G492,"No"),"")</f>
        <v/>
      </c>
    </row>
    <row r="493" customFormat="false" ht="23.85" hidden="false" customHeight="false" outlineLevel="0" collapsed="false">
      <c r="A493" s="69" t="s">
        <v>718</v>
      </c>
      <c r="B493" s="69" t="s">
        <v>302</v>
      </c>
      <c r="C493" s="69" t="s">
        <v>315</v>
      </c>
      <c r="D493" s="70" t="s">
        <v>159</v>
      </c>
      <c r="E493" s="70" t="s">
        <v>164</v>
      </c>
      <c r="F493" s="69" t="s">
        <v>110</v>
      </c>
      <c r="G493" s="71" t="s">
        <v>18</v>
      </c>
      <c r="H493" s="72" t="s">
        <v>563</v>
      </c>
      <c r="I493" s="73" t="n">
        <v>46072</v>
      </c>
      <c r="J493" s="69" t="s">
        <v>690</v>
      </c>
      <c r="K493" s="74" t="n">
        <f aca="false">IF(G493="No",MAX(0,AsOfDate-I493),"")</f>
        <v>111</v>
      </c>
      <c r="L493" s="75" t="str">
        <f aca="false">IF(K493="","",IF(K493&lt;=90,"0-90",IF(K493&lt;=180,"91-180",IF(K493&lt;=270,"181-270","&gt;270"))))</f>
        <v>91-180</v>
      </c>
      <c r="M493" s="75" t="str">
        <f aca="false">IF(G493="Obs",COUNTIF(G$2:G493,"Obs"),"")</f>
        <v/>
      </c>
      <c r="N493" s="75" t="n">
        <f aca="false">IF(G493="No",COUNTIF(G$2:G493,"No"),"")</f>
        <v>38</v>
      </c>
    </row>
    <row r="494" customFormat="false" ht="15" hidden="false" customHeight="false" outlineLevel="0" collapsed="false">
      <c r="A494" s="10" t="s">
        <v>718</v>
      </c>
      <c r="B494" s="10" t="s">
        <v>302</v>
      </c>
      <c r="C494" s="10" t="s">
        <v>316</v>
      </c>
      <c r="D494" s="8" t="s">
        <v>166</v>
      </c>
      <c r="E494" s="8" t="s">
        <v>167</v>
      </c>
      <c r="F494" s="10" t="s">
        <v>99</v>
      </c>
      <c r="G494" s="11" t="s">
        <v>16</v>
      </c>
      <c r="H494" s="66"/>
      <c r="I494" s="67" t="n">
        <v>46072</v>
      </c>
      <c r="J494" s="10" t="s">
        <v>690</v>
      </c>
      <c r="K494" s="68" t="str">
        <f aca="false">IF(G494="No",MAX(0,AsOfDate-I494),"")</f>
        <v/>
      </c>
      <c r="L494" s="12" t="str">
        <f aca="false">IF(K494="","",IF(K494&lt;=90,"0-90",IF(K494&lt;=180,"91-180",IF(K494&lt;=270,"181-270","&gt;270"))))</f>
        <v/>
      </c>
      <c r="M494" s="12" t="str">
        <f aca="false">IF(G494="Obs",COUNTIF(G$2:G494,"Obs"),"")</f>
        <v/>
      </c>
      <c r="N494" s="12" t="str">
        <f aca="false">IF(G494="No",COUNTIF(G$2:G494,"No"),"")</f>
        <v/>
      </c>
    </row>
    <row r="495" customFormat="false" ht="15" hidden="false" customHeight="false" outlineLevel="0" collapsed="false">
      <c r="A495" s="69" t="s">
        <v>718</v>
      </c>
      <c r="B495" s="69" t="s">
        <v>302</v>
      </c>
      <c r="C495" s="69" t="s">
        <v>317</v>
      </c>
      <c r="D495" s="70" t="s">
        <v>166</v>
      </c>
      <c r="E495" s="70" t="s">
        <v>169</v>
      </c>
      <c r="F495" s="69" t="s">
        <v>105</v>
      </c>
      <c r="G495" s="71" t="s">
        <v>16</v>
      </c>
      <c r="H495" s="72"/>
      <c r="I495" s="73" t="n">
        <v>46072</v>
      </c>
      <c r="J495" s="69" t="s">
        <v>690</v>
      </c>
      <c r="K495" s="74" t="str">
        <f aca="false">IF(G495="No",MAX(0,AsOfDate-I495),"")</f>
        <v/>
      </c>
      <c r="L495" s="75" t="str">
        <f aca="false">IF(K495="","",IF(K495&lt;=90,"0-90",IF(K495&lt;=180,"91-180",IF(K495&lt;=270,"181-270","&gt;270"))))</f>
        <v/>
      </c>
      <c r="M495" s="75" t="str">
        <f aca="false">IF(G495="Obs",COUNTIF(G$2:G495,"Obs"),"")</f>
        <v/>
      </c>
      <c r="N495" s="75" t="str">
        <f aca="false">IF(G495="No",COUNTIF(G$2:G495,"No"),"")</f>
        <v/>
      </c>
    </row>
    <row r="496" customFormat="false" ht="15" hidden="false" customHeight="false" outlineLevel="0" collapsed="false">
      <c r="A496" s="10" t="s">
        <v>718</v>
      </c>
      <c r="B496" s="10" t="s">
        <v>302</v>
      </c>
      <c r="C496" s="10" t="s">
        <v>318</v>
      </c>
      <c r="D496" s="8" t="s">
        <v>171</v>
      </c>
      <c r="E496" s="8" t="s">
        <v>172</v>
      </c>
      <c r="F496" s="10" t="s">
        <v>105</v>
      </c>
      <c r="G496" s="11" t="s">
        <v>16</v>
      </c>
      <c r="H496" s="66"/>
      <c r="I496" s="67" t="n">
        <v>46072</v>
      </c>
      <c r="J496" s="10" t="s">
        <v>690</v>
      </c>
      <c r="K496" s="68" t="str">
        <f aca="false">IF(G496="No",MAX(0,AsOfDate-I496),"")</f>
        <v/>
      </c>
      <c r="L496" s="12" t="str">
        <f aca="false">IF(K496="","",IF(K496&lt;=90,"0-90",IF(K496&lt;=180,"91-180",IF(K496&lt;=270,"181-270","&gt;270"))))</f>
        <v/>
      </c>
      <c r="M496" s="12" t="str">
        <f aca="false">IF(G496="Obs",COUNTIF(G$2:G496,"Obs"),"")</f>
        <v/>
      </c>
      <c r="N496" s="12" t="str">
        <f aca="false">IF(G496="No",COUNTIF(G$2:G496,"No"),"")</f>
        <v/>
      </c>
    </row>
    <row r="497" customFormat="false" ht="23.85" hidden="false" customHeight="false" outlineLevel="0" collapsed="false">
      <c r="A497" s="69" t="s">
        <v>718</v>
      </c>
      <c r="B497" s="69" t="s">
        <v>302</v>
      </c>
      <c r="C497" s="69" t="s">
        <v>319</v>
      </c>
      <c r="D497" s="70" t="s">
        <v>171</v>
      </c>
      <c r="E497" s="70" t="s">
        <v>174</v>
      </c>
      <c r="F497" s="69" t="s">
        <v>99</v>
      </c>
      <c r="G497" s="71" t="s">
        <v>22</v>
      </c>
      <c r="H497" s="72" t="s">
        <v>667</v>
      </c>
      <c r="I497" s="73" t="n">
        <v>46072</v>
      </c>
      <c r="J497" s="69" t="s">
        <v>690</v>
      </c>
      <c r="K497" s="74" t="str">
        <f aca="false">IF(G497="No",MAX(0,AsOfDate-I497),"")</f>
        <v/>
      </c>
      <c r="L497" s="75" t="str">
        <f aca="false">IF(K497="","",IF(K497&lt;=90,"0-90",IF(K497&lt;=180,"91-180",IF(K497&lt;=270,"181-270","&gt;270"))))</f>
        <v/>
      </c>
      <c r="M497" s="75" t="n">
        <f aca="false">IF(G497="Obs",COUNTIF(G$2:G497,"Obs"),"")</f>
        <v>32</v>
      </c>
      <c r="N497" s="75" t="str">
        <f aca="false">IF(G497="No",COUNTIF(G$2:G497,"No"),"")</f>
        <v/>
      </c>
    </row>
    <row r="498" customFormat="false" ht="15" hidden="false" customHeight="false" outlineLevel="0" collapsed="false">
      <c r="A498" s="10" t="s">
        <v>718</v>
      </c>
      <c r="B498" s="10" t="s">
        <v>302</v>
      </c>
      <c r="C498" s="10" t="s">
        <v>320</v>
      </c>
      <c r="D498" s="8" t="s">
        <v>176</v>
      </c>
      <c r="E498" s="8" t="s">
        <v>177</v>
      </c>
      <c r="F498" s="10" t="s">
        <v>105</v>
      </c>
      <c r="G498" s="11" t="s">
        <v>18</v>
      </c>
      <c r="H498" s="66" t="s">
        <v>741</v>
      </c>
      <c r="I498" s="67" t="n">
        <v>46072</v>
      </c>
      <c r="J498" s="10" t="s">
        <v>690</v>
      </c>
      <c r="K498" s="68" t="n">
        <f aca="false">IF(G498="No",MAX(0,AsOfDate-I498),"")</f>
        <v>111</v>
      </c>
      <c r="L498" s="12" t="str">
        <f aca="false">IF(K498="","",IF(K498&lt;=90,"0-90",IF(K498&lt;=180,"91-180",IF(K498&lt;=270,"181-270","&gt;270"))))</f>
        <v>91-180</v>
      </c>
      <c r="M498" s="12" t="str">
        <f aca="false">IF(G498="Obs",COUNTIF(G$2:G498,"Obs"),"")</f>
        <v/>
      </c>
      <c r="N498" s="12" t="n">
        <f aca="false">IF(G498="No",COUNTIF(G$2:G498,"No"),"")</f>
        <v>39</v>
      </c>
    </row>
    <row r="499" customFormat="false" ht="15" hidden="false" customHeight="false" outlineLevel="0" collapsed="false">
      <c r="A499" s="69" t="s">
        <v>718</v>
      </c>
      <c r="B499" s="69" t="s">
        <v>302</v>
      </c>
      <c r="C499" s="69" t="s">
        <v>321</v>
      </c>
      <c r="D499" s="70" t="s">
        <v>176</v>
      </c>
      <c r="E499" s="70" t="s">
        <v>179</v>
      </c>
      <c r="F499" s="69" t="s">
        <v>105</v>
      </c>
      <c r="G499" s="71" t="s">
        <v>16</v>
      </c>
      <c r="H499" s="72"/>
      <c r="I499" s="73" t="n">
        <v>46072</v>
      </c>
      <c r="J499" s="69" t="s">
        <v>690</v>
      </c>
      <c r="K499" s="74" t="str">
        <f aca="false">IF(G499="No",MAX(0,AsOfDate-I499),"")</f>
        <v/>
      </c>
      <c r="L499" s="75" t="str">
        <f aca="false">IF(K499="","",IF(K499&lt;=90,"0-90",IF(K499&lt;=180,"91-180",IF(K499&lt;=270,"181-270","&gt;270"))))</f>
        <v/>
      </c>
      <c r="M499" s="75" t="str">
        <f aca="false">IF(G499="Obs",COUNTIF(G$2:G499,"Obs"),"")</f>
        <v/>
      </c>
      <c r="N499" s="75" t="str">
        <f aca="false">IF(G499="No",COUNTIF(G$2:G499,"No"),"")</f>
        <v/>
      </c>
    </row>
    <row r="500" customFormat="false" ht="23.85" hidden="false" customHeight="false" outlineLevel="0" collapsed="false">
      <c r="A500" s="10" t="s">
        <v>718</v>
      </c>
      <c r="B500" s="10" t="s">
        <v>302</v>
      </c>
      <c r="C500" s="10" t="s">
        <v>322</v>
      </c>
      <c r="D500" s="8" t="s">
        <v>323</v>
      </c>
      <c r="E500" s="8" t="s">
        <v>324</v>
      </c>
      <c r="F500" s="10" t="s">
        <v>99</v>
      </c>
      <c r="G500" s="11" t="s">
        <v>16</v>
      </c>
      <c r="H500" s="66"/>
      <c r="I500" s="67" t="n">
        <v>46072</v>
      </c>
      <c r="J500" s="10" t="s">
        <v>690</v>
      </c>
      <c r="K500" s="68" t="str">
        <f aca="false">IF(G500="No",MAX(0,AsOfDate-I500),"")</f>
        <v/>
      </c>
      <c r="L500" s="12" t="str">
        <f aca="false">IF(K500="","",IF(K500&lt;=90,"0-90",IF(K500&lt;=180,"91-180",IF(K500&lt;=270,"181-270","&gt;270"))))</f>
        <v/>
      </c>
      <c r="M500" s="12" t="str">
        <f aca="false">IF(G500="Obs",COUNTIF(G$2:G500,"Obs"),"")</f>
        <v/>
      </c>
      <c r="N500" s="12" t="str">
        <f aca="false">IF(G500="No",COUNTIF(G$2:G500,"No"),"")</f>
        <v/>
      </c>
    </row>
    <row r="501" customFormat="false" ht="15" hidden="false" customHeight="false" outlineLevel="0" collapsed="false">
      <c r="A501" s="69" t="s">
        <v>718</v>
      </c>
      <c r="B501" s="69" t="s">
        <v>302</v>
      </c>
      <c r="C501" s="69" t="s">
        <v>325</v>
      </c>
      <c r="D501" s="70" t="s">
        <v>323</v>
      </c>
      <c r="E501" s="70" t="s">
        <v>326</v>
      </c>
      <c r="F501" s="69" t="s">
        <v>99</v>
      </c>
      <c r="G501" s="71" t="s">
        <v>20</v>
      </c>
      <c r="H501" s="72"/>
      <c r="I501" s="73" t="n">
        <v>46072</v>
      </c>
      <c r="J501" s="69" t="s">
        <v>690</v>
      </c>
      <c r="K501" s="74" t="str">
        <f aca="false">IF(G501="No",MAX(0,AsOfDate-I501),"")</f>
        <v/>
      </c>
      <c r="L501" s="75" t="str">
        <f aca="false">IF(K501="","",IF(K501&lt;=90,"0-90",IF(K501&lt;=180,"91-180",IF(K501&lt;=270,"181-270","&gt;270"))))</f>
        <v/>
      </c>
      <c r="M501" s="75" t="str">
        <f aca="false">IF(G501="Obs",COUNTIF(G$2:G501,"Obs"),"")</f>
        <v/>
      </c>
      <c r="N501" s="75" t="str">
        <f aca="false">IF(G501="No",COUNTIF(G$2:G501,"No"),"")</f>
        <v/>
      </c>
    </row>
    <row r="502" customFormat="false" ht="15" hidden="false" customHeight="false" outlineLevel="0" collapsed="false">
      <c r="A502" s="10" t="s">
        <v>718</v>
      </c>
      <c r="B502" s="10" t="s">
        <v>302</v>
      </c>
      <c r="C502" s="10" t="s">
        <v>327</v>
      </c>
      <c r="D502" s="8" t="s">
        <v>323</v>
      </c>
      <c r="E502" s="8" t="s">
        <v>328</v>
      </c>
      <c r="F502" s="10" t="s">
        <v>105</v>
      </c>
      <c r="G502" s="11" t="s">
        <v>16</v>
      </c>
      <c r="H502" s="66"/>
      <c r="I502" s="67" t="n">
        <v>46072</v>
      </c>
      <c r="J502" s="10" t="s">
        <v>690</v>
      </c>
      <c r="K502" s="68" t="str">
        <f aca="false">IF(G502="No",MAX(0,AsOfDate-I502),"")</f>
        <v/>
      </c>
      <c r="L502" s="12" t="str">
        <f aca="false">IF(K502="","",IF(K502&lt;=90,"0-90",IF(K502&lt;=180,"91-180",IF(K502&lt;=270,"181-270","&gt;270"))))</f>
        <v/>
      </c>
      <c r="M502" s="12" t="str">
        <f aca="false">IF(G502="Obs",COUNTIF(G$2:G502,"Obs"),"")</f>
        <v/>
      </c>
      <c r="N502" s="12" t="str">
        <f aca="false">IF(G502="No",COUNTIF(G$2:G502,"No"),"")</f>
        <v/>
      </c>
    </row>
    <row r="503" customFormat="false" ht="15" hidden="false" customHeight="false" outlineLevel="0" collapsed="false">
      <c r="A503" s="69" t="s">
        <v>718</v>
      </c>
      <c r="B503" s="69" t="s">
        <v>302</v>
      </c>
      <c r="C503" s="69" t="s">
        <v>329</v>
      </c>
      <c r="D503" s="70" t="s">
        <v>323</v>
      </c>
      <c r="E503" s="70" t="s">
        <v>330</v>
      </c>
      <c r="F503" s="69" t="s">
        <v>99</v>
      </c>
      <c r="G503" s="71" t="s">
        <v>16</v>
      </c>
      <c r="H503" s="72"/>
      <c r="I503" s="73" t="n">
        <v>46072</v>
      </c>
      <c r="J503" s="69" t="s">
        <v>690</v>
      </c>
      <c r="K503" s="74" t="str">
        <f aca="false">IF(G503="No",MAX(0,AsOfDate-I503),"")</f>
        <v/>
      </c>
      <c r="L503" s="75" t="str">
        <f aca="false">IF(K503="","",IF(K503&lt;=90,"0-90",IF(K503&lt;=180,"91-180",IF(K503&lt;=270,"181-270","&gt;270"))))</f>
        <v/>
      </c>
      <c r="M503" s="75" t="str">
        <f aca="false">IF(G503="Obs",COUNTIF(G$2:G503,"Obs"),"")</f>
        <v/>
      </c>
      <c r="N503" s="75" t="str">
        <f aca="false">IF(G503="No",COUNTIF(G$2:G503,"No"),"")</f>
        <v/>
      </c>
    </row>
    <row r="504" customFormat="false" ht="15" hidden="false" customHeight="false" outlineLevel="0" collapsed="false">
      <c r="A504" s="10" t="s">
        <v>718</v>
      </c>
      <c r="B504" s="10" t="s">
        <v>302</v>
      </c>
      <c r="C504" s="10" t="s">
        <v>331</v>
      </c>
      <c r="D504" s="8" t="s">
        <v>323</v>
      </c>
      <c r="E504" s="8" t="s">
        <v>332</v>
      </c>
      <c r="F504" s="10" t="s">
        <v>105</v>
      </c>
      <c r="G504" s="11" t="s">
        <v>16</v>
      </c>
      <c r="H504" s="66"/>
      <c r="I504" s="67" t="n">
        <v>46072</v>
      </c>
      <c r="J504" s="10" t="s">
        <v>690</v>
      </c>
      <c r="K504" s="68" t="str">
        <f aca="false">IF(G504="No",MAX(0,AsOfDate-I504),"")</f>
        <v/>
      </c>
      <c r="L504" s="12" t="str">
        <f aca="false">IF(K504="","",IF(K504&lt;=90,"0-90",IF(K504&lt;=180,"91-180",IF(K504&lt;=270,"181-270","&gt;270"))))</f>
        <v/>
      </c>
      <c r="M504" s="12" t="str">
        <f aca="false">IF(G504="Obs",COUNTIF(G$2:G504,"Obs"),"")</f>
        <v/>
      </c>
      <c r="N504" s="12" t="str">
        <f aca="false">IF(G504="No",COUNTIF(G$2:G504,"No"),"")</f>
        <v/>
      </c>
    </row>
    <row r="505" customFormat="false" ht="15" hidden="false" customHeight="false" outlineLevel="0" collapsed="false">
      <c r="A505" s="69" t="s">
        <v>718</v>
      </c>
      <c r="B505" s="69" t="s">
        <v>302</v>
      </c>
      <c r="C505" s="69" t="s">
        <v>333</v>
      </c>
      <c r="D505" s="70" t="s">
        <v>323</v>
      </c>
      <c r="E505" s="70" t="s">
        <v>334</v>
      </c>
      <c r="F505" s="69" t="s">
        <v>105</v>
      </c>
      <c r="G505" s="71" t="s">
        <v>16</v>
      </c>
      <c r="H505" s="72"/>
      <c r="I505" s="73" t="n">
        <v>46072</v>
      </c>
      <c r="J505" s="69" t="s">
        <v>690</v>
      </c>
      <c r="K505" s="74" t="str">
        <f aca="false">IF(G505="No",MAX(0,AsOfDate-I505),"")</f>
        <v/>
      </c>
      <c r="L505" s="75" t="str">
        <f aca="false">IF(K505="","",IF(K505&lt;=90,"0-90",IF(K505&lt;=180,"91-180",IF(K505&lt;=270,"181-270","&gt;270"))))</f>
        <v/>
      </c>
      <c r="M505" s="75" t="str">
        <f aca="false">IF(G505="Obs",COUNTIF(G$2:G505,"Obs"),"")</f>
        <v/>
      </c>
      <c r="N505" s="75" t="str">
        <f aca="false">IF(G505="No",COUNTIF(G$2:G505,"No"),"")</f>
        <v/>
      </c>
    </row>
    <row r="506" customFormat="false" ht="15" hidden="false" customHeight="false" outlineLevel="0" collapsed="false">
      <c r="A506" s="10" t="s">
        <v>718</v>
      </c>
      <c r="B506" s="10" t="s">
        <v>302</v>
      </c>
      <c r="C506" s="10" t="s">
        <v>335</v>
      </c>
      <c r="D506" s="8" t="s">
        <v>323</v>
      </c>
      <c r="E506" s="8" t="s">
        <v>336</v>
      </c>
      <c r="F506" s="10" t="s">
        <v>110</v>
      </c>
      <c r="G506" s="11" t="s">
        <v>16</v>
      </c>
      <c r="H506" s="66"/>
      <c r="I506" s="67" t="n">
        <v>46072</v>
      </c>
      <c r="J506" s="10" t="s">
        <v>690</v>
      </c>
      <c r="K506" s="68" t="str">
        <f aca="false">IF(G506="No",MAX(0,AsOfDate-I506),"")</f>
        <v/>
      </c>
      <c r="L506" s="12" t="str">
        <f aca="false">IF(K506="","",IF(K506&lt;=90,"0-90",IF(K506&lt;=180,"91-180",IF(K506&lt;=270,"181-270","&gt;270"))))</f>
        <v/>
      </c>
      <c r="M506" s="12" t="str">
        <f aca="false">IF(G506="Obs",COUNTIF(G$2:G506,"Obs"),"")</f>
        <v/>
      </c>
      <c r="N506" s="12" t="str">
        <f aca="false">IF(G506="No",COUNTIF(G$2:G506,"No"),"")</f>
        <v/>
      </c>
    </row>
    <row r="507" customFormat="false" ht="15" hidden="false" customHeight="false" outlineLevel="0" collapsed="false">
      <c r="A507" s="69" t="s">
        <v>720</v>
      </c>
      <c r="B507" s="69" t="s">
        <v>302</v>
      </c>
      <c r="C507" s="69" t="s">
        <v>301</v>
      </c>
      <c r="D507" s="70" t="s">
        <v>133</v>
      </c>
      <c r="E507" s="70" t="s">
        <v>134</v>
      </c>
      <c r="F507" s="69" t="s">
        <v>99</v>
      </c>
      <c r="G507" s="71" t="s">
        <v>16</v>
      </c>
      <c r="H507" s="72"/>
      <c r="I507" s="73" t="n">
        <v>46149</v>
      </c>
      <c r="J507" s="69" t="s">
        <v>693</v>
      </c>
      <c r="K507" s="74" t="str">
        <f aca="false">IF(G507="No",MAX(0,AsOfDate-I507),"")</f>
        <v/>
      </c>
      <c r="L507" s="75" t="str">
        <f aca="false">IF(K507="","",IF(K507&lt;=90,"0-90",IF(K507&lt;=180,"91-180",IF(K507&lt;=270,"181-270","&gt;270"))))</f>
        <v/>
      </c>
      <c r="M507" s="75" t="str">
        <f aca="false">IF(G507="Obs",COUNTIF(G$2:G507,"Obs"),"")</f>
        <v/>
      </c>
      <c r="N507" s="75" t="str">
        <f aca="false">IF(G507="No",COUNTIF(G$2:G507,"No"),"")</f>
        <v/>
      </c>
    </row>
    <row r="508" customFormat="false" ht="15" hidden="false" customHeight="false" outlineLevel="0" collapsed="false">
      <c r="A508" s="10" t="s">
        <v>720</v>
      </c>
      <c r="B508" s="10" t="s">
        <v>302</v>
      </c>
      <c r="C508" s="10" t="s">
        <v>303</v>
      </c>
      <c r="D508" s="8" t="s">
        <v>133</v>
      </c>
      <c r="E508" s="8" t="s">
        <v>136</v>
      </c>
      <c r="F508" s="10" t="s">
        <v>99</v>
      </c>
      <c r="G508" s="11" t="s">
        <v>16</v>
      </c>
      <c r="H508" s="66"/>
      <c r="I508" s="67" t="n">
        <v>46149</v>
      </c>
      <c r="J508" s="10" t="s">
        <v>693</v>
      </c>
      <c r="K508" s="68" t="str">
        <f aca="false">IF(G508="No",MAX(0,AsOfDate-I508),"")</f>
        <v/>
      </c>
      <c r="L508" s="12" t="str">
        <f aca="false">IF(K508="","",IF(K508&lt;=90,"0-90",IF(K508&lt;=180,"91-180",IF(K508&lt;=270,"181-270","&gt;270"))))</f>
        <v/>
      </c>
      <c r="M508" s="12" t="str">
        <f aca="false">IF(G508="Obs",COUNTIF(G$2:G508,"Obs"),"")</f>
        <v/>
      </c>
      <c r="N508" s="12" t="str">
        <f aca="false">IF(G508="No",COUNTIF(G$2:G508,"No"),"")</f>
        <v/>
      </c>
    </row>
    <row r="509" customFormat="false" ht="15" hidden="false" customHeight="false" outlineLevel="0" collapsed="false">
      <c r="A509" s="69" t="s">
        <v>720</v>
      </c>
      <c r="B509" s="69" t="s">
        <v>302</v>
      </c>
      <c r="C509" s="69" t="s">
        <v>304</v>
      </c>
      <c r="D509" s="70" t="s">
        <v>133</v>
      </c>
      <c r="E509" s="70" t="s">
        <v>138</v>
      </c>
      <c r="F509" s="69" t="s">
        <v>105</v>
      </c>
      <c r="G509" s="71" t="s">
        <v>16</v>
      </c>
      <c r="H509" s="72"/>
      <c r="I509" s="73" t="n">
        <v>46149</v>
      </c>
      <c r="J509" s="69" t="s">
        <v>693</v>
      </c>
      <c r="K509" s="74" t="str">
        <f aca="false">IF(G509="No",MAX(0,AsOfDate-I509),"")</f>
        <v/>
      </c>
      <c r="L509" s="75" t="str">
        <f aca="false">IF(K509="","",IF(K509&lt;=90,"0-90",IF(K509&lt;=180,"91-180",IF(K509&lt;=270,"181-270","&gt;270"))))</f>
        <v/>
      </c>
      <c r="M509" s="75" t="str">
        <f aca="false">IF(G509="Obs",COUNTIF(G$2:G509,"Obs"),"")</f>
        <v/>
      </c>
      <c r="N509" s="75" t="str">
        <f aca="false">IF(G509="No",COUNTIF(G$2:G509,"No"),"")</f>
        <v/>
      </c>
    </row>
    <row r="510" customFormat="false" ht="15" hidden="false" customHeight="false" outlineLevel="0" collapsed="false">
      <c r="A510" s="10" t="s">
        <v>720</v>
      </c>
      <c r="B510" s="10" t="s">
        <v>302</v>
      </c>
      <c r="C510" s="10" t="s">
        <v>305</v>
      </c>
      <c r="D510" s="8" t="s">
        <v>140</v>
      </c>
      <c r="E510" s="8" t="s">
        <v>141</v>
      </c>
      <c r="F510" s="10" t="s">
        <v>99</v>
      </c>
      <c r="G510" s="11" t="s">
        <v>16</v>
      </c>
      <c r="H510" s="66"/>
      <c r="I510" s="67" t="n">
        <v>46149</v>
      </c>
      <c r="J510" s="10" t="s">
        <v>693</v>
      </c>
      <c r="K510" s="68" t="str">
        <f aca="false">IF(G510="No",MAX(0,AsOfDate-I510),"")</f>
        <v/>
      </c>
      <c r="L510" s="12" t="str">
        <f aca="false">IF(K510="","",IF(K510&lt;=90,"0-90",IF(K510&lt;=180,"91-180",IF(K510&lt;=270,"181-270","&gt;270"))))</f>
        <v/>
      </c>
      <c r="M510" s="12" t="str">
        <f aca="false">IF(G510="Obs",COUNTIF(G$2:G510,"Obs"),"")</f>
        <v/>
      </c>
      <c r="N510" s="12" t="str">
        <f aca="false">IF(G510="No",COUNTIF(G$2:G510,"No"),"")</f>
        <v/>
      </c>
    </row>
    <row r="511" customFormat="false" ht="15" hidden="false" customHeight="false" outlineLevel="0" collapsed="false">
      <c r="A511" s="69" t="s">
        <v>720</v>
      </c>
      <c r="B511" s="69" t="s">
        <v>302</v>
      </c>
      <c r="C511" s="69" t="s">
        <v>306</v>
      </c>
      <c r="D511" s="70" t="s">
        <v>140</v>
      </c>
      <c r="E511" s="70" t="s">
        <v>143</v>
      </c>
      <c r="F511" s="69" t="s">
        <v>105</v>
      </c>
      <c r="G511" s="71" t="s">
        <v>16</v>
      </c>
      <c r="H511" s="72"/>
      <c r="I511" s="73" t="n">
        <v>46149</v>
      </c>
      <c r="J511" s="69" t="s">
        <v>693</v>
      </c>
      <c r="K511" s="74" t="str">
        <f aca="false">IF(G511="No",MAX(0,AsOfDate-I511),"")</f>
        <v/>
      </c>
      <c r="L511" s="75" t="str">
        <f aca="false">IF(K511="","",IF(K511&lt;=90,"0-90",IF(K511&lt;=180,"91-180",IF(K511&lt;=270,"181-270","&gt;270"))))</f>
        <v/>
      </c>
      <c r="M511" s="75" t="str">
        <f aca="false">IF(G511="Obs",COUNTIF(G$2:G511,"Obs"),"")</f>
        <v/>
      </c>
      <c r="N511" s="75" t="str">
        <f aca="false">IF(G511="No",COUNTIF(G$2:G511,"No"),"")</f>
        <v/>
      </c>
    </row>
    <row r="512" customFormat="false" ht="15" hidden="false" customHeight="false" outlineLevel="0" collapsed="false">
      <c r="A512" s="10" t="s">
        <v>720</v>
      </c>
      <c r="B512" s="10" t="s">
        <v>302</v>
      </c>
      <c r="C512" s="10" t="s">
        <v>307</v>
      </c>
      <c r="D512" s="8" t="s">
        <v>140</v>
      </c>
      <c r="E512" s="8" t="s">
        <v>145</v>
      </c>
      <c r="F512" s="10" t="s">
        <v>99</v>
      </c>
      <c r="G512" s="11" t="s">
        <v>16</v>
      </c>
      <c r="H512" s="66"/>
      <c r="I512" s="67" t="n">
        <v>46149</v>
      </c>
      <c r="J512" s="10" t="s">
        <v>693</v>
      </c>
      <c r="K512" s="68" t="str">
        <f aca="false">IF(G512="No",MAX(0,AsOfDate-I512),"")</f>
        <v/>
      </c>
      <c r="L512" s="12" t="str">
        <f aca="false">IF(K512="","",IF(K512&lt;=90,"0-90",IF(K512&lt;=180,"91-180",IF(K512&lt;=270,"181-270","&gt;270"))))</f>
        <v/>
      </c>
      <c r="M512" s="12" t="str">
        <f aca="false">IF(G512="Obs",COUNTIF(G$2:G512,"Obs"),"")</f>
        <v/>
      </c>
      <c r="N512" s="12" t="str">
        <f aca="false">IF(G512="No",COUNTIF(G$2:G512,"No"),"")</f>
        <v/>
      </c>
    </row>
    <row r="513" customFormat="false" ht="15" hidden="false" customHeight="false" outlineLevel="0" collapsed="false">
      <c r="A513" s="69" t="s">
        <v>720</v>
      </c>
      <c r="B513" s="69" t="s">
        <v>302</v>
      </c>
      <c r="C513" s="69" t="s">
        <v>308</v>
      </c>
      <c r="D513" s="70" t="s">
        <v>147</v>
      </c>
      <c r="E513" s="70" t="s">
        <v>148</v>
      </c>
      <c r="F513" s="69" t="s">
        <v>99</v>
      </c>
      <c r="G513" s="71" t="s">
        <v>16</v>
      </c>
      <c r="H513" s="72"/>
      <c r="I513" s="73" t="n">
        <v>46149</v>
      </c>
      <c r="J513" s="69" t="s">
        <v>693</v>
      </c>
      <c r="K513" s="74" t="str">
        <f aca="false">IF(G513="No",MAX(0,AsOfDate-I513),"")</f>
        <v/>
      </c>
      <c r="L513" s="75" t="str">
        <f aca="false">IF(K513="","",IF(K513&lt;=90,"0-90",IF(K513&lt;=180,"91-180",IF(K513&lt;=270,"181-270","&gt;270"))))</f>
        <v/>
      </c>
      <c r="M513" s="75" t="str">
        <f aca="false">IF(G513="Obs",COUNTIF(G$2:G513,"Obs"),"")</f>
        <v/>
      </c>
      <c r="N513" s="75" t="str">
        <f aca="false">IF(G513="No",COUNTIF(G$2:G513,"No"),"")</f>
        <v/>
      </c>
    </row>
    <row r="514" customFormat="false" ht="15" hidden="false" customHeight="false" outlineLevel="0" collapsed="false">
      <c r="A514" s="10" t="s">
        <v>720</v>
      </c>
      <c r="B514" s="10" t="s">
        <v>302</v>
      </c>
      <c r="C514" s="10" t="s">
        <v>309</v>
      </c>
      <c r="D514" s="8" t="s">
        <v>147</v>
      </c>
      <c r="E514" s="8" t="s">
        <v>150</v>
      </c>
      <c r="F514" s="10" t="s">
        <v>105</v>
      </c>
      <c r="G514" s="11" t="s">
        <v>16</v>
      </c>
      <c r="H514" s="66"/>
      <c r="I514" s="67" t="n">
        <v>46149</v>
      </c>
      <c r="J514" s="10" t="s">
        <v>693</v>
      </c>
      <c r="K514" s="68" t="str">
        <f aca="false">IF(G514="No",MAX(0,AsOfDate-I514),"")</f>
        <v/>
      </c>
      <c r="L514" s="12" t="str">
        <f aca="false">IF(K514="","",IF(K514&lt;=90,"0-90",IF(K514&lt;=180,"91-180",IF(K514&lt;=270,"181-270","&gt;270"))))</f>
        <v/>
      </c>
      <c r="M514" s="12" t="str">
        <f aca="false">IF(G514="Obs",COUNTIF(G$2:G514,"Obs"),"")</f>
        <v/>
      </c>
      <c r="N514" s="12" t="str">
        <f aca="false">IF(G514="No",COUNTIF(G$2:G514,"No"),"")</f>
        <v/>
      </c>
    </row>
    <row r="515" customFormat="false" ht="23.85" hidden="false" customHeight="false" outlineLevel="0" collapsed="false">
      <c r="A515" s="69" t="s">
        <v>720</v>
      </c>
      <c r="B515" s="69" t="s">
        <v>302</v>
      </c>
      <c r="C515" s="69" t="s">
        <v>310</v>
      </c>
      <c r="D515" s="70" t="s">
        <v>147</v>
      </c>
      <c r="E515" s="70" t="s">
        <v>152</v>
      </c>
      <c r="F515" s="69" t="s">
        <v>99</v>
      </c>
      <c r="G515" s="71" t="s">
        <v>18</v>
      </c>
      <c r="H515" s="72" t="s">
        <v>616</v>
      </c>
      <c r="I515" s="73" t="n">
        <v>46149</v>
      </c>
      <c r="J515" s="69" t="s">
        <v>693</v>
      </c>
      <c r="K515" s="74" t="n">
        <f aca="false">IF(G515="No",MAX(0,AsOfDate-I515),"")</f>
        <v>34</v>
      </c>
      <c r="L515" s="75" t="str">
        <f aca="false">IF(K515="","",IF(K515&lt;=90,"0-90",IF(K515&lt;=180,"91-180",IF(K515&lt;=270,"181-270","&gt;270"))))</f>
        <v>0-90</v>
      </c>
      <c r="M515" s="75" t="str">
        <f aca="false">IF(G515="Obs",COUNTIF(G$2:G515,"Obs"),"")</f>
        <v/>
      </c>
      <c r="N515" s="75" t="n">
        <f aca="false">IF(G515="No",COUNTIF(G$2:G515,"No"),"")</f>
        <v>40</v>
      </c>
    </row>
    <row r="516" customFormat="false" ht="15" hidden="false" customHeight="false" outlineLevel="0" collapsed="false">
      <c r="A516" s="10" t="s">
        <v>720</v>
      </c>
      <c r="B516" s="10" t="s">
        <v>302</v>
      </c>
      <c r="C516" s="10" t="s">
        <v>311</v>
      </c>
      <c r="D516" s="8" t="s">
        <v>154</v>
      </c>
      <c r="E516" s="8" t="s">
        <v>155</v>
      </c>
      <c r="F516" s="10" t="s">
        <v>105</v>
      </c>
      <c r="G516" s="11" t="s">
        <v>22</v>
      </c>
      <c r="H516" s="66" t="s">
        <v>562</v>
      </c>
      <c r="I516" s="67" t="n">
        <v>46149</v>
      </c>
      <c r="J516" s="10" t="s">
        <v>693</v>
      </c>
      <c r="K516" s="68" t="str">
        <f aca="false">IF(G516="No",MAX(0,AsOfDate-I516),"")</f>
        <v/>
      </c>
      <c r="L516" s="12" t="str">
        <f aca="false">IF(K516="","",IF(K516&lt;=90,"0-90",IF(K516&lt;=180,"91-180",IF(K516&lt;=270,"181-270","&gt;270"))))</f>
        <v/>
      </c>
      <c r="M516" s="12" t="n">
        <f aca="false">IF(G516="Obs",COUNTIF(G$2:G516,"Obs"),"")</f>
        <v>33</v>
      </c>
      <c r="N516" s="12" t="str">
        <f aca="false">IF(G516="No",COUNTIF(G$2:G516,"No"),"")</f>
        <v/>
      </c>
    </row>
    <row r="517" customFormat="false" ht="15" hidden="false" customHeight="false" outlineLevel="0" collapsed="false">
      <c r="A517" s="69" t="s">
        <v>720</v>
      </c>
      <c r="B517" s="69" t="s">
        <v>302</v>
      </c>
      <c r="C517" s="69" t="s">
        <v>312</v>
      </c>
      <c r="D517" s="70" t="s">
        <v>154</v>
      </c>
      <c r="E517" s="70" t="s">
        <v>157</v>
      </c>
      <c r="F517" s="69" t="s">
        <v>105</v>
      </c>
      <c r="G517" s="71" t="s">
        <v>16</v>
      </c>
      <c r="H517" s="72"/>
      <c r="I517" s="73" t="n">
        <v>46149</v>
      </c>
      <c r="J517" s="69" t="s">
        <v>693</v>
      </c>
      <c r="K517" s="74" t="str">
        <f aca="false">IF(G517="No",MAX(0,AsOfDate-I517),"")</f>
        <v/>
      </c>
      <c r="L517" s="75" t="str">
        <f aca="false">IF(K517="","",IF(K517&lt;=90,"0-90",IF(K517&lt;=180,"91-180",IF(K517&lt;=270,"181-270","&gt;270"))))</f>
        <v/>
      </c>
      <c r="M517" s="75" t="str">
        <f aca="false">IF(G517="Obs",COUNTIF(G$2:G517,"Obs"),"")</f>
        <v/>
      </c>
      <c r="N517" s="75" t="str">
        <f aca="false">IF(G517="No",COUNTIF(G$2:G517,"No"),"")</f>
        <v/>
      </c>
    </row>
    <row r="518" customFormat="false" ht="23.85" hidden="false" customHeight="false" outlineLevel="0" collapsed="false">
      <c r="A518" s="10" t="s">
        <v>720</v>
      </c>
      <c r="B518" s="10" t="s">
        <v>302</v>
      </c>
      <c r="C518" s="10" t="s">
        <v>313</v>
      </c>
      <c r="D518" s="8" t="s">
        <v>159</v>
      </c>
      <c r="E518" s="8" t="s">
        <v>160</v>
      </c>
      <c r="F518" s="10" t="s">
        <v>99</v>
      </c>
      <c r="G518" s="11" t="s">
        <v>16</v>
      </c>
      <c r="H518" s="66"/>
      <c r="I518" s="67" t="n">
        <v>46149</v>
      </c>
      <c r="J518" s="10" t="s">
        <v>693</v>
      </c>
      <c r="K518" s="68" t="str">
        <f aca="false">IF(G518="No",MAX(0,AsOfDate-I518),"")</f>
        <v/>
      </c>
      <c r="L518" s="12" t="str">
        <f aca="false">IF(K518="","",IF(K518&lt;=90,"0-90",IF(K518&lt;=180,"91-180",IF(K518&lt;=270,"181-270","&gt;270"))))</f>
        <v/>
      </c>
      <c r="M518" s="12" t="str">
        <f aca="false">IF(G518="Obs",COUNTIF(G$2:G518,"Obs"),"")</f>
        <v/>
      </c>
      <c r="N518" s="12" t="str">
        <f aca="false">IF(G518="No",COUNTIF(G$2:G518,"No"),"")</f>
        <v/>
      </c>
    </row>
    <row r="519" customFormat="false" ht="23.85" hidden="false" customHeight="false" outlineLevel="0" collapsed="false">
      <c r="A519" s="69" t="s">
        <v>720</v>
      </c>
      <c r="B519" s="69" t="s">
        <v>302</v>
      </c>
      <c r="C519" s="69" t="s">
        <v>314</v>
      </c>
      <c r="D519" s="70" t="s">
        <v>159</v>
      </c>
      <c r="E519" s="70" t="s">
        <v>162</v>
      </c>
      <c r="F519" s="69" t="s">
        <v>99</v>
      </c>
      <c r="G519" s="71" t="s">
        <v>16</v>
      </c>
      <c r="H519" s="72"/>
      <c r="I519" s="73" t="n">
        <v>46149</v>
      </c>
      <c r="J519" s="69" t="s">
        <v>693</v>
      </c>
      <c r="K519" s="74" t="str">
        <f aca="false">IF(G519="No",MAX(0,AsOfDate-I519),"")</f>
        <v/>
      </c>
      <c r="L519" s="75" t="str">
        <f aca="false">IF(K519="","",IF(K519&lt;=90,"0-90",IF(K519&lt;=180,"91-180",IF(K519&lt;=270,"181-270","&gt;270"))))</f>
        <v/>
      </c>
      <c r="M519" s="75" t="str">
        <f aca="false">IF(G519="Obs",COUNTIF(G$2:G519,"Obs"),"")</f>
        <v/>
      </c>
      <c r="N519" s="75" t="str">
        <f aca="false">IF(G519="No",COUNTIF(G$2:G519,"No"),"")</f>
        <v/>
      </c>
    </row>
    <row r="520" customFormat="false" ht="23.85" hidden="false" customHeight="false" outlineLevel="0" collapsed="false">
      <c r="A520" s="10" t="s">
        <v>720</v>
      </c>
      <c r="B520" s="10" t="s">
        <v>302</v>
      </c>
      <c r="C520" s="10" t="s">
        <v>315</v>
      </c>
      <c r="D520" s="8" t="s">
        <v>159</v>
      </c>
      <c r="E520" s="8" t="s">
        <v>164</v>
      </c>
      <c r="F520" s="10" t="s">
        <v>110</v>
      </c>
      <c r="G520" s="11" t="s">
        <v>16</v>
      </c>
      <c r="H520" s="66"/>
      <c r="I520" s="67" t="n">
        <v>46149</v>
      </c>
      <c r="J520" s="10" t="s">
        <v>693</v>
      </c>
      <c r="K520" s="68" t="str">
        <f aca="false">IF(G520="No",MAX(0,AsOfDate-I520),"")</f>
        <v/>
      </c>
      <c r="L520" s="12" t="str">
        <f aca="false">IF(K520="","",IF(K520&lt;=90,"0-90",IF(K520&lt;=180,"91-180",IF(K520&lt;=270,"181-270","&gt;270"))))</f>
        <v/>
      </c>
      <c r="M520" s="12" t="str">
        <f aca="false">IF(G520="Obs",COUNTIF(G$2:G520,"Obs"),"")</f>
        <v/>
      </c>
      <c r="N520" s="12" t="str">
        <f aca="false">IF(G520="No",COUNTIF(G$2:G520,"No"),"")</f>
        <v/>
      </c>
    </row>
    <row r="521" customFormat="false" ht="15" hidden="false" customHeight="false" outlineLevel="0" collapsed="false">
      <c r="A521" s="69" t="s">
        <v>720</v>
      </c>
      <c r="B521" s="69" t="s">
        <v>302</v>
      </c>
      <c r="C521" s="69" t="s">
        <v>316</v>
      </c>
      <c r="D521" s="70" t="s">
        <v>166</v>
      </c>
      <c r="E521" s="70" t="s">
        <v>167</v>
      </c>
      <c r="F521" s="69" t="s">
        <v>99</v>
      </c>
      <c r="G521" s="71" t="s">
        <v>16</v>
      </c>
      <c r="H521" s="72"/>
      <c r="I521" s="73" t="n">
        <v>46149</v>
      </c>
      <c r="J521" s="69" t="s">
        <v>693</v>
      </c>
      <c r="K521" s="74" t="str">
        <f aca="false">IF(G521="No",MAX(0,AsOfDate-I521),"")</f>
        <v/>
      </c>
      <c r="L521" s="75" t="str">
        <f aca="false">IF(K521="","",IF(K521&lt;=90,"0-90",IF(K521&lt;=180,"91-180",IF(K521&lt;=270,"181-270","&gt;270"))))</f>
        <v/>
      </c>
      <c r="M521" s="75" t="str">
        <f aca="false">IF(G521="Obs",COUNTIF(G$2:G521,"Obs"),"")</f>
        <v/>
      </c>
      <c r="N521" s="75" t="str">
        <f aca="false">IF(G521="No",COUNTIF(G$2:G521,"No"),"")</f>
        <v/>
      </c>
    </row>
    <row r="522" customFormat="false" ht="15" hidden="false" customHeight="false" outlineLevel="0" collapsed="false">
      <c r="A522" s="10" t="s">
        <v>720</v>
      </c>
      <c r="B522" s="10" t="s">
        <v>302</v>
      </c>
      <c r="C522" s="10" t="s">
        <v>317</v>
      </c>
      <c r="D522" s="8" t="s">
        <v>166</v>
      </c>
      <c r="E522" s="8" t="s">
        <v>169</v>
      </c>
      <c r="F522" s="10" t="s">
        <v>105</v>
      </c>
      <c r="G522" s="11" t="s">
        <v>16</v>
      </c>
      <c r="H522" s="66"/>
      <c r="I522" s="67" t="n">
        <v>46149</v>
      </c>
      <c r="J522" s="10" t="s">
        <v>693</v>
      </c>
      <c r="K522" s="68" t="str">
        <f aca="false">IF(G522="No",MAX(0,AsOfDate-I522),"")</f>
        <v/>
      </c>
      <c r="L522" s="12" t="str">
        <f aca="false">IF(K522="","",IF(K522&lt;=90,"0-90",IF(K522&lt;=180,"91-180",IF(K522&lt;=270,"181-270","&gt;270"))))</f>
        <v/>
      </c>
      <c r="M522" s="12" t="str">
        <f aca="false">IF(G522="Obs",COUNTIF(G$2:G522,"Obs"),"")</f>
        <v/>
      </c>
      <c r="N522" s="12" t="str">
        <f aca="false">IF(G522="No",COUNTIF(G$2:G522,"No"),"")</f>
        <v/>
      </c>
    </row>
    <row r="523" customFormat="false" ht="15" hidden="false" customHeight="false" outlineLevel="0" collapsed="false">
      <c r="A523" s="69" t="s">
        <v>720</v>
      </c>
      <c r="B523" s="69" t="s">
        <v>302</v>
      </c>
      <c r="C523" s="69" t="s">
        <v>318</v>
      </c>
      <c r="D523" s="70" t="s">
        <v>171</v>
      </c>
      <c r="E523" s="70" t="s">
        <v>172</v>
      </c>
      <c r="F523" s="69" t="s">
        <v>105</v>
      </c>
      <c r="G523" s="71" t="s">
        <v>16</v>
      </c>
      <c r="H523" s="72"/>
      <c r="I523" s="73" t="n">
        <v>46149</v>
      </c>
      <c r="J523" s="69" t="s">
        <v>693</v>
      </c>
      <c r="K523" s="74" t="str">
        <f aca="false">IF(G523="No",MAX(0,AsOfDate-I523),"")</f>
        <v/>
      </c>
      <c r="L523" s="75" t="str">
        <f aca="false">IF(K523="","",IF(K523&lt;=90,"0-90",IF(K523&lt;=180,"91-180",IF(K523&lt;=270,"181-270","&gt;270"))))</f>
        <v/>
      </c>
      <c r="M523" s="75" t="str">
        <f aca="false">IF(G523="Obs",COUNTIF(G$2:G523,"Obs"),"")</f>
        <v/>
      </c>
      <c r="N523" s="75" t="str">
        <f aca="false">IF(G523="No",COUNTIF(G$2:G523,"No"),"")</f>
        <v/>
      </c>
    </row>
    <row r="524" customFormat="false" ht="15" hidden="false" customHeight="false" outlineLevel="0" collapsed="false">
      <c r="A524" s="10" t="s">
        <v>720</v>
      </c>
      <c r="B524" s="10" t="s">
        <v>302</v>
      </c>
      <c r="C524" s="10" t="s">
        <v>319</v>
      </c>
      <c r="D524" s="8" t="s">
        <v>171</v>
      </c>
      <c r="E524" s="8" t="s">
        <v>174</v>
      </c>
      <c r="F524" s="10" t="s">
        <v>99</v>
      </c>
      <c r="G524" s="11" t="s">
        <v>16</v>
      </c>
      <c r="H524" s="66"/>
      <c r="I524" s="67" t="n">
        <v>46149</v>
      </c>
      <c r="J524" s="10" t="s">
        <v>693</v>
      </c>
      <c r="K524" s="68" t="str">
        <f aca="false">IF(G524="No",MAX(0,AsOfDate-I524),"")</f>
        <v/>
      </c>
      <c r="L524" s="12" t="str">
        <f aca="false">IF(K524="","",IF(K524&lt;=90,"0-90",IF(K524&lt;=180,"91-180",IF(K524&lt;=270,"181-270","&gt;270"))))</f>
        <v/>
      </c>
      <c r="M524" s="12" t="str">
        <f aca="false">IF(G524="Obs",COUNTIF(G$2:G524,"Obs"),"")</f>
        <v/>
      </c>
      <c r="N524" s="12" t="str">
        <f aca="false">IF(G524="No",COUNTIF(G$2:G524,"No"),"")</f>
        <v/>
      </c>
    </row>
    <row r="525" customFormat="false" ht="15" hidden="false" customHeight="false" outlineLevel="0" collapsed="false">
      <c r="A525" s="69" t="s">
        <v>720</v>
      </c>
      <c r="B525" s="69" t="s">
        <v>302</v>
      </c>
      <c r="C525" s="69" t="s">
        <v>320</v>
      </c>
      <c r="D525" s="70" t="s">
        <v>176</v>
      </c>
      <c r="E525" s="70" t="s">
        <v>177</v>
      </c>
      <c r="F525" s="69" t="s">
        <v>105</v>
      </c>
      <c r="G525" s="71" t="s">
        <v>16</v>
      </c>
      <c r="H525" s="72"/>
      <c r="I525" s="73" t="n">
        <v>46149</v>
      </c>
      <c r="J525" s="69" t="s">
        <v>693</v>
      </c>
      <c r="K525" s="74" t="str">
        <f aca="false">IF(G525="No",MAX(0,AsOfDate-I525),"")</f>
        <v/>
      </c>
      <c r="L525" s="75" t="str">
        <f aca="false">IF(K525="","",IF(K525&lt;=90,"0-90",IF(K525&lt;=180,"91-180",IF(K525&lt;=270,"181-270","&gt;270"))))</f>
        <v/>
      </c>
      <c r="M525" s="75" t="str">
        <f aca="false">IF(G525="Obs",COUNTIF(G$2:G525,"Obs"),"")</f>
        <v/>
      </c>
      <c r="N525" s="75" t="str">
        <f aca="false">IF(G525="No",COUNTIF(G$2:G525,"No"),"")</f>
        <v/>
      </c>
    </row>
    <row r="526" customFormat="false" ht="15" hidden="false" customHeight="false" outlineLevel="0" collapsed="false">
      <c r="A526" s="10" t="s">
        <v>720</v>
      </c>
      <c r="B526" s="10" t="s">
        <v>302</v>
      </c>
      <c r="C526" s="10" t="s">
        <v>321</v>
      </c>
      <c r="D526" s="8" t="s">
        <v>176</v>
      </c>
      <c r="E526" s="8" t="s">
        <v>179</v>
      </c>
      <c r="F526" s="10" t="s">
        <v>105</v>
      </c>
      <c r="G526" s="11" t="s">
        <v>16</v>
      </c>
      <c r="H526" s="66"/>
      <c r="I526" s="67" t="n">
        <v>46149</v>
      </c>
      <c r="J526" s="10" t="s">
        <v>693</v>
      </c>
      <c r="K526" s="68" t="str">
        <f aca="false">IF(G526="No",MAX(0,AsOfDate-I526),"")</f>
        <v/>
      </c>
      <c r="L526" s="12" t="str">
        <f aca="false">IF(K526="","",IF(K526&lt;=90,"0-90",IF(K526&lt;=180,"91-180",IF(K526&lt;=270,"181-270","&gt;270"))))</f>
        <v/>
      </c>
      <c r="M526" s="12" t="str">
        <f aca="false">IF(G526="Obs",COUNTIF(G$2:G526,"Obs"),"")</f>
        <v/>
      </c>
      <c r="N526" s="12" t="str">
        <f aca="false">IF(G526="No",COUNTIF(G$2:G526,"No"),"")</f>
        <v/>
      </c>
    </row>
    <row r="527" customFormat="false" ht="23.85" hidden="false" customHeight="false" outlineLevel="0" collapsed="false">
      <c r="A527" s="69" t="s">
        <v>720</v>
      </c>
      <c r="B527" s="69" t="s">
        <v>302</v>
      </c>
      <c r="C527" s="69" t="s">
        <v>322</v>
      </c>
      <c r="D527" s="70" t="s">
        <v>323</v>
      </c>
      <c r="E527" s="70" t="s">
        <v>324</v>
      </c>
      <c r="F527" s="69" t="s">
        <v>99</v>
      </c>
      <c r="G527" s="71" t="s">
        <v>18</v>
      </c>
      <c r="H527" s="72" t="s">
        <v>537</v>
      </c>
      <c r="I527" s="73" t="n">
        <v>46149</v>
      </c>
      <c r="J527" s="69" t="s">
        <v>693</v>
      </c>
      <c r="K527" s="74" t="n">
        <f aca="false">IF(G527="No",MAX(0,AsOfDate-I527),"")</f>
        <v>34</v>
      </c>
      <c r="L527" s="75" t="str">
        <f aca="false">IF(K527="","",IF(K527&lt;=90,"0-90",IF(K527&lt;=180,"91-180",IF(K527&lt;=270,"181-270","&gt;270"))))</f>
        <v>0-90</v>
      </c>
      <c r="M527" s="75" t="str">
        <f aca="false">IF(G527="Obs",COUNTIF(G$2:G527,"Obs"),"")</f>
        <v/>
      </c>
      <c r="N527" s="75" t="n">
        <f aca="false">IF(G527="No",COUNTIF(G$2:G527,"No"),"")</f>
        <v>41</v>
      </c>
    </row>
    <row r="528" customFormat="false" ht="15" hidden="false" customHeight="false" outlineLevel="0" collapsed="false">
      <c r="A528" s="10" t="s">
        <v>720</v>
      </c>
      <c r="B528" s="10" t="s">
        <v>302</v>
      </c>
      <c r="C528" s="10" t="s">
        <v>325</v>
      </c>
      <c r="D528" s="8" t="s">
        <v>323</v>
      </c>
      <c r="E528" s="8" t="s">
        <v>326</v>
      </c>
      <c r="F528" s="10" t="s">
        <v>99</v>
      </c>
      <c r="G528" s="11" t="s">
        <v>16</v>
      </c>
      <c r="H528" s="66"/>
      <c r="I528" s="67" t="n">
        <v>46149</v>
      </c>
      <c r="J528" s="10" t="s">
        <v>693</v>
      </c>
      <c r="K528" s="68" t="str">
        <f aca="false">IF(G528="No",MAX(0,AsOfDate-I528),"")</f>
        <v/>
      </c>
      <c r="L528" s="12" t="str">
        <f aca="false">IF(K528="","",IF(K528&lt;=90,"0-90",IF(K528&lt;=180,"91-180",IF(K528&lt;=270,"181-270","&gt;270"))))</f>
        <v/>
      </c>
      <c r="M528" s="12" t="str">
        <f aca="false">IF(G528="Obs",COUNTIF(G$2:G528,"Obs"),"")</f>
        <v/>
      </c>
      <c r="N528" s="12" t="str">
        <f aca="false">IF(G528="No",COUNTIF(G$2:G528,"No"),"")</f>
        <v/>
      </c>
    </row>
    <row r="529" customFormat="false" ht="15" hidden="false" customHeight="false" outlineLevel="0" collapsed="false">
      <c r="A529" s="69" t="s">
        <v>720</v>
      </c>
      <c r="B529" s="69" t="s">
        <v>302</v>
      </c>
      <c r="C529" s="69" t="s">
        <v>327</v>
      </c>
      <c r="D529" s="70" t="s">
        <v>323</v>
      </c>
      <c r="E529" s="70" t="s">
        <v>328</v>
      </c>
      <c r="F529" s="69" t="s">
        <v>105</v>
      </c>
      <c r="G529" s="71" t="s">
        <v>16</v>
      </c>
      <c r="H529" s="72"/>
      <c r="I529" s="73" t="n">
        <v>46149</v>
      </c>
      <c r="J529" s="69" t="s">
        <v>693</v>
      </c>
      <c r="K529" s="74" t="str">
        <f aca="false">IF(G529="No",MAX(0,AsOfDate-I529),"")</f>
        <v/>
      </c>
      <c r="L529" s="75" t="str">
        <f aca="false">IF(K529="","",IF(K529&lt;=90,"0-90",IF(K529&lt;=180,"91-180",IF(K529&lt;=270,"181-270","&gt;270"))))</f>
        <v/>
      </c>
      <c r="M529" s="75" t="str">
        <f aca="false">IF(G529="Obs",COUNTIF(G$2:G529,"Obs"),"")</f>
        <v/>
      </c>
      <c r="N529" s="75" t="str">
        <f aca="false">IF(G529="No",COUNTIF(G$2:G529,"No"),"")</f>
        <v/>
      </c>
    </row>
    <row r="530" customFormat="false" ht="15" hidden="false" customHeight="false" outlineLevel="0" collapsed="false">
      <c r="A530" s="10" t="s">
        <v>720</v>
      </c>
      <c r="B530" s="10" t="s">
        <v>302</v>
      </c>
      <c r="C530" s="10" t="s">
        <v>329</v>
      </c>
      <c r="D530" s="8" t="s">
        <v>323</v>
      </c>
      <c r="E530" s="8" t="s">
        <v>330</v>
      </c>
      <c r="F530" s="10" t="s">
        <v>99</v>
      </c>
      <c r="G530" s="11" t="s">
        <v>16</v>
      </c>
      <c r="H530" s="66"/>
      <c r="I530" s="67" t="n">
        <v>46149</v>
      </c>
      <c r="J530" s="10" t="s">
        <v>693</v>
      </c>
      <c r="K530" s="68" t="str">
        <f aca="false">IF(G530="No",MAX(0,AsOfDate-I530),"")</f>
        <v/>
      </c>
      <c r="L530" s="12" t="str">
        <f aca="false">IF(K530="","",IF(K530&lt;=90,"0-90",IF(K530&lt;=180,"91-180",IF(K530&lt;=270,"181-270","&gt;270"))))</f>
        <v/>
      </c>
      <c r="M530" s="12" t="str">
        <f aca="false">IF(G530="Obs",COUNTIF(G$2:G530,"Obs"),"")</f>
        <v/>
      </c>
      <c r="N530" s="12" t="str">
        <f aca="false">IF(G530="No",COUNTIF(G$2:G530,"No"),"")</f>
        <v/>
      </c>
    </row>
    <row r="531" customFormat="false" ht="23.85" hidden="false" customHeight="false" outlineLevel="0" collapsed="false">
      <c r="A531" s="69" t="s">
        <v>720</v>
      </c>
      <c r="B531" s="69" t="s">
        <v>302</v>
      </c>
      <c r="C531" s="69" t="s">
        <v>331</v>
      </c>
      <c r="D531" s="70" t="s">
        <v>323</v>
      </c>
      <c r="E531" s="70" t="s">
        <v>332</v>
      </c>
      <c r="F531" s="69" t="s">
        <v>105</v>
      </c>
      <c r="G531" s="71" t="s">
        <v>22</v>
      </c>
      <c r="H531" s="72" t="s">
        <v>621</v>
      </c>
      <c r="I531" s="73" t="n">
        <v>46149</v>
      </c>
      <c r="J531" s="69" t="s">
        <v>693</v>
      </c>
      <c r="K531" s="74" t="str">
        <f aca="false">IF(G531="No",MAX(0,AsOfDate-I531),"")</f>
        <v/>
      </c>
      <c r="L531" s="75" t="str">
        <f aca="false">IF(K531="","",IF(K531&lt;=90,"0-90",IF(K531&lt;=180,"91-180",IF(K531&lt;=270,"181-270","&gt;270"))))</f>
        <v/>
      </c>
      <c r="M531" s="75" t="n">
        <f aca="false">IF(G531="Obs",COUNTIF(G$2:G531,"Obs"),"")</f>
        <v>34</v>
      </c>
      <c r="N531" s="75" t="str">
        <f aca="false">IF(G531="No",COUNTIF(G$2:G531,"No"),"")</f>
        <v/>
      </c>
    </row>
    <row r="532" customFormat="false" ht="15" hidden="false" customHeight="false" outlineLevel="0" collapsed="false">
      <c r="A532" s="10" t="s">
        <v>720</v>
      </c>
      <c r="B532" s="10" t="s">
        <v>302</v>
      </c>
      <c r="C532" s="10" t="s">
        <v>333</v>
      </c>
      <c r="D532" s="8" t="s">
        <v>323</v>
      </c>
      <c r="E532" s="8" t="s">
        <v>334</v>
      </c>
      <c r="F532" s="10" t="s">
        <v>105</v>
      </c>
      <c r="G532" s="11" t="s">
        <v>16</v>
      </c>
      <c r="H532" s="66"/>
      <c r="I532" s="67" t="n">
        <v>46149</v>
      </c>
      <c r="J532" s="10" t="s">
        <v>693</v>
      </c>
      <c r="K532" s="68" t="str">
        <f aca="false">IF(G532="No",MAX(0,AsOfDate-I532),"")</f>
        <v/>
      </c>
      <c r="L532" s="12" t="str">
        <f aca="false">IF(K532="","",IF(K532&lt;=90,"0-90",IF(K532&lt;=180,"91-180",IF(K532&lt;=270,"181-270","&gt;270"))))</f>
        <v/>
      </c>
      <c r="M532" s="12" t="str">
        <f aca="false">IF(G532="Obs",COUNTIF(G$2:G532,"Obs"),"")</f>
        <v/>
      </c>
      <c r="N532" s="12" t="str">
        <f aca="false">IF(G532="No",COUNTIF(G$2:G532,"No"),"")</f>
        <v/>
      </c>
    </row>
    <row r="533" customFormat="false" ht="15" hidden="false" customHeight="false" outlineLevel="0" collapsed="false">
      <c r="A533" s="69" t="s">
        <v>720</v>
      </c>
      <c r="B533" s="69" t="s">
        <v>302</v>
      </c>
      <c r="C533" s="69" t="s">
        <v>335</v>
      </c>
      <c r="D533" s="70" t="s">
        <v>323</v>
      </c>
      <c r="E533" s="70" t="s">
        <v>336</v>
      </c>
      <c r="F533" s="69" t="s">
        <v>110</v>
      </c>
      <c r="G533" s="71" t="s">
        <v>16</v>
      </c>
      <c r="H533" s="72"/>
      <c r="I533" s="73" t="n">
        <v>46149</v>
      </c>
      <c r="J533" s="69" t="s">
        <v>693</v>
      </c>
      <c r="K533" s="74" t="str">
        <f aca="false">IF(G533="No",MAX(0,AsOfDate-I533),"")</f>
        <v/>
      </c>
      <c r="L533" s="75" t="str">
        <f aca="false">IF(K533="","",IF(K533&lt;=90,"0-90",IF(K533&lt;=180,"91-180",IF(K533&lt;=270,"181-270","&gt;270"))))</f>
        <v/>
      </c>
      <c r="M533" s="75" t="str">
        <f aca="false">IF(G533="Obs",COUNTIF(G$2:G533,"Obs"),"")</f>
        <v/>
      </c>
      <c r="N533" s="75" t="str">
        <f aca="false">IF(G533="No",COUNTIF(G$2:G533,"No"),"")</f>
        <v/>
      </c>
    </row>
    <row r="534" customFormat="false" ht="15" hidden="false" customHeight="false" outlineLevel="0" collapsed="false">
      <c r="A534" s="10" t="s">
        <v>635</v>
      </c>
      <c r="B534" s="10" t="s">
        <v>338</v>
      </c>
      <c r="C534" s="10" t="s">
        <v>337</v>
      </c>
      <c r="D534" s="8" t="s">
        <v>339</v>
      </c>
      <c r="E534" s="8" t="s">
        <v>340</v>
      </c>
      <c r="F534" s="10" t="s">
        <v>99</v>
      </c>
      <c r="G534" s="11" t="s">
        <v>16</v>
      </c>
      <c r="H534" s="66"/>
      <c r="I534" s="67" t="n">
        <v>45883</v>
      </c>
      <c r="J534" s="10" t="s">
        <v>431</v>
      </c>
      <c r="K534" s="68" t="str">
        <f aca="false">IF(G534="No",MAX(0,AsOfDate-I534),"")</f>
        <v/>
      </c>
      <c r="L534" s="12" t="str">
        <f aca="false">IF(K534="","",IF(K534&lt;=90,"0-90",IF(K534&lt;=180,"91-180",IF(K534&lt;=270,"181-270","&gt;270"))))</f>
        <v/>
      </c>
      <c r="M534" s="12" t="str">
        <f aca="false">IF(G534="Obs",COUNTIF(G$2:G534,"Obs"),"")</f>
        <v/>
      </c>
      <c r="N534" s="12" t="str">
        <f aca="false">IF(G534="No",COUNTIF(G$2:G534,"No"),"")</f>
        <v/>
      </c>
    </row>
    <row r="535" customFormat="false" ht="15" hidden="false" customHeight="false" outlineLevel="0" collapsed="false">
      <c r="A535" s="69" t="s">
        <v>635</v>
      </c>
      <c r="B535" s="69" t="s">
        <v>338</v>
      </c>
      <c r="C535" s="69" t="s">
        <v>341</v>
      </c>
      <c r="D535" s="70" t="s">
        <v>339</v>
      </c>
      <c r="E535" s="70" t="s">
        <v>342</v>
      </c>
      <c r="F535" s="69" t="s">
        <v>99</v>
      </c>
      <c r="G535" s="71" t="s">
        <v>16</v>
      </c>
      <c r="H535" s="72"/>
      <c r="I535" s="73" t="n">
        <v>45883</v>
      </c>
      <c r="J535" s="69" t="s">
        <v>431</v>
      </c>
      <c r="K535" s="74" t="str">
        <f aca="false">IF(G535="No",MAX(0,AsOfDate-I535),"")</f>
        <v/>
      </c>
      <c r="L535" s="75" t="str">
        <f aca="false">IF(K535="","",IF(K535&lt;=90,"0-90",IF(K535&lt;=180,"91-180",IF(K535&lt;=270,"181-270","&gt;270"))))</f>
        <v/>
      </c>
      <c r="M535" s="75" t="str">
        <f aca="false">IF(G535="Obs",COUNTIF(G$2:G535,"Obs"),"")</f>
        <v/>
      </c>
      <c r="N535" s="75" t="str">
        <f aca="false">IF(G535="No",COUNTIF(G$2:G535,"No"),"")</f>
        <v/>
      </c>
    </row>
    <row r="536" customFormat="false" ht="23.85" hidden="false" customHeight="false" outlineLevel="0" collapsed="false">
      <c r="A536" s="10" t="s">
        <v>635</v>
      </c>
      <c r="B536" s="10" t="s">
        <v>338</v>
      </c>
      <c r="C536" s="10" t="s">
        <v>343</v>
      </c>
      <c r="D536" s="8" t="s">
        <v>339</v>
      </c>
      <c r="E536" s="8" t="s">
        <v>344</v>
      </c>
      <c r="F536" s="10" t="s">
        <v>105</v>
      </c>
      <c r="G536" s="11" t="s">
        <v>22</v>
      </c>
      <c r="H536" s="66" t="s">
        <v>667</v>
      </c>
      <c r="I536" s="67" t="n">
        <v>45883</v>
      </c>
      <c r="J536" s="10" t="s">
        <v>431</v>
      </c>
      <c r="K536" s="68" t="str">
        <f aca="false">IF(G536="No",MAX(0,AsOfDate-I536),"")</f>
        <v/>
      </c>
      <c r="L536" s="12" t="str">
        <f aca="false">IF(K536="","",IF(K536&lt;=90,"0-90",IF(K536&lt;=180,"91-180",IF(K536&lt;=270,"181-270","&gt;270"))))</f>
        <v/>
      </c>
      <c r="M536" s="12" t="n">
        <f aca="false">IF(G536="Obs",COUNTIF(G$2:G536,"Obs"),"")</f>
        <v>35</v>
      </c>
      <c r="N536" s="12" t="str">
        <f aca="false">IF(G536="No",COUNTIF(G$2:G536,"No"),"")</f>
        <v/>
      </c>
    </row>
    <row r="537" customFormat="false" ht="15" hidden="false" customHeight="false" outlineLevel="0" collapsed="false">
      <c r="A537" s="69" t="s">
        <v>635</v>
      </c>
      <c r="B537" s="69" t="s">
        <v>338</v>
      </c>
      <c r="C537" s="69" t="s">
        <v>345</v>
      </c>
      <c r="D537" s="70" t="s">
        <v>339</v>
      </c>
      <c r="E537" s="70" t="s">
        <v>346</v>
      </c>
      <c r="F537" s="69" t="s">
        <v>105</v>
      </c>
      <c r="G537" s="71" t="s">
        <v>16</v>
      </c>
      <c r="H537" s="72"/>
      <c r="I537" s="73" t="n">
        <v>45883</v>
      </c>
      <c r="J537" s="69" t="s">
        <v>431</v>
      </c>
      <c r="K537" s="74" t="str">
        <f aca="false">IF(G537="No",MAX(0,AsOfDate-I537),"")</f>
        <v/>
      </c>
      <c r="L537" s="75" t="str">
        <f aca="false">IF(K537="","",IF(K537&lt;=90,"0-90",IF(K537&lt;=180,"91-180",IF(K537&lt;=270,"181-270","&gt;270"))))</f>
        <v/>
      </c>
      <c r="M537" s="75" t="str">
        <f aca="false">IF(G537="Obs",COUNTIF(G$2:G537,"Obs"),"")</f>
        <v/>
      </c>
      <c r="N537" s="75" t="str">
        <f aca="false">IF(G537="No",COUNTIF(G$2:G537,"No"),"")</f>
        <v/>
      </c>
    </row>
    <row r="538" customFormat="false" ht="15" hidden="false" customHeight="false" outlineLevel="0" collapsed="false">
      <c r="A538" s="10" t="s">
        <v>635</v>
      </c>
      <c r="B538" s="10" t="s">
        <v>338</v>
      </c>
      <c r="C538" s="10" t="s">
        <v>347</v>
      </c>
      <c r="D538" s="8" t="s">
        <v>348</v>
      </c>
      <c r="E538" s="8" t="s">
        <v>349</v>
      </c>
      <c r="F538" s="10" t="s">
        <v>99</v>
      </c>
      <c r="G538" s="11" t="s">
        <v>16</v>
      </c>
      <c r="H538" s="66"/>
      <c r="I538" s="67" t="n">
        <v>45883</v>
      </c>
      <c r="J538" s="10" t="s">
        <v>431</v>
      </c>
      <c r="K538" s="68" t="str">
        <f aca="false">IF(G538="No",MAX(0,AsOfDate-I538),"")</f>
        <v/>
      </c>
      <c r="L538" s="12" t="str">
        <f aca="false">IF(K538="","",IF(K538&lt;=90,"0-90",IF(K538&lt;=180,"91-180",IF(K538&lt;=270,"181-270","&gt;270"))))</f>
        <v/>
      </c>
      <c r="M538" s="12" t="str">
        <f aca="false">IF(G538="Obs",COUNTIF(G$2:G538,"Obs"),"")</f>
        <v/>
      </c>
      <c r="N538" s="12" t="str">
        <f aca="false">IF(G538="No",COUNTIF(G$2:G538,"No"),"")</f>
        <v/>
      </c>
    </row>
    <row r="539" customFormat="false" ht="15" hidden="false" customHeight="false" outlineLevel="0" collapsed="false">
      <c r="A539" s="69" t="s">
        <v>635</v>
      </c>
      <c r="B539" s="69" t="s">
        <v>338</v>
      </c>
      <c r="C539" s="69" t="s">
        <v>350</v>
      </c>
      <c r="D539" s="70" t="s">
        <v>348</v>
      </c>
      <c r="E539" s="70" t="s">
        <v>351</v>
      </c>
      <c r="F539" s="69" t="s">
        <v>105</v>
      </c>
      <c r="G539" s="71" t="s">
        <v>16</v>
      </c>
      <c r="H539" s="72"/>
      <c r="I539" s="73" t="n">
        <v>45883</v>
      </c>
      <c r="J539" s="69" t="s">
        <v>431</v>
      </c>
      <c r="K539" s="74" t="str">
        <f aca="false">IF(G539="No",MAX(0,AsOfDate-I539),"")</f>
        <v/>
      </c>
      <c r="L539" s="75" t="str">
        <f aca="false">IF(K539="","",IF(K539&lt;=90,"0-90",IF(K539&lt;=180,"91-180",IF(K539&lt;=270,"181-270","&gt;270"))))</f>
        <v/>
      </c>
      <c r="M539" s="75" t="str">
        <f aca="false">IF(G539="Obs",COUNTIF(G$2:G539,"Obs"),"")</f>
        <v/>
      </c>
      <c r="N539" s="75" t="str">
        <f aca="false">IF(G539="No",COUNTIF(G$2:G539,"No"),"")</f>
        <v/>
      </c>
    </row>
    <row r="540" customFormat="false" ht="15" hidden="false" customHeight="false" outlineLevel="0" collapsed="false">
      <c r="A540" s="10" t="s">
        <v>635</v>
      </c>
      <c r="B540" s="10" t="s">
        <v>338</v>
      </c>
      <c r="C540" s="10" t="s">
        <v>352</v>
      </c>
      <c r="D540" s="8" t="s">
        <v>348</v>
      </c>
      <c r="E540" s="8" t="s">
        <v>353</v>
      </c>
      <c r="F540" s="10" t="s">
        <v>99</v>
      </c>
      <c r="G540" s="11" t="s">
        <v>16</v>
      </c>
      <c r="H540" s="66"/>
      <c r="I540" s="67" t="n">
        <v>45883</v>
      </c>
      <c r="J540" s="10" t="s">
        <v>431</v>
      </c>
      <c r="K540" s="68" t="str">
        <f aca="false">IF(G540="No",MAX(0,AsOfDate-I540),"")</f>
        <v/>
      </c>
      <c r="L540" s="12" t="str">
        <f aca="false">IF(K540="","",IF(K540&lt;=90,"0-90",IF(K540&lt;=180,"91-180",IF(K540&lt;=270,"181-270","&gt;270"))))</f>
        <v/>
      </c>
      <c r="M540" s="12" t="str">
        <f aca="false">IF(G540="Obs",COUNTIF(G$2:G540,"Obs"),"")</f>
        <v/>
      </c>
      <c r="N540" s="12" t="str">
        <f aca="false">IF(G540="No",COUNTIF(G$2:G540,"No"),"")</f>
        <v/>
      </c>
    </row>
    <row r="541" customFormat="false" ht="15" hidden="false" customHeight="false" outlineLevel="0" collapsed="false">
      <c r="A541" s="69" t="s">
        <v>635</v>
      </c>
      <c r="B541" s="69" t="s">
        <v>338</v>
      </c>
      <c r="C541" s="69" t="s">
        <v>354</v>
      </c>
      <c r="D541" s="70" t="s">
        <v>355</v>
      </c>
      <c r="E541" s="70" t="s">
        <v>356</v>
      </c>
      <c r="F541" s="69" t="s">
        <v>99</v>
      </c>
      <c r="G541" s="71" t="s">
        <v>16</v>
      </c>
      <c r="H541" s="72"/>
      <c r="I541" s="73" t="n">
        <v>45883</v>
      </c>
      <c r="J541" s="69" t="s">
        <v>431</v>
      </c>
      <c r="K541" s="74" t="str">
        <f aca="false">IF(G541="No",MAX(0,AsOfDate-I541),"")</f>
        <v/>
      </c>
      <c r="L541" s="75" t="str">
        <f aca="false">IF(K541="","",IF(K541&lt;=90,"0-90",IF(K541&lt;=180,"91-180",IF(K541&lt;=270,"181-270","&gt;270"))))</f>
        <v/>
      </c>
      <c r="M541" s="75" t="str">
        <f aca="false">IF(G541="Obs",COUNTIF(G$2:G541,"Obs"),"")</f>
        <v/>
      </c>
      <c r="N541" s="75" t="str">
        <f aca="false">IF(G541="No",COUNTIF(G$2:G541,"No"),"")</f>
        <v/>
      </c>
    </row>
    <row r="542" customFormat="false" ht="15" hidden="false" customHeight="false" outlineLevel="0" collapsed="false">
      <c r="A542" s="10" t="s">
        <v>635</v>
      </c>
      <c r="B542" s="10" t="s">
        <v>338</v>
      </c>
      <c r="C542" s="10" t="s">
        <v>357</v>
      </c>
      <c r="D542" s="8" t="s">
        <v>355</v>
      </c>
      <c r="E542" s="8" t="s">
        <v>358</v>
      </c>
      <c r="F542" s="10" t="s">
        <v>105</v>
      </c>
      <c r="G542" s="11" t="s">
        <v>20</v>
      </c>
      <c r="H542" s="66"/>
      <c r="I542" s="67" t="n">
        <v>45883</v>
      </c>
      <c r="J542" s="10" t="s">
        <v>431</v>
      </c>
      <c r="K542" s="68" t="str">
        <f aca="false">IF(G542="No",MAX(0,AsOfDate-I542),"")</f>
        <v/>
      </c>
      <c r="L542" s="12" t="str">
        <f aca="false">IF(K542="","",IF(K542&lt;=90,"0-90",IF(K542&lt;=180,"91-180",IF(K542&lt;=270,"181-270","&gt;270"))))</f>
        <v/>
      </c>
      <c r="M542" s="12" t="str">
        <f aca="false">IF(G542="Obs",COUNTIF(G$2:G542,"Obs"),"")</f>
        <v/>
      </c>
      <c r="N542" s="12" t="str">
        <f aca="false">IF(G542="No",COUNTIF(G$2:G542,"No"),"")</f>
        <v/>
      </c>
    </row>
    <row r="543" customFormat="false" ht="15" hidden="false" customHeight="false" outlineLevel="0" collapsed="false">
      <c r="A543" s="69" t="s">
        <v>635</v>
      </c>
      <c r="B543" s="69" t="s">
        <v>338</v>
      </c>
      <c r="C543" s="69" t="s">
        <v>359</v>
      </c>
      <c r="D543" s="70" t="s">
        <v>355</v>
      </c>
      <c r="E543" s="70" t="s">
        <v>360</v>
      </c>
      <c r="F543" s="69" t="s">
        <v>99</v>
      </c>
      <c r="G543" s="71" t="s">
        <v>22</v>
      </c>
      <c r="H543" s="72" t="s">
        <v>562</v>
      </c>
      <c r="I543" s="73" t="n">
        <v>45883</v>
      </c>
      <c r="J543" s="69" t="s">
        <v>431</v>
      </c>
      <c r="K543" s="74" t="str">
        <f aca="false">IF(G543="No",MAX(0,AsOfDate-I543),"")</f>
        <v/>
      </c>
      <c r="L543" s="75" t="str">
        <f aca="false">IF(K543="","",IF(K543&lt;=90,"0-90",IF(K543&lt;=180,"91-180",IF(K543&lt;=270,"181-270","&gt;270"))))</f>
        <v/>
      </c>
      <c r="M543" s="75" t="n">
        <f aca="false">IF(G543="Obs",COUNTIF(G$2:G543,"Obs"),"")</f>
        <v>36</v>
      </c>
      <c r="N543" s="75" t="str">
        <f aca="false">IF(G543="No",COUNTIF(G$2:G543,"No"),"")</f>
        <v/>
      </c>
    </row>
    <row r="544" customFormat="false" ht="15" hidden="false" customHeight="false" outlineLevel="0" collapsed="false">
      <c r="A544" s="10" t="s">
        <v>635</v>
      </c>
      <c r="B544" s="10" t="s">
        <v>338</v>
      </c>
      <c r="C544" s="10" t="s">
        <v>361</v>
      </c>
      <c r="D544" s="8" t="s">
        <v>355</v>
      </c>
      <c r="E544" s="8" t="s">
        <v>362</v>
      </c>
      <c r="F544" s="10" t="s">
        <v>105</v>
      </c>
      <c r="G544" s="11" t="s">
        <v>16</v>
      </c>
      <c r="H544" s="66"/>
      <c r="I544" s="67" t="n">
        <v>45883</v>
      </c>
      <c r="J544" s="10" t="s">
        <v>431</v>
      </c>
      <c r="K544" s="68" t="str">
        <f aca="false">IF(G544="No",MAX(0,AsOfDate-I544),"")</f>
        <v/>
      </c>
      <c r="L544" s="12" t="str">
        <f aca="false">IF(K544="","",IF(K544&lt;=90,"0-90",IF(K544&lt;=180,"91-180",IF(K544&lt;=270,"181-270","&gt;270"))))</f>
        <v/>
      </c>
      <c r="M544" s="12" t="str">
        <f aca="false">IF(G544="Obs",COUNTIF(G$2:G544,"Obs"),"")</f>
        <v/>
      </c>
      <c r="N544" s="12" t="str">
        <f aca="false">IF(G544="No",COUNTIF(G$2:G544,"No"),"")</f>
        <v/>
      </c>
    </row>
    <row r="545" customFormat="false" ht="15" hidden="false" customHeight="false" outlineLevel="0" collapsed="false">
      <c r="A545" s="69" t="s">
        <v>635</v>
      </c>
      <c r="B545" s="69" t="s">
        <v>338</v>
      </c>
      <c r="C545" s="69" t="s">
        <v>363</v>
      </c>
      <c r="D545" s="70" t="s">
        <v>364</v>
      </c>
      <c r="E545" s="70" t="s">
        <v>365</v>
      </c>
      <c r="F545" s="69" t="s">
        <v>99</v>
      </c>
      <c r="G545" s="71" t="s">
        <v>16</v>
      </c>
      <c r="H545" s="72"/>
      <c r="I545" s="73" t="n">
        <v>45883</v>
      </c>
      <c r="J545" s="69" t="s">
        <v>431</v>
      </c>
      <c r="K545" s="74" t="str">
        <f aca="false">IF(G545="No",MAX(0,AsOfDate-I545),"")</f>
        <v/>
      </c>
      <c r="L545" s="75" t="str">
        <f aca="false">IF(K545="","",IF(K545&lt;=90,"0-90",IF(K545&lt;=180,"91-180",IF(K545&lt;=270,"181-270","&gt;270"))))</f>
        <v/>
      </c>
      <c r="M545" s="75" t="str">
        <f aca="false">IF(G545="Obs",COUNTIF(G$2:G545,"Obs"),"")</f>
        <v/>
      </c>
      <c r="N545" s="75" t="str">
        <f aca="false">IF(G545="No",COUNTIF(G$2:G545,"No"),"")</f>
        <v/>
      </c>
    </row>
    <row r="546" customFormat="false" ht="15" hidden="false" customHeight="false" outlineLevel="0" collapsed="false">
      <c r="A546" s="10" t="s">
        <v>635</v>
      </c>
      <c r="B546" s="10" t="s">
        <v>338</v>
      </c>
      <c r="C546" s="10" t="s">
        <v>366</v>
      </c>
      <c r="D546" s="8" t="s">
        <v>364</v>
      </c>
      <c r="E546" s="8" t="s">
        <v>367</v>
      </c>
      <c r="F546" s="10" t="s">
        <v>105</v>
      </c>
      <c r="G546" s="11" t="s">
        <v>16</v>
      </c>
      <c r="H546" s="66"/>
      <c r="I546" s="67" t="n">
        <v>45883</v>
      </c>
      <c r="J546" s="10" t="s">
        <v>431</v>
      </c>
      <c r="K546" s="68" t="str">
        <f aca="false">IF(G546="No",MAX(0,AsOfDate-I546),"")</f>
        <v/>
      </c>
      <c r="L546" s="12" t="str">
        <f aca="false">IF(K546="","",IF(K546&lt;=90,"0-90",IF(K546&lt;=180,"91-180",IF(K546&lt;=270,"181-270","&gt;270"))))</f>
        <v/>
      </c>
      <c r="M546" s="12" t="str">
        <f aca="false">IF(G546="Obs",COUNTIF(G$2:G546,"Obs"),"")</f>
        <v/>
      </c>
      <c r="N546" s="12" t="str">
        <f aca="false">IF(G546="No",COUNTIF(G$2:G546,"No"),"")</f>
        <v/>
      </c>
    </row>
    <row r="547" customFormat="false" ht="15" hidden="false" customHeight="false" outlineLevel="0" collapsed="false">
      <c r="A547" s="69" t="s">
        <v>635</v>
      </c>
      <c r="B547" s="69" t="s">
        <v>338</v>
      </c>
      <c r="C547" s="69" t="s">
        <v>368</v>
      </c>
      <c r="D547" s="70" t="s">
        <v>364</v>
      </c>
      <c r="E547" s="70" t="s">
        <v>369</v>
      </c>
      <c r="F547" s="69" t="s">
        <v>99</v>
      </c>
      <c r="G547" s="71" t="s">
        <v>20</v>
      </c>
      <c r="H547" s="72"/>
      <c r="I547" s="73" t="n">
        <v>45883</v>
      </c>
      <c r="J547" s="69" t="s">
        <v>431</v>
      </c>
      <c r="K547" s="74" t="str">
        <f aca="false">IF(G547="No",MAX(0,AsOfDate-I547),"")</f>
        <v/>
      </c>
      <c r="L547" s="75" t="str">
        <f aca="false">IF(K547="","",IF(K547&lt;=90,"0-90",IF(K547&lt;=180,"91-180",IF(K547&lt;=270,"181-270","&gt;270"))))</f>
        <v/>
      </c>
      <c r="M547" s="75" t="str">
        <f aca="false">IF(G547="Obs",COUNTIF(G$2:G547,"Obs"),"")</f>
        <v/>
      </c>
      <c r="N547" s="75" t="str">
        <f aca="false">IF(G547="No",COUNTIF(G$2:G547,"No"),"")</f>
        <v/>
      </c>
    </row>
    <row r="548" customFormat="false" ht="15" hidden="false" customHeight="false" outlineLevel="0" collapsed="false">
      <c r="A548" s="10" t="s">
        <v>635</v>
      </c>
      <c r="B548" s="10" t="s">
        <v>338</v>
      </c>
      <c r="C548" s="10" t="s">
        <v>370</v>
      </c>
      <c r="D548" s="8" t="s">
        <v>371</v>
      </c>
      <c r="E548" s="8" t="s">
        <v>372</v>
      </c>
      <c r="F548" s="10" t="s">
        <v>99</v>
      </c>
      <c r="G548" s="11" t="s">
        <v>16</v>
      </c>
      <c r="H548" s="66"/>
      <c r="I548" s="67" t="n">
        <v>45883</v>
      </c>
      <c r="J548" s="10" t="s">
        <v>431</v>
      </c>
      <c r="K548" s="68" t="str">
        <f aca="false">IF(G548="No",MAX(0,AsOfDate-I548),"")</f>
        <v/>
      </c>
      <c r="L548" s="12" t="str">
        <f aca="false">IF(K548="","",IF(K548&lt;=90,"0-90",IF(K548&lt;=180,"91-180",IF(K548&lt;=270,"181-270","&gt;270"))))</f>
        <v/>
      </c>
      <c r="M548" s="12" t="str">
        <f aca="false">IF(G548="Obs",COUNTIF(G$2:G548,"Obs"),"")</f>
        <v/>
      </c>
      <c r="N548" s="12" t="str">
        <f aca="false">IF(G548="No",COUNTIF(G$2:G548,"No"),"")</f>
        <v/>
      </c>
    </row>
    <row r="549" customFormat="false" ht="15" hidden="false" customHeight="false" outlineLevel="0" collapsed="false">
      <c r="A549" s="69" t="s">
        <v>635</v>
      </c>
      <c r="B549" s="69" t="s">
        <v>338</v>
      </c>
      <c r="C549" s="69" t="s">
        <v>373</v>
      </c>
      <c r="D549" s="70" t="s">
        <v>371</v>
      </c>
      <c r="E549" s="70" t="s">
        <v>374</v>
      </c>
      <c r="F549" s="69" t="s">
        <v>105</v>
      </c>
      <c r="G549" s="71" t="s">
        <v>16</v>
      </c>
      <c r="H549" s="72"/>
      <c r="I549" s="73" t="n">
        <v>45883</v>
      </c>
      <c r="J549" s="69" t="s">
        <v>431</v>
      </c>
      <c r="K549" s="74" t="str">
        <f aca="false">IF(G549="No",MAX(0,AsOfDate-I549),"")</f>
        <v/>
      </c>
      <c r="L549" s="75" t="str">
        <f aca="false">IF(K549="","",IF(K549&lt;=90,"0-90",IF(K549&lt;=180,"91-180",IF(K549&lt;=270,"181-270","&gt;270"))))</f>
        <v/>
      </c>
      <c r="M549" s="75" t="str">
        <f aca="false">IF(G549="Obs",COUNTIF(G$2:G549,"Obs"),"")</f>
        <v/>
      </c>
      <c r="N549" s="75" t="str">
        <f aca="false">IF(G549="No",COUNTIF(G$2:G549,"No"),"")</f>
        <v/>
      </c>
    </row>
    <row r="550" customFormat="false" ht="15" hidden="false" customHeight="false" outlineLevel="0" collapsed="false">
      <c r="A550" s="10" t="s">
        <v>635</v>
      </c>
      <c r="B550" s="10" t="s">
        <v>338</v>
      </c>
      <c r="C550" s="10" t="s">
        <v>375</v>
      </c>
      <c r="D550" s="8" t="s">
        <v>371</v>
      </c>
      <c r="E550" s="8" t="s">
        <v>376</v>
      </c>
      <c r="F550" s="10" t="s">
        <v>99</v>
      </c>
      <c r="G550" s="11" t="s">
        <v>16</v>
      </c>
      <c r="H550" s="66"/>
      <c r="I550" s="67" t="n">
        <v>45883</v>
      </c>
      <c r="J550" s="10" t="s">
        <v>431</v>
      </c>
      <c r="K550" s="68" t="str">
        <f aca="false">IF(G550="No",MAX(0,AsOfDate-I550),"")</f>
        <v/>
      </c>
      <c r="L550" s="12" t="str">
        <f aca="false">IF(K550="","",IF(K550&lt;=90,"0-90",IF(K550&lt;=180,"91-180",IF(K550&lt;=270,"181-270","&gt;270"))))</f>
        <v/>
      </c>
      <c r="M550" s="12" t="str">
        <f aca="false">IF(G550="Obs",COUNTIF(G$2:G550,"Obs"),"")</f>
        <v/>
      </c>
      <c r="N550" s="12" t="str">
        <f aca="false">IF(G550="No",COUNTIF(G$2:G550,"No"),"")</f>
        <v/>
      </c>
    </row>
    <row r="551" customFormat="false" ht="15" hidden="false" customHeight="false" outlineLevel="0" collapsed="false">
      <c r="A551" s="69" t="s">
        <v>635</v>
      </c>
      <c r="B551" s="69" t="s">
        <v>338</v>
      </c>
      <c r="C551" s="69" t="s">
        <v>377</v>
      </c>
      <c r="D551" s="70" t="s">
        <v>378</v>
      </c>
      <c r="E551" s="70" t="s">
        <v>379</v>
      </c>
      <c r="F551" s="69" t="s">
        <v>105</v>
      </c>
      <c r="G551" s="71" t="s">
        <v>16</v>
      </c>
      <c r="H551" s="72"/>
      <c r="I551" s="73" t="n">
        <v>45883</v>
      </c>
      <c r="J551" s="69" t="s">
        <v>431</v>
      </c>
      <c r="K551" s="74" t="str">
        <f aca="false">IF(G551="No",MAX(0,AsOfDate-I551),"")</f>
        <v/>
      </c>
      <c r="L551" s="75" t="str">
        <f aca="false">IF(K551="","",IF(K551&lt;=90,"0-90",IF(K551&lt;=180,"91-180",IF(K551&lt;=270,"181-270","&gt;270"))))</f>
        <v/>
      </c>
      <c r="M551" s="75" t="str">
        <f aca="false">IF(G551="Obs",COUNTIF(G$2:G551,"Obs"),"")</f>
        <v/>
      </c>
      <c r="N551" s="75" t="str">
        <f aca="false">IF(G551="No",COUNTIF(G$2:G551,"No"),"")</f>
        <v/>
      </c>
    </row>
    <row r="552" customFormat="false" ht="15" hidden="false" customHeight="false" outlineLevel="0" collapsed="false">
      <c r="A552" s="10" t="s">
        <v>635</v>
      </c>
      <c r="B552" s="10" t="s">
        <v>338</v>
      </c>
      <c r="C552" s="10" t="s">
        <v>380</v>
      </c>
      <c r="D552" s="8" t="s">
        <v>378</v>
      </c>
      <c r="E552" s="8" t="s">
        <v>381</v>
      </c>
      <c r="F552" s="10" t="s">
        <v>99</v>
      </c>
      <c r="G552" s="11" t="s">
        <v>20</v>
      </c>
      <c r="H552" s="66"/>
      <c r="I552" s="67" t="n">
        <v>45883</v>
      </c>
      <c r="J552" s="10" t="s">
        <v>431</v>
      </c>
      <c r="K552" s="68" t="str">
        <f aca="false">IF(G552="No",MAX(0,AsOfDate-I552),"")</f>
        <v/>
      </c>
      <c r="L552" s="12" t="str">
        <f aca="false">IF(K552="","",IF(K552&lt;=90,"0-90",IF(K552&lt;=180,"91-180",IF(K552&lt;=270,"181-270","&gt;270"))))</f>
        <v/>
      </c>
      <c r="M552" s="12" t="str">
        <f aca="false">IF(G552="Obs",COUNTIF(G$2:G552,"Obs"),"")</f>
        <v/>
      </c>
      <c r="N552" s="12" t="str">
        <f aca="false">IF(G552="No",COUNTIF(G$2:G552,"No"),"")</f>
        <v/>
      </c>
    </row>
    <row r="553" customFormat="false" ht="15" hidden="false" customHeight="false" outlineLevel="0" collapsed="false">
      <c r="A553" s="69" t="s">
        <v>723</v>
      </c>
      <c r="B553" s="69" t="s">
        <v>338</v>
      </c>
      <c r="C553" s="69" t="s">
        <v>337</v>
      </c>
      <c r="D553" s="70" t="s">
        <v>339</v>
      </c>
      <c r="E553" s="70" t="s">
        <v>340</v>
      </c>
      <c r="F553" s="69" t="s">
        <v>99</v>
      </c>
      <c r="G553" s="71" t="s">
        <v>20</v>
      </c>
      <c r="H553" s="72"/>
      <c r="I553" s="73" t="n">
        <v>45967</v>
      </c>
      <c r="J553" s="69" t="s">
        <v>687</v>
      </c>
      <c r="K553" s="74" t="str">
        <f aca="false">IF(G553="No",MAX(0,AsOfDate-I553),"")</f>
        <v/>
      </c>
      <c r="L553" s="75" t="str">
        <f aca="false">IF(K553="","",IF(K553&lt;=90,"0-90",IF(K553&lt;=180,"91-180",IF(K553&lt;=270,"181-270","&gt;270"))))</f>
        <v/>
      </c>
      <c r="M553" s="75" t="str">
        <f aca="false">IF(G553="Obs",COUNTIF(G$2:G553,"Obs"),"")</f>
        <v/>
      </c>
      <c r="N553" s="75" t="str">
        <f aca="false">IF(G553="No",COUNTIF(G$2:G553,"No"),"")</f>
        <v/>
      </c>
    </row>
    <row r="554" customFormat="false" ht="15" hidden="false" customHeight="false" outlineLevel="0" collapsed="false">
      <c r="A554" s="10" t="s">
        <v>723</v>
      </c>
      <c r="B554" s="10" t="s">
        <v>338</v>
      </c>
      <c r="C554" s="10" t="s">
        <v>341</v>
      </c>
      <c r="D554" s="8" t="s">
        <v>339</v>
      </c>
      <c r="E554" s="8" t="s">
        <v>342</v>
      </c>
      <c r="F554" s="10" t="s">
        <v>99</v>
      </c>
      <c r="G554" s="11" t="s">
        <v>20</v>
      </c>
      <c r="H554" s="66"/>
      <c r="I554" s="67" t="n">
        <v>45967</v>
      </c>
      <c r="J554" s="10" t="s">
        <v>687</v>
      </c>
      <c r="K554" s="68" t="str">
        <f aca="false">IF(G554="No",MAX(0,AsOfDate-I554),"")</f>
        <v/>
      </c>
      <c r="L554" s="12" t="str">
        <f aca="false">IF(K554="","",IF(K554&lt;=90,"0-90",IF(K554&lt;=180,"91-180",IF(K554&lt;=270,"181-270","&gt;270"))))</f>
        <v/>
      </c>
      <c r="M554" s="12" t="str">
        <f aca="false">IF(G554="Obs",COUNTIF(G$2:G554,"Obs"),"")</f>
        <v/>
      </c>
      <c r="N554" s="12" t="str">
        <f aca="false">IF(G554="No",COUNTIF(G$2:G554,"No"),"")</f>
        <v/>
      </c>
    </row>
    <row r="555" customFormat="false" ht="15" hidden="false" customHeight="false" outlineLevel="0" collapsed="false">
      <c r="A555" s="69" t="s">
        <v>723</v>
      </c>
      <c r="B555" s="69" t="s">
        <v>338</v>
      </c>
      <c r="C555" s="69" t="s">
        <v>343</v>
      </c>
      <c r="D555" s="70" t="s">
        <v>339</v>
      </c>
      <c r="E555" s="70" t="s">
        <v>344</v>
      </c>
      <c r="F555" s="69" t="s">
        <v>105</v>
      </c>
      <c r="G555" s="71" t="s">
        <v>16</v>
      </c>
      <c r="H555" s="72"/>
      <c r="I555" s="73" t="n">
        <v>45967</v>
      </c>
      <c r="J555" s="69" t="s">
        <v>687</v>
      </c>
      <c r="K555" s="74" t="str">
        <f aca="false">IF(G555="No",MAX(0,AsOfDate-I555),"")</f>
        <v/>
      </c>
      <c r="L555" s="75" t="str">
        <f aca="false">IF(K555="","",IF(K555&lt;=90,"0-90",IF(K555&lt;=180,"91-180",IF(K555&lt;=270,"181-270","&gt;270"))))</f>
        <v/>
      </c>
      <c r="M555" s="75" t="str">
        <f aca="false">IF(G555="Obs",COUNTIF(G$2:G555,"Obs"),"")</f>
        <v/>
      </c>
      <c r="N555" s="75" t="str">
        <f aca="false">IF(G555="No",COUNTIF(G$2:G555,"No"),"")</f>
        <v/>
      </c>
    </row>
    <row r="556" customFormat="false" ht="15" hidden="false" customHeight="false" outlineLevel="0" collapsed="false">
      <c r="A556" s="10" t="s">
        <v>723</v>
      </c>
      <c r="B556" s="10" t="s">
        <v>338</v>
      </c>
      <c r="C556" s="10" t="s">
        <v>345</v>
      </c>
      <c r="D556" s="8" t="s">
        <v>339</v>
      </c>
      <c r="E556" s="8" t="s">
        <v>346</v>
      </c>
      <c r="F556" s="10" t="s">
        <v>105</v>
      </c>
      <c r="G556" s="11" t="s">
        <v>16</v>
      </c>
      <c r="H556" s="66"/>
      <c r="I556" s="67" t="n">
        <v>45967</v>
      </c>
      <c r="J556" s="10" t="s">
        <v>687</v>
      </c>
      <c r="K556" s="68" t="str">
        <f aca="false">IF(G556="No",MAX(0,AsOfDate-I556),"")</f>
        <v/>
      </c>
      <c r="L556" s="12" t="str">
        <f aca="false">IF(K556="","",IF(K556&lt;=90,"0-90",IF(K556&lt;=180,"91-180",IF(K556&lt;=270,"181-270","&gt;270"))))</f>
        <v/>
      </c>
      <c r="M556" s="12" t="str">
        <f aca="false">IF(G556="Obs",COUNTIF(G$2:G556,"Obs"),"")</f>
        <v/>
      </c>
      <c r="N556" s="12" t="str">
        <f aca="false">IF(G556="No",COUNTIF(G$2:G556,"No"),"")</f>
        <v/>
      </c>
    </row>
    <row r="557" customFormat="false" ht="15" hidden="false" customHeight="false" outlineLevel="0" collapsed="false">
      <c r="A557" s="69" t="s">
        <v>723</v>
      </c>
      <c r="B557" s="69" t="s">
        <v>338</v>
      </c>
      <c r="C557" s="69" t="s">
        <v>347</v>
      </c>
      <c r="D557" s="70" t="s">
        <v>348</v>
      </c>
      <c r="E557" s="70" t="s">
        <v>349</v>
      </c>
      <c r="F557" s="69" t="s">
        <v>99</v>
      </c>
      <c r="G557" s="71" t="s">
        <v>16</v>
      </c>
      <c r="H557" s="72"/>
      <c r="I557" s="73" t="n">
        <v>45967</v>
      </c>
      <c r="J557" s="69" t="s">
        <v>687</v>
      </c>
      <c r="K557" s="74" t="str">
        <f aca="false">IF(G557="No",MAX(0,AsOfDate-I557),"")</f>
        <v/>
      </c>
      <c r="L557" s="75" t="str">
        <f aca="false">IF(K557="","",IF(K557&lt;=90,"0-90",IF(K557&lt;=180,"91-180",IF(K557&lt;=270,"181-270","&gt;270"))))</f>
        <v/>
      </c>
      <c r="M557" s="75" t="str">
        <f aca="false">IF(G557="Obs",COUNTIF(G$2:G557,"Obs"),"")</f>
        <v/>
      </c>
      <c r="N557" s="75" t="str">
        <f aca="false">IF(G557="No",COUNTIF(G$2:G557,"No"),"")</f>
        <v/>
      </c>
    </row>
    <row r="558" customFormat="false" ht="15" hidden="false" customHeight="false" outlineLevel="0" collapsed="false">
      <c r="A558" s="10" t="s">
        <v>723</v>
      </c>
      <c r="B558" s="10" t="s">
        <v>338</v>
      </c>
      <c r="C558" s="10" t="s">
        <v>350</v>
      </c>
      <c r="D558" s="8" t="s">
        <v>348</v>
      </c>
      <c r="E558" s="8" t="s">
        <v>351</v>
      </c>
      <c r="F558" s="10" t="s">
        <v>105</v>
      </c>
      <c r="G558" s="11" t="s">
        <v>16</v>
      </c>
      <c r="H558" s="66"/>
      <c r="I558" s="67" t="n">
        <v>45967</v>
      </c>
      <c r="J558" s="10" t="s">
        <v>687</v>
      </c>
      <c r="K558" s="68" t="str">
        <f aca="false">IF(G558="No",MAX(0,AsOfDate-I558),"")</f>
        <v/>
      </c>
      <c r="L558" s="12" t="str">
        <f aca="false">IF(K558="","",IF(K558&lt;=90,"0-90",IF(K558&lt;=180,"91-180",IF(K558&lt;=270,"181-270","&gt;270"))))</f>
        <v/>
      </c>
      <c r="M558" s="12" t="str">
        <f aca="false">IF(G558="Obs",COUNTIF(G$2:G558,"Obs"),"")</f>
        <v/>
      </c>
      <c r="N558" s="12" t="str">
        <f aca="false">IF(G558="No",COUNTIF(G$2:G558,"No"),"")</f>
        <v/>
      </c>
    </row>
    <row r="559" customFormat="false" ht="15" hidden="false" customHeight="false" outlineLevel="0" collapsed="false">
      <c r="A559" s="69" t="s">
        <v>723</v>
      </c>
      <c r="B559" s="69" t="s">
        <v>338</v>
      </c>
      <c r="C559" s="69" t="s">
        <v>352</v>
      </c>
      <c r="D559" s="70" t="s">
        <v>348</v>
      </c>
      <c r="E559" s="70" t="s">
        <v>353</v>
      </c>
      <c r="F559" s="69" t="s">
        <v>99</v>
      </c>
      <c r="G559" s="71" t="s">
        <v>20</v>
      </c>
      <c r="H559" s="72"/>
      <c r="I559" s="73" t="n">
        <v>45967</v>
      </c>
      <c r="J559" s="69" t="s">
        <v>687</v>
      </c>
      <c r="K559" s="74" t="str">
        <f aca="false">IF(G559="No",MAX(0,AsOfDate-I559),"")</f>
        <v/>
      </c>
      <c r="L559" s="75" t="str">
        <f aca="false">IF(K559="","",IF(K559&lt;=90,"0-90",IF(K559&lt;=180,"91-180",IF(K559&lt;=270,"181-270","&gt;270"))))</f>
        <v/>
      </c>
      <c r="M559" s="75" t="str">
        <f aca="false">IF(G559="Obs",COUNTIF(G$2:G559,"Obs"),"")</f>
        <v/>
      </c>
      <c r="N559" s="75" t="str">
        <f aca="false">IF(G559="No",COUNTIF(G$2:G559,"No"),"")</f>
        <v/>
      </c>
    </row>
    <row r="560" customFormat="false" ht="15" hidden="false" customHeight="false" outlineLevel="0" collapsed="false">
      <c r="A560" s="10" t="s">
        <v>723</v>
      </c>
      <c r="B560" s="10" t="s">
        <v>338</v>
      </c>
      <c r="C560" s="10" t="s">
        <v>354</v>
      </c>
      <c r="D560" s="8" t="s">
        <v>355</v>
      </c>
      <c r="E560" s="8" t="s">
        <v>356</v>
      </c>
      <c r="F560" s="10" t="s">
        <v>99</v>
      </c>
      <c r="G560" s="11" t="s">
        <v>16</v>
      </c>
      <c r="H560" s="66"/>
      <c r="I560" s="67" t="n">
        <v>45967</v>
      </c>
      <c r="J560" s="10" t="s">
        <v>687</v>
      </c>
      <c r="K560" s="68" t="str">
        <f aca="false">IF(G560="No",MAX(0,AsOfDate-I560),"")</f>
        <v/>
      </c>
      <c r="L560" s="12" t="str">
        <f aca="false">IF(K560="","",IF(K560&lt;=90,"0-90",IF(K560&lt;=180,"91-180",IF(K560&lt;=270,"181-270","&gt;270"))))</f>
        <v/>
      </c>
      <c r="M560" s="12" t="str">
        <f aca="false">IF(G560="Obs",COUNTIF(G$2:G560,"Obs"),"")</f>
        <v/>
      </c>
      <c r="N560" s="12" t="str">
        <f aca="false">IF(G560="No",COUNTIF(G$2:G560,"No"),"")</f>
        <v/>
      </c>
    </row>
    <row r="561" customFormat="false" ht="15" hidden="false" customHeight="false" outlineLevel="0" collapsed="false">
      <c r="A561" s="69" t="s">
        <v>723</v>
      </c>
      <c r="B561" s="69" t="s">
        <v>338</v>
      </c>
      <c r="C561" s="69" t="s">
        <v>357</v>
      </c>
      <c r="D561" s="70" t="s">
        <v>355</v>
      </c>
      <c r="E561" s="70" t="s">
        <v>358</v>
      </c>
      <c r="F561" s="69" t="s">
        <v>105</v>
      </c>
      <c r="G561" s="71" t="s">
        <v>16</v>
      </c>
      <c r="H561" s="72"/>
      <c r="I561" s="73" t="n">
        <v>45967</v>
      </c>
      <c r="J561" s="69" t="s">
        <v>687</v>
      </c>
      <c r="K561" s="74" t="str">
        <f aca="false">IF(G561="No",MAX(0,AsOfDate-I561),"")</f>
        <v/>
      </c>
      <c r="L561" s="75" t="str">
        <f aca="false">IF(K561="","",IF(K561&lt;=90,"0-90",IF(K561&lt;=180,"91-180",IF(K561&lt;=270,"181-270","&gt;270"))))</f>
        <v/>
      </c>
      <c r="M561" s="75" t="str">
        <f aca="false">IF(G561="Obs",COUNTIF(G$2:G561,"Obs"),"")</f>
        <v/>
      </c>
      <c r="N561" s="75" t="str">
        <f aca="false">IF(G561="No",COUNTIF(G$2:G561,"No"),"")</f>
        <v/>
      </c>
    </row>
    <row r="562" customFormat="false" ht="15" hidden="false" customHeight="false" outlineLevel="0" collapsed="false">
      <c r="A562" s="10" t="s">
        <v>723</v>
      </c>
      <c r="B562" s="10" t="s">
        <v>338</v>
      </c>
      <c r="C562" s="10" t="s">
        <v>359</v>
      </c>
      <c r="D562" s="8" t="s">
        <v>355</v>
      </c>
      <c r="E562" s="8" t="s">
        <v>360</v>
      </c>
      <c r="F562" s="10" t="s">
        <v>99</v>
      </c>
      <c r="G562" s="11" t="s">
        <v>16</v>
      </c>
      <c r="H562" s="66"/>
      <c r="I562" s="67" t="n">
        <v>45967</v>
      </c>
      <c r="J562" s="10" t="s">
        <v>687</v>
      </c>
      <c r="K562" s="68" t="str">
        <f aca="false">IF(G562="No",MAX(0,AsOfDate-I562),"")</f>
        <v/>
      </c>
      <c r="L562" s="12" t="str">
        <f aca="false">IF(K562="","",IF(K562&lt;=90,"0-90",IF(K562&lt;=180,"91-180",IF(K562&lt;=270,"181-270","&gt;270"))))</f>
        <v/>
      </c>
      <c r="M562" s="12" t="str">
        <f aca="false">IF(G562="Obs",COUNTIF(G$2:G562,"Obs"),"")</f>
        <v/>
      </c>
      <c r="N562" s="12" t="str">
        <f aca="false">IF(G562="No",COUNTIF(G$2:G562,"No"),"")</f>
        <v/>
      </c>
    </row>
    <row r="563" customFormat="false" ht="23.85" hidden="false" customHeight="false" outlineLevel="0" collapsed="false">
      <c r="A563" s="69" t="s">
        <v>723</v>
      </c>
      <c r="B563" s="69" t="s">
        <v>338</v>
      </c>
      <c r="C563" s="69" t="s">
        <v>361</v>
      </c>
      <c r="D563" s="70" t="s">
        <v>355</v>
      </c>
      <c r="E563" s="70" t="s">
        <v>362</v>
      </c>
      <c r="F563" s="69" t="s">
        <v>105</v>
      </c>
      <c r="G563" s="71" t="s">
        <v>18</v>
      </c>
      <c r="H563" s="72" t="s">
        <v>616</v>
      </c>
      <c r="I563" s="73" t="n">
        <v>45967</v>
      </c>
      <c r="J563" s="69" t="s">
        <v>687</v>
      </c>
      <c r="K563" s="74" t="n">
        <f aca="false">IF(G563="No",MAX(0,AsOfDate-I563),"")</f>
        <v>216</v>
      </c>
      <c r="L563" s="75" t="str">
        <f aca="false">IF(K563="","",IF(K563&lt;=90,"0-90",IF(K563&lt;=180,"91-180",IF(K563&lt;=270,"181-270","&gt;270"))))</f>
        <v>181-270</v>
      </c>
      <c r="M563" s="75" t="str">
        <f aca="false">IF(G563="Obs",COUNTIF(G$2:G563,"Obs"),"")</f>
        <v/>
      </c>
      <c r="N563" s="75" t="n">
        <f aca="false">IF(G563="No",COUNTIF(G$2:G563,"No"),"")</f>
        <v>42</v>
      </c>
    </row>
    <row r="564" customFormat="false" ht="15" hidden="false" customHeight="false" outlineLevel="0" collapsed="false">
      <c r="A564" s="10" t="s">
        <v>723</v>
      </c>
      <c r="B564" s="10" t="s">
        <v>338</v>
      </c>
      <c r="C564" s="10" t="s">
        <v>363</v>
      </c>
      <c r="D564" s="8" t="s">
        <v>364</v>
      </c>
      <c r="E564" s="8" t="s">
        <v>365</v>
      </c>
      <c r="F564" s="10" t="s">
        <v>99</v>
      </c>
      <c r="G564" s="11" t="s">
        <v>16</v>
      </c>
      <c r="H564" s="66"/>
      <c r="I564" s="67" t="n">
        <v>45967</v>
      </c>
      <c r="J564" s="10" t="s">
        <v>687</v>
      </c>
      <c r="K564" s="68" t="str">
        <f aca="false">IF(G564="No",MAX(0,AsOfDate-I564),"")</f>
        <v/>
      </c>
      <c r="L564" s="12" t="str">
        <f aca="false">IF(K564="","",IF(K564&lt;=90,"0-90",IF(K564&lt;=180,"91-180",IF(K564&lt;=270,"181-270","&gt;270"))))</f>
        <v/>
      </c>
      <c r="M564" s="12" t="str">
        <f aca="false">IF(G564="Obs",COUNTIF(G$2:G564,"Obs"),"")</f>
        <v/>
      </c>
      <c r="N564" s="12" t="str">
        <f aca="false">IF(G564="No",COUNTIF(G$2:G564,"No"),"")</f>
        <v/>
      </c>
    </row>
    <row r="565" customFormat="false" ht="15" hidden="false" customHeight="false" outlineLevel="0" collapsed="false">
      <c r="A565" s="69" t="s">
        <v>723</v>
      </c>
      <c r="B565" s="69" t="s">
        <v>338</v>
      </c>
      <c r="C565" s="69" t="s">
        <v>366</v>
      </c>
      <c r="D565" s="70" t="s">
        <v>364</v>
      </c>
      <c r="E565" s="70" t="s">
        <v>367</v>
      </c>
      <c r="F565" s="69" t="s">
        <v>105</v>
      </c>
      <c r="G565" s="71" t="s">
        <v>16</v>
      </c>
      <c r="H565" s="72"/>
      <c r="I565" s="73" t="n">
        <v>45967</v>
      </c>
      <c r="J565" s="69" t="s">
        <v>687</v>
      </c>
      <c r="K565" s="74" t="str">
        <f aca="false">IF(G565="No",MAX(0,AsOfDate-I565),"")</f>
        <v/>
      </c>
      <c r="L565" s="75" t="str">
        <f aca="false">IF(K565="","",IF(K565&lt;=90,"0-90",IF(K565&lt;=180,"91-180",IF(K565&lt;=270,"181-270","&gt;270"))))</f>
        <v/>
      </c>
      <c r="M565" s="75" t="str">
        <f aca="false">IF(G565="Obs",COUNTIF(G$2:G565,"Obs"),"")</f>
        <v/>
      </c>
      <c r="N565" s="75" t="str">
        <f aca="false">IF(G565="No",COUNTIF(G$2:G565,"No"),"")</f>
        <v/>
      </c>
    </row>
    <row r="566" customFormat="false" ht="15" hidden="false" customHeight="false" outlineLevel="0" collapsed="false">
      <c r="A566" s="10" t="s">
        <v>723</v>
      </c>
      <c r="B566" s="10" t="s">
        <v>338</v>
      </c>
      <c r="C566" s="10" t="s">
        <v>368</v>
      </c>
      <c r="D566" s="8" t="s">
        <v>364</v>
      </c>
      <c r="E566" s="8" t="s">
        <v>369</v>
      </c>
      <c r="F566" s="10" t="s">
        <v>99</v>
      </c>
      <c r="G566" s="11" t="s">
        <v>16</v>
      </c>
      <c r="H566" s="66"/>
      <c r="I566" s="67" t="n">
        <v>45967</v>
      </c>
      <c r="J566" s="10" t="s">
        <v>687</v>
      </c>
      <c r="K566" s="68" t="str">
        <f aca="false">IF(G566="No",MAX(0,AsOfDate-I566),"")</f>
        <v/>
      </c>
      <c r="L566" s="12" t="str">
        <f aca="false">IF(K566="","",IF(K566&lt;=90,"0-90",IF(K566&lt;=180,"91-180",IF(K566&lt;=270,"181-270","&gt;270"))))</f>
        <v/>
      </c>
      <c r="M566" s="12" t="str">
        <f aca="false">IF(G566="Obs",COUNTIF(G$2:G566,"Obs"),"")</f>
        <v/>
      </c>
      <c r="N566" s="12" t="str">
        <f aca="false">IF(G566="No",COUNTIF(G$2:G566,"No"),"")</f>
        <v/>
      </c>
    </row>
    <row r="567" customFormat="false" ht="15" hidden="false" customHeight="false" outlineLevel="0" collapsed="false">
      <c r="A567" s="69" t="s">
        <v>723</v>
      </c>
      <c r="B567" s="69" t="s">
        <v>338</v>
      </c>
      <c r="C567" s="69" t="s">
        <v>370</v>
      </c>
      <c r="D567" s="70" t="s">
        <v>371</v>
      </c>
      <c r="E567" s="70" t="s">
        <v>372</v>
      </c>
      <c r="F567" s="69" t="s">
        <v>99</v>
      </c>
      <c r="G567" s="71" t="s">
        <v>16</v>
      </c>
      <c r="H567" s="72"/>
      <c r="I567" s="73" t="n">
        <v>45967</v>
      </c>
      <c r="J567" s="69" t="s">
        <v>687</v>
      </c>
      <c r="K567" s="74" t="str">
        <f aca="false">IF(G567="No",MAX(0,AsOfDate-I567),"")</f>
        <v/>
      </c>
      <c r="L567" s="75" t="str">
        <f aca="false">IF(K567="","",IF(K567&lt;=90,"0-90",IF(K567&lt;=180,"91-180",IF(K567&lt;=270,"181-270","&gt;270"))))</f>
        <v/>
      </c>
      <c r="M567" s="75" t="str">
        <f aca="false">IF(G567="Obs",COUNTIF(G$2:G567,"Obs"),"")</f>
        <v/>
      </c>
      <c r="N567" s="75" t="str">
        <f aca="false">IF(G567="No",COUNTIF(G$2:G567,"No"),"")</f>
        <v/>
      </c>
    </row>
    <row r="568" customFormat="false" ht="15" hidden="false" customHeight="false" outlineLevel="0" collapsed="false">
      <c r="A568" s="10" t="s">
        <v>723</v>
      </c>
      <c r="B568" s="10" t="s">
        <v>338</v>
      </c>
      <c r="C568" s="10" t="s">
        <v>373</v>
      </c>
      <c r="D568" s="8" t="s">
        <v>371</v>
      </c>
      <c r="E568" s="8" t="s">
        <v>374</v>
      </c>
      <c r="F568" s="10" t="s">
        <v>105</v>
      </c>
      <c r="G568" s="11" t="s">
        <v>16</v>
      </c>
      <c r="H568" s="66"/>
      <c r="I568" s="67" t="n">
        <v>45967</v>
      </c>
      <c r="J568" s="10" t="s">
        <v>687</v>
      </c>
      <c r="K568" s="68" t="str">
        <f aca="false">IF(G568="No",MAX(0,AsOfDate-I568),"")</f>
        <v/>
      </c>
      <c r="L568" s="12" t="str">
        <f aca="false">IF(K568="","",IF(K568&lt;=90,"0-90",IF(K568&lt;=180,"91-180",IF(K568&lt;=270,"181-270","&gt;270"))))</f>
        <v/>
      </c>
      <c r="M568" s="12" t="str">
        <f aca="false">IF(G568="Obs",COUNTIF(G$2:G568,"Obs"),"")</f>
        <v/>
      </c>
      <c r="N568" s="12" t="str">
        <f aca="false">IF(G568="No",COUNTIF(G$2:G568,"No"),"")</f>
        <v/>
      </c>
    </row>
    <row r="569" customFormat="false" ht="15" hidden="false" customHeight="false" outlineLevel="0" collapsed="false">
      <c r="A569" s="69" t="s">
        <v>723</v>
      </c>
      <c r="B569" s="69" t="s">
        <v>338</v>
      </c>
      <c r="C569" s="69" t="s">
        <v>375</v>
      </c>
      <c r="D569" s="70" t="s">
        <v>371</v>
      </c>
      <c r="E569" s="70" t="s">
        <v>376</v>
      </c>
      <c r="F569" s="69" t="s">
        <v>99</v>
      </c>
      <c r="G569" s="71" t="s">
        <v>16</v>
      </c>
      <c r="H569" s="72"/>
      <c r="I569" s="73" t="n">
        <v>45967</v>
      </c>
      <c r="J569" s="69" t="s">
        <v>687</v>
      </c>
      <c r="K569" s="74" t="str">
        <f aca="false">IF(G569="No",MAX(0,AsOfDate-I569),"")</f>
        <v/>
      </c>
      <c r="L569" s="75" t="str">
        <f aca="false">IF(K569="","",IF(K569&lt;=90,"0-90",IF(K569&lt;=180,"91-180",IF(K569&lt;=270,"181-270","&gt;270"))))</f>
        <v/>
      </c>
      <c r="M569" s="75" t="str">
        <f aca="false">IF(G569="Obs",COUNTIF(G$2:G569,"Obs"),"")</f>
        <v/>
      </c>
      <c r="N569" s="75" t="str">
        <f aca="false">IF(G569="No",COUNTIF(G$2:G569,"No"),"")</f>
        <v/>
      </c>
    </row>
    <row r="570" customFormat="false" ht="23.85" hidden="false" customHeight="false" outlineLevel="0" collapsed="false">
      <c r="A570" s="10" t="s">
        <v>723</v>
      </c>
      <c r="B570" s="10" t="s">
        <v>338</v>
      </c>
      <c r="C570" s="10" t="s">
        <v>377</v>
      </c>
      <c r="D570" s="8" t="s">
        <v>378</v>
      </c>
      <c r="E570" s="8" t="s">
        <v>379</v>
      </c>
      <c r="F570" s="10" t="s">
        <v>105</v>
      </c>
      <c r="G570" s="11" t="s">
        <v>22</v>
      </c>
      <c r="H570" s="66" t="s">
        <v>621</v>
      </c>
      <c r="I570" s="67" t="n">
        <v>45967</v>
      </c>
      <c r="J570" s="10" t="s">
        <v>687</v>
      </c>
      <c r="K570" s="68" t="str">
        <f aca="false">IF(G570="No",MAX(0,AsOfDate-I570),"")</f>
        <v/>
      </c>
      <c r="L570" s="12" t="str">
        <f aca="false">IF(K570="","",IF(K570&lt;=90,"0-90",IF(K570&lt;=180,"91-180",IF(K570&lt;=270,"181-270","&gt;270"))))</f>
        <v/>
      </c>
      <c r="M570" s="12" t="n">
        <f aca="false">IF(G570="Obs",COUNTIF(G$2:G570,"Obs"),"")</f>
        <v>37</v>
      </c>
      <c r="N570" s="12" t="str">
        <f aca="false">IF(G570="No",COUNTIF(G$2:G570,"No"),"")</f>
        <v/>
      </c>
    </row>
    <row r="571" customFormat="false" ht="15" hidden="false" customHeight="false" outlineLevel="0" collapsed="false">
      <c r="A571" s="69" t="s">
        <v>723</v>
      </c>
      <c r="B571" s="69" t="s">
        <v>338</v>
      </c>
      <c r="C571" s="69" t="s">
        <v>380</v>
      </c>
      <c r="D571" s="70" t="s">
        <v>378</v>
      </c>
      <c r="E571" s="70" t="s">
        <v>381</v>
      </c>
      <c r="F571" s="69" t="s">
        <v>99</v>
      </c>
      <c r="G571" s="71" t="s">
        <v>16</v>
      </c>
      <c r="H571" s="72"/>
      <c r="I571" s="73" t="n">
        <v>45967</v>
      </c>
      <c r="J571" s="69" t="s">
        <v>687</v>
      </c>
      <c r="K571" s="74" t="str">
        <f aca="false">IF(G571="No",MAX(0,AsOfDate-I571),"")</f>
        <v/>
      </c>
      <c r="L571" s="75" t="str">
        <f aca="false">IF(K571="","",IF(K571&lt;=90,"0-90",IF(K571&lt;=180,"91-180",IF(K571&lt;=270,"181-270","&gt;270"))))</f>
        <v/>
      </c>
      <c r="M571" s="75" t="str">
        <f aca="false">IF(G571="Obs",COUNTIF(G$2:G571,"Obs"),"")</f>
        <v/>
      </c>
      <c r="N571" s="75" t="str">
        <f aca="false">IF(G571="No",COUNTIF(G$2:G571,"No"),"")</f>
        <v/>
      </c>
    </row>
    <row r="572" customFormat="false" ht="15" hidden="false" customHeight="false" outlineLevel="0" collapsed="false">
      <c r="A572" s="10" t="s">
        <v>725</v>
      </c>
      <c r="B572" s="10" t="s">
        <v>338</v>
      </c>
      <c r="C572" s="10" t="s">
        <v>337</v>
      </c>
      <c r="D572" s="8" t="s">
        <v>339</v>
      </c>
      <c r="E572" s="8" t="s">
        <v>340</v>
      </c>
      <c r="F572" s="10" t="s">
        <v>99</v>
      </c>
      <c r="G572" s="11" t="s">
        <v>22</v>
      </c>
      <c r="H572" s="66" t="s">
        <v>536</v>
      </c>
      <c r="I572" s="67" t="n">
        <v>46072</v>
      </c>
      <c r="J572" s="10" t="s">
        <v>690</v>
      </c>
      <c r="K572" s="68" t="str">
        <f aca="false">IF(G572="No",MAX(0,AsOfDate-I572),"")</f>
        <v/>
      </c>
      <c r="L572" s="12" t="str">
        <f aca="false">IF(K572="","",IF(K572&lt;=90,"0-90",IF(K572&lt;=180,"91-180",IF(K572&lt;=270,"181-270","&gt;270"))))</f>
        <v/>
      </c>
      <c r="M572" s="12" t="n">
        <f aca="false">IF(G572="Obs",COUNTIF(G$2:G572,"Obs"),"")</f>
        <v>38</v>
      </c>
      <c r="N572" s="12" t="str">
        <f aca="false">IF(G572="No",COUNTIF(G$2:G572,"No"),"")</f>
        <v/>
      </c>
    </row>
    <row r="573" customFormat="false" ht="15" hidden="false" customHeight="false" outlineLevel="0" collapsed="false">
      <c r="A573" s="69" t="s">
        <v>725</v>
      </c>
      <c r="B573" s="69" t="s">
        <v>338</v>
      </c>
      <c r="C573" s="69" t="s">
        <v>341</v>
      </c>
      <c r="D573" s="70" t="s">
        <v>339</v>
      </c>
      <c r="E573" s="70" t="s">
        <v>342</v>
      </c>
      <c r="F573" s="69" t="s">
        <v>99</v>
      </c>
      <c r="G573" s="71" t="s">
        <v>16</v>
      </c>
      <c r="H573" s="72"/>
      <c r="I573" s="73" t="n">
        <v>46072</v>
      </c>
      <c r="J573" s="69" t="s">
        <v>690</v>
      </c>
      <c r="K573" s="74" t="str">
        <f aca="false">IF(G573="No",MAX(0,AsOfDate-I573),"")</f>
        <v/>
      </c>
      <c r="L573" s="75" t="str">
        <f aca="false">IF(K573="","",IF(K573&lt;=90,"0-90",IF(K573&lt;=180,"91-180",IF(K573&lt;=270,"181-270","&gt;270"))))</f>
        <v/>
      </c>
      <c r="M573" s="75" t="str">
        <f aca="false">IF(G573="Obs",COUNTIF(G$2:G573,"Obs"),"")</f>
        <v/>
      </c>
      <c r="N573" s="75" t="str">
        <f aca="false">IF(G573="No",COUNTIF(G$2:G573,"No"),"")</f>
        <v/>
      </c>
    </row>
    <row r="574" customFormat="false" ht="15" hidden="false" customHeight="false" outlineLevel="0" collapsed="false">
      <c r="A574" s="10" t="s">
        <v>725</v>
      </c>
      <c r="B574" s="10" t="s">
        <v>338</v>
      </c>
      <c r="C574" s="10" t="s">
        <v>343</v>
      </c>
      <c r="D574" s="8" t="s">
        <v>339</v>
      </c>
      <c r="E574" s="8" t="s">
        <v>344</v>
      </c>
      <c r="F574" s="10" t="s">
        <v>105</v>
      </c>
      <c r="G574" s="11" t="s">
        <v>16</v>
      </c>
      <c r="H574" s="66"/>
      <c r="I574" s="67" t="n">
        <v>46072</v>
      </c>
      <c r="J574" s="10" t="s">
        <v>690</v>
      </c>
      <c r="K574" s="68" t="str">
        <f aca="false">IF(G574="No",MAX(0,AsOfDate-I574),"")</f>
        <v/>
      </c>
      <c r="L574" s="12" t="str">
        <f aca="false">IF(K574="","",IF(K574&lt;=90,"0-90",IF(K574&lt;=180,"91-180",IF(K574&lt;=270,"181-270","&gt;270"))))</f>
        <v/>
      </c>
      <c r="M574" s="12" t="str">
        <f aca="false">IF(G574="Obs",COUNTIF(G$2:G574,"Obs"),"")</f>
        <v/>
      </c>
      <c r="N574" s="12" t="str">
        <f aca="false">IF(G574="No",COUNTIF(G$2:G574,"No"),"")</f>
        <v/>
      </c>
    </row>
    <row r="575" customFormat="false" ht="15" hidden="false" customHeight="false" outlineLevel="0" collapsed="false">
      <c r="A575" s="69" t="s">
        <v>725</v>
      </c>
      <c r="B575" s="69" t="s">
        <v>338</v>
      </c>
      <c r="C575" s="69" t="s">
        <v>345</v>
      </c>
      <c r="D575" s="70" t="s">
        <v>339</v>
      </c>
      <c r="E575" s="70" t="s">
        <v>346</v>
      </c>
      <c r="F575" s="69" t="s">
        <v>105</v>
      </c>
      <c r="G575" s="71" t="s">
        <v>16</v>
      </c>
      <c r="H575" s="72"/>
      <c r="I575" s="73" t="n">
        <v>46072</v>
      </c>
      <c r="J575" s="69" t="s">
        <v>690</v>
      </c>
      <c r="K575" s="74" t="str">
        <f aca="false">IF(G575="No",MAX(0,AsOfDate-I575),"")</f>
        <v/>
      </c>
      <c r="L575" s="75" t="str">
        <f aca="false">IF(K575="","",IF(K575&lt;=90,"0-90",IF(K575&lt;=180,"91-180",IF(K575&lt;=270,"181-270","&gt;270"))))</f>
        <v/>
      </c>
      <c r="M575" s="75" t="str">
        <f aca="false">IF(G575="Obs",COUNTIF(G$2:G575,"Obs"),"")</f>
        <v/>
      </c>
      <c r="N575" s="75" t="str">
        <f aca="false">IF(G575="No",COUNTIF(G$2:G575,"No"),"")</f>
        <v/>
      </c>
    </row>
    <row r="576" customFormat="false" ht="15" hidden="false" customHeight="false" outlineLevel="0" collapsed="false">
      <c r="A576" s="10" t="s">
        <v>725</v>
      </c>
      <c r="B576" s="10" t="s">
        <v>338</v>
      </c>
      <c r="C576" s="10" t="s">
        <v>347</v>
      </c>
      <c r="D576" s="8" t="s">
        <v>348</v>
      </c>
      <c r="E576" s="8" t="s">
        <v>349</v>
      </c>
      <c r="F576" s="10" t="s">
        <v>99</v>
      </c>
      <c r="G576" s="11" t="s">
        <v>16</v>
      </c>
      <c r="H576" s="66"/>
      <c r="I576" s="67" t="n">
        <v>46072</v>
      </c>
      <c r="J576" s="10" t="s">
        <v>690</v>
      </c>
      <c r="K576" s="68" t="str">
        <f aca="false">IF(G576="No",MAX(0,AsOfDate-I576),"")</f>
        <v/>
      </c>
      <c r="L576" s="12" t="str">
        <f aca="false">IF(K576="","",IF(K576&lt;=90,"0-90",IF(K576&lt;=180,"91-180",IF(K576&lt;=270,"181-270","&gt;270"))))</f>
        <v/>
      </c>
      <c r="M576" s="12" t="str">
        <f aca="false">IF(G576="Obs",COUNTIF(G$2:G576,"Obs"),"")</f>
        <v/>
      </c>
      <c r="N576" s="12" t="str">
        <f aca="false">IF(G576="No",COUNTIF(G$2:G576,"No"),"")</f>
        <v/>
      </c>
    </row>
    <row r="577" customFormat="false" ht="15" hidden="false" customHeight="false" outlineLevel="0" collapsed="false">
      <c r="A577" s="69" t="s">
        <v>725</v>
      </c>
      <c r="B577" s="69" t="s">
        <v>338</v>
      </c>
      <c r="C577" s="69" t="s">
        <v>350</v>
      </c>
      <c r="D577" s="70" t="s">
        <v>348</v>
      </c>
      <c r="E577" s="70" t="s">
        <v>351</v>
      </c>
      <c r="F577" s="69" t="s">
        <v>105</v>
      </c>
      <c r="G577" s="71" t="s">
        <v>16</v>
      </c>
      <c r="H577" s="72"/>
      <c r="I577" s="73" t="n">
        <v>46072</v>
      </c>
      <c r="J577" s="69" t="s">
        <v>690</v>
      </c>
      <c r="K577" s="74" t="str">
        <f aca="false">IF(G577="No",MAX(0,AsOfDate-I577),"")</f>
        <v/>
      </c>
      <c r="L577" s="75" t="str">
        <f aca="false">IF(K577="","",IF(K577&lt;=90,"0-90",IF(K577&lt;=180,"91-180",IF(K577&lt;=270,"181-270","&gt;270"))))</f>
        <v/>
      </c>
      <c r="M577" s="75" t="str">
        <f aca="false">IF(G577="Obs",COUNTIF(G$2:G577,"Obs"),"")</f>
        <v/>
      </c>
      <c r="N577" s="75" t="str">
        <f aca="false">IF(G577="No",COUNTIF(G$2:G577,"No"),"")</f>
        <v/>
      </c>
    </row>
    <row r="578" customFormat="false" ht="15" hidden="false" customHeight="false" outlineLevel="0" collapsed="false">
      <c r="A578" s="10" t="s">
        <v>725</v>
      </c>
      <c r="B578" s="10" t="s">
        <v>338</v>
      </c>
      <c r="C578" s="10" t="s">
        <v>352</v>
      </c>
      <c r="D578" s="8" t="s">
        <v>348</v>
      </c>
      <c r="E578" s="8" t="s">
        <v>353</v>
      </c>
      <c r="F578" s="10" t="s">
        <v>99</v>
      </c>
      <c r="G578" s="11" t="s">
        <v>16</v>
      </c>
      <c r="H578" s="66"/>
      <c r="I578" s="67" t="n">
        <v>46072</v>
      </c>
      <c r="J578" s="10" t="s">
        <v>690</v>
      </c>
      <c r="K578" s="68" t="str">
        <f aca="false">IF(G578="No",MAX(0,AsOfDate-I578),"")</f>
        <v/>
      </c>
      <c r="L578" s="12" t="str">
        <f aca="false">IF(K578="","",IF(K578&lt;=90,"0-90",IF(K578&lt;=180,"91-180",IF(K578&lt;=270,"181-270","&gt;270"))))</f>
        <v/>
      </c>
      <c r="M578" s="12" t="str">
        <f aca="false">IF(G578="Obs",COUNTIF(G$2:G578,"Obs"),"")</f>
        <v/>
      </c>
      <c r="N578" s="12" t="str">
        <f aca="false">IF(G578="No",COUNTIF(G$2:G578,"No"),"")</f>
        <v/>
      </c>
    </row>
    <row r="579" customFormat="false" ht="15" hidden="false" customHeight="false" outlineLevel="0" collapsed="false">
      <c r="A579" s="69" t="s">
        <v>725</v>
      </c>
      <c r="B579" s="69" t="s">
        <v>338</v>
      </c>
      <c r="C579" s="69" t="s">
        <v>354</v>
      </c>
      <c r="D579" s="70" t="s">
        <v>355</v>
      </c>
      <c r="E579" s="70" t="s">
        <v>356</v>
      </c>
      <c r="F579" s="69" t="s">
        <v>99</v>
      </c>
      <c r="G579" s="71" t="s">
        <v>20</v>
      </c>
      <c r="H579" s="72"/>
      <c r="I579" s="73" t="n">
        <v>46072</v>
      </c>
      <c r="J579" s="69" t="s">
        <v>690</v>
      </c>
      <c r="K579" s="74" t="str">
        <f aca="false">IF(G579="No",MAX(0,AsOfDate-I579),"")</f>
        <v/>
      </c>
      <c r="L579" s="75" t="str">
        <f aca="false">IF(K579="","",IF(K579&lt;=90,"0-90",IF(K579&lt;=180,"91-180",IF(K579&lt;=270,"181-270","&gt;270"))))</f>
        <v/>
      </c>
      <c r="M579" s="75" t="str">
        <f aca="false">IF(G579="Obs",COUNTIF(G$2:G579,"Obs"),"")</f>
        <v/>
      </c>
      <c r="N579" s="75" t="str">
        <f aca="false">IF(G579="No",COUNTIF(G$2:G579,"No"),"")</f>
        <v/>
      </c>
    </row>
    <row r="580" customFormat="false" ht="15" hidden="false" customHeight="false" outlineLevel="0" collapsed="false">
      <c r="A580" s="10" t="s">
        <v>725</v>
      </c>
      <c r="B580" s="10" t="s">
        <v>338</v>
      </c>
      <c r="C580" s="10" t="s">
        <v>357</v>
      </c>
      <c r="D580" s="8" t="s">
        <v>355</v>
      </c>
      <c r="E580" s="8" t="s">
        <v>358</v>
      </c>
      <c r="F580" s="10" t="s">
        <v>105</v>
      </c>
      <c r="G580" s="11" t="s">
        <v>18</v>
      </c>
      <c r="H580" s="66" t="s">
        <v>496</v>
      </c>
      <c r="I580" s="67" t="n">
        <v>46072</v>
      </c>
      <c r="J580" s="10" t="s">
        <v>690</v>
      </c>
      <c r="K580" s="68" t="n">
        <f aca="false">IF(G580="No",MAX(0,AsOfDate-I580),"")</f>
        <v>111</v>
      </c>
      <c r="L580" s="12" t="str">
        <f aca="false">IF(K580="","",IF(K580&lt;=90,"0-90",IF(K580&lt;=180,"91-180",IF(K580&lt;=270,"181-270","&gt;270"))))</f>
        <v>91-180</v>
      </c>
      <c r="M580" s="12" t="str">
        <f aca="false">IF(G580="Obs",COUNTIF(G$2:G580,"Obs"),"")</f>
        <v/>
      </c>
      <c r="N580" s="12" t="n">
        <f aca="false">IF(G580="No",COUNTIF(G$2:G580,"No"),"")</f>
        <v>43</v>
      </c>
    </row>
    <row r="581" customFormat="false" ht="15" hidden="false" customHeight="false" outlineLevel="0" collapsed="false">
      <c r="A581" s="69" t="s">
        <v>725</v>
      </c>
      <c r="B581" s="69" t="s">
        <v>338</v>
      </c>
      <c r="C581" s="69" t="s">
        <v>359</v>
      </c>
      <c r="D581" s="70" t="s">
        <v>355</v>
      </c>
      <c r="E581" s="70" t="s">
        <v>360</v>
      </c>
      <c r="F581" s="69" t="s">
        <v>99</v>
      </c>
      <c r="G581" s="71" t="s">
        <v>16</v>
      </c>
      <c r="H581" s="72"/>
      <c r="I581" s="73" t="n">
        <v>46072</v>
      </c>
      <c r="J581" s="69" t="s">
        <v>690</v>
      </c>
      <c r="K581" s="74" t="str">
        <f aca="false">IF(G581="No",MAX(0,AsOfDate-I581),"")</f>
        <v/>
      </c>
      <c r="L581" s="75" t="str">
        <f aca="false">IF(K581="","",IF(K581&lt;=90,"0-90",IF(K581&lt;=180,"91-180",IF(K581&lt;=270,"181-270","&gt;270"))))</f>
        <v/>
      </c>
      <c r="M581" s="75" t="str">
        <f aca="false">IF(G581="Obs",COUNTIF(G$2:G581,"Obs"),"")</f>
        <v/>
      </c>
      <c r="N581" s="75" t="str">
        <f aca="false">IF(G581="No",COUNTIF(G$2:G581,"No"),"")</f>
        <v/>
      </c>
    </row>
    <row r="582" customFormat="false" ht="15" hidden="false" customHeight="false" outlineLevel="0" collapsed="false">
      <c r="A582" s="10" t="s">
        <v>725</v>
      </c>
      <c r="B582" s="10" t="s">
        <v>338</v>
      </c>
      <c r="C582" s="10" t="s">
        <v>361</v>
      </c>
      <c r="D582" s="8" t="s">
        <v>355</v>
      </c>
      <c r="E582" s="8" t="s">
        <v>362</v>
      </c>
      <c r="F582" s="10" t="s">
        <v>105</v>
      </c>
      <c r="G582" s="11" t="s">
        <v>16</v>
      </c>
      <c r="H582" s="66"/>
      <c r="I582" s="67" t="n">
        <v>46072</v>
      </c>
      <c r="J582" s="10" t="s">
        <v>690</v>
      </c>
      <c r="K582" s="68" t="str">
        <f aca="false">IF(G582="No",MAX(0,AsOfDate-I582),"")</f>
        <v/>
      </c>
      <c r="L582" s="12" t="str">
        <f aca="false">IF(K582="","",IF(K582&lt;=90,"0-90",IF(K582&lt;=180,"91-180",IF(K582&lt;=270,"181-270","&gt;270"))))</f>
        <v/>
      </c>
      <c r="M582" s="12" t="str">
        <f aca="false">IF(G582="Obs",COUNTIF(G$2:G582,"Obs"),"")</f>
        <v/>
      </c>
      <c r="N582" s="12" t="str">
        <f aca="false">IF(G582="No",COUNTIF(G$2:G582,"No"),"")</f>
        <v/>
      </c>
    </row>
    <row r="583" customFormat="false" ht="15" hidden="false" customHeight="false" outlineLevel="0" collapsed="false">
      <c r="A583" s="69" t="s">
        <v>725</v>
      </c>
      <c r="B583" s="69" t="s">
        <v>338</v>
      </c>
      <c r="C583" s="69" t="s">
        <v>363</v>
      </c>
      <c r="D583" s="70" t="s">
        <v>364</v>
      </c>
      <c r="E583" s="70" t="s">
        <v>365</v>
      </c>
      <c r="F583" s="69" t="s">
        <v>99</v>
      </c>
      <c r="G583" s="71" t="s">
        <v>16</v>
      </c>
      <c r="H583" s="72"/>
      <c r="I583" s="73" t="n">
        <v>46072</v>
      </c>
      <c r="J583" s="69" t="s">
        <v>690</v>
      </c>
      <c r="K583" s="74" t="str">
        <f aca="false">IF(G583="No",MAX(0,AsOfDate-I583),"")</f>
        <v/>
      </c>
      <c r="L583" s="75" t="str">
        <f aca="false">IF(K583="","",IF(K583&lt;=90,"0-90",IF(K583&lt;=180,"91-180",IF(K583&lt;=270,"181-270","&gt;270"))))</f>
        <v/>
      </c>
      <c r="M583" s="75" t="str">
        <f aca="false">IF(G583="Obs",COUNTIF(G$2:G583,"Obs"),"")</f>
        <v/>
      </c>
      <c r="N583" s="75" t="str">
        <f aca="false">IF(G583="No",COUNTIF(G$2:G583,"No"),"")</f>
        <v/>
      </c>
    </row>
    <row r="584" customFormat="false" ht="15" hidden="false" customHeight="false" outlineLevel="0" collapsed="false">
      <c r="A584" s="10" t="s">
        <v>725</v>
      </c>
      <c r="B584" s="10" t="s">
        <v>338</v>
      </c>
      <c r="C584" s="10" t="s">
        <v>366</v>
      </c>
      <c r="D584" s="8" t="s">
        <v>364</v>
      </c>
      <c r="E584" s="8" t="s">
        <v>367</v>
      </c>
      <c r="F584" s="10" t="s">
        <v>105</v>
      </c>
      <c r="G584" s="11" t="s">
        <v>22</v>
      </c>
      <c r="H584" s="66" t="s">
        <v>536</v>
      </c>
      <c r="I584" s="67" t="n">
        <v>46072</v>
      </c>
      <c r="J584" s="10" t="s">
        <v>690</v>
      </c>
      <c r="K584" s="68" t="str">
        <f aca="false">IF(G584="No",MAX(0,AsOfDate-I584),"")</f>
        <v/>
      </c>
      <c r="L584" s="12" t="str">
        <f aca="false">IF(K584="","",IF(K584&lt;=90,"0-90",IF(K584&lt;=180,"91-180",IF(K584&lt;=270,"181-270","&gt;270"))))</f>
        <v/>
      </c>
      <c r="M584" s="12" t="n">
        <f aca="false">IF(G584="Obs",COUNTIF(G$2:G584,"Obs"),"")</f>
        <v>39</v>
      </c>
      <c r="N584" s="12" t="str">
        <f aca="false">IF(G584="No",COUNTIF(G$2:G584,"No"),"")</f>
        <v/>
      </c>
    </row>
    <row r="585" customFormat="false" ht="15" hidden="false" customHeight="false" outlineLevel="0" collapsed="false">
      <c r="A585" s="69" t="s">
        <v>725</v>
      </c>
      <c r="B585" s="69" t="s">
        <v>338</v>
      </c>
      <c r="C585" s="69" t="s">
        <v>368</v>
      </c>
      <c r="D585" s="70" t="s">
        <v>364</v>
      </c>
      <c r="E585" s="70" t="s">
        <v>369</v>
      </c>
      <c r="F585" s="69" t="s">
        <v>99</v>
      </c>
      <c r="G585" s="71" t="s">
        <v>16</v>
      </c>
      <c r="H585" s="72"/>
      <c r="I585" s="73" t="n">
        <v>46072</v>
      </c>
      <c r="J585" s="69" t="s">
        <v>690</v>
      </c>
      <c r="K585" s="74" t="str">
        <f aca="false">IF(G585="No",MAX(0,AsOfDate-I585),"")</f>
        <v/>
      </c>
      <c r="L585" s="75" t="str">
        <f aca="false">IF(K585="","",IF(K585&lt;=90,"0-90",IF(K585&lt;=180,"91-180",IF(K585&lt;=270,"181-270","&gt;270"))))</f>
        <v/>
      </c>
      <c r="M585" s="75" t="str">
        <f aca="false">IF(G585="Obs",COUNTIF(G$2:G585,"Obs"),"")</f>
        <v/>
      </c>
      <c r="N585" s="75" t="str">
        <f aca="false">IF(G585="No",COUNTIF(G$2:G585,"No"),"")</f>
        <v/>
      </c>
    </row>
    <row r="586" customFormat="false" ht="15" hidden="false" customHeight="false" outlineLevel="0" collapsed="false">
      <c r="A586" s="10" t="s">
        <v>725</v>
      </c>
      <c r="B586" s="10" t="s">
        <v>338</v>
      </c>
      <c r="C586" s="10" t="s">
        <v>370</v>
      </c>
      <c r="D586" s="8" t="s">
        <v>371</v>
      </c>
      <c r="E586" s="8" t="s">
        <v>372</v>
      </c>
      <c r="F586" s="10" t="s">
        <v>99</v>
      </c>
      <c r="G586" s="11" t="s">
        <v>16</v>
      </c>
      <c r="H586" s="66"/>
      <c r="I586" s="67" t="n">
        <v>46072</v>
      </c>
      <c r="J586" s="10" t="s">
        <v>690</v>
      </c>
      <c r="K586" s="68" t="str">
        <f aca="false">IF(G586="No",MAX(0,AsOfDate-I586),"")</f>
        <v/>
      </c>
      <c r="L586" s="12" t="str">
        <f aca="false">IF(K586="","",IF(K586&lt;=90,"0-90",IF(K586&lt;=180,"91-180",IF(K586&lt;=270,"181-270","&gt;270"))))</f>
        <v/>
      </c>
      <c r="M586" s="12" t="str">
        <f aca="false">IF(G586="Obs",COUNTIF(G$2:G586,"Obs"),"")</f>
        <v/>
      </c>
      <c r="N586" s="12" t="str">
        <f aca="false">IF(G586="No",COUNTIF(G$2:G586,"No"),"")</f>
        <v/>
      </c>
    </row>
    <row r="587" customFormat="false" ht="15" hidden="false" customHeight="false" outlineLevel="0" collapsed="false">
      <c r="A587" s="69" t="s">
        <v>725</v>
      </c>
      <c r="B587" s="69" t="s">
        <v>338</v>
      </c>
      <c r="C587" s="69" t="s">
        <v>373</v>
      </c>
      <c r="D587" s="70" t="s">
        <v>371</v>
      </c>
      <c r="E587" s="70" t="s">
        <v>374</v>
      </c>
      <c r="F587" s="69" t="s">
        <v>105</v>
      </c>
      <c r="G587" s="71" t="s">
        <v>22</v>
      </c>
      <c r="H587" s="72" t="s">
        <v>562</v>
      </c>
      <c r="I587" s="73" t="n">
        <v>46072</v>
      </c>
      <c r="J587" s="69" t="s">
        <v>690</v>
      </c>
      <c r="K587" s="74" t="str">
        <f aca="false">IF(G587="No",MAX(0,AsOfDate-I587),"")</f>
        <v/>
      </c>
      <c r="L587" s="75" t="str">
        <f aca="false">IF(K587="","",IF(K587&lt;=90,"0-90",IF(K587&lt;=180,"91-180",IF(K587&lt;=270,"181-270","&gt;270"))))</f>
        <v/>
      </c>
      <c r="M587" s="75" t="n">
        <f aca="false">IF(G587="Obs",COUNTIF(G$2:G587,"Obs"),"")</f>
        <v>40</v>
      </c>
      <c r="N587" s="75" t="str">
        <f aca="false">IF(G587="No",COUNTIF(G$2:G587,"No"),"")</f>
        <v/>
      </c>
    </row>
    <row r="588" customFormat="false" ht="15" hidden="false" customHeight="false" outlineLevel="0" collapsed="false">
      <c r="A588" s="10" t="s">
        <v>725</v>
      </c>
      <c r="B588" s="10" t="s">
        <v>338</v>
      </c>
      <c r="C588" s="10" t="s">
        <v>375</v>
      </c>
      <c r="D588" s="8" t="s">
        <v>371</v>
      </c>
      <c r="E588" s="8" t="s">
        <v>376</v>
      </c>
      <c r="F588" s="10" t="s">
        <v>99</v>
      </c>
      <c r="G588" s="11" t="s">
        <v>16</v>
      </c>
      <c r="H588" s="66"/>
      <c r="I588" s="67" t="n">
        <v>46072</v>
      </c>
      <c r="J588" s="10" t="s">
        <v>690</v>
      </c>
      <c r="K588" s="68" t="str">
        <f aca="false">IF(G588="No",MAX(0,AsOfDate-I588),"")</f>
        <v/>
      </c>
      <c r="L588" s="12" t="str">
        <f aca="false">IF(K588="","",IF(K588&lt;=90,"0-90",IF(K588&lt;=180,"91-180",IF(K588&lt;=270,"181-270","&gt;270"))))</f>
        <v/>
      </c>
      <c r="M588" s="12" t="str">
        <f aca="false">IF(G588="Obs",COUNTIF(G$2:G588,"Obs"),"")</f>
        <v/>
      </c>
      <c r="N588" s="12" t="str">
        <f aca="false">IF(G588="No",COUNTIF(G$2:G588,"No"),"")</f>
        <v/>
      </c>
    </row>
    <row r="589" customFormat="false" ht="15" hidden="false" customHeight="false" outlineLevel="0" collapsed="false">
      <c r="A589" s="69" t="s">
        <v>725</v>
      </c>
      <c r="B589" s="69" t="s">
        <v>338</v>
      </c>
      <c r="C589" s="69" t="s">
        <v>377</v>
      </c>
      <c r="D589" s="70" t="s">
        <v>378</v>
      </c>
      <c r="E589" s="70" t="s">
        <v>379</v>
      </c>
      <c r="F589" s="69" t="s">
        <v>105</v>
      </c>
      <c r="G589" s="71" t="s">
        <v>16</v>
      </c>
      <c r="H589" s="72"/>
      <c r="I589" s="73" t="n">
        <v>46072</v>
      </c>
      <c r="J589" s="69" t="s">
        <v>690</v>
      </c>
      <c r="K589" s="74" t="str">
        <f aca="false">IF(G589="No",MAX(0,AsOfDate-I589),"")</f>
        <v/>
      </c>
      <c r="L589" s="75" t="str">
        <f aca="false">IF(K589="","",IF(K589&lt;=90,"0-90",IF(K589&lt;=180,"91-180",IF(K589&lt;=270,"181-270","&gt;270"))))</f>
        <v/>
      </c>
      <c r="M589" s="75" t="str">
        <f aca="false">IF(G589="Obs",COUNTIF(G$2:G589,"Obs"),"")</f>
        <v/>
      </c>
      <c r="N589" s="75" t="str">
        <f aca="false">IF(G589="No",COUNTIF(G$2:G589,"No"),"")</f>
        <v/>
      </c>
    </row>
    <row r="590" customFormat="false" ht="15" hidden="false" customHeight="false" outlineLevel="0" collapsed="false">
      <c r="A590" s="10" t="s">
        <v>725</v>
      </c>
      <c r="B590" s="10" t="s">
        <v>338</v>
      </c>
      <c r="C590" s="10" t="s">
        <v>380</v>
      </c>
      <c r="D590" s="8" t="s">
        <v>378</v>
      </c>
      <c r="E590" s="8" t="s">
        <v>381</v>
      </c>
      <c r="F590" s="10" t="s">
        <v>99</v>
      </c>
      <c r="G590" s="11" t="s">
        <v>16</v>
      </c>
      <c r="H590" s="66"/>
      <c r="I590" s="67" t="n">
        <v>46072</v>
      </c>
      <c r="J590" s="10" t="s">
        <v>690</v>
      </c>
      <c r="K590" s="68" t="str">
        <f aca="false">IF(G590="No",MAX(0,AsOfDate-I590),"")</f>
        <v/>
      </c>
      <c r="L590" s="12" t="str">
        <f aca="false">IF(K590="","",IF(K590&lt;=90,"0-90",IF(K590&lt;=180,"91-180",IF(K590&lt;=270,"181-270","&gt;270"))))</f>
        <v/>
      </c>
      <c r="M590" s="12" t="str">
        <f aca="false">IF(G590="Obs",COUNTIF(G$2:G590,"Obs"),"")</f>
        <v/>
      </c>
      <c r="N590" s="12" t="str">
        <f aca="false">IF(G590="No",COUNTIF(G$2:G590,"No"),"")</f>
        <v/>
      </c>
    </row>
    <row r="591" customFormat="false" ht="15" hidden="false" customHeight="false" outlineLevel="0" collapsed="false">
      <c r="A591" s="69" t="s">
        <v>727</v>
      </c>
      <c r="B591" s="69" t="s">
        <v>338</v>
      </c>
      <c r="C591" s="69" t="s">
        <v>337</v>
      </c>
      <c r="D591" s="70" t="s">
        <v>339</v>
      </c>
      <c r="E591" s="70" t="s">
        <v>340</v>
      </c>
      <c r="F591" s="69" t="s">
        <v>99</v>
      </c>
      <c r="G591" s="71" t="s">
        <v>18</v>
      </c>
      <c r="H591" s="72" t="s">
        <v>496</v>
      </c>
      <c r="I591" s="73" t="n">
        <v>46149</v>
      </c>
      <c r="J591" s="69" t="s">
        <v>693</v>
      </c>
      <c r="K591" s="74" t="n">
        <f aca="false">IF(G591="No",MAX(0,AsOfDate-I591),"")</f>
        <v>34</v>
      </c>
      <c r="L591" s="75" t="str">
        <f aca="false">IF(K591="","",IF(K591&lt;=90,"0-90",IF(K591&lt;=180,"91-180",IF(K591&lt;=270,"181-270","&gt;270"))))</f>
        <v>0-90</v>
      </c>
      <c r="M591" s="75" t="str">
        <f aca="false">IF(G591="Obs",COUNTIF(G$2:G591,"Obs"),"")</f>
        <v/>
      </c>
      <c r="N591" s="75" t="n">
        <f aca="false">IF(G591="No",COUNTIF(G$2:G591,"No"),"")</f>
        <v>44</v>
      </c>
    </row>
    <row r="592" customFormat="false" ht="15" hidden="false" customHeight="false" outlineLevel="0" collapsed="false">
      <c r="A592" s="10" t="s">
        <v>727</v>
      </c>
      <c r="B592" s="10" t="s">
        <v>338</v>
      </c>
      <c r="C592" s="10" t="s">
        <v>341</v>
      </c>
      <c r="D592" s="8" t="s">
        <v>339</v>
      </c>
      <c r="E592" s="8" t="s">
        <v>342</v>
      </c>
      <c r="F592" s="10" t="s">
        <v>99</v>
      </c>
      <c r="G592" s="11" t="s">
        <v>16</v>
      </c>
      <c r="H592" s="66"/>
      <c r="I592" s="67" t="n">
        <v>46149</v>
      </c>
      <c r="J592" s="10" t="s">
        <v>693</v>
      </c>
      <c r="K592" s="68" t="str">
        <f aca="false">IF(G592="No",MAX(0,AsOfDate-I592),"")</f>
        <v/>
      </c>
      <c r="L592" s="12" t="str">
        <f aca="false">IF(K592="","",IF(K592&lt;=90,"0-90",IF(K592&lt;=180,"91-180",IF(K592&lt;=270,"181-270","&gt;270"))))</f>
        <v/>
      </c>
      <c r="M592" s="12" t="str">
        <f aca="false">IF(G592="Obs",COUNTIF(G$2:G592,"Obs"),"")</f>
        <v/>
      </c>
      <c r="N592" s="12" t="str">
        <f aca="false">IF(G592="No",COUNTIF(G$2:G592,"No"),"")</f>
        <v/>
      </c>
    </row>
    <row r="593" customFormat="false" ht="15" hidden="false" customHeight="false" outlineLevel="0" collapsed="false">
      <c r="A593" s="69" t="s">
        <v>727</v>
      </c>
      <c r="B593" s="69" t="s">
        <v>338</v>
      </c>
      <c r="C593" s="69" t="s">
        <v>343</v>
      </c>
      <c r="D593" s="70" t="s">
        <v>339</v>
      </c>
      <c r="E593" s="70" t="s">
        <v>344</v>
      </c>
      <c r="F593" s="69" t="s">
        <v>105</v>
      </c>
      <c r="G593" s="71" t="s">
        <v>16</v>
      </c>
      <c r="H593" s="72"/>
      <c r="I593" s="73" t="n">
        <v>46149</v>
      </c>
      <c r="J593" s="69" t="s">
        <v>693</v>
      </c>
      <c r="K593" s="74" t="str">
        <f aca="false">IF(G593="No",MAX(0,AsOfDate-I593),"")</f>
        <v/>
      </c>
      <c r="L593" s="75" t="str">
        <f aca="false">IF(K593="","",IF(K593&lt;=90,"0-90",IF(K593&lt;=180,"91-180",IF(K593&lt;=270,"181-270","&gt;270"))))</f>
        <v/>
      </c>
      <c r="M593" s="75" t="str">
        <f aca="false">IF(G593="Obs",COUNTIF(G$2:G593,"Obs"),"")</f>
        <v/>
      </c>
      <c r="N593" s="75" t="str">
        <f aca="false">IF(G593="No",COUNTIF(G$2:G593,"No"),"")</f>
        <v/>
      </c>
    </row>
    <row r="594" customFormat="false" ht="15" hidden="false" customHeight="false" outlineLevel="0" collapsed="false">
      <c r="A594" s="10" t="s">
        <v>727</v>
      </c>
      <c r="B594" s="10" t="s">
        <v>338</v>
      </c>
      <c r="C594" s="10" t="s">
        <v>345</v>
      </c>
      <c r="D594" s="8" t="s">
        <v>339</v>
      </c>
      <c r="E594" s="8" t="s">
        <v>346</v>
      </c>
      <c r="F594" s="10" t="s">
        <v>105</v>
      </c>
      <c r="G594" s="11" t="s">
        <v>22</v>
      </c>
      <c r="H594" s="66" t="s">
        <v>562</v>
      </c>
      <c r="I594" s="67" t="n">
        <v>46149</v>
      </c>
      <c r="J594" s="10" t="s">
        <v>693</v>
      </c>
      <c r="K594" s="68" t="str">
        <f aca="false">IF(G594="No",MAX(0,AsOfDate-I594),"")</f>
        <v/>
      </c>
      <c r="L594" s="12" t="str">
        <f aca="false">IF(K594="","",IF(K594&lt;=90,"0-90",IF(K594&lt;=180,"91-180",IF(K594&lt;=270,"181-270","&gt;270"))))</f>
        <v/>
      </c>
      <c r="M594" s="12" t="n">
        <f aca="false">IF(G594="Obs",COUNTIF(G$2:G594,"Obs"),"")</f>
        <v>41</v>
      </c>
      <c r="N594" s="12" t="str">
        <f aca="false">IF(G594="No",COUNTIF(G$2:G594,"No"),"")</f>
        <v/>
      </c>
    </row>
    <row r="595" customFormat="false" ht="15" hidden="false" customHeight="false" outlineLevel="0" collapsed="false">
      <c r="A595" s="69" t="s">
        <v>727</v>
      </c>
      <c r="B595" s="69" t="s">
        <v>338</v>
      </c>
      <c r="C595" s="69" t="s">
        <v>347</v>
      </c>
      <c r="D595" s="70" t="s">
        <v>348</v>
      </c>
      <c r="E595" s="70" t="s">
        <v>349</v>
      </c>
      <c r="F595" s="69" t="s">
        <v>99</v>
      </c>
      <c r="G595" s="71" t="s">
        <v>16</v>
      </c>
      <c r="H595" s="72"/>
      <c r="I595" s="73" t="n">
        <v>46149</v>
      </c>
      <c r="J595" s="69" t="s">
        <v>693</v>
      </c>
      <c r="K595" s="74" t="str">
        <f aca="false">IF(G595="No",MAX(0,AsOfDate-I595),"")</f>
        <v/>
      </c>
      <c r="L595" s="75" t="str">
        <f aca="false">IF(K595="","",IF(K595&lt;=90,"0-90",IF(K595&lt;=180,"91-180",IF(K595&lt;=270,"181-270","&gt;270"))))</f>
        <v/>
      </c>
      <c r="M595" s="75" t="str">
        <f aca="false">IF(G595="Obs",COUNTIF(G$2:G595,"Obs"),"")</f>
        <v/>
      </c>
      <c r="N595" s="75" t="str">
        <f aca="false">IF(G595="No",COUNTIF(G$2:G595,"No"),"")</f>
        <v/>
      </c>
    </row>
    <row r="596" customFormat="false" ht="15" hidden="false" customHeight="false" outlineLevel="0" collapsed="false">
      <c r="A596" s="10" t="s">
        <v>727</v>
      </c>
      <c r="B596" s="10" t="s">
        <v>338</v>
      </c>
      <c r="C596" s="10" t="s">
        <v>350</v>
      </c>
      <c r="D596" s="8" t="s">
        <v>348</v>
      </c>
      <c r="E596" s="8" t="s">
        <v>351</v>
      </c>
      <c r="F596" s="10" t="s">
        <v>105</v>
      </c>
      <c r="G596" s="11" t="s">
        <v>16</v>
      </c>
      <c r="H596" s="66"/>
      <c r="I596" s="67" t="n">
        <v>46149</v>
      </c>
      <c r="J596" s="10" t="s">
        <v>693</v>
      </c>
      <c r="K596" s="68" t="str">
        <f aca="false">IF(G596="No",MAX(0,AsOfDate-I596),"")</f>
        <v/>
      </c>
      <c r="L596" s="12" t="str">
        <f aca="false">IF(K596="","",IF(K596&lt;=90,"0-90",IF(K596&lt;=180,"91-180",IF(K596&lt;=270,"181-270","&gt;270"))))</f>
        <v/>
      </c>
      <c r="M596" s="12" t="str">
        <f aca="false">IF(G596="Obs",COUNTIF(G$2:G596,"Obs"),"")</f>
        <v/>
      </c>
      <c r="N596" s="12" t="str">
        <f aca="false">IF(G596="No",COUNTIF(G$2:G596,"No"),"")</f>
        <v/>
      </c>
    </row>
    <row r="597" customFormat="false" ht="15" hidden="false" customHeight="false" outlineLevel="0" collapsed="false">
      <c r="A597" s="69" t="s">
        <v>727</v>
      </c>
      <c r="B597" s="69" t="s">
        <v>338</v>
      </c>
      <c r="C597" s="69" t="s">
        <v>352</v>
      </c>
      <c r="D597" s="70" t="s">
        <v>348</v>
      </c>
      <c r="E597" s="70" t="s">
        <v>353</v>
      </c>
      <c r="F597" s="69" t="s">
        <v>99</v>
      </c>
      <c r="G597" s="71" t="s">
        <v>16</v>
      </c>
      <c r="H597" s="72"/>
      <c r="I597" s="73" t="n">
        <v>46149</v>
      </c>
      <c r="J597" s="69" t="s">
        <v>693</v>
      </c>
      <c r="K597" s="74" t="str">
        <f aca="false">IF(G597="No",MAX(0,AsOfDate-I597),"")</f>
        <v/>
      </c>
      <c r="L597" s="75" t="str">
        <f aca="false">IF(K597="","",IF(K597&lt;=90,"0-90",IF(K597&lt;=180,"91-180",IF(K597&lt;=270,"181-270","&gt;270"))))</f>
        <v/>
      </c>
      <c r="M597" s="75" t="str">
        <f aca="false">IF(G597="Obs",COUNTIF(G$2:G597,"Obs"),"")</f>
        <v/>
      </c>
      <c r="N597" s="75" t="str">
        <f aca="false">IF(G597="No",COUNTIF(G$2:G597,"No"),"")</f>
        <v/>
      </c>
    </row>
    <row r="598" customFormat="false" ht="23.85" hidden="false" customHeight="false" outlineLevel="0" collapsed="false">
      <c r="A598" s="10" t="s">
        <v>727</v>
      </c>
      <c r="B598" s="10" t="s">
        <v>338</v>
      </c>
      <c r="C598" s="10" t="s">
        <v>354</v>
      </c>
      <c r="D598" s="8" t="s">
        <v>355</v>
      </c>
      <c r="E598" s="8" t="s">
        <v>356</v>
      </c>
      <c r="F598" s="10" t="s">
        <v>99</v>
      </c>
      <c r="G598" s="11" t="s">
        <v>18</v>
      </c>
      <c r="H598" s="66" t="s">
        <v>616</v>
      </c>
      <c r="I598" s="67" t="n">
        <v>46149</v>
      </c>
      <c r="J598" s="10" t="s">
        <v>693</v>
      </c>
      <c r="K598" s="68" t="n">
        <f aca="false">IF(G598="No",MAX(0,AsOfDate-I598),"")</f>
        <v>34</v>
      </c>
      <c r="L598" s="12" t="str">
        <f aca="false">IF(K598="","",IF(K598&lt;=90,"0-90",IF(K598&lt;=180,"91-180",IF(K598&lt;=270,"181-270","&gt;270"))))</f>
        <v>0-90</v>
      </c>
      <c r="M598" s="12" t="str">
        <f aca="false">IF(G598="Obs",COUNTIF(G$2:G598,"Obs"),"")</f>
        <v/>
      </c>
      <c r="N598" s="12" t="n">
        <f aca="false">IF(G598="No",COUNTIF(G$2:G598,"No"),"")</f>
        <v>45</v>
      </c>
    </row>
    <row r="599" customFormat="false" ht="15" hidden="false" customHeight="false" outlineLevel="0" collapsed="false">
      <c r="A599" s="69" t="s">
        <v>727</v>
      </c>
      <c r="B599" s="69" t="s">
        <v>338</v>
      </c>
      <c r="C599" s="69" t="s">
        <v>357</v>
      </c>
      <c r="D599" s="70" t="s">
        <v>355</v>
      </c>
      <c r="E599" s="70" t="s">
        <v>358</v>
      </c>
      <c r="F599" s="69" t="s">
        <v>105</v>
      </c>
      <c r="G599" s="71" t="s">
        <v>16</v>
      </c>
      <c r="H599" s="72"/>
      <c r="I599" s="73" t="n">
        <v>46149</v>
      </c>
      <c r="J599" s="69" t="s">
        <v>693</v>
      </c>
      <c r="K599" s="74" t="str">
        <f aca="false">IF(G599="No",MAX(0,AsOfDate-I599),"")</f>
        <v/>
      </c>
      <c r="L599" s="75" t="str">
        <f aca="false">IF(K599="","",IF(K599&lt;=90,"0-90",IF(K599&lt;=180,"91-180",IF(K599&lt;=270,"181-270","&gt;270"))))</f>
        <v/>
      </c>
      <c r="M599" s="75" t="str">
        <f aca="false">IF(G599="Obs",COUNTIF(G$2:G599,"Obs"),"")</f>
        <v/>
      </c>
      <c r="N599" s="75" t="str">
        <f aca="false">IF(G599="No",COUNTIF(G$2:G599,"No"),"")</f>
        <v/>
      </c>
    </row>
    <row r="600" customFormat="false" ht="15" hidden="false" customHeight="false" outlineLevel="0" collapsed="false">
      <c r="A600" s="10" t="s">
        <v>727</v>
      </c>
      <c r="B600" s="10" t="s">
        <v>338</v>
      </c>
      <c r="C600" s="10" t="s">
        <v>359</v>
      </c>
      <c r="D600" s="8" t="s">
        <v>355</v>
      </c>
      <c r="E600" s="8" t="s">
        <v>360</v>
      </c>
      <c r="F600" s="10" t="s">
        <v>99</v>
      </c>
      <c r="G600" s="11" t="s">
        <v>16</v>
      </c>
      <c r="H600" s="66"/>
      <c r="I600" s="67" t="n">
        <v>46149</v>
      </c>
      <c r="J600" s="10" t="s">
        <v>693</v>
      </c>
      <c r="K600" s="68" t="str">
        <f aca="false">IF(G600="No",MAX(0,AsOfDate-I600),"")</f>
        <v/>
      </c>
      <c r="L600" s="12" t="str">
        <f aca="false">IF(K600="","",IF(K600&lt;=90,"0-90",IF(K600&lt;=180,"91-180",IF(K600&lt;=270,"181-270","&gt;270"))))</f>
        <v/>
      </c>
      <c r="M600" s="12" t="str">
        <f aca="false">IF(G600="Obs",COUNTIF(G$2:G600,"Obs"),"")</f>
        <v/>
      </c>
      <c r="N600" s="12" t="str">
        <f aca="false">IF(G600="No",COUNTIF(G$2:G600,"No"),"")</f>
        <v/>
      </c>
    </row>
    <row r="601" customFormat="false" ht="15" hidden="false" customHeight="false" outlineLevel="0" collapsed="false">
      <c r="A601" s="69" t="s">
        <v>727</v>
      </c>
      <c r="B601" s="69" t="s">
        <v>338</v>
      </c>
      <c r="C601" s="69" t="s">
        <v>361</v>
      </c>
      <c r="D601" s="70" t="s">
        <v>355</v>
      </c>
      <c r="E601" s="70" t="s">
        <v>362</v>
      </c>
      <c r="F601" s="69" t="s">
        <v>105</v>
      </c>
      <c r="G601" s="71" t="s">
        <v>22</v>
      </c>
      <c r="H601" s="72" t="s">
        <v>536</v>
      </c>
      <c r="I601" s="73" t="n">
        <v>46149</v>
      </c>
      <c r="J601" s="69" t="s">
        <v>693</v>
      </c>
      <c r="K601" s="74" t="str">
        <f aca="false">IF(G601="No",MAX(0,AsOfDate-I601),"")</f>
        <v/>
      </c>
      <c r="L601" s="75" t="str">
        <f aca="false">IF(K601="","",IF(K601&lt;=90,"0-90",IF(K601&lt;=180,"91-180",IF(K601&lt;=270,"181-270","&gt;270"))))</f>
        <v/>
      </c>
      <c r="M601" s="75" t="n">
        <f aca="false">IF(G601="Obs",COUNTIF(G$2:G601,"Obs"),"")</f>
        <v>42</v>
      </c>
      <c r="N601" s="75" t="str">
        <f aca="false">IF(G601="No",COUNTIF(G$2:G601,"No"),"")</f>
        <v/>
      </c>
    </row>
    <row r="602" customFormat="false" ht="15" hidden="false" customHeight="false" outlineLevel="0" collapsed="false">
      <c r="A602" s="10" t="s">
        <v>727</v>
      </c>
      <c r="B602" s="10" t="s">
        <v>338</v>
      </c>
      <c r="C602" s="10" t="s">
        <v>363</v>
      </c>
      <c r="D602" s="8" t="s">
        <v>364</v>
      </c>
      <c r="E602" s="8" t="s">
        <v>365</v>
      </c>
      <c r="F602" s="10" t="s">
        <v>99</v>
      </c>
      <c r="G602" s="11" t="s">
        <v>16</v>
      </c>
      <c r="H602" s="66"/>
      <c r="I602" s="67" t="n">
        <v>46149</v>
      </c>
      <c r="J602" s="10" t="s">
        <v>693</v>
      </c>
      <c r="K602" s="68" t="str">
        <f aca="false">IF(G602="No",MAX(0,AsOfDate-I602),"")</f>
        <v/>
      </c>
      <c r="L602" s="12" t="str">
        <f aca="false">IF(K602="","",IF(K602&lt;=90,"0-90",IF(K602&lt;=180,"91-180",IF(K602&lt;=270,"181-270","&gt;270"))))</f>
        <v/>
      </c>
      <c r="M602" s="12" t="str">
        <f aca="false">IF(G602="Obs",COUNTIF(G$2:G602,"Obs"),"")</f>
        <v/>
      </c>
      <c r="N602" s="12" t="str">
        <f aca="false">IF(G602="No",COUNTIF(G$2:G602,"No"),"")</f>
        <v/>
      </c>
    </row>
    <row r="603" customFormat="false" ht="15" hidden="false" customHeight="false" outlineLevel="0" collapsed="false">
      <c r="A603" s="69" t="s">
        <v>727</v>
      </c>
      <c r="B603" s="69" t="s">
        <v>338</v>
      </c>
      <c r="C603" s="69" t="s">
        <v>366</v>
      </c>
      <c r="D603" s="70" t="s">
        <v>364</v>
      </c>
      <c r="E603" s="70" t="s">
        <v>367</v>
      </c>
      <c r="F603" s="69" t="s">
        <v>105</v>
      </c>
      <c r="G603" s="71" t="s">
        <v>16</v>
      </c>
      <c r="H603" s="72"/>
      <c r="I603" s="73" t="n">
        <v>46149</v>
      </c>
      <c r="J603" s="69" t="s">
        <v>693</v>
      </c>
      <c r="K603" s="74" t="str">
        <f aca="false">IF(G603="No",MAX(0,AsOfDate-I603),"")</f>
        <v/>
      </c>
      <c r="L603" s="75" t="str">
        <f aca="false">IF(K603="","",IF(K603&lt;=90,"0-90",IF(K603&lt;=180,"91-180",IF(K603&lt;=270,"181-270","&gt;270"))))</f>
        <v/>
      </c>
      <c r="M603" s="75" t="str">
        <f aca="false">IF(G603="Obs",COUNTIF(G$2:G603,"Obs"),"")</f>
        <v/>
      </c>
      <c r="N603" s="75" t="str">
        <f aca="false">IF(G603="No",COUNTIF(G$2:G603,"No"),"")</f>
        <v/>
      </c>
    </row>
    <row r="604" customFormat="false" ht="15" hidden="false" customHeight="false" outlineLevel="0" collapsed="false">
      <c r="A604" s="10" t="s">
        <v>727</v>
      </c>
      <c r="B604" s="10" t="s">
        <v>338</v>
      </c>
      <c r="C604" s="10" t="s">
        <v>368</v>
      </c>
      <c r="D604" s="8" t="s">
        <v>364</v>
      </c>
      <c r="E604" s="8" t="s">
        <v>369</v>
      </c>
      <c r="F604" s="10" t="s">
        <v>99</v>
      </c>
      <c r="G604" s="11" t="s">
        <v>16</v>
      </c>
      <c r="H604" s="66"/>
      <c r="I604" s="67" t="n">
        <v>46149</v>
      </c>
      <c r="J604" s="10" t="s">
        <v>693</v>
      </c>
      <c r="K604" s="68" t="str">
        <f aca="false">IF(G604="No",MAX(0,AsOfDate-I604),"")</f>
        <v/>
      </c>
      <c r="L604" s="12" t="str">
        <f aca="false">IF(K604="","",IF(K604&lt;=90,"0-90",IF(K604&lt;=180,"91-180",IF(K604&lt;=270,"181-270","&gt;270"))))</f>
        <v/>
      </c>
      <c r="M604" s="12" t="str">
        <f aca="false">IF(G604="Obs",COUNTIF(G$2:G604,"Obs"),"")</f>
        <v/>
      </c>
      <c r="N604" s="12" t="str">
        <f aca="false">IF(G604="No",COUNTIF(G$2:G604,"No"),"")</f>
        <v/>
      </c>
    </row>
    <row r="605" customFormat="false" ht="15" hidden="false" customHeight="false" outlineLevel="0" collapsed="false">
      <c r="A605" s="69" t="s">
        <v>727</v>
      </c>
      <c r="B605" s="69" t="s">
        <v>338</v>
      </c>
      <c r="C605" s="69" t="s">
        <v>370</v>
      </c>
      <c r="D605" s="70" t="s">
        <v>371</v>
      </c>
      <c r="E605" s="70" t="s">
        <v>372</v>
      </c>
      <c r="F605" s="69" t="s">
        <v>99</v>
      </c>
      <c r="G605" s="71" t="s">
        <v>16</v>
      </c>
      <c r="H605" s="72"/>
      <c r="I605" s="73" t="n">
        <v>46149</v>
      </c>
      <c r="J605" s="69" t="s">
        <v>693</v>
      </c>
      <c r="K605" s="74" t="str">
        <f aca="false">IF(G605="No",MAX(0,AsOfDate-I605),"")</f>
        <v/>
      </c>
      <c r="L605" s="75" t="str">
        <f aca="false">IF(K605="","",IF(K605&lt;=90,"0-90",IF(K605&lt;=180,"91-180",IF(K605&lt;=270,"181-270","&gt;270"))))</f>
        <v/>
      </c>
      <c r="M605" s="75" t="str">
        <f aca="false">IF(G605="Obs",COUNTIF(G$2:G605,"Obs"),"")</f>
        <v/>
      </c>
      <c r="N605" s="75" t="str">
        <f aca="false">IF(G605="No",COUNTIF(G$2:G605,"No"),"")</f>
        <v/>
      </c>
    </row>
    <row r="606" customFormat="false" ht="15" hidden="false" customHeight="false" outlineLevel="0" collapsed="false">
      <c r="A606" s="10" t="s">
        <v>727</v>
      </c>
      <c r="B606" s="10" t="s">
        <v>338</v>
      </c>
      <c r="C606" s="10" t="s">
        <v>373</v>
      </c>
      <c r="D606" s="8" t="s">
        <v>371</v>
      </c>
      <c r="E606" s="8" t="s">
        <v>374</v>
      </c>
      <c r="F606" s="10" t="s">
        <v>105</v>
      </c>
      <c r="G606" s="11" t="s">
        <v>16</v>
      </c>
      <c r="H606" s="66"/>
      <c r="I606" s="67" t="n">
        <v>46149</v>
      </c>
      <c r="J606" s="10" t="s">
        <v>693</v>
      </c>
      <c r="K606" s="68" t="str">
        <f aca="false">IF(G606="No",MAX(0,AsOfDate-I606),"")</f>
        <v/>
      </c>
      <c r="L606" s="12" t="str">
        <f aca="false">IF(K606="","",IF(K606&lt;=90,"0-90",IF(K606&lt;=180,"91-180",IF(K606&lt;=270,"181-270","&gt;270"))))</f>
        <v/>
      </c>
      <c r="M606" s="12" t="str">
        <f aca="false">IF(G606="Obs",COUNTIF(G$2:G606,"Obs"),"")</f>
        <v/>
      </c>
      <c r="N606" s="12" t="str">
        <f aca="false">IF(G606="No",COUNTIF(G$2:G606,"No"),"")</f>
        <v/>
      </c>
    </row>
    <row r="607" customFormat="false" ht="15" hidden="false" customHeight="false" outlineLevel="0" collapsed="false">
      <c r="A607" s="69" t="s">
        <v>727</v>
      </c>
      <c r="B607" s="69" t="s">
        <v>338</v>
      </c>
      <c r="C607" s="69" t="s">
        <v>375</v>
      </c>
      <c r="D607" s="70" t="s">
        <v>371</v>
      </c>
      <c r="E607" s="70" t="s">
        <v>376</v>
      </c>
      <c r="F607" s="69" t="s">
        <v>99</v>
      </c>
      <c r="G607" s="71" t="s">
        <v>16</v>
      </c>
      <c r="H607" s="72"/>
      <c r="I607" s="73" t="n">
        <v>46149</v>
      </c>
      <c r="J607" s="69" t="s">
        <v>693</v>
      </c>
      <c r="K607" s="74" t="str">
        <f aca="false">IF(G607="No",MAX(0,AsOfDate-I607),"")</f>
        <v/>
      </c>
      <c r="L607" s="75" t="str">
        <f aca="false">IF(K607="","",IF(K607&lt;=90,"0-90",IF(K607&lt;=180,"91-180",IF(K607&lt;=270,"181-270","&gt;270"))))</f>
        <v/>
      </c>
      <c r="M607" s="75" t="str">
        <f aca="false">IF(G607="Obs",COUNTIF(G$2:G607,"Obs"),"")</f>
        <v/>
      </c>
      <c r="N607" s="75" t="str">
        <f aca="false">IF(G607="No",COUNTIF(G$2:G607,"No"),"")</f>
        <v/>
      </c>
    </row>
    <row r="608" customFormat="false" ht="15" hidden="false" customHeight="false" outlineLevel="0" collapsed="false">
      <c r="A608" s="10" t="s">
        <v>727</v>
      </c>
      <c r="B608" s="10" t="s">
        <v>338</v>
      </c>
      <c r="C608" s="10" t="s">
        <v>377</v>
      </c>
      <c r="D608" s="8" t="s">
        <v>378</v>
      </c>
      <c r="E608" s="8" t="s">
        <v>379</v>
      </c>
      <c r="F608" s="10" t="s">
        <v>105</v>
      </c>
      <c r="G608" s="11" t="s">
        <v>16</v>
      </c>
      <c r="H608" s="66"/>
      <c r="I608" s="67" t="n">
        <v>46149</v>
      </c>
      <c r="J608" s="10" t="s">
        <v>693</v>
      </c>
      <c r="K608" s="68" t="str">
        <f aca="false">IF(G608="No",MAX(0,AsOfDate-I608),"")</f>
        <v/>
      </c>
      <c r="L608" s="12" t="str">
        <f aca="false">IF(K608="","",IF(K608&lt;=90,"0-90",IF(K608&lt;=180,"91-180",IF(K608&lt;=270,"181-270","&gt;270"))))</f>
        <v/>
      </c>
      <c r="M608" s="12" t="str">
        <f aca="false">IF(G608="Obs",COUNTIF(G$2:G608,"Obs"),"")</f>
        <v/>
      </c>
      <c r="N608" s="12" t="str">
        <f aca="false">IF(G608="No",COUNTIF(G$2:G608,"No"),"")</f>
        <v/>
      </c>
    </row>
    <row r="609" customFormat="false" ht="15" hidden="false" customHeight="false" outlineLevel="0" collapsed="false">
      <c r="A609" s="69" t="s">
        <v>727</v>
      </c>
      <c r="B609" s="69" t="s">
        <v>338</v>
      </c>
      <c r="C609" s="69" t="s">
        <v>380</v>
      </c>
      <c r="D609" s="70" t="s">
        <v>378</v>
      </c>
      <c r="E609" s="70" t="s">
        <v>381</v>
      </c>
      <c r="F609" s="69" t="s">
        <v>99</v>
      </c>
      <c r="G609" s="71" t="s">
        <v>16</v>
      </c>
      <c r="H609" s="72"/>
      <c r="I609" s="73" t="n">
        <v>46149</v>
      </c>
      <c r="J609" s="69" t="s">
        <v>693</v>
      </c>
      <c r="K609" s="74" t="str">
        <f aca="false">IF(G609="No",MAX(0,AsOfDate-I609),"")</f>
        <v/>
      </c>
      <c r="L609" s="75" t="str">
        <f aca="false">IF(K609="","",IF(K609&lt;=90,"0-90",IF(K609&lt;=180,"91-180",IF(K609&lt;=270,"181-270","&gt;270"))))</f>
        <v/>
      </c>
      <c r="M609" s="75" t="str">
        <f aca="false">IF(G609="Obs",COUNTIF(G$2:G609,"Obs"),"")</f>
        <v/>
      </c>
      <c r="N609" s="75" t="str">
        <f aca="false">IF(G609="No",COUNTIF(G$2:G609,"No"),"")</f>
        <v/>
      </c>
    </row>
    <row r="610" customFormat="false" ht="15" hidden="false" customHeight="false" outlineLevel="0" collapsed="false">
      <c r="A610" s="10" t="s">
        <v>618</v>
      </c>
      <c r="B610" s="10" t="s">
        <v>383</v>
      </c>
      <c r="C610" s="10" t="s">
        <v>382</v>
      </c>
      <c r="D610" s="8" t="s">
        <v>133</v>
      </c>
      <c r="E610" s="8" t="s">
        <v>134</v>
      </c>
      <c r="F610" s="10" t="s">
        <v>99</v>
      </c>
      <c r="G610" s="11" t="s">
        <v>16</v>
      </c>
      <c r="H610" s="66"/>
      <c r="I610" s="67" t="n">
        <v>45883</v>
      </c>
      <c r="J610" s="10" t="s">
        <v>431</v>
      </c>
      <c r="K610" s="68" t="str">
        <f aca="false">IF(G610="No",MAX(0,AsOfDate-I610),"")</f>
        <v/>
      </c>
      <c r="L610" s="12" t="str">
        <f aca="false">IF(K610="","",IF(K610&lt;=90,"0-90",IF(K610&lt;=180,"91-180",IF(K610&lt;=270,"181-270","&gt;270"))))</f>
        <v/>
      </c>
      <c r="M610" s="12" t="str">
        <f aca="false">IF(G610="Obs",COUNTIF(G$2:G610,"Obs"),"")</f>
        <v/>
      </c>
      <c r="N610" s="12" t="str">
        <f aca="false">IF(G610="No",COUNTIF(G$2:G610,"No"),"")</f>
        <v/>
      </c>
    </row>
    <row r="611" customFormat="false" ht="23.85" hidden="false" customHeight="false" outlineLevel="0" collapsed="false">
      <c r="A611" s="69" t="s">
        <v>618</v>
      </c>
      <c r="B611" s="69" t="s">
        <v>383</v>
      </c>
      <c r="C611" s="69" t="s">
        <v>384</v>
      </c>
      <c r="D611" s="70" t="s">
        <v>133</v>
      </c>
      <c r="E611" s="70" t="s">
        <v>136</v>
      </c>
      <c r="F611" s="69" t="s">
        <v>99</v>
      </c>
      <c r="G611" s="71" t="s">
        <v>22</v>
      </c>
      <c r="H611" s="72" t="s">
        <v>621</v>
      </c>
      <c r="I611" s="73" t="n">
        <v>45883</v>
      </c>
      <c r="J611" s="69" t="s">
        <v>431</v>
      </c>
      <c r="K611" s="74" t="str">
        <f aca="false">IF(G611="No",MAX(0,AsOfDate-I611),"")</f>
        <v/>
      </c>
      <c r="L611" s="75" t="str">
        <f aca="false">IF(K611="","",IF(K611&lt;=90,"0-90",IF(K611&lt;=180,"91-180",IF(K611&lt;=270,"181-270","&gt;270"))))</f>
        <v/>
      </c>
      <c r="M611" s="75" t="n">
        <f aca="false">IF(G611="Obs",COUNTIF(G$2:G611,"Obs"),"")</f>
        <v>43</v>
      </c>
      <c r="N611" s="75" t="str">
        <f aca="false">IF(G611="No",COUNTIF(G$2:G611,"No"),"")</f>
        <v/>
      </c>
    </row>
    <row r="612" customFormat="false" ht="15" hidden="false" customHeight="false" outlineLevel="0" collapsed="false">
      <c r="A612" s="10" t="s">
        <v>618</v>
      </c>
      <c r="B612" s="10" t="s">
        <v>383</v>
      </c>
      <c r="C612" s="10" t="s">
        <v>385</v>
      </c>
      <c r="D612" s="8" t="s">
        <v>133</v>
      </c>
      <c r="E612" s="8" t="s">
        <v>138</v>
      </c>
      <c r="F612" s="10" t="s">
        <v>105</v>
      </c>
      <c r="G612" s="11" t="s">
        <v>16</v>
      </c>
      <c r="H612" s="66"/>
      <c r="I612" s="67" t="n">
        <v>45883</v>
      </c>
      <c r="J612" s="10" t="s">
        <v>431</v>
      </c>
      <c r="K612" s="68" t="str">
        <f aca="false">IF(G612="No",MAX(0,AsOfDate-I612),"")</f>
        <v/>
      </c>
      <c r="L612" s="12" t="str">
        <f aca="false">IF(K612="","",IF(K612&lt;=90,"0-90",IF(K612&lt;=180,"91-180",IF(K612&lt;=270,"181-270","&gt;270"))))</f>
        <v/>
      </c>
      <c r="M612" s="12" t="str">
        <f aca="false">IF(G612="Obs",COUNTIF(G$2:G612,"Obs"),"")</f>
        <v/>
      </c>
      <c r="N612" s="12" t="str">
        <f aca="false">IF(G612="No",COUNTIF(G$2:G612,"No"),"")</f>
        <v/>
      </c>
    </row>
    <row r="613" customFormat="false" ht="15" hidden="false" customHeight="false" outlineLevel="0" collapsed="false">
      <c r="A613" s="69" t="s">
        <v>618</v>
      </c>
      <c r="B613" s="69" t="s">
        <v>383</v>
      </c>
      <c r="C613" s="69" t="s">
        <v>386</v>
      </c>
      <c r="D613" s="70" t="s">
        <v>140</v>
      </c>
      <c r="E613" s="70" t="s">
        <v>141</v>
      </c>
      <c r="F613" s="69" t="s">
        <v>99</v>
      </c>
      <c r="G613" s="71" t="s">
        <v>16</v>
      </c>
      <c r="H613" s="72"/>
      <c r="I613" s="73" t="n">
        <v>45883</v>
      </c>
      <c r="J613" s="69" t="s">
        <v>431</v>
      </c>
      <c r="K613" s="74" t="str">
        <f aca="false">IF(G613="No",MAX(0,AsOfDate-I613),"")</f>
        <v/>
      </c>
      <c r="L613" s="75" t="str">
        <f aca="false">IF(K613="","",IF(K613&lt;=90,"0-90",IF(K613&lt;=180,"91-180",IF(K613&lt;=270,"181-270","&gt;270"))))</f>
        <v/>
      </c>
      <c r="M613" s="75" t="str">
        <f aca="false">IF(G613="Obs",COUNTIF(G$2:G613,"Obs"),"")</f>
        <v/>
      </c>
      <c r="N613" s="75" t="str">
        <f aca="false">IF(G613="No",COUNTIF(G$2:G613,"No"),"")</f>
        <v/>
      </c>
    </row>
    <row r="614" customFormat="false" ht="15" hidden="false" customHeight="false" outlineLevel="0" collapsed="false">
      <c r="A614" s="10" t="s">
        <v>618</v>
      </c>
      <c r="B614" s="10" t="s">
        <v>383</v>
      </c>
      <c r="C614" s="10" t="s">
        <v>387</v>
      </c>
      <c r="D614" s="8" t="s">
        <v>140</v>
      </c>
      <c r="E614" s="8" t="s">
        <v>143</v>
      </c>
      <c r="F614" s="10" t="s">
        <v>105</v>
      </c>
      <c r="G614" s="11" t="s">
        <v>16</v>
      </c>
      <c r="H614" s="66"/>
      <c r="I614" s="67" t="n">
        <v>45883</v>
      </c>
      <c r="J614" s="10" t="s">
        <v>431</v>
      </c>
      <c r="K614" s="68" t="str">
        <f aca="false">IF(G614="No",MAX(0,AsOfDate-I614),"")</f>
        <v/>
      </c>
      <c r="L614" s="12" t="str">
        <f aca="false">IF(K614="","",IF(K614&lt;=90,"0-90",IF(K614&lt;=180,"91-180",IF(K614&lt;=270,"181-270","&gt;270"))))</f>
        <v/>
      </c>
      <c r="M614" s="12" t="str">
        <f aca="false">IF(G614="Obs",COUNTIF(G$2:G614,"Obs"),"")</f>
        <v/>
      </c>
      <c r="N614" s="12" t="str">
        <f aca="false">IF(G614="No",COUNTIF(G$2:G614,"No"),"")</f>
        <v/>
      </c>
    </row>
    <row r="615" customFormat="false" ht="15" hidden="false" customHeight="false" outlineLevel="0" collapsed="false">
      <c r="A615" s="69" t="s">
        <v>618</v>
      </c>
      <c r="B615" s="69" t="s">
        <v>383</v>
      </c>
      <c r="C615" s="69" t="s">
        <v>388</v>
      </c>
      <c r="D615" s="70" t="s">
        <v>140</v>
      </c>
      <c r="E615" s="70" t="s">
        <v>145</v>
      </c>
      <c r="F615" s="69" t="s">
        <v>99</v>
      </c>
      <c r="G615" s="71" t="s">
        <v>16</v>
      </c>
      <c r="H615" s="72"/>
      <c r="I615" s="73" t="n">
        <v>45883</v>
      </c>
      <c r="J615" s="69" t="s">
        <v>431</v>
      </c>
      <c r="K615" s="74" t="str">
        <f aca="false">IF(G615="No",MAX(0,AsOfDate-I615),"")</f>
        <v/>
      </c>
      <c r="L615" s="75" t="str">
        <f aca="false">IF(K615="","",IF(K615&lt;=90,"0-90",IF(K615&lt;=180,"91-180",IF(K615&lt;=270,"181-270","&gt;270"))))</f>
        <v/>
      </c>
      <c r="M615" s="75" t="str">
        <f aca="false">IF(G615="Obs",COUNTIF(G$2:G615,"Obs"),"")</f>
        <v/>
      </c>
      <c r="N615" s="75" t="str">
        <f aca="false">IF(G615="No",COUNTIF(G$2:G615,"No"),"")</f>
        <v/>
      </c>
    </row>
    <row r="616" customFormat="false" ht="15" hidden="false" customHeight="false" outlineLevel="0" collapsed="false">
      <c r="A616" s="10" t="s">
        <v>618</v>
      </c>
      <c r="B616" s="10" t="s">
        <v>383</v>
      </c>
      <c r="C616" s="10" t="s">
        <v>389</v>
      </c>
      <c r="D616" s="8" t="s">
        <v>147</v>
      </c>
      <c r="E616" s="8" t="s">
        <v>148</v>
      </c>
      <c r="F616" s="10" t="s">
        <v>99</v>
      </c>
      <c r="G616" s="11" t="s">
        <v>16</v>
      </c>
      <c r="H616" s="66"/>
      <c r="I616" s="67" t="n">
        <v>45883</v>
      </c>
      <c r="J616" s="10" t="s">
        <v>431</v>
      </c>
      <c r="K616" s="68" t="str">
        <f aca="false">IF(G616="No",MAX(0,AsOfDate-I616),"")</f>
        <v/>
      </c>
      <c r="L616" s="12" t="str">
        <f aca="false">IF(K616="","",IF(K616&lt;=90,"0-90",IF(K616&lt;=180,"91-180",IF(K616&lt;=270,"181-270","&gt;270"))))</f>
        <v/>
      </c>
      <c r="M616" s="12" t="str">
        <f aca="false">IF(G616="Obs",COUNTIF(G$2:G616,"Obs"),"")</f>
        <v/>
      </c>
      <c r="N616" s="12" t="str">
        <f aca="false">IF(G616="No",COUNTIF(G$2:G616,"No"),"")</f>
        <v/>
      </c>
    </row>
    <row r="617" customFormat="false" ht="15" hidden="false" customHeight="false" outlineLevel="0" collapsed="false">
      <c r="A617" s="69" t="s">
        <v>618</v>
      </c>
      <c r="B617" s="69" t="s">
        <v>383</v>
      </c>
      <c r="C617" s="69" t="s">
        <v>390</v>
      </c>
      <c r="D617" s="70" t="s">
        <v>147</v>
      </c>
      <c r="E617" s="70" t="s">
        <v>150</v>
      </c>
      <c r="F617" s="69" t="s">
        <v>105</v>
      </c>
      <c r="G617" s="71" t="s">
        <v>16</v>
      </c>
      <c r="H617" s="72"/>
      <c r="I617" s="73" t="n">
        <v>45883</v>
      </c>
      <c r="J617" s="69" t="s">
        <v>431</v>
      </c>
      <c r="K617" s="74" t="str">
        <f aca="false">IF(G617="No",MAX(0,AsOfDate-I617),"")</f>
        <v/>
      </c>
      <c r="L617" s="75" t="str">
        <f aca="false">IF(K617="","",IF(K617&lt;=90,"0-90",IF(K617&lt;=180,"91-180",IF(K617&lt;=270,"181-270","&gt;270"))))</f>
        <v/>
      </c>
      <c r="M617" s="75" t="str">
        <f aca="false">IF(G617="Obs",COUNTIF(G$2:G617,"Obs"),"")</f>
        <v/>
      </c>
      <c r="N617" s="75" t="str">
        <f aca="false">IF(G617="No",COUNTIF(G$2:G617,"No"),"")</f>
        <v/>
      </c>
    </row>
    <row r="618" customFormat="false" ht="15" hidden="false" customHeight="false" outlineLevel="0" collapsed="false">
      <c r="A618" s="10" t="s">
        <v>618</v>
      </c>
      <c r="B618" s="10" t="s">
        <v>383</v>
      </c>
      <c r="C618" s="10" t="s">
        <v>391</v>
      </c>
      <c r="D618" s="8" t="s">
        <v>147</v>
      </c>
      <c r="E618" s="8" t="s">
        <v>152</v>
      </c>
      <c r="F618" s="10" t="s">
        <v>99</v>
      </c>
      <c r="G618" s="11" t="s">
        <v>16</v>
      </c>
      <c r="H618" s="66"/>
      <c r="I618" s="67" t="n">
        <v>45883</v>
      </c>
      <c r="J618" s="10" t="s">
        <v>431</v>
      </c>
      <c r="K618" s="68" t="str">
        <f aca="false">IF(G618="No",MAX(0,AsOfDate-I618),"")</f>
        <v/>
      </c>
      <c r="L618" s="12" t="str">
        <f aca="false">IF(K618="","",IF(K618&lt;=90,"0-90",IF(K618&lt;=180,"91-180",IF(K618&lt;=270,"181-270","&gt;270"))))</f>
        <v/>
      </c>
      <c r="M618" s="12" t="str">
        <f aca="false">IF(G618="Obs",COUNTIF(G$2:G618,"Obs"),"")</f>
        <v/>
      </c>
      <c r="N618" s="12" t="str">
        <f aca="false">IF(G618="No",COUNTIF(G$2:G618,"No"),"")</f>
        <v/>
      </c>
    </row>
    <row r="619" customFormat="false" ht="15" hidden="false" customHeight="false" outlineLevel="0" collapsed="false">
      <c r="A619" s="69" t="s">
        <v>618</v>
      </c>
      <c r="B619" s="69" t="s">
        <v>383</v>
      </c>
      <c r="C619" s="69" t="s">
        <v>392</v>
      </c>
      <c r="D619" s="70" t="s">
        <v>154</v>
      </c>
      <c r="E619" s="70" t="s">
        <v>155</v>
      </c>
      <c r="F619" s="69" t="s">
        <v>105</v>
      </c>
      <c r="G619" s="71" t="s">
        <v>16</v>
      </c>
      <c r="H619" s="72"/>
      <c r="I619" s="73" t="n">
        <v>45883</v>
      </c>
      <c r="J619" s="69" t="s">
        <v>431</v>
      </c>
      <c r="K619" s="74" t="str">
        <f aca="false">IF(G619="No",MAX(0,AsOfDate-I619),"")</f>
        <v/>
      </c>
      <c r="L619" s="75" t="str">
        <f aca="false">IF(K619="","",IF(K619&lt;=90,"0-90",IF(K619&lt;=180,"91-180",IF(K619&lt;=270,"181-270","&gt;270"))))</f>
        <v/>
      </c>
      <c r="M619" s="75" t="str">
        <f aca="false">IF(G619="Obs",COUNTIF(G$2:G619,"Obs"),"")</f>
        <v/>
      </c>
      <c r="N619" s="75" t="str">
        <f aca="false">IF(G619="No",COUNTIF(G$2:G619,"No"),"")</f>
        <v/>
      </c>
    </row>
    <row r="620" customFormat="false" ht="15" hidden="false" customHeight="false" outlineLevel="0" collapsed="false">
      <c r="A620" s="10" t="s">
        <v>618</v>
      </c>
      <c r="B620" s="10" t="s">
        <v>383</v>
      </c>
      <c r="C620" s="10" t="s">
        <v>393</v>
      </c>
      <c r="D620" s="8" t="s">
        <v>154</v>
      </c>
      <c r="E620" s="8" t="s">
        <v>157</v>
      </c>
      <c r="F620" s="10" t="s">
        <v>105</v>
      </c>
      <c r="G620" s="11" t="s">
        <v>16</v>
      </c>
      <c r="H620" s="66"/>
      <c r="I620" s="67" t="n">
        <v>45883</v>
      </c>
      <c r="J620" s="10" t="s">
        <v>431</v>
      </c>
      <c r="K620" s="68" t="str">
        <f aca="false">IF(G620="No",MAX(0,AsOfDate-I620),"")</f>
        <v/>
      </c>
      <c r="L620" s="12" t="str">
        <f aca="false">IF(K620="","",IF(K620&lt;=90,"0-90",IF(K620&lt;=180,"91-180",IF(K620&lt;=270,"181-270","&gt;270"))))</f>
        <v/>
      </c>
      <c r="M620" s="12" t="str">
        <f aca="false">IF(G620="Obs",COUNTIF(G$2:G620,"Obs"),"")</f>
        <v/>
      </c>
      <c r="N620" s="12" t="str">
        <f aca="false">IF(G620="No",COUNTIF(G$2:G620,"No"),"")</f>
        <v/>
      </c>
    </row>
    <row r="621" customFormat="false" ht="23.85" hidden="false" customHeight="false" outlineLevel="0" collapsed="false">
      <c r="A621" s="69" t="s">
        <v>618</v>
      </c>
      <c r="B621" s="69" t="s">
        <v>383</v>
      </c>
      <c r="C621" s="69" t="s">
        <v>394</v>
      </c>
      <c r="D621" s="70" t="s">
        <v>159</v>
      </c>
      <c r="E621" s="70" t="s">
        <v>160</v>
      </c>
      <c r="F621" s="69" t="s">
        <v>99</v>
      </c>
      <c r="G621" s="71" t="s">
        <v>16</v>
      </c>
      <c r="H621" s="72"/>
      <c r="I621" s="73" t="n">
        <v>45883</v>
      </c>
      <c r="J621" s="69" t="s">
        <v>431</v>
      </c>
      <c r="K621" s="74" t="str">
        <f aca="false">IF(G621="No",MAX(0,AsOfDate-I621),"")</f>
        <v/>
      </c>
      <c r="L621" s="75" t="str">
        <f aca="false">IF(K621="","",IF(K621&lt;=90,"0-90",IF(K621&lt;=180,"91-180",IF(K621&lt;=270,"181-270","&gt;270"))))</f>
        <v/>
      </c>
      <c r="M621" s="75" t="str">
        <f aca="false">IF(G621="Obs",COUNTIF(G$2:G621,"Obs"),"")</f>
        <v/>
      </c>
      <c r="N621" s="75" t="str">
        <f aca="false">IF(G621="No",COUNTIF(G$2:G621,"No"),"")</f>
        <v/>
      </c>
    </row>
    <row r="622" customFormat="false" ht="23.85" hidden="false" customHeight="false" outlineLevel="0" collapsed="false">
      <c r="A622" s="10" t="s">
        <v>618</v>
      </c>
      <c r="B622" s="10" t="s">
        <v>383</v>
      </c>
      <c r="C622" s="10" t="s">
        <v>395</v>
      </c>
      <c r="D622" s="8" t="s">
        <v>159</v>
      </c>
      <c r="E622" s="8" t="s">
        <v>162</v>
      </c>
      <c r="F622" s="10" t="s">
        <v>99</v>
      </c>
      <c r="G622" s="11" t="s">
        <v>16</v>
      </c>
      <c r="H622" s="66"/>
      <c r="I622" s="67" t="n">
        <v>45883</v>
      </c>
      <c r="J622" s="10" t="s">
        <v>431</v>
      </c>
      <c r="K622" s="68" t="str">
        <f aca="false">IF(G622="No",MAX(0,AsOfDate-I622),"")</f>
        <v/>
      </c>
      <c r="L622" s="12" t="str">
        <f aca="false">IF(K622="","",IF(K622&lt;=90,"0-90",IF(K622&lt;=180,"91-180",IF(K622&lt;=270,"181-270","&gt;270"))))</f>
        <v/>
      </c>
      <c r="M622" s="12" t="str">
        <f aca="false">IF(G622="Obs",COUNTIF(G$2:G622,"Obs"),"")</f>
        <v/>
      </c>
      <c r="N622" s="12" t="str">
        <f aca="false">IF(G622="No",COUNTIF(G$2:G622,"No"),"")</f>
        <v/>
      </c>
    </row>
    <row r="623" customFormat="false" ht="23.85" hidden="false" customHeight="false" outlineLevel="0" collapsed="false">
      <c r="A623" s="69" t="s">
        <v>618</v>
      </c>
      <c r="B623" s="69" t="s">
        <v>383</v>
      </c>
      <c r="C623" s="69" t="s">
        <v>396</v>
      </c>
      <c r="D623" s="70" t="s">
        <v>159</v>
      </c>
      <c r="E623" s="70" t="s">
        <v>164</v>
      </c>
      <c r="F623" s="69" t="s">
        <v>110</v>
      </c>
      <c r="G623" s="71" t="s">
        <v>16</v>
      </c>
      <c r="H623" s="72"/>
      <c r="I623" s="73" t="n">
        <v>45883</v>
      </c>
      <c r="J623" s="69" t="s">
        <v>431</v>
      </c>
      <c r="K623" s="74" t="str">
        <f aca="false">IF(G623="No",MAX(0,AsOfDate-I623),"")</f>
        <v/>
      </c>
      <c r="L623" s="75" t="str">
        <f aca="false">IF(K623="","",IF(K623&lt;=90,"0-90",IF(K623&lt;=180,"91-180",IF(K623&lt;=270,"181-270","&gt;270"))))</f>
        <v/>
      </c>
      <c r="M623" s="75" t="str">
        <f aca="false">IF(G623="Obs",COUNTIF(G$2:G623,"Obs"),"")</f>
        <v/>
      </c>
      <c r="N623" s="75" t="str">
        <f aca="false">IF(G623="No",COUNTIF(G$2:G623,"No"),"")</f>
        <v/>
      </c>
    </row>
    <row r="624" customFormat="false" ht="15" hidden="false" customHeight="false" outlineLevel="0" collapsed="false">
      <c r="A624" s="10" t="s">
        <v>618</v>
      </c>
      <c r="B624" s="10" t="s">
        <v>383</v>
      </c>
      <c r="C624" s="10" t="s">
        <v>397</v>
      </c>
      <c r="D624" s="8" t="s">
        <v>166</v>
      </c>
      <c r="E624" s="8" t="s">
        <v>167</v>
      </c>
      <c r="F624" s="10" t="s">
        <v>99</v>
      </c>
      <c r="G624" s="11" t="s">
        <v>16</v>
      </c>
      <c r="H624" s="66"/>
      <c r="I624" s="67" t="n">
        <v>45883</v>
      </c>
      <c r="J624" s="10" t="s">
        <v>431</v>
      </c>
      <c r="K624" s="68" t="str">
        <f aca="false">IF(G624="No",MAX(0,AsOfDate-I624),"")</f>
        <v/>
      </c>
      <c r="L624" s="12" t="str">
        <f aca="false">IF(K624="","",IF(K624&lt;=90,"0-90",IF(K624&lt;=180,"91-180",IF(K624&lt;=270,"181-270","&gt;270"))))</f>
        <v/>
      </c>
      <c r="M624" s="12" t="str">
        <f aca="false">IF(G624="Obs",COUNTIF(G$2:G624,"Obs"),"")</f>
        <v/>
      </c>
      <c r="N624" s="12" t="str">
        <f aca="false">IF(G624="No",COUNTIF(G$2:G624,"No"),"")</f>
        <v/>
      </c>
    </row>
    <row r="625" customFormat="false" ht="15" hidden="false" customHeight="false" outlineLevel="0" collapsed="false">
      <c r="A625" s="69" t="s">
        <v>618</v>
      </c>
      <c r="B625" s="69" t="s">
        <v>383</v>
      </c>
      <c r="C625" s="69" t="s">
        <v>398</v>
      </c>
      <c r="D625" s="70" t="s">
        <v>166</v>
      </c>
      <c r="E625" s="70" t="s">
        <v>169</v>
      </c>
      <c r="F625" s="69" t="s">
        <v>105</v>
      </c>
      <c r="G625" s="71" t="s">
        <v>16</v>
      </c>
      <c r="H625" s="72"/>
      <c r="I625" s="73" t="n">
        <v>45883</v>
      </c>
      <c r="J625" s="69" t="s">
        <v>431</v>
      </c>
      <c r="K625" s="74" t="str">
        <f aca="false">IF(G625="No",MAX(0,AsOfDate-I625),"")</f>
        <v/>
      </c>
      <c r="L625" s="75" t="str">
        <f aca="false">IF(K625="","",IF(K625&lt;=90,"0-90",IF(K625&lt;=180,"91-180",IF(K625&lt;=270,"181-270","&gt;270"))))</f>
        <v/>
      </c>
      <c r="M625" s="75" t="str">
        <f aca="false">IF(G625="Obs",COUNTIF(G$2:G625,"Obs"),"")</f>
        <v/>
      </c>
      <c r="N625" s="75" t="str">
        <f aca="false">IF(G625="No",COUNTIF(G$2:G625,"No"),"")</f>
        <v/>
      </c>
    </row>
    <row r="626" customFormat="false" ht="15" hidden="false" customHeight="false" outlineLevel="0" collapsed="false">
      <c r="A626" s="10" t="s">
        <v>618</v>
      </c>
      <c r="B626" s="10" t="s">
        <v>383</v>
      </c>
      <c r="C626" s="10" t="s">
        <v>399</v>
      </c>
      <c r="D626" s="8" t="s">
        <v>171</v>
      </c>
      <c r="E626" s="8" t="s">
        <v>172</v>
      </c>
      <c r="F626" s="10" t="s">
        <v>105</v>
      </c>
      <c r="G626" s="11" t="s">
        <v>16</v>
      </c>
      <c r="H626" s="66"/>
      <c r="I626" s="67" t="n">
        <v>45883</v>
      </c>
      <c r="J626" s="10" t="s">
        <v>431</v>
      </c>
      <c r="K626" s="68" t="str">
        <f aca="false">IF(G626="No",MAX(0,AsOfDate-I626),"")</f>
        <v/>
      </c>
      <c r="L626" s="12" t="str">
        <f aca="false">IF(K626="","",IF(K626&lt;=90,"0-90",IF(K626&lt;=180,"91-180",IF(K626&lt;=270,"181-270","&gt;270"))))</f>
        <v/>
      </c>
      <c r="M626" s="12" t="str">
        <f aca="false">IF(G626="Obs",COUNTIF(G$2:G626,"Obs"),"")</f>
        <v/>
      </c>
      <c r="N626" s="12" t="str">
        <f aca="false">IF(G626="No",COUNTIF(G$2:G626,"No"),"")</f>
        <v/>
      </c>
    </row>
    <row r="627" customFormat="false" ht="15" hidden="false" customHeight="false" outlineLevel="0" collapsed="false">
      <c r="A627" s="69" t="s">
        <v>618</v>
      </c>
      <c r="B627" s="69" t="s">
        <v>383</v>
      </c>
      <c r="C627" s="69" t="s">
        <v>400</v>
      </c>
      <c r="D627" s="70" t="s">
        <v>171</v>
      </c>
      <c r="E627" s="70" t="s">
        <v>174</v>
      </c>
      <c r="F627" s="69" t="s">
        <v>99</v>
      </c>
      <c r="G627" s="71" t="s">
        <v>16</v>
      </c>
      <c r="H627" s="72"/>
      <c r="I627" s="73" t="n">
        <v>45883</v>
      </c>
      <c r="J627" s="69" t="s">
        <v>431</v>
      </c>
      <c r="K627" s="74" t="str">
        <f aca="false">IF(G627="No",MAX(0,AsOfDate-I627),"")</f>
        <v/>
      </c>
      <c r="L627" s="75" t="str">
        <f aca="false">IF(K627="","",IF(K627&lt;=90,"0-90",IF(K627&lt;=180,"91-180",IF(K627&lt;=270,"181-270","&gt;270"))))</f>
        <v/>
      </c>
      <c r="M627" s="75" t="str">
        <f aca="false">IF(G627="Obs",COUNTIF(G$2:G627,"Obs"),"")</f>
        <v/>
      </c>
      <c r="N627" s="75" t="str">
        <f aca="false">IF(G627="No",COUNTIF(G$2:G627,"No"),"")</f>
        <v/>
      </c>
    </row>
    <row r="628" customFormat="false" ht="15" hidden="false" customHeight="false" outlineLevel="0" collapsed="false">
      <c r="A628" s="10" t="s">
        <v>618</v>
      </c>
      <c r="B628" s="10" t="s">
        <v>383</v>
      </c>
      <c r="C628" s="10" t="s">
        <v>401</v>
      </c>
      <c r="D628" s="8" t="s">
        <v>176</v>
      </c>
      <c r="E628" s="8" t="s">
        <v>177</v>
      </c>
      <c r="F628" s="10" t="s">
        <v>105</v>
      </c>
      <c r="G628" s="11" t="s">
        <v>16</v>
      </c>
      <c r="H628" s="66"/>
      <c r="I628" s="67" t="n">
        <v>45883</v>
      </c>
      <c r="J628" s="10" t="s">
        <v>431</v>
      </c>
      <c r="K628" s="68" t="str">
        <f aca="false">IF(G628="No",MAX(0,AsOfDate-I628),"")</f>
        <v/>
      </c>
      <c r="L628" s="12" t="str">
        <f aca="false">IF(K628="","",IF(K628&lt;=90,"0-90",IF(K628&lt;=180,"91-180",IF(K628&lt;=270,"181-270","&gt;270"))))</f>
        <v/>
      </c>
      <c r="M628" s="12" t="str">
        <f aca="false">IF(G628="Obs",COUNTIF(G$2:G628,"Obs"),"")</f>
        <v/>
      </c>
      <c r="N628" s="12" t="str">
        <f aca="false">IF(G628="No",COUNTIF(G$2:G628,"No"),"")</f>
        <v/>
      </c>
    </row>
    <row r="629" customFormat="false" ht="15" hidden="false" customHeight="false" outlineLevel="0" collapsed="false">
      <c r="A629" s="69" t="s">
        <v>618</v>
      </c>
      <c r="B629" s="69" t="s">
        <v>383</v>
      </c>
      <c r="C629" s="69" t="s">
        <v>402</v>
      </c>
      <c r="D629" s="70" t="s">
        <v>176</v>
      </c>
      <c r="E629" s="70" t="s">
        <v>179</v>
      </c>
      <c r="F629" s="69" t="s">
        <v>105</v>
      </c>
      <c r="G629" s="71" t="s">
        <v>16</v>
      </c>
      <c r="H629" s="72"/>
      <c r="I629" s="73" t="n">
        <v>45883</v>
      </c>
      <c r="J629" s="69" t="s">
        <v>431</v>
      </c>
      <c r="K629" s="74" t="str">
        <f aca="false">IF(G629="No",MAX(0,AsOfDate-I629),"")</f>
        <v/>
      </c>
      <c r="L629" s="75" t="str">
        <f aca="false">IF(K629="","",IF(K629&lt;=90,"0-90",IF(K629&lt;=180,"91-180",IF(K629&lt;=270,"181-270","&gt;270"))))</f>
        <v/>
      </c>
      <c r="M629" s="75" t="str">
        <f aca="false">IF(G629="Obs",COUNTIF(G$2:G629,"Obs"),"")</f>
        <v/>
      </c>
      <c r="N629" s="75" t="str">
        <f aca="false">IF(G629="No",COUNTIF(G$2:G629,"No"),"")</f>
        <v/>
      </c>
    </row>
    <row r="630" customFormat="false" ht="23.85" hidden="false" customHeight="false" outlineLevel="0" collapsed="false">
      <c r="A630" s="10" t="s">
        <v>618</v>
      </c>
      <c r="B630" s="10" t="s">
        <v>383</v>
      </c>
      <c r="C630" s="10" t="s">
        <v>403</v>
      </c>
      <c r="D630" s="8" t="s">
        <v>404</v>
      </c>
      <c r="E630" s="8" t="s">
        <v>405</v>
      </c>
      <c r="F630" s="10" t="s">
        <v>99</v>
      </c>
      <c r="G630" s="11" t="s">
        <v>16</v>
      </c>
      <c r="H630" s="66"/>
      <c r="I630" s="67" t="n">
        <v>45883</v>
      </c>
      <c r="J630" s="10" t="s">
        <v>431</v>
      </c>
      <c r="K630" s="68" t="str">
        <f aca="false">IF(G630="No",MAX(0,AsOfDate-I630),"")</f>
        <v/>
      </c>
      <c r="L630" s="12" t="str">
        <f aca="false">IF(K630="","",IF(K630&lt;=90,"0-90",IF(K630&lt;=180,"91-180",IF(K630&lt;=270,"181-270","&gt;270"))))</f>
        <v/>
      </c>
      <c r="M630" s="12" t="str">
        <f aca="false">IF(G630="Obs",COUNTIF(G$2:G630,"Obs"),"")</f>
        <v/>
      </c>
      <c r="N630" s="12" t="str">
        <f aca="false">IF(G630="No",COUNTIF(G$2:G630,"No"),"")</f>
        <v/>
      </c>
    </row>
    <row r="631" customFormat="false" ht="15" hidden="false" customHeight="false" outlineLevel="0" collapsed="false">
      <c r="A631" s="69" t="s">
        <v>618</v>
      </c>
      <c r="B631" s="69" t="s">
        <v>383</v>
      </c>
      <c r="C631" s="69" t="s">
        <v>406</v>
      </c>
      <c r="D631" s="70" t="s">
        <v>404</v>
      </c>
      <c r="E631" s="70" t="s">
        <v>407</v>
      </c>
      <c r="F631" s="69" t="s">
        <v>105</v>
      </c>
      <c r="G631" s="71" t="s">
        <v>16</v>
      </c>
      <c r="H631" s="72"/>
      <c r="I631" s="73" t="n">
        <v>45883</v>
      </c>
      <c r="J631" s="69" t="s">
        <v>431</v>
      </c>
      <c r="K631" s="74" t="str">
        <f aca="false">IF(G631="No",MAX(0,AsOfDate-I631),"")</f>
        <v/>
      </c>
      <c r="L631" s="75" t="str">
        <f aca="false">IF(K631="","",IF(K631&lt;=90,"0-90",IF(K631&lt;=180,"91-180",IF(K631&lt;=270,"181-270","&gt;270"))))</f>
        <v/>
      </c>
      <c r="M631" s="75" t="str">
        <f aca="false">IF(G631="Obs",COUNTIF(G$2:G631,"Obs"),"")</f>
        <v/>
      </c>
      <c r="N631" s="75" t="str">
        <f aca="false">IF(G631="No",COUNTIF(G$2:G631,"No"),"")</f>
        <v/>
      </c>
    </row>
    <row r="632" customFormat="false" ht="15" hidden="false" customHeight="false" outlineLevel="0" collapsed="false">
      <c r="A632" s="10" t="s">
        <v>618</v>
      </c>
      <c r="B632" s="10" t="s">
        <v>383</v>
      </c>
      <c r="C632" s="10" t="s">
        <v>408</v>
      </c>
      <c r="D632" s="8" t="s">
        <v>409</v>
      </c>
      <c r="E632" s="8" t="s">
        <v>410</v>
      </c>
      <c r="F632" s="10" t="s">
        <v>99</v>
      </c>
      <c r="G632" s="11" t="s">
        <v>16</v>
      </c>
      <c r="H632" s="66"/>
      <c r="I632" s="67" t="n">
        <v>45883</v>
      </c>
      <c r="J632" s="10" t="s">
        <v>431</v>
      </c>
      <c r="K632" s="68" t="str">
        <f aca="false">IF(G632="No",MAX(0,AsOfDate-I632),"")</f>
        <v/>
      </c>
      <c r="L632" s="12" t="str">
        <f aca="false">IF(K632="","",IF(K632&lt;=90,"0-90",IF(K632&lt;=180,"91-180",IF(K632&lt;=270,"181-270","&gt;270"))))</f>
        <v/>
      </c>
      <c r="M632" s="12" t="str">
        <f aca="false">IF(G632="Obs",COUNTIF(G$2:G632,"Obs"),"")</f>
        <v/>
      </c>
      <c r="N632" s="12" t="str">
        <f aca="false">IF(G632="No",COUNTIF(G$2:G632,"No"),"")</f>
        <v/>
      </c>
    </row>
    <row r="633" customFormat="false" ht="15" hidden="false" customHeight="false" outlineLevel="0" collapsed="false">
      <c r="A633" s="69" t="s">
        <v>618</v>
      </c>
      <c r="B633" s="69" t="s">
        <v>383</v>
      </c>
      <c r="C633" s="69" t="s">
        <v>411</v>
      </c>
      <c r="D633" s="70" t="s">
        <v>409</v>
      </c>
      <c r="E633" s="70" t="s">
        <v>412</v>
      </c>
      <c r="F633" s="69" t="s">
        <v>105</v>
      </c>
      <c r="G633" s="71" t="s">
        <v>16</v>
      </c>
      <c r="H633" s="72"/>
      <c r="I633" s="73" t="n">
        <v>45883</v>
      </c>
      <c r="J633" s="69" t="s">
        <v>431</v>
      </c>
      <c r="K633" s="74" t="str">
        <f aca="false">IF(G633="No",MAX(0,AsOfDate-I633),"")</f>
        <v/>
      </c>
      <c r="L633" s="75" t="str">
        <f aca="false">IF(K633="","",IF(K633&lt;=90,"0-90",IF(K633&lt;=180,"91-180",IF(K633&lt;=270,"181-270","&gt;270"))))</f>
        <v/>
      </c>
      <c r="M633" s="75" t="str">
        <f aca="false">IF(G633="Obs",COUNTIF(G$2:G633,"Obs"),"")</f>
        <v/>
      </c>
      <c r="N633" s="75" t="str">
        <f aca="false">IF(G633="No",COUNTIF(G$2:G633,"No"),"")</f>
        <v/>
      </c>
    </row>
    <row r="634" customFormat="false" ht="15" hidden="false" customHeight="false" outlineLevel="0" collapsed="false">
      <c r="A634" s="10" t="s">
        <v>618</v>
      </c>
      <c r="B634" s="10" t="s">
        <v>383</v>
      </c>
      <c r="C634" s="10" t="s">
        <v>413</v>
      </c>
      <c r="D634" s="8" t="s">
        <v>414</v>
      </c>
      <c r="E634" s="8" t="s">
        <v>415</v>
      </c>
      <c r="F634" s="10" t="s">
        <v>99</v>
      </c>
      <c r="G634" s="11" t="s">
        <v>16</v>
      </c>
      <c r="H634" s="66"/>
      <c r="I634" s="67" t="n">
        <v>45883</v>
      </c>
      <c r="J634" s="10" t="s">
        <v>431</v>
      </c>
      <c r="K634" s="68" t="str">
        <f aca="false">IF(G634="No",MAX(0,AsOfDate-I634),"")</f>
        <v/>
      </c>
      <c r="L634" s="12" t="str">
        <f aca="false">IF(K634="","",IF(K634&lt;=90,"0-90",IF(K634&lt;=180,"91-180",IF(K634&lt;=270,"181-270","&gt;270"))))</f>
        <v/>
      </c>
      <c r="M634" s="12" t="str">
        <f aca="false">IF(G634="Obs",COUNTIF(G$2:G634,"Obs"),"")</f>
        <v/>
      </c>
      <c r="N634" s="12" t="str">
        <f aca="false">IF(G634="No",COUNTIF(G$2:G634,"No"),"")</f>
        <v/>
      </c>
    </row>
    <row r="635" customFormat="false" ht="15" hidden="false" customHeight="false" outlineLevel="0" collapsed="false">
      <c r="A635" s="69" t="s">
        <v>618</v>
      </c>
      <c r="B635" s="69" t="s">
        <v>383</v>
      </c>
      <c r="C635" s="69" t="s">
        <v>416</v>
      </c>
      <c r="D635" s="70" t="s">
        <v>414</v>
      </c>
      <c r="E635" s="70" t="s">
        <v>417</v>
      </c>
      <c r="F635" s="69" t="s">
        <v>105</v>
      </c>
      <c r="G635" s="71" t="s">
        <v>16</v>
      </c>
      <c r="H635" s="72"/>
      <c r="I635" s="73" t="n">
        <v>45883</v>
      </c>
      <c r="J635" s="69" t="s">
        <v>431</v>
      </c>
      <c r="K635" s="74" t="str">
        <f aca="false">IF(G635="No",MAX(0,AsOfDate-I635),"")</f>
        <v/>
      </c>
      <c r="L635" s="75" t="str">
        <f aca="false">IF(K635="","",IF(K635&lt;=90,"0-90",IF(K635&lt;=180,"91-180",IF(K635&lt;=270,"181-270","&gt;270"))))</f>
        <v/>
      </c>
      <c r="M635" s="75" t="str">
        <f aca="false">IF(G635="Obs",COUNTIF(G$2:G635,"Obs"),"")</f>
        <v/>
      </c>
      <c r="N635" s="75" t="str">
        <f aca="false">IF(G635="No",COUNTIF(G$2:G635,"No"),"")</f>
        <v/>
      </c>
    </row>
    <row r="636" customFormat="false" ht="15" hidden="false" customHeight="false" outlineLevel="0" collapsed="false">
      <c r="A636" s="10" t="s">
        <v>730</v>
      </c>
      <c r="B636" s="10" t="s">
        <v>383</v>
      </c>
      <c r="C636" s="10" t="s">
        <v>382</v>
      </c>
      <c r="D636" s="8" t="s">
        <v>133</v>
      </c>
      <c r="E636" s="8" t="s">
        <v>134</v>
      </c>
      <c r="F636" s="10" t="s">
        <v>99</v>
      </c>
      <c r="G636" s="11" t="s">
        <v>16</v>
      </c>
      <c r="H636" s="66"/>
      <c r="I636" s="67" t="n">
        <v>45967</v>
      </c>
      <c r="J636" s="10" t="s">
        <v>687</v>
      </c>
      <c r="K636" s="68" t="str">
        <f aca="false">IF(G636="No",MAX(0,AsOfDate-I636),"")</f>
        <v/>
      </c>
      <c r="L636" s="12" t="str">
        <f aca="false">IF(K636="","",IF(K636&lt;=90,"0-90",IF(K636&lt;=180,"91-180",IF(K636&lt;=270,"181-270","&gt;270"))))</f>
        <v/>
      </c>
      <c r="M636" s="12" t="str">
        <f aca="false">IF(G636="Obs",COUNTIF(G$2:G636,"Obs"),"")</f>
        <v/>
      </c>
      <c r="N636" s="12" t="str">
        <f aca="false">IF(G636="No",COUNTIF(G$2:G636,"No"),"")</f>
        <v/>
      </c>
    </row>
    <row r="637" customFormat="false" ht="15" hidden="false" customHeight="false" outlineLevel="0" collapsed="false">
      <c r="A637" s="69" t="s">
        <v>730</v>
      </c>
      <c r="B637" s="69" t="s">
        <v>383</v>
      </c>
      <c r="C637" s="69" t="s">
        <v>384</v>
      </c>
      <c r="D637" s="70" t="s">
        <v>133</v>
      </c>
      <c r="E637" s="70" t="s">
        <v>136</v>
      </c>
      <c r="F637" s="69" t="s">
        <v>99</v>
      </c>
      <c r="G637" s="71" t="s">
        <v>16</v>
      </c>
      <c r="H637" s="72"/>
      <c r="I637" s="73" t="n">
        <v>45967</v>
      </c>
      <c r="J637" s="69" t="s">
        <v>687</v>
      </c>
      <c r="K637" s="74" t="str">
        <f aca="false">IF(G637="No",MAX(0,AsOfDate-I637),"")</f>
        <v/>
      </c>
      <c r="L637" s="75" t="str">
        <f aca="false">IF(K637="","",IF(K637&lt;=90,"0-90",IF(K637&lt;=180,"91-180",IF(K637&lt;=270,"181-270","&gt;270"))))</f>
        <v/>
      </c>
      <c r="M637" s="75" t="str">
        <f aca="false">IF(G637="Obs",COUNTIF(G$2:G637,"Obs"),"")</f>
        <v/>
      </c>
      <c r="N637" s="75" t="str">
        <f aca="false">IF(G637="No",COUNTIF(G$2:G637,"No"),"")</f>
        <v/>
      </c>
    </row>
    <row r="638" customFormat="false" ht="15" hidden="false" customHeight="false" outlineLevel="0" collapsed="false">
      <c r="A638" s="10" t="s">
        <v>730</v>
      </c>
      <c r="B638" s="10" t="s">
        <v>383</v>
      </c>
      <c r="C638" s="10" t="s">
        <v>385</v>
      </c>
      <c r="D638" s="8" t="s">
        <v>133</v>
      </c>
      <c r="E638" s="8" t="s">
        <v>138</v>
      </c>
      <c r="F638" s="10" t="s">
        <v>105</v>
      </c>
      <c r="G638" s="11" t="s">
        <v>16</v>
      </c>
      <c r="H638" s="66"/>
      <c r="I638" s="67" t="n">
        <v>45967</v>
      </c>
      <c r="J638" s="10" t="s">
        <v>687</v>
      </c>
      <c r="K638" s="68" t="str">
        <f aca="false">IF(G638="No",MAX(0,AsOfDate-I638),"")</f>
        <v/>
      </c>
      <c r="L638" s="12" t="str">
        <f aca="false">IF(K638="","",IF(K638&lt;=90,"0-90",IF(K638&lt;=180,"91-180",IF(K638&lt;=270,"181-270","&gt;270"))))</f>
        <v/>
      </c>
      <c r="M638" s="12" t="str">
        <f aca="false">IF(G638="Obs",COUNTIF(G$2:G638,"Obs"),"")</f>
        <v/>
      </c>
      <c r="N638" s="12" t="str">
        <f aca="false">IF(G638="No",COUNTIF(G$2:G638,"No"),"")</f>
        <v/>
      </c>
    </row>
    <row r="639" customFormat="false" ht="15" hidden="false" customHeight="false" outlineLevel="0" collapsed="false">
      <c r="A639" s="69" t="s">
        <v>730</v>
      </c>
      <c r="B639" s="69" t="s">
        <v>383</v>
      </c>
      <c r="C639" s="69" t="s">
        <v>386</v>
      </c>
      <c r="D639" s="70" t="s">
        <v>140</v>
      </c>
      <c r="E639" s="70" t="s">
        <v>141</v>
      </c>
      <c r="F639" s="69" t="s">
        <v>99</v>
      </c>
      <c r="G639" s="71" t="s">
        <v>20</v>
      </c>
      <c r="H639" s="72"/>
      <c r="I639" s="73" t="n">
        <v>45967</v>
      </c>
      <c r="J639" s="69" t="s">
        <v>687</v>
      </c>
      <c r="K639" s="74" t="str">
        <f aca="false">IF(G639="No",MAX(0,AsOfDate-I639),"")</f>
        <v/>
      </c>
      <c r="L639" s="75" t="str">
        <f aca="false">IF(K639="","",IF(K639&lt;=90,"0-90",IF(K639&lt;=180,"91-180",IF(K639&lt;=270,"181-270","&gt;270"))))</f>
        <v/>
      </c>
      <c r="M639" s="75" t="str">
        <f aca="false">IF(G639="Obs",COUNTIF(G$2:G639,"Obs"),"")</f>
        <v/>
      </c>
      <c r="N639" s="75" t="str">
        <f aca="false">IF(G639="No",COUNTIF(G$2:G639,"No"),"")</f>
        <v/>
      </c>
    </row>
    <row r="640" customFormat="false" ht="15" hidden="false" customHeight="false" outlineLevel="0" collapsed="false">
      <c r="A640" s="10" t="s">
        <v>730</v>
      </c>
      <c r="B640" s="10" t="s">
        <v>383</v>
      </c>
      <c r="C640" s="10" t="s">
        <v>387</v>
      </c>
      <c r="D640" s="8" t="s">
        <v>140</v>
      </c>
      <c r="E640" s="8" t="s">
        <v>143</v>
      </c>
      <c r="F640" s="10" t="s">
        <v>105</v>
      </c>
      <c r="G640" s="11" t="s">
        <v>16</v>
      </c>
      <c r="H640" s="66"/>
      <c r="I640" s="67" t="n">
        <v>45967</v>
      </c>
      <c r="J640" s="10" t="s">
        <v>687</v>
      </c>
      <c r="K640" s="68" t="str">
        <f aca="false">IF(G640="No",MAX(0,AsOfDate-I640),"")</f>
        <v/>
      </c>
      <c r="L640" s="12" t="str">
        <f aca="false">IF(K640="","",IF(K640&lt;=90,"0-90",IF(K640&lt;=180,"91-180",IF(K640&lt;=270,"181-270","&gt;270"))))</f>
        <v/>
      </c>
      <c r="M640" s="12" t="str">
        <f aca="false">IF(G640="Obs",COUNTIF(G$2:G640,"Obs"),"")</f>
        <v/>
      </c>
      <c r="N640" s="12" t="str">
        <f aca="false">IF(G640="No",COUNTIF(G$2:G640,"No"),"")</f>
        <v/>
      </c>
    </row>
    <row r="641" customFormat="false" ht="15" hidden="false" customHeight="false" outlineLevel="0" collapsed="false">
      <c r="A641" s="69" t="s">
        <v>730</v>
      </c>
      <c r="B641" s="69" t="s">
        <v>383</v>
      </c>
      <c r="C641" s="69" t="s">
        <v>388</v>
      </c>
      <c r="D641" s="70" t="s">
        <v>140</v>
      </c>
      <c r="E641" s="70" t="s">
        <v>145</v>
      </c>
      <c r="F641" s="69" t="s">
        <v>99</v>
      </c>
      <c r="G641" s="71" t="s">
        <v>16</v>
      </c>
      <c r="H641" s="72"/>
      <c r="I641" s="73" t="n">
        <v>45967</v>
      </c>
      <c r="J641" s="69" t="s">
        <v>687</v>
      </c>
      <c r="K641" s="74" t="str">
        <f aca="false">IF(G641="No",MAX(0,AsOfDate-I641),"")</f>
        <v/>
      </c>
      <c r="L641" s="75" t="str">
        <f aca="false">IF(K641="","",IF(K641&lt;=90,"0-90",IF(K641&lt;=180,"91-180",IF(K641&lt;=270,"181-270","&gt;270"))))</f>
        <v/>
      </c>
      <c r="M641" s="75" t="str">
        <f aca="false">IF(G641="Obs",COUNTIF(G$2:G641,"Obs"),"")</f>
        <v/>
      </c>
      <c r="N641" s="75" t="str">
        <f aca="false">IF(G641="No",COUNTIF(G$2:G641,"No"),"")</f>
        <v/>
      </c>
    </row>
    <row r="642" customFormat="false" ht="15" hidden="false" customHeight="false" outlineLevel="0" collapsed="false">
      <c r="A642" s="10" t="s">
        <v>730</v>
      </c>
      <c r="B642" s="10" t="s">
        <v>383</v>
      </c>
      <c r="C642" s="10" t="s">
        <v>389</v>
      </c>
      <c r="D642" s="8" t="s">
        <v>147</v>
      </c>
      <c r="E642" s="8" t="s">
        <v>148</v>
      </c>
      <c r="F642" s="10" t="s">
        <v>99</v>
      </c>
      <c r="G642" s="11" t="s">
        <v>16</v>
      </c>
      <c r="H642" s="66"/>
      <c r="I642" s="67" t="n">
        <v>45967</v>
      </c>
      <c r="J642" s="10" t="s">
        <v>687</v>
      </c>
      <c r="K642" s="68" t="str">
        <f aca="false">IF(G642="No",MAX(0,AsOfDate-I642),"")</f>
        <v/>
      </c>
      <c r="L642" s="12" t="str">
        <f aca="false">IF(K642="","",IF(K642&lt;=90,"0-90",IF(K642&lt;=180,"91-180",IF(K642&lt;=270,"181-270","&gt;270"))))</f>
        <v/>
      </c>
      <c r="M642" s="12" t="str">
        <f aca="false">IF(G642="Obs",COUNTIF(G$2:G642,"Obs"),"")</f>
        <v/>
      </c>
      <c r="N642" s="12" t="str">
        <f aca="false">IF(G642="No",COUNTIF(G$2:G642,"No"),"")</f>
        <v/>
      </c>
    </row>
    <row r="643" customFormat="false" ht="15" hidden="false" customHeight="false" outlineLevel="0" collapsed="false">
      <c r="A643" s="69" t="s">
        <v>730</v>
      </c>
      <c r="B643" s="69" t="s">
        <v>383</v>
      </c>
      <c r="C643" s="69" t="s">
        <v>390</v>
      </c>
      <c r="D643" s="70" t="s">
        <v>147</v>
      </c>
      <c r="E643" s="70" t="s">
        <v>150</v>
      </c>
      <c r="F643" s="69" t="s">
        <v>105</v>
      </c>
      <c r="G643" s="71" t="s">
        <v>16</v>
      </c>
      <c r="H643" s="72"/>
      <c r="I643" s="73" t="n">
        <v>45967</v>
      </c>
      <c r="J643" s="69" t="s">
        <v>687</v>
      </c>
      <c r="K643" s="74" t="str">
        <f aca="false">IF(G643="No",MAX(0,AsOfDate-I643),"")</f>
        <v/>
      </c>
      <c r="L643" s="75" t="str">
        <f aca="false">IF(K643="","",IF(K643&lt;=90,"0-90",IF(K643&lt;=180,"91-180",IF(K643&lt;=270,"181-270","&gt;270"))))</f>
        <v/>
      </c>
      <c r="M643" s="75" t="str">
        <f aca="false">IF(G643="Obs",COUNTIF(G$2:G643,"Obs"),"")</f>
        <v/>
      </c>
      <c r="N643" s="75" t="str">
        <f aca="false">IF(G643="No",COUNTIF(G$2:G643,"No"),"")</f>
        <v/>
      </c>
    </row>
    <row r="644" customFormat="false" ht="15" hidden="false" customHeight="false" outlineLevel="0" collapsed="false">
      <c r="A644" s="10" t="s">
        <v>730</v>
      </c>
      <c r="B644" s="10" t="s">
        <v>383</v>
      </c>
      <c r="C644" s="10" t="s">
        <v>391</v>
      </c>
      <c r="D644" s="8" t="s">
        <v>147</v>
      </c>
      <c r="E644" s="8" t="s">
        <v>152</v>
      </c>
      <c r="F644" s="10" t="s">
        <v>99</v>
      </c>
      <c r="G644" s="11" t="s">
        <v>16</v>
      </c>
      <c r="H644" s="66"/>
      <c r="I644" s="67" t="n">
        <v>45967</v>
      </c>
      <c r="J644" s="10" t="s">
        <v>687</v>
      </c>
      <c r="K644" s="68" t="str">
        <f aca="false">IF(G644="No",MAX(0,AsOfDate-I644),"")</f>
        <v/>
      </c>
      <c r="L644" s="12" t="str">
        <f aca="false">IF(K644="","",IF(K644&lt;=90,"0-90",IF(K644&lt;=180,"91-180",IF(K644&lt;=270,"181-270","&gt;270"))))</f>
        <v/>
      </c>
      <c r="M644" s="12" t="str">
        <f aca="false">IF(G644="Obs",COUNTIF(G$2:G644,"Obs"),"")</f>
        <v/>
      </c>
      <c r="N644" s="12" t="str">
        <f aca="false">IF(G644="No",COUNTIF(G$2:G644,"No"),"")</f>
        <v/>
      </c>
    </row>
    <row r="645" customFormat="false" ht="15" hidden="false" customHeight="false" outlineLevel="0" collapsed="false">
      <c r="A645" s="69" t="s">
        <v>730</v>
      </c>
      <c r="B645" s="69" t="s">
        <v>383</v>
      </c>
      <c r="C645" s="69" t="s">
        <v>392</v>
      </c>
      <c r="D645" s="70" t="s">
        <v>154</v>
      </c>
      <c r="E645" s="70" t="s">
        <v>155</v>
      </c>
      <c r="F645" s="69" t="s">
        <v>105</v>
      </c>
      <c r="G645" s="71" t="s">
        <v>16</v>
      </c>
      <c r="H645" s="72"/>
      <c r="I645" s="73" t="n">
        <v>45967</v>
      </c>
      <c r="J645" s="69" t="s">
        <v>687</v>
      </c>
      <c r="K645" s="74" t="str">
        <f aca="false">IF(G645="No",MAX(0,AsOfDate-I645),"")</f>
        <v/>
      </c>
      <c r="L645" s="75" t="str">
        <f aca="false">IF(K645="","",IF(K645&lt;=90,"0-90",IF(K645&lt;=180,"91-180",IF(K645&lt;=270,"181-270","&gt;270"))))</f>
        <v/>
      </c>
      <c r="M645" s="75" t="str">
        <f aca="false">IF(G645="Obs",COUNTIF(G$2:G645,"Obs"),"")</f>
        <v/>
      </c>
      <c r="N645" s="75" t="str">
        <f aca="false">IF(G645="No",COUNTIF(G$2:G645,"No"),"")</f>
        <v/>
      </c>
    </row>
    <row r="646" customFormat="false" ht="15" hidden="false" customHeight="false" outlineLevel="0" collapsed="false">
      <c r="A646" s="10" t="s">
        <v>730</v>
      </c>
      <c r="B646" s="10" t="s">
        <v>383</v>
      </c>
      <c r="C646" s="10" t="s">
        <v>393</v>
      </c>
      <c r="D646" s="8" t="s">
        <v>154</v>
      </c>
      <c r="E646" s="8" t="s">
        <v>157</v>
      </c>
      <c r="F646" s="10" t="s">
        <v>105</v>
      </c>
      <c r="G646" s="11" t="s">
        <v>16</v>
      </c>
      <c r="H646" s="66"/>
      <c r="I646" s="67" t="n">
        <v>45967</v>
      </c>
      <c r="J646" s="10" t="s">
        <v>687</v>
      </c>
      <c r="K646" s="68" t="str">
        <f aca="false">IF(G646="No",MAX(0,AsOfDate-I646),"")</f>
        <v/>
      </c>
      <c r="L646" s="12" t="str">
        <f aca="false">IF(K646="","",IF(K646&lt;=90,"0-90",IF(K646&lt;=180,"91-180",IF(K646&lt;=270,"181-270","&gt;270"))))</f>
        <v/>
      </c>
      <c r="M646" s="12" t="str">
        <f aca="false">IF(G646="Obs",COUNTIF(G$2:G646,"Obs"),"")</f>
        <v/>
      </c>
      <c r="N646" s="12" t="str">
        <f aca="false">IF(G646="No",COUNTIF(G$2:G646,"No"),"")</f>
        <v/>
      </c>
    </row>
    <row r="647" customFormat="false" ht="23.85" hidden="false" customHeight="false" outlineLevel="0" collapsed="false">
      <c r="A647" s="69" t="s">
        <v>730</v>
      </c>
      <c r="B647" s="69" t="s">
        <v>383</v>
      </c>
      <c r="C647" s="69" t="s">
        <v>394</v>
      </c>
      <c r="D647" s="70" t="s">
        <v>159</v>
      </c>
      <c r="E647" s="70" t="s">
        <v>160</v>
      </c>
      <c r="F647" s="69" t="s">
        <v>99</v>
      </c>
      <c r="G647" s="71" t="s">
        <v>22</v>
      </c>
      <c r="H647" s="72" t="s">
        <v>562</v>
      </c>
      <c r="I647" s="73" t="n">
        <v>45967</v>
      </c>
      <c r="J647" s="69" t="s">
        <v>687</v>
      </c>
      <c r="K647" s="74" t="str">
        <f aca="false">IF(G647="No",MAX(0,AsOfDate-I647),"")</f>
        <v/>
      </c>
      <c r="L647" s="75" t="str">
        <f aca="false">IF(K647="","",IF(K647&lt;=90,"0-90",IF(K647&lt;=180,"91-180",IF(K647&lt;=270,"181-270","&gt;270"))))</f>
        <v/>
      </c>
      <c r="M647" s="75" t="n">
        <f aca="false">IF(G647="Obs",COUNTIF(G$2:G647,"Obs"),"")</f>
        <v>44</v>
      </c>
      <c r="N647" s="75" t="str">
        <f aca="false">IF(G647="No",COUNTIF(G$2:G647,"No"),"")</f>
        <v/>
      </c>
    </row>
    <row r="648" customFormat="false" ht="23.85" hidden="false" customHeight="false" outlineLevel="0" collapsed="false">
      <c r="A648" s="10" t="s">
        <v>730</v>
      </c>
      <c r="B648" s="10" t="s">
        <v>383</v>
      </c>
      <c r="C648" s="10" t="s">
        <v>395</v>
      </c>
      <c r="D648" s="8" t="s">
        <v>159</v>
      </c>
      <c r="E648" s="8" t="s">
        <v>162</v>
      </c>
      <c r="F648" s="10" t="s">
        <v>99</v>
      </c>
      <c r="G648" s="11" t="s">
        <v>16</v>
      </c>
      <c r="H648" s="66"/>
      <c r="I648" s="67" t="n">
        <v>45967</v>
      </c>
      <c r="J648" s="10" t="s">
        <v>687</v>
      </c>
      <c r="K648" s="68" t="str">
        <f aca="false">IF(G648="No",MAX(0,AsOfDate-I648),"")</f>
        <v/>
      </c>
      <c r="L648" s="12" t="str">
        <f aca="false">IF(K648="","",IF(K648&lt;=90,"0-90",IF(K648&lt;=180,"91-180",IF(K648&lt;=270,"181-270","&gt;270"))))</f>
        <v/>
      </c>
      <c r="M648" s="12" t="str">
        <f aca="false">IF(G648="Obs",COUNTIF(G$2:G648,"Obs"),"")</f>
        <v/>
      </c>
      <c r="N648" s="12" t="str">
        <f aca="false">IF(G648="No",COUNTIF(G$2:G648,"No"),"")</f>
        <v/>
      </c>
    </row>
    <row r="649" customFormat="false" ht="23.85" hidden="false" customHeight="false" outlineLevel="0" collapsed="false">
      <c r="A649" s="69" t="s">
        <v>730</v>
      </c>
      <c r="B649" s="69" t="s">
        <v>383</v>
      </c>
      <c r="C649" s="69" t="s">
        <v>396</v>
      </c>
      <c r="D649" s="70" t="s">
        <v>159</v>
      </c>
      <c r="E649" s="70" t="s">
        <v>164</v>
      </c>
      <c r="F649" s="69" t="s">
        <v>110</v>
      </c>
      <c r="G649" s="71" t="s">
        <v>16</v>
      </c>
      <c r="H649" s="72"/>
      <c r="I649" s="73" t="n">
        <v>45967</v>
      </c>
      <c r="J649" s="69" t="s">
        <v>687</v>
      </c>
      <c r="K649" s="74" t="str">
        <f aca="false">IF(G649="No",MAX(0,AsOfDate-I649),"")</f>
        <v/>
      </c>
      <c r="L649" s="75" t="str">
        <f aca="false">IF(K649="","",IF(K649&lt;=90,"0-90",IF(K649&lt;=180,"91-180",IF(K649&lt;=270,"181-270","&gt;270"))))</f>
        <v/>
      </c>
      <c r="M649" s="75" t="str">
        <f aca="false">IF(G649="Obs",COUNTIF(G$2:G649,"Obs"),"")</f>
        <v/>
      </c>
      <c r="N649" s="75" t="str">
        <f aca="false">IF(G649="No",COUNTIF(G$2:G649,"No"),"")</f>
        <v/>
      </c>
    </row>
    <row r="650" customFormat="false" ht="15" hidden="false" customHeight="false" outlineLevel="0" collapsed="false">
      <c r="A650" s="10" t="s">
        <v>730</v>
      </c>
      <c r="B650" s="10" t="s">
        <v>383</v>
      </c>
      <c r="C650" s="10" t="s">
        <v>397</v>
      </c>
      <c r="D650" s="8" t="s">
        <v>166</v>
      </c>
      <c r="E650" s="8" t="s">
        <v>167</v>
      </c>
      <c r="F650" s="10" t="s">
        <v>99</v>
      </c>
      <c r="G650" s="11" t="s">
        <v>16</v>
      </c>
      <c r="H650" s="66"/>
      <c r="I650" s="67" t="n">
        <v>45967</v>
      </c>
      <c r="J650" s="10" t="s">
        <v>687</v>
      </c>
      <c r="K650" s="68" t="str">
        <f aca="false">IF(G650="No",MAX(0,AsOfDate-I650),"")</f>
        <v/>
      </c>
      <c r="L650" s="12" t="str">
        <f aca="false">IF(K650="","",IF(K650&lt;=90,"0-90",IF(K650&lt;=180,"91-180",IF(K650&lt;=270,"181-270","&gt;270"))))</f>
        <v/>
      </c>
      <c r="M650" s="12" t="str">
        <f aca="false">IF(G650="Obs",COUNTIF(G$2:G650,"Obs"),"")</f>
        <v/>
      </c>
      <c r="N650" s="12" t="str">
        <f aca="false">IF(G650="No",COUNTIF(G$2:G650,"No"),"")</f>
        <v/>
      </c>
    </row>
    <row r="651" customFormat="false" ht="15" hidden="false" customHeight="false" outlineLevel="0" collapsed="false">
      <c r="A651" s="69" t="s">
        <v>730</v>
      </c>
      <c r="B651" s="69" t="s">
        <v>383</v>
      </c>
      <c r="C651" s="69" t="s">
        <v>398</v>
      </c>
      <c r="D651" s="70" t="s">
        <v>166</v>
      </c>
      <c r="E651" s="70" t="s">
        <v>169</v>
      </c>
      <c r="F651" s="69" t="s">
        <v>105</v>
      </c>
      <c r="G651" s="71" t="s">
        <v>20</v>
      </c>
      <c r="H651" s="72"/>
      <c r="I651" s="73" t="n">
        <v>45967</v>
      </c>
      <c r="J651" s="69" t="s">
        <v>687</v>
      </c>
      <c r="K651" s="74" t="str">
        <f aca="false">IF(G651="No",MAX(0,AsOfDate-I651),"")</f>
        <v/>
      </c>
      <c r="L651" s="75" t="str">
        <f aca="false">IF(K651="","",IF(K651&lt;=90,"0-90",IF(K651&lt;=180,"91-180",IF(K651&lt;=270,"181-270","&gt;270"))))</f>
        <v/>
      </c>
      <c r="M651" s="75" t="str">
        <f aca="false">IF(G651="Obs",COUNTIF(G$2:G651,"Obs"),"")</f>
        <v/>
      </c>
      <c r="N651" s="75" t="str">
        <f aca="false">IF(G651="No",COUNTIF(G$2:G651,"No"),"")</f>
        <v/>
      </c>
    </row>
    <row r="652" customFormat="false" ht="15" hidden="false" customHeight="false" outlineLevel="0" collapsed="false">
      <c r="A652" s="10" t="s">
        <v>730</v>
      </c>
      <c r="B652" s="10" t="s">
        <v>383</v>
      </c>
      <c r="C652" s="10" t="s">
        <v>399</v>
      </c>
      <c r="D652" s="8" t="s">
        <v>171</v>
      </c>
      <c r="E652" s="8" t="s">
        <v>172</v>
      </c>
      <c r="F652" s="10" t="s">
        <v>105</v>
      </c>
      <c r="G652" s="11" t="s">
        <v>16</v>
      </c>
      <c r="H652" s="66"/>
      <c r="I652" s="67" t="n">
        <v>45967</v>
      </c>
      <c r="J652" s="10" t="s">
        <v>687</v>
      </c>
      <c r="K652" s="68" t="str">
        <f aca="false">IF(G652="No",MAX(0,AsOfDate-I652),"")</f>
        <v/>
      </c>
      <c r="L652" s="12" t="str">
        <f aca="false">IF(K652="","",IF(K652&lt;=90,"0-90",IF(K652&lt;=180,"91-180",IF(K652&lt;=270,"181-270","&gt;270"))))</f>
        <v/>
      </c>
      <c r="M652" s="12" t="str">
        <f aca="false">IF(G652="Obs",COUNTIF(G$2:G652,"Obs"),"")</f>
        <v/>
      </c>
      <c r="N652" s="12" t="str">
        <f aca="false">IF(G652="No",COUNTIF(G$2:G652,"No"),"")</f>
        <v/>
      </c>
    </row>
    <row r="653" customFormat="false" ht="15" hidden="false" customHeight="false" outlineLevel="0" collapsed="false">
      <c r="A653" s="69" t="s">
        <v>730</v>
      </c>
      <c r="B653" s="69" t="s">
        <v>383</v>
      </c>
      <c r="C653" s="69" t="s">
        <v>400</v>
      </c>
      <c r="D653" s="70" t="s">
        <v>171</v>
      </c>
      <c r="E653" s="70" t="s">
        <v>174</v>
      </c>
      <c r="F653" s="69" t="s">
        <v>99</v>
      </c>
      <c r="G653" s="71" t="s">
        <v>22</v>
      </c>
      <c r="H653" s="72" t="s">
        <v>562</v>
      </c>
      <c r="I653" s="73" t="n">
        <v>45967</v>
      </c>
      <c r="J653" s="69" t="s">
        <v>687</v>
      </c>
      <c r="K653" s="74" t="str">
        <f aca="false">IF(G653="No",MAX(0,AsOfDate-I653),"")</f>
        <v/>
      </c>
      <c r="L653" s="75" t="str">
        <f aca="false">IF(K653="","",IF(K653&lt;=90,"0-90",IF(K653&lt;=180,"91-180",IF(K653&lt;=270,"181-270","&gt;270"))))</f>
        <v/>
      </c>
      <c r="M653" s="75" t="n">
        <f aca="false">IF(G653="Obs",COUNTIF(G$2:G653,"Obs"),"")</f>
        <v>45</v>
      </c>
      <c r="N653" s="75" t="str">
        <f aca="false">IF(G653="No",COUNTIF(G$2:G653,"No"),"")</f>
        <v/>
      </c>
    </row>
    <row r="654" customFormat="false" ht="15" hidden="false" customHeight="false" outlineLevel="0" collapsed="false">
      <c r="A654" s="10" t="s">
        <v>730</v>
      </c>
      <c r="B654" s="10" t="s">
        <v>383</v>
      </c>
      <c r="C654" s="10" t="s">
        <v>401</v>
      </c>
      <c r="D654" s="8" t="s">
        <v>176</v>
      </c>
      <c r="E654" s="8" t="s">
        <v>177</v>
      </c>
      <c r="F654" s="10" t="s">
        <v>105</v>
      </c>
      <c r="G654" s="11" t="s">
        <v>16</v>
      </c>
      <c r="H654" s="66"/>
      <c r="I654" s="67" t="n">
        <v>45967</v>
      </c>
      <c r="J654" s="10" t="s">
        <v>687</v>
      </c>
      <c r="K654" s="68" t="str">
        <f aca="false">IF(G654="No",MAX(0,AsOfDate-I654),"")</f>
        <v/>
      </c>
      <c r="L654" s="12" t="str">
        <f aca="false">IF(K654="","",IF(K654&lt;=90,"0-90",IF(K654&lt;=180,"91-180",IF(K654&lt;=270,"181-270","&gt;270"))))</f>
        <v/>
      </c>
      <c r="M654" s="12" t="str">
        <f aca="false">IF(G654="Obs",COUNTIF(G$2:G654,"Obs"),"")</f>
        <v/>
      </c>
      <c r="N654" s="12" t="str">
        <f aca="false">IF(G654="No",COUNTIF(G$2:G654,"No"),"")</f>
        <v/>
      </c>
    </row>
    <row r="655" customFormat="false" ht="15" hidden="false" customHeight="false" outlineLevel="0" collapsed="false">
      <c r="A655" s="69" t="s">
        <v>730</v>
      </c>
      <c r="B655" s="69" t="s">
        <v>383</v>
      </c>
      <c r="C655" s="69" t="s">
        <v>402</v>
      </c>
      <c r="D655" s="70" t="s">
        <v>176</v>
      </c>
      <c r="E655" s="70" t="s">
        <v>179</v>
      </c>
      <c r="F655" s="69" t="s">
        <v>105</v>
      </c>
      <c r="G655" s="71" t="s">
        <v>20</v>
      </c>
      <c r="H655" s="72"/>
      <c r="I655" s="73" t="n">
        <v>45967</v>
      </c>
      <c r="J655" s="69" t="s">
        <v>687</v>
      </c>
      <c r="K655" s="74" t="str">
        <f aca="false">IF(G655="No",MAX(0,AsOfDate-I655),"")</f>
        <v/>
      </c>
      <c r="L655" s="75" t="str">
        <f aca="false">IF(K655="","",IF(K655&lt;=90,"0-90",IF(K655&lt;=180,"91-180",IF(K655&lt;=270,"181-270","&gt;270"))))</f>
        <v/>
      </c>
      <c r="M655" s="75" t="str">
        <f aca="false">IF(G655="Obs",COUNTIF(G$2:G655,"Obs"),"")</f>
        <v/>
      </c>
      <c r="N655" s="75" t="str">
        <f aca="false">IF(G655="No",COUNTIF(G$2:G655,"No"),"")</f>
        <v/>
      </c>
    </row>
    <row r="656" customFormat="false" ht="23.85" hidden="false" customHeight="false" outlineLevel="0" collapsed="false">
      <c r="A656" s="10" t="s">
        <v>730</v>
      </c>
      <c r="B656" s="10" t="s">
        <v>383</v>
      </c>
      <c r="C656" s="10" t="s">
        <v>403</v>
      </c>
      <c r="D656" s="8" t="s">
        <v>404</v>
      </c>
      <c r="E656" s="8" t="s">
        <v>405</v>
      </c>
      <c r="F656" s="10" t="s">
        <v>99</v>
      </c>
      <c r="G656" s="11" t="s">
        <v>16</v>
      </c>
      <c r="H656" s="66"/>
      <c r="I656" s="67" t="n">
        <v>45967</v>
      </c>
      <c r="J656" s="10" t="s">
        <v>687</v>
      </c>
      <c r="K656" s="68" t="str">
        <f aca="false">IF(G656="No",MAX(0,AsOfDate-I656),"")</f>
        <v/>
      </c>
      <c r="L656" s="12" t="str">
        <f aca="false">IF(K656="","",IF(K656&lt;=90,"0-90",IF(K656&lt;=180,"91-180",IF(K656&lt;=270,"181-270","&gt;270"))))</f>
        <v/>
      </c>
      <c r="M656" s="12" t="str">
        <f aca="false">IF(G656="Obs",COUNTIF(G$2:G656,"Obs"),"")</f>
        <v/>
      </c>
      <c r="N656" s="12" t="str">
        <f aca="false">IF(G656="No",COUNTIF(G$2:G656,"No"),"")</f>
        <v/>
      </c>
    </row>
    <row r="657" customFormat="false" ht="15" hidden="false" customHeight="false" outlineLevel="0" collapsed="false">
      <c r="A657" s="69" t="s">
        <v>730</v>
      </c>
      <c r="B657" s="69" t="s">
        <v>383</v>
      </c>
      <c r="C657" s="69" t="s">
        <v>406</v>
      </c>
      <c r="D657" s="70" t="s">
        <v>404</v>
      </c>
      <c r="E657" s="70" t="s">
        <v>407</v>
      </c>
      <c r="F657" s="69" t="s">
        <v>105</v>
      </c>
      <c r="G657" s="71" t="s">
        <v>16</v>
      </c>
      <c r="H657" s="72"/>
      <c r="I657" s="73" t="n">
        <v>45967</v>
      </c>
      <c r="J657" s="69" t="s">
        <v>687</v>
      </c>
      <c r="K657" s="74" t="str">
        <f aca="false">IF(G657="No",MAX(0,AsOfDate-I657),"")</f>
        <v/>
      </c>
      <c r="L657" s="75" t="str">
        <f aca="false">IF(K657="","",IF(K657&lt;=90,"0-90",IF(K657&lt;=180,"91-180",IF(K657&lt;=270,"181-270","&gt;270"))))</f>
        <v/>
      </c>
      <c r="M657" s="75" t="str">
        <f aca="false">IF(G657="Obs",COUNTIF(G$2:G657,"Obs"),"")</f>
        <v/>
      </c>
      <c r="N657" s="75" t="str">
        <f aca="false">IF(G657="No",COUNTIF(G$2:G657,"No"),"")</f>
        <v/>
      </c>
    </row>
    <row r="658" customFormat="false" ht="15" hidden="false" customHeight="false" outlineLevel="0" collapsed="false">
      <c r="A658" s="10" t="s">
        <v>730</v>
      </c>
      <c r="B658" s="10" t="s">
        <v>383</v>
      </c>
      <c r="C658" s="10" t="s">
        <v>408</v>
      </c>
      <c r="D658" s="8" t="s">
        <v>409</v>
      </c>
      <c r="E658" s="8" t="s">
        <v>410</v>
      </c>
      <c r="F658" s="10" t="s">
        <v>99</v>
      </c>
      <c r="G658" s="11" t="s">
        <v>16</v>
      </c>
      <c r="H658" s="66"/>
      <c r="I658" s="67" t="n">
        <v>45967</v>
      </c>
      <c r="J658" s="10" t="s">
        <v>687</v>
      </c>
      <c r="K658" s="68" t="str">
        <f aca="false">IF(G658="No",MAX(0,AsOfDate-I658),"")</f>
        <v/>
      </c>
      <c r="L658" s="12" t="str">
        <f aca="false">IF(K658="","",IF(K658&lt;=90,"0-90",IF(K658&lt;=180,"91-180",IF(K658&lt;=270,"181-270","&gt;270"))))</f>
        <v/>
      </c>
      <c r="M658" s="12" t="str">
        <f aca="false">IF(G658="Obs",COUNTIF(G$2:G658,"Obs"),"")</f>
        <v/>
      </c>
      <c r="N658" s="12" t="str">
        <f aca="false">IF(G658="No",COUNTIF(G$2:G658,"No"),"")</f>
        <v/>
      </c>
    </row>
    <row r="659" customFormat="false" ht="15" hidden="false" customHeight="false" outlineLevel="0" collapsed="false">
      <c r="A659" s="69" t="s">
        <v>730</v>
      </c>
      <c r="B659" s="69" t="s">
        <v>383</v>
      </c>
      <c r="C659" s="69" t="s">
        <v>411</v>
      </c>
      <c r="D659" s="70" t="s">
        <v>409</v>
      </c>
      <c r="E659" s="70" t="s">
        <v>412</v>
      </c>
      <c r="F659" s="69" t="s">
        <v>105</v>
      </c>
      <c r="G659" s="71" t="s">
        <v>16</v>
      </c>
      <c r="H659" s="72"/>
      <c r="I659" s="73" t="n">
        <v>45967</v>
      </c>
      <c r="J659" s="69" t="s">
        <v>687</v>
      </c>
      <c r="K659" s="74" t="str">
        <f aca="false">IF(G659="No",MAX(0,AsOfDate-I659),"")</f>
        <v/>
      </c>
      <c r="L659" s="75" t="str">
        <f aca="false">IF(K659="","",IF(K659&lt;=90,"0-90",IF(K659&lt;=180,"91-180",IF(K659&lt;=270,"181-270","&gt;270"))))</f>
        <v/>
      </c>
      <c r="M659" s="75" t="str">
        <f aca="false">IF(G659="Obs",COUNTIF(G$2:G659,"Obs"),"")</f>
        <v/>
      </c>
      <c r="N659" s="75" t="str">
        <f aca="false">IF(G659="No",COUNTIF(G$2:G659,"No"),"")</f>
        <v/>
      </c>
    </row>
    <row r="660" customFormat="false" ht="15" hidden="false" customHeight="false" outlineLevel="0" collapsed="false">
      <c r="A660" s="10" t="s">
        <v>730</v>
      </c>
      <c r="B660" s="10" t="s">
        <v>383</v>
      </c>
      <c r="C660" s="10" t="s">
        <v>413</v>
      </c>
      <c r="D660" s="8" t="s">
        <v>414</v>
      </c>
      <c r="E660" s="8" t="s">
        <v>415</v>
      </c>
      <c r="F660" s="10" t="s">
        <v>99</v>
      </c>
      <c r="G660" s="11" t="s">
        <v>16</v>
      </c>
      <c r="H660" s="66"/>
      <c r="I660" s="67" t="n">
        <v>45967</v>
      </c>
      <c r="J660" s="10" t="s">
        <v>687</v>
      </c>
      <c r="K660" s="68" t="str">
        <f aca="false">IF(G660="No",MAX(0,AsOfDate-I660),"")</f>
        <v/>
      </c>
      <c r="L660" s="12" t="str">
        <f aca="false">IF(K660="","",IF(K660&lt;=90,"0-90",IF(K660&lt;=180,"91-180",IF(K660&lt;=270,"181-270","&gt;270"))))</f>
        <v/>
      </c>
      <c r="M660" s="12" t="str">
        <f aca="false">IF(G660="Obs",COUNTIF(G$2:G660,"Obs"),"")</f>
        <v/>
      </c>
      <c r="N660" s="12" t="str">
        <f aca="false">IF(G660="No",COUNTIF(G$2:G660,"No"),"")</f>
        <v/>
      </c>
    </row>
    <row r="661" customFormat="false" ht="15" hidden="false" customHeight="false" outlineLevel="0" collapsed="false">
      <c r="A661" s="69" t="s">
        <v>730</v>
      </c>
      <c r="B661" s="69" t="s">
        <v>383</v>
      </c>
      <c r="C661" s="69" t="s">
        <v>416</v>
      </c>
      <c r="D661" s="70" t="s">
        <v>414</v>
      </c>
      <c r="E661" s="70" t="s">
        <v>417</v>
      </c>
      <c r="F661" s="69" t="s">
        <v>105</v>
      </c>
      <c r="G661" s="71" t="s">
        <v>16</v>
      </c>
      <c r="H661" s="72"/>
      <c r="I661" s="73" t="n">
        <v>45967</v>
      </c>
      <c r="J661" s="69" t="s">
        <v>687</v>
      </c>
      <c r="K661" s="74" t="str">
        <f aca="false">IF(G661="No",MAX(0,AsOfDate-I661),"")</f>
        <v/>
      </c>
      <c r="L661" s="75" t="str">
        <f aca="false">IF(K661="","",IF(K661&lt;=90,"0-90",IF(K661&lt;=180,"91-180",IF(K661&lt;=270,"181-270","&gt;270"))))</f>
        <v/>
      </c>
      <c r="M661" s="75" t="str">
        <f aca="false">IF(G661="Obs",COUNTIF(G$2:G661,"Obs"),"")</f>
        <v/>
      </c>
      <c r="N661" s="75" t="str">
        <f aca="false">IF(G661="No",COUNTIF(G$2:G661,"No"),"")</f>
        <v/>
      </c>
    </row>
    <row r="662" customFormat="false" ht="15" hidden="false" customHeight="false" outlineLevel="0" collapsed="false">
      <c r="A662" s="10" t="s">
        <v>732</v>
      </c>
      <c r="B662" s="10" t="s">
        <v>383</v>
      </c>
      <c r="C662" s="10" t="s">
        <v>382</v>
      </c>
      <c r="D662" s="8" t="s">
        <v>133</v>
      </c>
      <c r="E662" s="8" t="s">
        <v>134</v>
      </c>
      <c r="F662" s="10" t="s">
        <v>99</v>
      </c>
      <c r="G662" s="11" t="s">
        <v>16</v>
      </c>
      <c r="H662" s="66"/>
      <c r="I662" s="67" t="n">
        <v>46072</v>
      </c>
      <c r="J662" s="10" t="s">
        <v>690</v>
      </c>
      <c r="K662" s="68" t="str">
        <f aca="false">IF(G662="No",MAX(0,AsOfDate-I662),"")</f>
        <v/>
      </c>
      <c r="L662" s="12" t="str">
        <f aca="false">IF(K662="","",IF(K662&lt;=90,"0-90",IF(K662&lt;=180,"91-180",IF(K662&lt;=270,"181-270","&gt;270"))))</f>
        <v/>
      </c>
      <c r="M662" s="12" t="str">
        <f aca="false">IF(G662="Obs",COUNTIF(G$2:G662,"Obs"),"")</f>
        <v/>
      </c>
      <c r="N662" s="12" t="str">
        <f aca="false">IF(G662="No",COUNTIF(G$2:G662,"No"),"")</f>
        <v/>
      </c>
    </row>
    <row r="663" customFormat="false" ht="15" hidden="false" customHeight="false" outlineLevel="0" collapsed="false">
      <c r="A663" s="69" t="s">
        <v>732</v>
      </c>
      <c r="B663" s="69" t="s">
        <v>383</v>
      </c>
      <c r="C663" s="69" t="s">
        <v>384</v>
      </c>
      <c r="D663" s="70" t="s">
        <v>133</v>
      </c>
      <c r="E663" s="70" t="s">
        <v>136</v>
      </c>
      <c r="F663" s="69" t="s">
        <v>99</v>
      </c>
      <c r="G663" s="71" t="s">
        <v>16</v>
      </c>
      <c r="H663" s="72"/>
      <c r="I663" s="73" t="n">
        <v>46072</v>
      </c>
      <c r="J663" s="69" t="s">
        <v>690</v>
      </c>
      <c r="K663" s="74" t="str">
        <f aca="false">IF(G663="No",MAX(0,AsOfDate-I663),"")</f>
        <v/>
      </c>
      <c r="L663" s="75" t="str">
        <f aca="false">IF(K663="","",IF(K663&lt;=90,"0-90",IF(K663&lt;=180,"91-180",IF(K663&lt;=270,"181-270","&gt;270"))))</f>
        <v/>
      </c>
      <c r="M663" s="75" t="str">
        <f aca="false">IF(G663="Obs",COUNTIF(G$2:G663,"Obs"),"")</f>
        <v/>
      </c>
      <c r="N663" s="75" t="str">
        <f aca="false">IF(G663="No",COUNTIF(G$2:G663,"No"),"")</f>
        <v/>
      </c>
    </row>
    <row r="664" customFormat="false" ht="15" hidden="false" customHeight="false" outlineLevel="0" collapsed="false">
      <c r="A664" s="10" t="s">
        <v>732</v>
      </c>
      <c r="B664" s="10" t="s">
        <v>383</v>
      </c>
      <c r="C664" s="10" t="s">
        <v>385</v>
      </c>
      <c r="D664" s="8" t="s">
        <v>133</v>
      </c>
      <c r="E664" s="8" t="s">
        <v>138</v>
      </c>
      <c r="F664" s="10" t="s">
        <v>105</v>
      </c>
      <c r="G664" s="11" t="s">
        <v>16</v>
      </c>
      <c r="H664" s="66"/>
      <c r="I664" s="67" t="n">
        <v>46072</v>
      </c>
      <c r="J664" s="10" t="s">
        <v>690</v>
      </c>
      <c r="K664" s="68" t="str">
        <f aca="false">IF(G664="No",MAX(0,AsOfDate-I664),"")</f>
        <v/>
      </c>
      <c r="L664" s="12" t="str">
        <f aca="false">IF(K664="","",IF(K664&lt;=90,"0-90",IF(K664&lt;=180,"91-180",IF(K664&lt;=270,"181-270","&gt;270"))))</f>
        <v/>
      </c>
      <c r="M664" s="12" t="str">
        <f aca="false">IF(G664="Obs",COUNTIF(G$2:G664,"Obs"),"")</f>
        <v/>
      </c>
      <c r="N664" s="12" t="str">
        <f aca="false">IF(G664="No",COUNTIF(G$2:G664,"No"),"")</f>
        <v/>
      </c>
    </row>
    <row r="665" customFormat="false" ht="15" hidden="false" customHeight="false" outlineLevel="0" collapsed="false">
      <c r="A665" s="69" t="s">
        <v>732</v>
      </c>
      <c r="B665" s="69" t="s">
        <v>383</v>
      </c>
      <c r="C665" s="69" t="s">
        <v>386</v>
      </c>
      <c r="D665" s="70" t="s">
        <v>140</v>
      </c>
      <c r="E665" s="70" t="s">
        <v>141</v>
      </c>
      <c r="F665" s="69" t="s">
        <v>99</v>
      </c>
      <c r="G665" s="71" t="s">
        <v>16</v>
      </c>
      <c r="H665" s="72"/>
      <c r="I665" s="73" t="n">
        <v>46072</v>
      </c>
      <c r="J665" s="69" t="s">
        <v>690</v>
      </c>
      <c r="K665" s="74" t="str">
        <f aca="false">IF(G665="No",MAX(0,AsOfDate-I665),"")</f>
        <v/>
      </c>
      <c r="L665" s="75" t="str">
        <f aca="false">IF(K665="","",IF(K665&lt;=90,"0-90",IF(K665&lt;=180,"91-180",IF(K665&lt;=270,"181-270","&gt;270"))))</f>
        <v/>
      </c>
      <c r="M665" s="75" t="str">
        <f aca="false">IF(G665="Obs",COUNTIF(G$2:G665,"Obs"),"")</f>
        <v/>
      </c>
      <c r="N665" s="75" t="str">
        <f aca="false">IF(G665="No",COUNTIF(G$2:G665,"No"),"")</f>
        <v/>
      </c>
    </row>
    <row r="666" customFormat="false" ht="15" hidden="false" customHeight="false" outlineLevel="0" collapsed="false">
      <c r="A666" s="10" t="s">
        <v>732</v>
      </c>
      <c r="B666" s="10" t="s">
        <v>383</v>
      </c>
      <c r="C666" s="10" t="s">
        <v>387</v>
      </c>
      <c r="D666" s="8" t="s">
        <v>140</v>
      </c>
      <c r="E666" s="8" t="s">
        <v>143</v>
      </c>
      <c r="F666" s="10" t="s">
        <v>105</v>
      </c>
      <c r="G666" s="11" t="s">
        <v>16</v>
      </c>
      <c r="H666" s="66"/>
      <c r="I666" s="67" t="n">
        <v>46072</v>
      </c>
      <c r="J666" s="10" t="s">
        <v>690</v>
      </c>
      <c r="K666" s="68" t="str">
        <f aca="false">IF(G666="No",MAX(0,AsOfDate-I666),"")</f>
        <v/>
      </c>
      <c r="L666" s="12" t="str">
        <f aca="false">IF(K666="","",IF(K666&lt;=90,"0-90",IF(K666&lt;=180,"91-180",IF(K666&lt;=270,"181-270","&gt;270"))))</f>
        <v/>
      </c>
      <c r="M666" s="12" t="str">
        <f aca="false">IF(G666="Obs",COUNTIF(G$2:G666,"Obs"),"")</f>
        <v/>
      </c>
      <c r="N666" s="12" t="str">
        <f aca="false">IF(G666="No",COUNTIF(G$2:G666,"No"),"")</f>
        <v/>
      </c>
    </row>
    <row r="667" customFormat="false" ht="15" hidden="false" customHeight="false" outlineLevel="0" collapsed="false">
      <c r="A667" s="69" t="s">
        <v>732</v>
      </c>
      <c r="B667" s="69" t="s">
        <v>383</v>
      </c>
      <c r="C667" s="69" t="s">
        <v>388</v>
      </c>
      <c r="D667" s="70" t="s">
        <v>140</v>
      </c>
      <c r="E667" s="70" t="s">
        <v>145</v>
      </c>
      <c r="F667" s="69" t="s">
        <v>99</v>
      </c>
      <c r="G667" s="71" t="s">
        <v>16</v>
      </c>
      <c r="H667" s="72"/>
      <c r="I667" s="73" t="n">
        <v>46072</v>
      </c>
      <c r="J667" s="69" t="s">
        <v>690</v>
      </c>
      <c r="K667" s="74" t="str">
        <f aca="false">IF(G667="No",MAX(0,AsOfDate-I667),"")</f>
        <v/>
      </c>
      <c r="L667" s="75" t="str">
        <f aca="false">IF(K667="","",IF(K667&lt;=90,"0-90",IF(K667&lt;=180,"91-180",IF(K667&lt;=270,"181-270","&gt;270"))))</f>
        <v/>
      </c>
      <c r="M667" s="75" t="str">
        <f aca="false">IF(G667="Obs",COUNTIF(G$2:G667,"Obs"),"")</f>
        <v/>
      </c>
      <c r="N667" s="75" t="str">
        <f aca="false">IF(G667="No",COUNTIF(G$2:G667,"No"),"")</f>
        <v/>
      </c>
    </row>
    <row r="668" customFormat="false" ht="15" hidden="false" customHeight="false" outlineLevel="0" collapsed="false">
      <c r="A668" s="10" t="s">
        <v>732</v>
      </c>
      <c r="B668" s="10" t="s">
        <v>383</v>
      </c>
      <c r="C668" s="10" t="s">
        <v>389</v>
      </c>
      <c r="D668" s="8" t="s">
        <v>147</v>
      </c>
      <c r="E668" s="8" t="s">
        <v>148</v>
      </c>
      <c r="F668" s="10" t="s">
        <v>99</v>
      </c>
      <c r="G668" s="11" t="s">
        <v>16</v>
      </c>
      <c r="H668" s="66"/>
      <c r="I668" s="67" t="n">
        <v>46072</v>
      </c>
      <c r="J668" s="10" t="s">
        <v>690</v>
      </c>
      <c r="K668" s="68" t="str">
        <f aca="false">IF(G668="No",MAX(0,AsOfDate-I668),"")</f>
        <v/>
      </c>
      <c r="L668" s="12" t="str">
        <f aca="false">IF(K668="","",IF(K668&lt;=90,"0-90",IF(K668&lt;=180,"91-180",IF(K668&lt;=270,"181-270","&gt;270"))))</f>
        <v/>
      </c>
      <c r="M668" s="12" t="str">
        <f aca="false">IF(G668="Obs",COUNTIF(G$2:G668,"Obs"),"")</f>
        <v/>
      </c>
      <c r="N668" s="12" t="str">
        <f aca="false">IF(G668="No",COUNTIF(G$2:G668,"No"),"")</f>
        <v/>
      </c>
    </row>
    <row r="669" customFormat="false" ht="15" hidden="false" customHeight="false" outlineLevel="0" collapsed="false">
      <c r="A669" s="69" t="s">
        <v>732</v>
      </c>
      <c r="B669" s="69" t="s">
        <v>383</v>
      </c>
      <c r="C669" s="69" t="s">
        <v>390</v>
      </c>
      <c r="D669" s="70" t="s">
        <v>147</v>
      </c>
      <c r="E669" s="70" t="s">
        <v>150</v>
      </c>
      <c r="F669" s="69" t="s">
        <v>105</v>
      </c>
      <c r="G669" s="71" t="s">
        <v>16</v>
      </c>
      <c r="H669" s="72"/>
      <c r="I669" s="73" t="n">
        <v>46072</v>
      </c>
      <c r="J669" s="69" t="s">
        <v>690</v>
      </c>
      <c r="K669" s="74" t="str">
        <f aca="false">IF(G669="No",MAX(0,AsOfDate-I669),"")</f>
        <v/>
      </c>
      <c r="L669" s="75" t="str">
        <f aca="false">IF(K669="","",IF(K669&lt;=90,"0-90",IF(K669&lt;=180,"91-180",IF(K669&lt;=270,"181-270","&gt;270"))))</f>
        <v/>
      </c>
      <c r="M669" s="75" t="str">
        <f aca="false">IF(G669="Obs",COUNTIF(G$2:G669,"Obs"),"")</f>
        <v/>
      </c>
      <c r="N669" s="75" t="str">
        <f aca="false">IF(G669="No",COUNTIF(G$2:G669,"No"),"")</f>
        <v/>
      </c>
    </row>
    <row r="670" customFormat="false" ht="15" hidden="false" customHeight="false" outlineLevel="0" collapsed="false">
      <c r="A670" s="10" t="s">
        <v>732</v>
      </c>
      <c r="B670" s="10" t="s">
        <v>383</v>
      </c>
      <c r="C670" s="10" t="s">
        <v>391</v>
      </c>
      <c r="D670" s="8" t="s">
        <v>147</v>
      </c>
      <c r="E670" s="8" t="s">
        <v>152</v>
      </c>
      <c r="F670" s="10" t="s">
        <v>99</v>
      </c>
      <c r="G670" s="11" t="s">
        <v>18</v>
      </c>
      <c r="H670" s="66" t="s">
        <v>742</v>
      </c>
      <c r="I670" s="67" t="n">
        <v>46072</v>
      </c>
      <c r="J670" s="10" t="s">
        <v>690</v>
      </c>
      <c r="K670" s="68" t="n">
        <f aca="false">IF(G670="No",MAX(0,AsOfDate-I670),"")</f>
        <v>111</v>
      </c>
      <c r="L670" s="12" t="str">
        <f aca="false">IF(K670="","",IF(K670&lt;=90,"0-90",IF(K670&lt;=180,"91-180",IF(K670&lt;=270,"181-270","&gt;270"))))</f>
        <v>91-180</v>
      </c>
      <c r="M670" s="12" t="str">
        <f aca="false">IF(G670="Obs",COUNTIF(G$2:G670,"Obs"),"")</f>
        <v/>
      </c>
      <c r="N670" s="12" t="n">
        <f aca="false">IF(G670="No",COUNTIF(G$2:G670,"No"),"")</f>
        <v>46</v>
      </c>
    </row>
    <row r="671" customFormat="false" ht="15" hidden="false" customHeight="false" outlineLevel="0" collapsed="false">
      <c r="A671" s="69" t="s">
        <v>732</v>
      </c>
      <c r="B671" s="69" t="s">
        <v>383</v>
      </c>
      <c r="C671" s="69" t="s">
        <v>392</v>
      </c>
      <c r="D671" s="70" t="s">
        <v>154</v>
      </c>
      <c r="E671" s="70" t="s">
        <v>155</v>
      </c>
      <c r="F671" s="69" t="s">
        <v>105</v>
      </c>
      <c r="G671" s="71" t="s">
        <v>16</v>
      </c>
      <c r="H671" s="72"/>
      <c r="I671" s="73" t="n">
        <v>46072</v>
      </c>
      <c r="J671" s="69" t="s">
        <v>690</v>
      </c>
      <c r="K671" s="74" t="str">
        <f aca="false">IF(G671="No",MAX(0,AsOfDate-I671),"")</f>
        <v/>
      </c>
      <c r="L671" s="75" t="str">
        <f aca="false">IF(K671="","",IF(K671&lt;=90,"0-90",IF(K671&lt;=180,"91-180",IF(K671&lt;=270,"181-270","&gt;270"))))</f>
        <v/>
      </c>
      <c r="M671" s="75" t="str">
        <f aca="false">IF(G671="Obs",COUNTIF(G$2:G671,"Obs"),"")</f>
        <v/>
      </c>
      <c r="N671" s="75" t="str">
        <f aca="false">IF(G671="No",COUNTIF(G$2:G671,"No"),"")</f>
        <v/>
      </c>
    </row>
    <row r="672" customFormat="false" ht="15" hidden="false" customHeight="false" outlineLevel="0" collapsed="false">
      <c r="A672" s="10" t="s">
        <v>732</v>
      </c>
      <c r="B672" s="10" t="s">
        <v>383</v>
      </c>
      <c r="C672" s="10" t="s">
        <v>393</v>
      </c>
      <c r="D672" s="8" t="s">
        <v>154</v>
      </c>
      <c r="E672" s="8" t="s">
        <v>157</v>
      </c>
      <c r="F672" s="10" t="s">
        <v>105</v>
      </c>
      <c r="G672" s="11" t="s">
        <v>16</v>
      </c>
      <c r="H672" s="66"/>
      <c r="I672" s="67" t="n">
        <v>46072</v>
      </c>
      <c r="J672" s="10" t="s">
        <v>690</v>
      </c>
      <c r="K672" s="68" t="str">
        <f aca="false">IF(G672="No",MAX(0,AsOfDate-I672),"")</f>
        <v/>
      </c>
      <c r="L672" s="12" t="str">
        <f aca="false">IF(K672="","",IF(K672&lt;=90,"0-90",IF(K672&lt;=180,"91-180",IF(K672&lt;=270,"181-270","&gt;270"))))</f>
        <v/>
      </c>
      <c r="M672" s="12" t="str">
        <f aca="false">IF(G672="Obs",COUNTIF(G$2:G672,"Obs"),"")</f>
        <v/>
      </c>
      <c r="N672" s="12" t="str">
        <f aca="false">IF(G672="No",COUNTIF(G$2:G672,"No"),"")</f>
        <v/>
      </c>
    </row>
    <row r="673" customFormat="false" ht="23.85" hidden="false" customHeight="false" outlineLevel="0" collapsed="false">
      <c r="A673" s="69" t="s">
        <v>732</v>
      </c>
      <c r="B673" s="69" t="s">
        <v>383</v>
      </c>
      <c r="C673" s="69" t="s">
        <v>394</v>
      </c>
      <c r="D673" s="70" t="s">
        <v>159</v>
      </c>
      <c r="E673" s="70" t="s">
        <v>160</v>
      </c>
      <c r="F673" s="69" t="s">
        <v>99</v>
      </c>
      <c r="G673" s="71" t="s">
        <v>16</v>
      </c>
      <c r="H673" s="72"/>
      <c r="I673" s="73" t="n">
        <v>46072</v>
      </c>
      <c r="J673" s="69" t="s">
        <v>690</v>
      </c>
      <c r="K673" s="74" t="str">
        <f aca="false">IF(G673="No",MAX(0,AsOfDate-I673),"")</f>
        <v/>
      </c>
      <c r="L673" s="75" t="str">
        <f aca="false">IF(K673="","",IF(K673&lt;=90,"0-90",IF(K673&lt;=180,"91-180",IF(K673&lt;=270,"181-270","&gt;270"))))</f>
        <v/>
      </c>
      <c r="M673" s="75" t="str">
        <f aca="false">IF(G673="Obs",COUNTIF(G$2:G673,"Obs"),"")</f>
        <v/>
      </c>
      <c r="N673" s="75" t="str">
        <f aca="false">IF(G673="No",COUNTIF(G$2:G673,"No"),"")</f>
        <v/>
      </c>
    </row>
    <row r="674" customFormat="false" ht="23.85" hidden="false" customHeight="false" outlineLevel="0" collapsed="false">
      <c r="A674" s="10" t="s">
        <v>732</v>
      </c>
      <c r="B674" s="10" t="s">
        <v>383</v>
      </c>
      <c r="C674" s="10" t="s">
        <v>395</v>
      </c>
      <c r="D674" s="8" t="s">
        <v>159</v>
      </c>
      <c r="E674" s="8" t="s">
        <v>162</v>
      </c>
      <c r="F674" s="10" t="s">
        <v>99</v>
      </c>
      <c r="G674" s="11" t="s">
        <v>20</v>
      </c>
      <c r="H674" s="66"/>
      <c r="I674" s="67" t="n">
        <v>46072</v>
      </c>
      <c r="J674" s="10" t="s">
        <v>690</v>
      </c>
      <c r="K674" s="68" t="str">
        <f aca="false">IF(G674="No",MAX(0,AsOfDate-I674),"")</f>
        <v/>
      </c>
      <c r="L674" s="12" t="str">
        <f aca="false">IF(K674="","",IF(K674&lt;=90,"0-90",IF(K674&lt;=180,"91-180",IF(K674&lt;=270,"181-270","&gt;270"))))</f>
        <v/>
      </c>
      <c r="M674" s="12" t="str">
        <f aca="false">IF(G674="Obs",COUNTIF(G$2:G674,"Obs"),"")</f>
        <v/>
      </c>
      <c r="N674" s="12" t="str">
        <f aca="false">IF(G674="No",COUNTIF(G$2:G674,"No"),"")</f>
        <v/>
      </c>
    </row>
    <row r="675" customFormat="false" ht="23.85" hidden="false" customHeight="false" outlineLevel="0" collapsed="false">
      <c r="A675" s="69" t="s">
        <v>732</v>
      </c>
      <c r="B675" s="69" t="s">
        <v>383</v>
      </c>
      <c r="C675" s="69" t="s">
        <v>396</v>
      </c>
      <c r="D675" s="70" t="s">
        <v>159</v>
      </c>
      <c r="E675" s="70" t="s">
        <v>164</v>
      </c>
      <c r="F675" s="69" t="s">
        <v>110</v>
      </c>
      <c r="G675" s="71" t="s">
        <v>22</v>
      </c>
      <c r="H675" s="72" t="s">
        <v>562</v>
      </c>
      <c r="I675" s="73" t="n">
        <v>46072</v>
      </c>
      <c r="J675" s="69" t="s">
        <v>690</v>
      </c>
      <c r="K675" s="74" t="str">
        <f aca="false">IF(G675="No",MAX(0,AsOfDate-I675),"")</f>
        <v/>
      </c>
      <c r="L675" s="75" t="str">
        <f aca="false">IF(K675="","",IF(K675&lt;=90,"0-90",IF(K675&lt;=180,"91-180",IF(K675&lt;=270,"181-270","&gt;270"))))</f>
        <v/>
      </c>
      <c r="M675" s="75" t="n">
        <f aca="false">IF(G675="Obs",COUNTIF(G$2:G675,"Obs"),"")</f>
        <v>46</v>
      </c>
      <c r="N675" s="75" t="str">
        <f aca="false">IF(G675="No",COUNTIF(G$2:G675,"No"),"")</f>
        <v/>
      </c>
    </row>
    <row r="676" customFormat="false" ht="15" hidden="false" customHeight="false" outlineLevel="0" collapsed="false">
      <c r="A676" s="10" t="s">
        <v>732</v>
      </c>
      <c r="B676" s="10" t="s">
        <v>383</v>
      </c>
      <c r="C676" s="10" t="s">
        <v>397</v>
      </c>
      <c r="D676" s="8" t="s">
        <v>166</v>
      </c>
      <c r="E676" s="8" t="s">
        <v>167</v>
      </c>
      <c r="F676" s="10" t="s">
        <v>99</v>
      </c>
      <c r="G676" s="11" t="s">
        <v>22</v>
      </c>
      <c r="H676" s="66" t="s">
        <v>562</v>
      </c>
      <c r="I676" s="67" t="n">
        <v>46072</v>
      </c>
      <c r="J676" s="10" t="s">
        <v>690</v>
      </c>
      <c r="K676" s="68" t="str">
        <f aca="false">IF(G676="No",MAX(0,AsOfDate-I676),"")</f>
        <v/>
      </c>
      <c r="L676" s="12" t="str">
        <f aca="false">IF(K676="","",IF(K676&lt;=90,"0-90",IF(K676&lt;=180,"91-180",IF(K676&lt;=270,"181-270","&gt;270"))))</f>
        <v/>
      </c>
      <c r="M676" s="12" t="n">
        <f aca="false">IF(G676="Obs",COUNTIF(G$2:G676,"Obs"),"")</f>
        <v>47</v>
      </c>
      <c r="N676" s="12" t="str">
        <f aca="false">IF(G676="No",COUNTIF(G$2:G676,"No"),"")</f>
        <v/>
      </c>
    </row>
    <row r="677" customFormat="false" ht="15" hidden="false" customHeight="false" outlineLevel="0" collapsed="false">
      <c r="A677" s="69" t="s">
        <v>732</v>
      </c>
      <c r="B677" s="69" t="s">
        <v>383</v>
      </c>
      <c r="C677" s="69" t="s">
        <v>398</v>
      </c>
      <c r="D677" s="70" t="s">
        <v>166</v>
      </c>
      <c r="E677" s="70" t="s">
        <v>169</v>
      </c>
      <c r="F677" s="69" t="s">
        <v>105</v>
      </c>
      <c r="G677" s="71" t="s">
        <v>16</v>
      </c>
      <c r="H677" s="72"/>
      <c r="I677" s="73" t="n">
        <v>46072</v>
      </c>
      <c r="J677" s="69" t="s">
        <v>690</v>
      </c>
      <c r="K677" s="74" t="str">
        <f aca="false">IF(G677="No",MAX(0,AsOfDate-I677),"")</f>
        <v/>
      </c>
      <c r="L677" s="75" t="str">
        <f aca="false">IF(K677="","",IF(K677&lt;=90,"0-90",IF(K677&lt;=180,"91-180",IF(K677&lt;=270,"181-270","&gt;270"))))</f>
        <v/>
      </c>
      <c r="M677" s="75" t="str">
        <f aca="false">IF(G677="Obs",COUNTIF(G$2:G677,"Obs"),"")</f>
        <v/>
      </c>
      <c r="N677" s="75" t="str">
        <f aca="false">IF(G677="No",COUNTIF(G$2:G677,"No"),"")</f>
        <v/>
      </c>
    </row>
    <row r="678" customFormat="false" ht="15" hidden="false" customHeight="false" outlineLevel="0" collapsed="false">
      <c r="A678" s="10" t="s">
        <v>732</v>
      </c>
      <c r="B678" s="10" t="s">
        <v>383</v>
      </c>
      <c r="C678" s="10" t="s">
        <v>399</v>
      </c>
      <c r="D678" s="8" t="s">
        <v>171</v>
      </c>
      <c r="E678" s="8" t="s">
        <v>172</v>
      </c>
      <c r="F678" s="10" t="s">
        <v>105</v>
      </c>
      <c r="G678" s="11" t="s">
        <v>16</v>
      </c>
      <c r="H678" s="66"/>
      <c r="I678" s="67" t="n">
        <v>46072</v>
      </c>
      <c r="J678" s="10" t="s">
        <v>690</v>
      </c>
      <c r="K678" s="68" t="str">
        <f aca="false">IF(G678="No",MAX(0,AsOfDate-I678),"")</f>
        <v/>
      </c>
      <c r="L678" s="12" t="str">
        <f aca="false">IF(K678="","",IF(K678&lt;=90,"0-90",IF(K678&lt;=180,"91-180",IF(K678&lt;=270,"181-270","&gt;270"))))</f>
        <v/>
      </c>
      <c r="M678" s="12" t="str">
        <f aca="false">IF(G678="Obs",COUNTIF(G$2:G678,"Obs"),"")</f>
        <v/>
      </c>
      <c r="N678" s="12" t="str">
        <f aca="false">IF(G678="No",COUNTIF(G$2:G678,"No"),"")</f>
        <v/>
      </c>
    </row>
    <row r="679" customFormat="false" ht="15" hidden="false" customHeight="false" outlineLevel="0" collapsed="false">
      <c r="A679" s="69" t="s">
        <v>732</v>
      </c>
      <c r="B679" s="69" t="s">
        <v>383</v>
      </c>
      <c r="C679" s="69" t="s">
        <v>400</v>
      </c>
      <c r="D679" s="70" t="s">
        <v>171</v>
      </c>
      <c r="E679" s="70" t="s">
        <v>174</v>
      </c>
      <c r="F679" s="69" t="s">
        <v>99</v>
      </c>
      <c r="G679" s="71" t="s">
        <v>16</v>
      </c>
      <c r="H679" s="72"/>
      <c r="I679" s="73" t="n">
        <v>46072</v>
      </c>
      <c r="J679" s="69" t="s">
        <v>690</v>
      </c>
      <c r="K679" s="74" t="str">
        <f aca="false">IF(G679="No",MAX(0,AsOfDate-I679),"")</f>
        <v/>
      </c>
      <c r="L679" s="75" t="str">
        <f aca="false">IF(K679="","",IF(K679&lt;=90,"0-90",IF(K679&lt;=180,"91-180",IF(K679&lt;=270,"181-270","&gt;270"))))</f>
        <v/>
      </c>
      <c r="M679" s="75" t="str">
        <f aca="false">IF(G679="Obs",COUNTIF(G$2:G679,"Obs"),"")</f>
        <v/>
      </c>
      <c r="N679" s="75" t="str">
        <f aca="false">IF(G679="No",COUNTIF(G$2:G679,"No"),"")</f>
        <v/>
      </c>
    </row>
    <row r="680" customFormat="false" ht="15" hidden="false" customHeight="false" outlineLevel="0" collapsed="false">
      <c r="A680" s="10" t="s">
        <v>732</v>
      </c>
      <c r="B680" s="10" t="s">
        <v>383</v>
      </c>
      <c r="C680" s="10" t="s">
        <v>401</v>
      </c>
      <c r="D680" s="8" t="s">
        <v>176</v>
      </c>
      <c r="E680" s="8" t="s">
        <v>177</v>
      </c>
      <c r="F680" s="10" t="s">
        <v>105</v>
      </c>
      <c r="G680" s="11" t="s">
        <v>16</v>
      </c>
      <c r="H680" s="66"/>
      <c r="I680" s="67" t="n">
        <v>46072</v>
      </c>
      <c r="J680" s="10" t="s">
        <v>690</v>
      </c>
      <c r="K680" s="68" t="str">
        <f aca="false">IF(G680="No",MAX(0,AsOfDate-I680),"")</f>
        <v/>
      </c>
      <c r="L680" s="12" t="str">
        <f aca="false">IF(K680="","",IF(K680&lt;=90,"0-90",IF(K680&lt;=180,"91-180",IF(K680&lt;=270,"181-270","&gt;270"))))</f>
        <v/>
      </c>
      <c r="M680" s="12" t="str">
        <f aca="false">IF(G680="Obs",COUNTIF(G$2:G680,"Obs"),"")</f>
        <v/>
      </c>
      <c r="N680" s="12" t="str">
        <f aca="false">IF(G680="No",COUNTIF(G$2:G680,"No"),"")</f>
        <v/>
      </c>
    </row>
    <row r="681" customFormat="false" ht="15" hidden="false" customHeight="false" outlineLevel="0" collapsed="false">
      <c r="A681" s="69" t="s">
        <v>732</v>
      </c>
      <c r="B681" s="69" t="s">
        <v>383</v>
      </c>
      <c r="C681" s="69" t="s">
        <v>402</v>
      </c>
      <c r="D681" s="70" t="s">
        <v>176</v>
      </c>
      <c r="E681" s="70" t="s">
        <v>179</v>
      </c>
      <c r="F681" s="69" t="s">
        <v>105</v>
      </c>
      <c r="G681" s="71" t="s">
        <v>16</v>
      </c>
      <c r="H681" s="72"/>
      <c r="I681" s="73" t="n">
        <v>46072</v>
      </c>
      <c r="J681" s="69" t="s">
        <v>690</v>
      </c>
      <c r="K681" s="74" t="str">
        <f aca="false">IF(G681="No",MAX(0,AsOfDate-I681),"")</f>
        <v/>
      </c>
      <c r="L681" s="75" t="str">
        <f aca="false">IF(K681="","",IF(K681&lt;=90,"0-90",IF(K681&lt;=180,"91-180",IF(K681&lt;=270,"181-270","&gt;270"))))</f>
        <v/>
      </c>
      <c r="M681" s="75" t="str">
        <f aca="false">IF(G681="Obs",COUNTIF(G$2:G681,"Obs"),"")</f>
        <v/>
      </c>
      <c r="N681" s="75" t="str">
        <f aca="false">IF(G681="No",COUNTIF(G$2:G681,"No"),"")</f>
        <v/>
      </c>
    </row>
    <row r="682" customFormat="false" ht="23.85" hidden="false" customHeight="false" outlineLevel="0" collapsed="false">
      <c r="A682" s="10" t="s">
        <v>732</v>
      </c>
      <c r="B682" s="10" t="s">
        <v>383</v>
      </c>
      <c r="C682" s="10" t="s">
        <v>403</v>
      </c>
      <c r="D682" s="8" t="s">
        <v>404</v>
      </c>
      <c r="E682" s="8" t="s">
        <v>405</v>
      </c>
      <c r="F682" s="10" t="s">
        <v>99</v>
      </c>
      <c r="G682" s="11" t="s">
        <v>16</v>
      </c>
      <c r="H682" s="66"/>
      <c r="I682" s="67" t="n">
        <v>46072</v>
      </c>
      <c r="J682" s="10" t="s">
        <v>690</v>
      </c>
      <c r="K682" s="68" t="str">
        <f aca="false">IF(G682="No",MAX(0,AsOfDate-I682),"")</f>
        <v/>
      </c>
      <c r="L682" s="12" t="str">
        <f aca="false">IF(K682="","",IF(K682&lt;=90,"0-90",IF(K682&lt;=180,"91-180",IF(K682&lt;=270,"181-270","&gt;270"))))</f>
        <v/>
      </c>
      <c r="M682" s="12" t="str">
        <f aca="false">IF(G682="Obs",COUNTIF(G$2:G682,"Obs"),"")</f>
        <v/>
      </c>
      <c r="N682" s="12" t="str">
        <f aca="false">IF(G682="No",COUNTIF(G$2:G682,"No"),"")</f>
        <v/>
      </c>
    </row>
    <row r="683" customFormat="false" ht="15" hidden="false" customHeight="false" outlineLevel="0" collapsed="false">
      <c r="A683" s="69" t="s">
        <v>732</v>
      </c>
      <c r="B683" s="69" t="s">
        <v>383</v>
      </c>
      <c r="C683" s="69" t="s">
        <v>406</v>
      </c>
      <c r="D683" s="70" t="s">
        <v>404</v>
      </c>
      <c r="E683" s="70" t="s">
        <v>407</v>
      </c>
      <c r="F683" s="69" t="s">
        <v>105</v>
      </c>
      <c r="G683" s="71" t="s">
        <v>16</v>
      </c>
      <c r="H683" s="72"/>
      <c r="I683" s="73" t="n">
        <v>46072</v>
      </c>
      <c r="J683" s="69" t="s">
        <v>690</v>
      </c>
      <c r="K683" s="74" t="str">
        <f aca="false">IF(G683="No",MAX(0,AsOfDate-I683),"")</f>
        <v/>
      </c>
      <c r="L683" s="75" t="str">
        <f aca="false">IF(K683="","",IF(K683&lt;=90,"0-90",IF(K683&lt;=180,"91-180",IF(K683&lt;=270,"181-270","&gt;270"))))</f>
        <v/>
      </c>
      <c r="M683" s="75" t="str">
        <f aca="false">IF(G683="Obs",COUNTIF(G$2:G683,"Obs"),"")</f>
        <v/>
      </c>
      <c r="N683" s="75" t="str">
        <f aca="false">IF(G683="No",COUNTIF(G$2:G683,"No"),"")</f>
        <v/>
      </c>
    </row>
    <row r="684" customFormat="false" ht="15" hidden="false" customHeight="false" outlineLevel="0" collapsed="false">
      <c r="A684" s="10" t="s">
        <v>732</v>
      </c>
      <c r="B684" s="10" t="s">
        <v>383</v>
      </c>
      <c r="C684" s="10" t="s">
        <v>408</v>
      </c>
      <c r="D684" s="8" t="s">
        <v>409</v>
      </c>
      <c r="E684" s="8" t="s">
        <v>410</v>
      </c>
      <c r="F684" s="10" t="s">
        <v>99</v>
      </c>
      <c r="G684" s="11" t="s">
        <v>16</v>
      </c>
      <c r="H684" s="66"/>
      <c r="I684" s="67" t="n">
        <v>46072</v>
      </c>
      <c r="J684" s="10" t="s">
        <v>690</v>
      </c>
      <c r="K684" s="68" t="str">
        <f aca="false">IF(G684="No",MAX(0,AsOfDate-I684),"")</f>
        <v/>
      </c>
      <c r="L684" s="12" t="str">
        <f aca="false">IF(K684="","",IF(K684&lt;=90,"0-90",IF(K684&lt;=180,"91-180",IF(K684&lt;=270,"181-270","&gt;270"))))</f>
        <v/>
      </c>
      <c r="M684" s="12" t="str">
        <f aca="false">IF(G684="Obs",COUNTIF(G$2:G684,"Obs"),"")</f>
        <v/>
      </c>
      <c r="N684" s="12" t="str">
        <f aca="false">IF(G684="No",COUNTIF(G$2:G684,"No"),"")</f>
        <v/>
      </c>
    </row>
    <row r="685" customFormat="false" ht="15" hidden="false" customHeight="false" outlineLevel="0" collapsed="false">
      <c r="A685" s="69" t="s">
        <v>732</v>
      </c>
      <c r="B685" s="69" t="s">
        <v>383</v>
      </c>
      <c r="C685" s="69" t="s">
        <v>411</v>
      </c>
      <c r="D685" s="70" t="s">
        <v>409</v>
      </c>
      <c r="E685" s="70" t="s">
        <v>412</v>
      </c>
      <c r="F685" s="69" t="s">
        <v>105</v>
      </c>
      <c r="G685" s="71" t="s">
        <v>16</v>
      </c>
      <c r="H685" s="72"/>
      <c r="I685" s="73" t="n">
        <v>46072</v>
      </c>
      <c r="J685" s="69" t="s">
        <v>690</v>
      </c>
      <c r="K685" s="74" t="str">
        <f aca="false">IF(G685="No",MAX(0,AsOfDate-I685),"")</f>
        <v/>
      </c>
      <c r="L685" s="75" t="str">
        <f aca="false">IF(K685="","",IF(K685&lt;=90,"0-90",IF(K685&lt;=180,"91-180",IF(K685&lt;=270,"181-270","&gt;270"))))</f>
        <v/>
      </c>
      <c r="M685" s="75" t="str">
        <f aca="false">IF(G685="Obs",COUNTIF(G$2:G685,"Obs"),"")</f>
        <v/>
      </c>
      <c r="N685" s="75" t="str">
        <f aca="false">IF(G685="No",COUNTIF(G$2:G685,"No"),"")</f>
        <v/>
      </c>
    </row>
    <row r="686" customFormat="false" ht="15" hidden="false" customHeight="false" outlineLevel="0" collapsed="false">
      <c r="A686" s="10" t="s">
        <v>732</v>
      </c>
      <c r="B686" s="10" t="s">
        <v>383</v>
      </c>
      <c r="C686" s="10" t="s">
        <v>413</v>
      </c>
      <c r="D686" s="8" t="s">
        <v>414</v>
      </c>
      <c r="E686" s="8" t="s">
        <v>415</v>
      </c>
      <c r="F686" s="10" t="s">
        <v>99</v>
      </c>
      <c r="G686" s="11" t="s">
        <v>16</v>
      </c>
      <c r="H686" s="66"/>
      <c r="I686" s="67" t="n">
        <v>46072</v>
      </c>
      <c r="J686" s="10" t="s">
        <v>690</v>
      </c>
      <c r="K686" s="68" t="str">
        <f aca="false">IF(G686="No",MAX(0,AsOfDate-I686),"")</f>
        <v/>
      </c>
      <c r="L686" s="12" t="str">
        <f aca="false">IF(K686="","",IF(K686&lt;=90,"0-90",IF(K686&lt;=180,"91-180",IF(K686&lt;=270,"181-270","&gt;270"))))</f>
        <v/>
      </c>
      <c r="M686" s="12" t="str">
        <f aca="false">IF(G686="Obs",COUNTIF(G$2:G686,"Obs"),"")</f>
        <v/>
      </c>
      <c r="N686" s="12" t="str">
        <f aca="false">IF(G686="No",COUNTIF(G$2:G686,"No"),"")</f>
        <v/>
      </c>
    </row>
    <row r="687" customFormat="false" ht="23.85" hidden="false" customHeight="false" outlineLevel="0" collapsed="false">
      <c r="A687" s="69" t="s">
        <v>732</v>
      </c>
      <c r="B687" s="69" t="s">
        <v>383</v>
      </c>
      <c r="C687" s="69" t="s">
        <v>416</v>
      </c>
      <c r="D687" s="70" t="s">
        <v>414</v>
      </c>
      <c r="E687" s="70" t="s">
        <v>417</v>
      </c>
      <c r="F687" s="69" t="s">
        <v>105</v>
      </c>
      <c r="G687" s="71" t="s">
        <v>22</v>
      </c>
      <c r="H687" s="72" t="s">
        <v>592</v>
      </c>
      <c r="I687" s="73" t="n">
        <v>46072</v>
      </c>
      <c r="J687" s="69" t="s">
        <v>690</v>
      </c>
      <c r="K687" s="74" t="str">
        <f aca="false">IF(G687="No",MAX(0,AsOfDate-I687),"")</f>
        <v/>
      </c>
      <c r="L687" s="75" t="str">
        <f aca="false">IF(K687="","",IF(K687&lt;=90,"0-90",IF(K687&lt;=180,"91-180",IF(K687&lt;=270,"181-270","&gt;270"))))</f>
        <v/>
      </c>
      <c r="M687" s="75" t="n">
        <f aca="false">IF(G687="Obs",COUNTIF(G$2:G687,"Obs"),"")</f>
        <v>48</v>
      </c>
      <c r="N687" s="75" t="str">
        <f aca="false">IF(G687="No",COUNTIF(G$2:G687,"No"),"")</f>
        <v/>
      </c>
    </row>
    <row r="688" customFormat="false" ht="15" hidden="false" customHeight="false" outlineLevel="0" collapsed="false">
      <c r="A688" s="10" t="s">
        <v>734</v>
      </c>
      <c r="B688" s="10" t="s">
        <v>383</v>
      </c>
      <c r="C688" s="10" t="s">
        <v>382</v>
      </c>
      <c r="D688" s="8" t="s">
        <v>133</v>
      </c>
      <c r="E688" s="8" t="s">
        <v>134</v>
      </c>
      <c r="F688" s="10" t="s">
        <v>99</v>
      </c>
      <c r="G688" s="11" t="s">
        <v>16</v>
      </c>
      <c r="H688" s="66"/>
      <c r="I688" s="67" t="n">
        <v>46149</v>
      </c>
      <c r="J688" s="10" t="s">
        <v>693</v>
      </c>
      <c r="K688" s="68" t="str">
        <f aca="false">IF(G688="No",MAX(0,AsOfDate-I688),"")</f>
        <v/>
      </c>
      <c r="L688" s="12" t="str">
        <f aca="false">IF(K688="","",IF(K688&lt;=90,"0-90",IF(K688&lt;=180,"91-180",IF(K688&lt;=270,"181-270","&gt;270"))))</f>
        <v/>
      </c>
      <c r="M688" s="12" t="str">
        <f aca="false">IF(G688="Obs",COUNTIF(G$2:G688,"Obs"),"")</f>
        <v/>
      </c>
      <c r="N688" s="12" t="str">
        <f aca="false">IF(G688="No",COUNTIF(G$2:G688,"No"),"")</f>
        <v/>
      </c>
    </row>
    <row r="689" customFormat="false" ht="15" hidden="false" customHeight="false" outlineLevel="0" collapsed="false">
      <c r="A689" s="69" t="s">
        <v>734</v>
      </c>
      <c r="B689" s="69" t="s">
        <v>383</v>
      </c>
      <c r="C689" s="69" t="s">
        <v>384</v>
      </c>
      <c r="D689" s="70" t="s">
        <v>133</v>
      </c>
      <c r="E689" s="70" t="s">
        <v>136</v>
      </c>
      <c r="F689" s="69" t="s">
        <v>99</v>
      </c>
      <c r="G689" s="71" t="s">
        <v>16</v>
      </c>
      <c r="H689" s="72"/>
      <c r="I689" s="73" t="n">
        <v>46149</v>
      </c>
      <c r="J689" s="69" t="s">
        <v>693</v>
      </c>
      <c r="K689" s="74" t="str">
        <f aca="false">IF(G689="No",MAX(0,AsOfDate-I689),"")</f>
        <v/>
      </c>
      <c r="L689" s="75" t="str">
        <f aca="false">IF(K689="","",IF(K689&lt;=90,"0-90",IF(K689&lt;=180,"91-180",IF(K689&lt;=270,"181-270","&gt;270"))))</f>
        <v/>
      </c>
      <c r="M689" s="75" t="str">
        <f aca="false">IF(G689="Obs",COUNTIF(G$2:G689,"Obs"),"")</f>
        <v/>
      </c>
      <c r="N689" s="75" t="str">
        <f aca="false">IF(G689="No",COUNTIF(G$2:G689,"No"),"")</f>
        <v/>
      </c>
    </row>
    <row r="690" customFormat="false" ht="15" hidden="false" customHeight="false" outlineLevel="0" collapsed="false">
      <c r="A690" s="10" t="s">
        <v>734</v>
      </c>
      <c r="B690" s="10" t="s">
        <v>383</v>
      </c>
      <c r="C690" s="10" t="s">
        <v>385</v>
      </c>
      <c r="D690" s="8" t="s">
        <v>133</v>
      </c>
      <c r="E690" s="8" t="s">
        <v>138</v>
      </c>
      <c r="F690" s="10" t="s">
        <v>105</v>
      </c>
      <c r="G690" s="11" t="s">
        <v>16</v>
      </c>
      <c r="H690" s="66"/>
      <c r="I690" s="67" t="n">
        <v>46149</v>
      </c>
      <c r="J690" s="10" t="s">
        <v>693</v>
      </c>
      <c r="K690" s="68" t="str">
        <f aca="false">IF(G690="No",MAX(0,AsOfDate-I690),"")</f>
        <v/>
      </c>
      <c r="L690" s="12" t="str">
        <f aca="false">IF(K690="","",IF(K690&lt;=90,"0-90",IF(K690&lt;=180,"91-180",IF(K690&lt;=270,"181-270","&gt;270"))))</f>
        <v/>
      </c>
      <c r="M690" s="12" t="str">
        <f aca="false">IF(G690="Obs",COUNTIF(G$2:G690,"Obs"),"")</f>
        <v/>
      </c>
      <c r="N690" s="12" t="str">
        <f aca="false">IF(G690="No",COUNTIF(G$2:G690,"No"),"")</f>
        <v/>
      </c>
    </row>
    <row r="691" customFormat="false" ht="15" hidden="false" customHeight="false" outlineLevel="0" collapsed="false">
      <c r="A691" s="69" t="s">
        <v>734</v>
      </c>
      <c r="B691" s="69" t="s">
        <v>383</v>
      </c>
      <c r="C691" s="69" t="s">
        <v>386</v>
      </c>
      <c r="D691" s="70" t="s">
        <v>140</v>
      </c>
      <c r="E691" s="70" t="s">
        <v>141</v>
      </c>
      <c r="F691" s="69" t="s">
        <v>99</v>
      </c>
      <c r="G691" s="71" t="s">
        <v>16</v>
      </c>
      <c r="H691" s="72"/>
      <c r="I691" s="73" t="n">
        <v>46149</v>
      </c>
      <c r="J691" s="69" t="s">
        <v>693</v>
      </c>
      <c r="K691" s="74" t="str">
        <f aca="false">IF(G691="No",MAX(0,AsOfDate-I691),"")</f>
        <v/>
      </c>
      <c r="L691" s="75" t="str">
        <f aca="false">IF(K691="","",IF(K691&lt;=90,"0-90",IF(K691&lt;=180,"91-180",IF(K691&lt;=270,"181-270","&gt;270"))))</f>
        <v/>
      </c>
      <c r="M691" s="75" t="str">
        <f aca="false">IF(G691="Obs",COUNTIF(G$2:G691,"Obs"),"")</f>
        <v/>
      </c>
      <c r="N691" s="75" t="str">
        <f aca="false">IF(G691="No",COUNTIF(G$2:G691,"No"),"")</f>
        <v/>
      </c>
    </row>
    <row r="692" customFormat="false" ht="15" hidden="false" customHeight="false" outlineLevel="0" collapsed="false">
      <c r="A692" s="10" t="s">
        <v>734</v>
      </c>
      <c r="B692" s="10" t="s">
        <v>383</v>
      </c>
      <c r="C692" s="10" t="s">
        <v>387</v>
      </c>
      <c r="D692" s="8" t="s">
        <v>140</v>
      </c>
      <c r="E692" s="8" t="s">
        <v>143</v>
      </c>
      <c r="F692" s="10" t="s">
        <v>105</v>
      </c>
      <c r="G692" s="11" t="s">
        <v>16</v>
      </c>
      <c r="H692" s="66"/>
      <c r="I692" s="67" t="n">
        <v>46149</v>
      </c>
      <c r="J692" s="10" t="s">
        <v>693</v>
      </c>
      <c r="K692" s="68" t="str">
        <f aca="false">IF(G692="No",MAX(0,AsOfDate-I692),"")</f>
        <v/>
      </c>
      <c r="L692" s="12" t="str">
        <f aca="false">IF(K692="","",IF(K692&lt;=90,"0-90",IF(K692&lt;=180,"91-180",IF(K692&lt;=270,"181-270","&gt;270"))))</f>
        <v/>
      </c>
      <c r="M692" s="12" t="str">
        <f aca="false">IF(G692="Obs",COUNTIF(G$2:G692,"Obs"),"")</f>
        <v/>
      </c>
      <c r="N692" s="12" t="str">
        <f aca="false">IF(G692="No",COUNTIF(G$2:G692,"No"),"")</f>
        <v/>
      </c>
    </row>
    <row r="693" customFormat="false" ht="15" hidden="false" customHeight="false" outlineLevel="0" collapsed="false">
      <c r="A693" s="69" t="s">
        <v>734</v>
      </c>
      <c r="B693" s="69" t="s">
        <v>383</v>
      </c>
      <c r="C693" s="69" t="s">
        <v>388</v>
      </c>
      <c r="D693" s="70" t="s">
        <v>140</v>
      </c>
      <c r="E693" s="70" t="s">
        <v>145</v>
      </c>
      <c r="F693" s="69" t="s">
        <v>99</v>
      </c>
      <c r="G693" s="71" t="s">
        <v>20</v>
      </c>
      <c r="H693" s="72"/>
      <c r="I693" s="73" t="n">
        <v>46149</v>
      </c>
      <c r="J693" s="69" t="s">
        <v>693</v>
      </c>
      <c r="K693" s="74" t="str">
        <f aca="false">IF(G693="No",MAX(0,AsOfDate-I693),"")</f>
        <v/>
      </c>
      <c r="L693" s="75" t="str">
        <f aca="false">IF(K693="","",IF(K693&lt;=90,"0-90",IF(K693&lt;=180,"91-180",IF(K693&lt;=270,"181-270","&gt;270"))))</f>
        <v/>
      </c>
      <c r="M693" s="75" t="str">
        <f aca="false">IF(G693="Obs",COUNTIF(G$2:G693,"Obs"),"")</f>
        <v/>
      </c>
      <c r="N693" s="75" t="str">
        <f aca="false">IF(G693="No",COUNTIF(G$2:G693,"No"),"")</f>
        <v/>
      </c>
    </row>
    <row r="694" customFormat="false" ht="15" hidden="false" customHeight="false" outlineLevel="0" collapsed="false">
      <c r="A694" s="10" t="s">
        <v>734</v>
      </c>
      <c r="B694" s="10" t="s">
        <v>383</v>
      </c>
      <c r="C694" s="10" t="s">
        <v>389</v>
      </c>
      <c r="D694" s="8" t="s">
        <v>147</v>
      </c>
      <c r="E694" s="8" t="s">
        <v>148</v>
      </c>
      <c r="F694" s="10" t="s">
        <v>99</v>
      </c>
      <c r="G694" s="11" t="s">
        <v>16</v>
      </c>
      <c r="H694" s="66"/>
      <c r="I694" s="67" t="n">
        <v>46149</v>
      </c>
      <c r="J694" s="10" t="s">
        <v>693</v>
      </c>
      <c r="K694" s="68" t="str">
        <f aca="false">IF(G694="No",MAX(0,AsOfDate-I694),"")</f>
        <v/>
      </c>
      <c r="L694" s="12" t="str">
        <f aca="false">IF(K694="","",IF(K694&lt;=90,"0-90",IF(K694&lt;=180,"91-180",IF(K694&lt;=270,"181-270","&gt;270"))))</f>
        <v/>
      </c>
      <c r="M694" s="12" t="str">
        <f aca="false">IF(G694="Obs",COUNTIF(G$2:G694,"Obs"),"")</f>
        <v/>
      </c>
      <c r="N694" s="12" t="str">
        <f aca="false">IF(G694="No",COUNTIF(G$2:G694,"No"),"")</f>
        <v/>
      </c>
    </row>
    <row r="695" customFormat="false" ht="15" hidden="false" customHeight="false" outlineLevel="0" collapsed="false">
      <c r="A695" s="69" t="s">
        <v>734</v>
      </c>
      <c r="B695" s="69" t="s">
        <v>383</v>
      </c>
      <c r="C695" s="69" t="s">
        <v>390</v>
      </c>
      <c r="D695" s="70" t="s">
        <v>147</v>
      </c>
      <c r="E695" s="70" t="s">
        <v>150</v>
      </c>
      <c r="F695" s="69" t="s">
        <v>105</v>
      </c>
      <c r="G695" s="71" t="s">
        <v>16</v>
      </c>
      <c r="H695" s="72"/>
      <c r="I695" s="73" t="n">
        <v>46149</v>
      </c>
      <c r="J695" s="69" t="s">
        <v>693</v>
      </c>
      <c r="K695" s="74" t="str">
        <f aca="false">IF(G695="No",MAX(0,AsOfDate-I695),"")</f>
        <v/>
      </c>
      <c r="L695" s="75" t="str">
        <f aca="false">IF(K695="","",IF(K695&lt;=90,"0-90",IF(K695&lt;=180,"91-180",IF(K695&lt;=270,"181-270","&gt;270"))))</f>
        <v/>
      </c>
      <c r="M695" s="75" t="str">
        <f aca="false">IF(G695="Obs",COUNTIF(G$2:G695,"Obs"),"")</f>
        <v/>
      </c>
      <c r="N695" s="75" t="str">
        <f aca="false">IF(G695="No",COUNTIF(G$2:G695,"No"),"")</f>
        <v/>
      </c>
    </row>
    <row r="696" customFormat="false" ht="15" hidden="false" customHeight="false" outlineLevel="0" collapsed="false">
      <c r="A696" s="10" t="s">
        <v>734</v>
      </c>
      <c r="B696" s="10" t="s">
        <v>383</v>
      </c>
      <c r="C696" s="10" t="s">
        <v>391</v>
      </c>
      <c r="D696" s="8" t="s">
        <v>147</v>
      </c>
      <c r="E696" s="8" t="s">
        <v>152</v>
      </c>
      <c r="F696" s="10" t="s">
        <v>99</v>
      </c>
      <c r="G696" s="11" t="s">
        <v>16</v>
      </c>
      <c r="H696" s="66"/>
      <c r="I696" s="67" t="n">
        <v>46149</v>
      </c>
      <c r="J696" s="10" t="s">
        <v>693</v>
      </c>
      <c r="K696" s="68" t="str">
        <f aca="false">IF(G696="No",MAX(0,AsOfDate-I696),"")</f>
        <v/>
      </c>
      <c r="L696" s="12" t="str">
        <f aca="false">IF(K696="","",IF(K696&lt;=90,"0-90",IF(K696&lt;=180,"91-180",IF(K696&lt;=270,"181-270","&gt;270"))))</f>
        <v/>
      </c>
      <c r="M696" s="12" t="str">
        <f aca="false">IF(G696="Obs",COUNTIF(G$2:G696,"Obs"),"")</f>
        <v/>
      </c>
      <c r="N696" s="12" t="str">
        <f aca="false">IF(G696="No",COUNTIF(G$2:G696,"No"),"")</f>
        <v/>
      </c>
    </row>
    <row r="697" customFormat="false" ht="15" hidden="false" customHeight="false" outlineLevel="0" collapsed="false">
      <c r="A697" s="69" t="s">
        <v>734</v>
      </c>
      <c r="B697" s="69" t="s">
        <v>383</v>
      </c>
      <c r="C697" s="69" t="s">
        <v>392</v>
      </c>
      <c r="D697" s="70" t="s">
        <v>154</v>
      </c>
      <c r="E697" s="70" t="s">
        <v>155</v>
      </c>
      <c r="F697" s="69" t="s">
        <v>105</v>
      </c>
      <c r="G697" s="71" t="s">
        <v>16</v>
      </c>
      <c r="H697" s="72"/>
      <c r="I697" s="73" t="n">
        <v>46149</v>
      </c>
      <c r="J697" s="69" t="s">
        <v>693</v>
      </c>
      <c r="K697" s="74" t="str">
        <f aca="false">IF(G697="No",MAX(0,AsOfDate-I697),"")</f>
        <v/>
      </c>
      <c r="L697" s="75" t="str">
        <f aca="false">IF(K697="","",IF(K697&lt;=90,"0-90",IF(K697&lt;=180,"91-180",IF(K697&lt;=270,"181-270","&gt;270"))))</f>
        <v/>
      </c>
      <c r="M697" s="75" t="str">
        <f aca="false">IF(G697="Obs",COUNTIF(G$2:G697,"Obs"),"")</f>
        <v/>
      </c>
      <c r="N697" s="75" t="str">
        <f aca="false">IF(G697="No",COUNTIF(G$2:G697,"No"),"")</f>
        <v/>
      </c>
    </row>
    <row r="698" customFormat="false" ht="15" hidden="false" customHeight="false" outlineLevel="0" collapsed="false">
      <c r="A698" s="10" t="s">
        <v>734</v>
      </c>
      <c r="B698" s="10" t="s">
        <v>383</v>
      </c>
      <c r="C698" s="10" t="s">
        <v>393</v>
      </c>
      <c r="D698" s="8" t="s">
        <v>154</v>
      </c>
      <c r="E698" s="8" t="s">
        <v>157</v>
      </c>
      <c r="F698" s="10" t="s">
        <v>105</v>
      </c>
      <c r="G698" s="11" t="s">
        <v>16</v>
      </c>
      <c r="H698" s="66"/>
      <c r="I698" s="67" t="n">
        <v>46149</v>
      </c>
      <c r="J698" s="10" t="s">
        <v>693</v>
      </c>
      <c r="K698" s="68" t="str">
        <f aca="false">IF(G698="No",MAX(0,AsOfDate-I698),"")</f>
        <v/>
      </c>
      <c r="L698" s="12" t="str">
        <f aca="false">IF(K698="","",IF(K698&lt;=90,"0-90",IF(K698&lt;=180,"91-180",IF(K698&lt;=270,"181-270","&gt;270"))))</f>
        <v/>
      </c>
      <c r="M698" s="12" t="str">
        <f aca="false">IF(G698="Obs",COUNTIF(G$2:G698,"Obs"),"")</f>
        <v/>
      </c>
      <c r="N698" s="12" t="str">
        <f aca="false">IF(G698="No",COUNTIF(G$2:G698,"No"),"")</f>
        <v/>
      </c>
    </row>
    <row r="699" customFormat="false" ht="23.85" hidden="false" customHeight="false" outlineLevel="0" collapsed="false">
      <c r="A699" s="69" t="s">
        <v>734</v>
      </c>
      <c r="B699" s="69" t="s">
        <v>383</v>
      </c>
      <c r="C699" s="69" t="s">
        <v>394</v>
      </c>
      <c r="D699" s="70" t="s">
        <v>159</v>
      </c>
      <c r="E699" s="70" t="s">
        <v>160</v>
      </c>
      <c r="F699" s="69" t="s">
        <v>99</v>
      </c>
      <c r="G699" s="71" t="s">
        <v>22</v>
      </c>
      <c r="H699" s="72" t="s">
        <v>562</v>
      </c>
      <c r="I699" s="73" t="n">
        <v>46149</v>
      </c>
      <c r="J699" s="69" t="s">
        <v>693</v>
      </c>
      <c r="K699" s="74" t="str">
        <f aca="false">IF(G699="No",MAX(0,AsOfDate-I699),"")</f>
        <v/>
      </c>
      <c r="L699" s="75" t="str">
        <f aca="false">IF(K699="","",IF(K699&lt;=90,"0-90",IF(K699&lt;=180,"91-180",IF(K699&lt;=270,"181-270","&gt;270"))))</f>
        <v/>
      </c>
      <c r="M699" s="75" t="n">
        <f aca="false">IF(G699="Obs",COUNTIF(G$2:G699,"Obs"),"")</f>
        <v>49</v>
      </c>
      <c r="N699" s="75" t="str">
        <f aca="false">IF(G699="No",COUNTIF(G$2:G699,"No"),"")</f>
        <v/>
      </c>
    </row>
    <row r="700" customFormat="false" ht="23.85" hidden="false" customHeight="false" outlineLevel="0" collapsed="false">
      <c r="A700" s="10" t="s">
        <v>734</v>
      </c>
      <c r="B700" s="10" t="s">
        <v>383</v>
      </c>
      <c r="C700" s="10" t="s">
        <v>395</v>
      </c>
      <c r="D700" s="8" t="s">
        <v>159</v>
      </c>
      <c r="E700" s="8" t="s">
        <v>162</v>
      </c>
      <c r="F700" s="10" t="s">
        <v>99</v>
      </c>
      <c r="G700" s="11" t="s">
        <v>20</v>
      </c>
      <c r="H700" s="66"/>
      <c r="I700" s="67" t="n">
        <v>46149</v>
      </c>
      <c r="J700" s="10" t="s">
        <v>693</v>
      </c>
      <c r="K700" s="68" t="str">
        <f aca="false">IF(G700="No",MAX(0,AsOfDate-I700),"")</f>
        <v/>
      </c>
      <c r="L700" s="12" t="str">
        <f aca="false">IF(K700="","",IF(K700&lt;=90,"0-90",IF(K700&lt;=180,"91-180",IF(K700&lt;=270,"181-270","&gt;270"))))</f>
        <v/>
      </c>
      <c r="M700" s="12" t="str">
        <f aca="false">IF(G700="Obs",COUNTIF(G$2:G700,"Obs"),"")</f>
        <v/>
      </c>
      <c r="N700" s="12" t="str">
        <f aca="false">IF(G700="No",COUNTIF(G$2:G700,"No"),"")</f>
        <v/>
      </c>
    </row>
    <row r="701" customFormat="false" ht="23.85" hidden="false" customHeight="false" outlineLevel="0" collapsed="false">
      <c r="A701" s="69" t="s">
        <v>734</v>
      </c>
      <c r="B701" s="69" t="s">
        <v>383</v>
      </c>
      <c r="C701" s="69" t="s">
        <v>396</v>
      </c>
      <c r="D701" s="70" t="s">
        <v>159</v>
      </c>
      <c r="E701" s="70" t="s">
        <v>164</v>
      </c>
      <c r="F701" s="69" t="s">
        <v>110</v>
      </c>
      <c r="G701" s="71" t="s">
        <v>16</v>
      </c>
      <c r="H701" s="72"/>
      <c r="I701" s="73" t="n">
        <v>46149</v>
      </c>
      <c r="J701" s="69" t="s">
        <v>693</v>
      </c>
      <c r="K701" s="74" t="str">
        <f aca="false">IF(G701="No",MAX(0,AsOfDate-I701),"")</f>
        <v/>
      </c>
      <c r="L701" s="75" t="str">
        <f aca="false">IF(K701="","",IF(K701&lt;=90,"0-90",IF(K701&lt;=180,"91-180",IF(K701&lt;=270,"181-270","&gt;270"))))</f>
        <v/>
      </c>
      <c r="M701" s="75" t="str">
        <f aca="false">IF(G701="Obs",COUNTIF(G$2:G701,"Obs"),"")</f>
        <v/>
      </c>
      <c r="N701" s="75" t="str">
        <f aca="false">IF(G701="No",COUNTIF(G$2:G701,"No"),"")</f>
        <v/>
      </c>
    </row>
    <row r="702" customFormat="false" ht="15" hidden="false" customHeight="false" outlineLevel="0" collapsed="false">
      <c r="A702" s="10" t="s">
        <v>734</v>
      </c>
      <c r="B702" s="10" t="s">
        <v>383</v>
      </c>
      <c r="C702" s="10" t="s">
        <v>397</v>
      </c>
      <c r="D702" s="8" t="s">
        <v>166</v>
      </c>
      <c r="E702" s="8" t="s">
        <v>167</v>
      </c>
      <c r="F702" s="10" t="s">
        <v>99</v>
      </c>
      <c r="G702" s="11" t="s">
        <v>16</v>
      </c>
      <c r="H702" s="66"/>
      <c r="I702" s="67" t="n">
        <v>46149</v>
      </c>
      <c r="J702" s="10" t="s">
        <v>693</v>
      </c>
      <c r="K702" s="68" t="str">
        <f aca="false">IF(G702="No",MAX(0,AsOfDate-I702),"")</f>
        <v/>
      </c>
      <c r="L702" s="12" t="str">
        <f aca="false">IF(K702="","",IF(K702&lt;=90,"0-90",IF(K702&lt;=180,"91-180",IF(K702&lt;=270,"181-270","&gt;270"))))</f>
        <v/>
      </c>
      <c r="M702" s="12" t="str">
        <f aca="false">IF(G702="Obs",COUNTIF(G$2:G702,"Obs"),"")</f>
        <v/>
      </c>
      <c r="N702" s="12" t="str">
        <f aca="false">IF(G702="No",COUNTIF(G$2:G702,"No"),"")</f>
        <v/>
      </c>
    </row>
    <row r="703" customFormat="false" ht="15" hidden="false" customHeight="false" outlineLevel="0" collapsed="false">
      <c r="A703" s="69" t="s">
        <v>734</v>
      </c>
      <c r="B703" s="69" t="s">
        <v>383</v>
      </c>
      <c r="C703" s="69" t="s">
        <v>398</v>
      </c>
      <c r="D703" s="70" t="s">
        <v>166</v>
      </c>
      <c r="E703" s="70" t="s">
        <v>169</v>
      </c>
      <c r="F703" s="69" t="s">
        <v>105</v>
      </c>
      <c r="G703" s="71" t="s">
        <v>16</v>
      </c>
      <c r="H703" s="72"/>
      <c r="I703" s="73" t="n">
        <v>46149</v>
      </c>
      <c r="J703" s="69" t="s">
        <v>693</v>
      </c>
      <c r="K703" s="74" t="str">
        <f aca="false">IF(G703="No",MAX(0,AsOfDate-I703),"")</f>
        <v/>
      </c>
      <c r="L703" s="75" t="str">
        <f aca="false">IF(K703="","",IF(K703&lt;=90,"0-90",IF(K703&lt;=180,"91-180",IF(K703&lt;=270,"181-270","&gt;270"))))</f>
        <v/>
      </c>
      <c r="M703" s="75" t="str">
        <f aca="false">IF(G703="Obs",COUNTIF(G$2:G703,"Obs"),"")</f>
        <v/>
      </c>
      <c r="N703" s="75" t="str">
        <f aca="false">IF(G703="No",COUNTIF(G$2:G703,"No"),"")</f>
        <v/>
      </c>
    </row>
    <row r="704" customFormat="false" ht="15" hidden="false" customHeight="false" outlineLevel="0" collapsed="false">
      <c r="A704" s="10" t="s">
        <v>734</v>
      </c>
      <c r="B704" s="10" t="s">
        <v>383</v>
      </c>
      <c r="C704" s="10" t="s">
        <v>399</v>
      </c>
      <c r="D704" s="8" t="s">
        <v>171</v>
      </c>
      <c r="E704" s="8" t="s">
        <v>172</v>
      </c>
      <c r="F704" s="10" t="s">
        <v>105</v>
      </c>
      <c r="G704" s="11" t="s">
        <v>16</v>
      </c>
      <c r="H704" s="66"/>
      <c r="I704" s="67" t="n">
        <v>46149</v>
      </c>
      <c r="J704" s="10" t="s">
        <v>693</v>
      </c>
      <c r="K704" s="68" t="str">
        <f aca="false">IF(G704="No",MAX(0,AsOfDate-I704),"")</f>
        <v/>
      </c>
      <c r="L704" s="12" t="str">
        <f aca="false">IF(K704="","",IF(K704&lt;=90,"0-90",IF(K704&lt;=180,"91-180",IF(K704&lt;=270,"181-270","&gt;270"))))</f>
        <v/>
      </c>
      <c r="M704" s="12" t="str">
        <f aca="false">IF(G704="Obs",COUNTIF(G$2:G704,"Obs"),"")</f>
        <v/>
      </c>
      <c r="N704" s="12" t="str">
        <f aca="false">IF(G704="No",COUNTIF(G$2:G704,"No"),"")</f>
        <v/>
      </c>
    </row>
    <row r="705" customFormat="false" ht="15" hidden="false" customHeight="false" outlineLevel="0" collapsed="false">
      <c r="A705" s="69" t="s">
        <v>734</v>
      </c>
      <c r="B705" s="69" t="s">
        <v>383</v>
      </c>
      <c r="C705" s="69" t="s">
        <v>400</v>
      </c>
      <c r="D705" s="70" t="s">
        <v>171</v>
      </c>
      <c r="E705" s="70" t="s">
        <v>174</v>
      </c>
      <c r="F705" s="69" t="s">
        <v>99</v>
      </c>
      <c r="G705" s="71" t="s">
        <v>16</v>
      </c>
      <c r="H705" s="72"/>
      <c r="I705" s="73" t="n">
        <v>46149</v>
      </c>
      <c r="J705" s="69" t="s">
        <v>693</v>
      </c>
      <c r="K705" s="74" t="str">
        <f aca="false">IF(G705="No",MAX(0,AsOfDate-I705),"")</f>
        <v/>
      </c>
      <c r="L705" s="75" t="str">
        <f aca="false">IF(K705="","",IF(K705&lt;=90,"0-90",IF(K705&lt;=180,"91-180",IF(K705&lt;=270,"181-270","&gt;270"))))</f>
        <v/>
      </c>
      <c r="M705" s="75" t="str">
        <f aca="false">IF(G705="Obs",COUNTIF(G$2:G705,"Obs"),"")</f>
        <v/>
      </c>
      <c r="N705" s="75" t="str">
        <f aca="false">IF(G705="No",COUNTIF(G$2:G705,"No"),"")</f>
        <v/>
      </c>
    </row>
    <row r="706" customFormat="false" ht="15" hidden="false" customHeight="false" outlineLevel="0" collapsed="false">
      <c r="A706" s="10" t="s">
        <v>734</v>
      </c>
      <c r="B706" s="10" t="s">
        <v>383</v>
      </c>
      <c r="C706" s="10" t="s">
        <v>401</v>
      </c>
      <c r="D706" s="8" t="s">
        <v>176</v>
      </c>
      <c r="E706" s="8" t="s">
        <v>177</v>
      </c>
      <c r="F706" s="10" t="s">
        <v>105</v>
      </c>
      <c r="G706" s="11" t="s">
        <v>16</v>
      </c>
      <c r="H706" s="66"/>
      <c r="I706" s="67" t="n">
        <v>46149</v>
      </c>
      <c r="J706" s="10" t="s">
        <v>693</v>
      </c>
      <c r="K706" s="68" t="str">
        <f aca="false">IF(G706="No",MAX(0,AsOfDate-I706),"")</f>
        <v/>
      </c>
      <c r="L706" s="12" t="str">
        <f aca="false">IF(K706="","",IF(K706&lt;=90,"0-90",IF(K706&lt;=180,"91-180",IF(K706&lt;=270,"181-270","&gt;270"))))</f>
        <v/>
      </c>
      <c r="M706" s="12" t="str">
        <f aca="false">IF(G706="Obs",COUNTIF(G$2:G706,"Obs"),"")</f>
        <v/>
      </c>
      <c r="N706" s="12" t="str">
        <f aca="false">IF(G706="No",COUNTIF(G$2:G706,"No"),"")</f>
        <v/>
      </c>
    </row>
    <row r="707" customFormat="false" ht="23.85" hidden="false" customHeight="false" outlineLevel="0" collapsed="false">
      <c r="A707" s="69" t="s">
        <v>734</v>
      </c>
      <c r="B707" s="69" t="s">
        <v>383</v>
      </c>
      <c r="C707" s="69" t="s">
        <v>402</v>
      </c>
      <c r="D707" s="70" t="s">
        <v>176</v>
      </c>
      <c r="E707" s="70" t="s">
        <v>179</v>
      </c>
      <c r="F707" s="69" t="s">
        <v>105</v>
      </c>
      <c r="G707" s="71" t="s">
        <v>22</v>
      </c>
      <c r="H707" s="72" t="s">
        <v>667</v>
      </c>
      <c r="I707" s="73" t="n">
        <v>46149</v>
      </c>
      <c r="J707" s="69" t="s">
        <v>693</v>
      </c>
      <c r="K707" s="74" t="str">
        <f aca="false">IF(G707="No",MAX(0,AsOfDate-I707),"")</f>
        <v/>
      </c>
      <c r="L707" s="75" t="str">
        <f aca="false">IF(K707="","",IF(K707&lt;=90,"0-90",IF(K707&lt;=180,"91-180",IF(K707&lt;=270,"181-270","&gt;270"))))</f>
        <v/>
      </c>
      <c r="M707" s="75" t="n">
        <f aca="false">IF(G707="Obs",COUNTIF(G$2:G707,"Obs"),"")</f>
        <v>50</v>
      </c>
      <c r="N707" s="75" t="str">
        <f aca="false">IF(G707="No",COUNTIF(G$2:G707,"No"),"")</f>
        <v/>
      </c>
    </row>
    <row r="708" customFormat="false" ht="23.85" hidden="false" customHeight="false" outlineLevel="0" collapsed="false">
      <c r="A708" s="10" t="s">
        <v>734</v>
      </c>
      <c r="B708" s="10" t="s">
        <v>383</v>
      </c>
      <c r="C708" s="10" t="s">
        <v>403</v>
      </c>
      <c r="D708" s="8" t="s">
        <v>404</v>
      </c>
      <c r="E708" s="8" t="s">
        <v>405</v>
      </c>
      <c r="F708" s="10" t="s">
        <v>99</v>
      </c>
      <c r="G708" s="11" t="s">
        <v>16</v>
      </c>
      <c r="H708" s="66"/>
      <c r="I708" s="67" t="n">
        <v>46149</v>
      </c>
      <c r="J708" s="10" t="s">
        <v>693</v>
      </c>
      <c r="K708" s="68" t="str">
        <f aca="false">IF(G708="No",MAX(0,AsOfDate-I708),"")</f>
        <v/>
      </c>
      <c r="L708" s="12" t="str">
        <f aca="false">IF(K708="","",IF(K708&lt;=90,"0-90",IF(K708&lt;=180,"91-180",IF(K708&lt;=270,"181-270","&gt;270"))))</f>
        <v/>
      </c>
      <c r="M708" s="12" t="str">
        <f aca="false">IF(G708="Obs",COUNTIF(G$2:G708,"Obs"),"")</f>
        <v/>
      </c>
      <c r="N708" s="12" t="str">
        <f aca="false">IF(G708="No",COUNTIF(G$2:G708,"No"),"")</f>
        <v/>
      </c>
    </row>
    <row r="709" customFormat="false" ht="15" hidden="false" customHeight="false" outlineLevel="0" collapsed="false">
      <c r="A709" s="69" t="s">
        <v>734</v>
      </c>
      <c r="B709" s="69" t="s">
        <v>383</v>
      </c>
      <c r="C709" s="69" t="s">
        <v>406</v>
      </c>
      <c r="D709" s="70" t="s">
        <v>404</v>
      </c>
      <c r="E709" s="70" t="s">
        <v>407</v>
      </c>
      <c r="F709" s="69" t="s">
        <v>105</v>
      </c>
      <c r="G709" s="71" t="s">
        <v>16</v>
      </c>
      <c r="H709" s="72"/>
      <c r="I709" s="73" t="n">
        <v>46149</v>
      </c>
      <c r="J709" s="69" t="s">
        <v>693</v>
      </c>
      <c r="K709" s="74" t="str">
        <f aca="false">IF(G709="No",MAX(0,AsOfDate-I709),"")</f>
        <v/>
      </c>
      <c r="L709" s="75" t="str">
        <f aca="false">IF(K709="","",IF(K709&lt;=90,"0-90",IF(K709&lt;=180,"91-180",IF(K709&lt;=270,"181-270","&gt;270"))))</f>
        <v/>
      </c>
      <c r="M709" s="75" t="str">
        <f aca="false">IF(G709="Obs",COUNTIF(G$2:G709,"Obs"),"")</f>
        <v/>
      </c>
      <c r="N709" s="75" t="str">
        <f aca="false">IF(G709="No",COUNTIF(G$2:G709,"No"),"")</f>
        <v/>
      </c>
    </row>
    <row r="710" customFormat="false" ht="15" hidden="false" customHeight="false" outlineLevel="0" collapsed="false">
      <c r="A710" s="10" t="s">
        <v>734</v>
      </c>
      <c r="B710" s="10" t="s">
        <v>383</v>
      </c>
      <c r="C710" s="10" t="s">
        <v>408</v>
      </c>
      <c r="D710" s="8" t="s">
        <v>409</v>
      </c>
      <c r="E710" s="8" t="s">
        <v>410</v>
      </c>
      <c r="F710" s="10" t="s">
        <v>99</v>
      </c>
      <c r="G710" s="11" t="s">
        <v>16</v>
      </c>
      <c r="H710" s="66"/>
      <c r="I710" s="67" t="n">
        <v>46149</v>
      </c>
      <c r="J710" s="10" t="s">
        <v>693</v>
      </c>
      <c r="K710" s="68" t="str">
        <f aca="false">IF(G710="No",MAX(0,AsOfDate-I710),"")</f>
        <v/>
      </c>
      <c r="L710" s="12" t="str">
        <f aca="false">IF(K710="","",IF(K710&lt;=90,"0-90",IF(K710&lt;=180,"91-180",IF(K710&lt;=270,"181-270","&gt;270"))))</f>
        <v/>
      </c>
      <c r="M710" s="12" t="str">
        <f aca="false">IF(G710="Obs",COUNTIF(G$2:G710,"Obs"),"")</f>
        <v/>
      </c>
      <c r="N710" s="12" t="str">
        <f aca="false">IF(G710="No",COUNTIF(G$2:G710,"No"),"")</f>
        <v/>
      </c>
    </row>
    <row r="711" customFormat="false" ht="15" hidden="false" customHeight="false" outlineLevel="0" collapsed="false">
      <c r="A711" s="69" t="s">
        <v>734</v>
      </c>
      <c r="B711" s="69" t="s">
        <v>383</v>
      </c>
      <c r="C711" s="69" t="s">
        <v>411</v>
      </c>
      <c r="D711" s="70" t="s">
        <v>409</v>
      </c>
      <c r="E711" s="70" t="s">
        <v>412</v>
      </c>
      <c r="F711" s="69" t="s">
        <v>105</v>
      </c>
      <c r="G711" s="71" t="s">
        <v>16</v>
      </c>
      <c r="H711" s="72"/>
      <c r="I711" s="73" t="n">
        <v>46149</v>
      </c>
      <c r="J711" s="69" t="s">
        <v>693</v>
      </c>
      <c r="K711" s="74" t="str">
        <f aca="false">IF(G711="No",MAX(0,AsOfDate-I711),"")</f>
        <v/>
      </c>
      <c r="L711" s="75" t="str">
        <f aca="false">IF(K711="","",IF(K711&lt;=90,"0-90",IF(K711&lt;=180,"91-180",IF(K711&lt;=270,"181-270","&gt;270"))))</f>
        <v/>
      </c>
      <c r="M711" s="75" t="str">
        <f aca="false">IF(G711="Obs",COUNTIF(G$2:G711,"Obs"),"")</f>
        <v/>
      </c>
      <c r="N711" s="75" t="str">
        <f aca="false">IF(G711="No",COUNTIF(G$2:G711,"No"),"")</f>
        <v/>
      </c>
    </row>
    <row r="712" customFormat="false" ht="15" hidden="false" customHeight="false" outlineLevel="0" collapsed="false">
      <c r="A712" s="10" t="s">
        <v>734</v>
      </c>
      <c r="B712" s="10" t="s">
        <v>383</v>
      </c>
      <c r="C712" s="10" t="s">
        <v>413</v>
      </c>
      <c r="D712" s="8" t="s">
        <v>414</v>
      </c>
      <c r="E712" s="8" t="s">
        <v>415</v>
      </c>
      <c r="F712" s="10" t="s">
        <v>99</v>
      </c>
      <c r="G712" s="11" t="s">
        <v>16</v>
      </c>
      <c r="H712" s="66"/>
      <c r="I712" s="67" t="n">
        <v>46149</v>
      </c>
      <c r="J712" s="10" t="s">
        <v>693</v>
      </c>
      <c r="K712" s="68" t="str">
        <f aca="false">IF(G712="No",MAX(0,AsOfDate-I712),"")</f>
        <v/>
      </c>
      <c r="L712" s="12" t="str">
        <f aca="false">IF(K712="","",IF(K712&lt;=90,"0-90",IF(K712&lt;=180,"91-180",IF(K712&lt;=270,"181-270","&gt;270"))))</f>
        <v/>
      </c>
      <c r="M712" s="12" t="str">
        <f aca="false">IF(G712="Obs",COUNTIF(G$2:G712,"Obs"),"")</f>
        <v/>
      </c>
      <c r="N712" s="12" t="str">
        <f aca="false">IF(G712="No",COUNTIF(G$2:G712,"No"),"")</f>
        <v/>
      </c>
    </row>
    <row r="713" customFormat="false" ht="15" hidden="false" customHeight="false" outlineLevel="0" collapsed="false">
      <c r="A713" s="69" t="s">
        <v>734</v>
      </c>
      <c r="B713" s="69" t="s">
        <v>383</v>
      </c>
      <c r="C713" s="69" t="s">
        <v>416</v>
      </c>
      <c r="D713" s="70" t="s">
        <v>414</v>
      </c>
      <c r="E713" s="70" t="s">
        <v>417</v>
      </c>
      <c r="F713" s="69" t="s">
        <v>105</v>
      </c>
      <c r="G713" s="71" t="s">
        <v>16</v>
      </c>
      <c r="H713" s="72"/>
      <c r="I713" s="73" t="n">
        <v>46149</v>
      </c>
      <c r="J713" s="69" t="s">
        <v>693</v>
      </c>
      <c r="K713" s="74" t="str">
        <f aca="false">IF(G713="No",MAX(0,AsOfDate-I713),"")</f>
        <v/>
      </c>
      <c r="L713" s="75" t="str">
        <f aca="false">IF(K713="","",IF(K713&lt;=90,"0-90",IF(K713&lt;=180,"91-180",IF(K713&lt;=270,"181-270","&gt;270"))))</f>
        <v/>
      </c>
      <c r="M713" s="75" t="str">
        <f aca="false">IF(G713="Obs",COUNTIF(G$2:G713,"Obs"),"")</f>
        <v/>
      </c>
      <c r="N713" s="75" t="str">
        <f aca="false">IF(G713="No",COUNTIF(G$2:G713,"No"),"")</f>
        <v/>
      </c>
    </row>
  </sheetData>
  <autoFilter ref="A1:N713"/>
  <printOptions headings="false" gridLines="false" gridLinesSet="true" horizontalCentered="false" verticalCentered="false"/>
  <pageMargins left="0.4" right="0.4" top="0.5" bottom="0.5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548235"/>
    <pageSetUpPr fitToPage="true"/>
  </sheetPr>
  <dimension ref="B1:Q4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1" width="2"/>
    <col collapsed="false" customWidth="true" hidden="false" outlineLevel="0" max="2" min="2" style="1" width="24"/>
    <col collapsed="false" customWidth="true" hidden="false" outlineLevel="0" max="6" min="3" style="1" width="13"/>
    <col collapsed="false" customWidth="true" hidden="false" outlineLevel="0" max="7" min="7" style="1" width="3"/>
    <col collapsed="false" customWidth="true" hidden="false" outlineLevel="0" max="8" min="8" style="1" width="12"/>
    <col collapsed="false" customWidth="true" hidden="false" outlineLevel="0" max="17" min="9" style="1" width="9"/>
  </cols>
  <sheetData>
    <row r="1" customFormat="false" ht="30" hidden="false" customHeight="true" outlineLevel="0" collapsed="false">
      <c r="B1" s="2" t="s">
        <v>743</v>
      </c>
    </row>
    <row r="2" customFormat="false" ht="13.5" hidden="false" customHeight="true" outlineLevel="0" collapsed="false">
      <c r="B2" s="3" t="s">
        <v>744</v>
      </c>
    </row>
    <row r="3" customFormat="false" ht="3" hidden="false" customHeight="true" outlineLevel="0" collapsed="false"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5"/>
    </row>
    <row r="4" customFormat="false" ht="15.75" hidden="false" customHeight="true" outlineLevel="0" collapsed="false">
      <c r="B4" s="76" t="s">
        <v>745</v>
      </c>
      <c r="C4" s="76" t="s">
        <v>746</v>
      </c>
      <c r="D4" s="76" t="s">
        <v>747</v>
      </c>
      <c r="E4" s="76" t="s">
        <v>748</v>
      </c>
      <c r="F4" s="76" t="s">
        <v>749</v>
      </c>
    </row>
    <row r="5" customFormat="false" ht="25.5" hidden="false" customHeight="true" outlineLevel="0" collapsed="false">
      <c r="B5" s="77" t="n">
        <f aca="false">COUNTA(Database!$A$2:$A$29)</f>
        <v>28</v>
      </c>
      <c r="C5" s="77" t="n">
        <f aca="false">COUNTIF(Database!$W:$W,"Complete")</f>
        <v>21</v>
      </c>
      <c r="D5" s="77" t="n">
        <f aca="false">COUNTIF(Database!$L:$L,"Grade Change")</f>
        <v>7</v>
      </c>
      <c r="E5" s="78" t="n">
        <f aca="false">IF(COUNTA(Database!$A$2:$A$29)=0,"",1-COUNTIF(Database!$L:$L,"Grade Change")/COUNTA(Database!$A$2:$A$29))</f>
        <v>0.75</v>
      </c>
      <c r="F5" s="77" t="n">
        <f aca="false">COUNTIF(Database!$J:$J,"&gt;=5")</f>
        <v>12</v>
      </c>
    </row>
    <row r="7" customFormat="false" ht="15" hidden="false" customHeight="false" outlineLevel="0" collapsed="false">
      <c r="B7" s="6" t="s">
        <v>750</v>
      </c>
    </row>
    <row r="8" customFormat="false" ht="21.75" hidden="false" customHeight="true" outlineLevel="0" collapsed="false">
      <c r="B8" s="28" t="s">
        <v>673</v>
      </c>
      <c r="C8" s="28" t="s">
        <v>751</v>
      </c>
      <c r="D8" s="28" t="s">
        <v>752</v>
      </c>
      <c r="E8" s="28" t="s">
        <v>753</v>
      </c>
    </row>
    <row r="9" customFormat="false" ht="15" hidden="false" customHeight="false" outlineLevel="0" collapsed="false">
      <c r="B9" s="21" t="s">
        <v>684</v>
      </c>
      <c r="C9" s="27" t="n">
        <f aca="false">COUNTIF(Database!$C:$C,B9)</f>
        <v>4</v>
      </c>
      <c r="D9" s="27" t="n">
        <f aca="false">SUMIFS(Database!$P:$P,Database!$C:$C,B9)</f>
        <v>8</v>
      </c>
      <c r="E9" s="27" t="n">
        <f aca="false">COUNTIFS(Database!$C:$C,B9,Database!$L:$L,"Grade Change")</f>
        <v>0</v>
      </c>
    </row>
    <row r="10" customFormat="false" ht="15" hidden="false" customHeight="false" outlineLevel="0" collapsed="false">
      <c r="B10" s="55" t="s">
        <v>694</v>
      </c>
      <c r="C10" s="59" t="n">
        <f aca="false">COUNTIF(Database!$C:$C,B10)</f>
        <v>4</v>
      </c>
      <c r="D10" s="59" t="n">
        <f aca="false">SUMIFS(Database!$P:$P,Database!$C:$C,B10)</f>
        <v>8</v>
      </c>
      <c r="E10" s="59" t="n">
        <f aca="false">COUNTIFS(Database!$C:$C,B10,Database!$L:$L,"Grade Change")</f>
        <v>1</v>
      </c>
    </row>
    <row r="11" customFormat="false" ht="15" hidden="false" customHeight="false" outlineLevel="0" collapsed="false">
      <c r="B11" s="21" t="s">
        <v>701</v>
      </c>
      <c r="C11" s="27" t="n">
        <f aca="false">COUNTIF(Database!$C:$C,B11)</f>
        <v>4</v>
      </c>
      <c r="D11" s="27" t="n">
        <f aca="false">SUMIFS(Database!$P:$P,Database!$C:$C,B11)</f>
        <v>10</v>
      </c>
      <c r="E11" s="27" t="n">
        <f aca="false">COUNTIFS(Database!$C:$C,B11,Database!$L:$L,"Grade Change")</f>
        <v>2</v>
      </c>
    </row>
    <row r="12" customFormat="false" ht="15" hidden="false" customHeight="false" outlineLevel="0" collapsed="false">
      <c r="B12" s="55" t="s">
        <v>708</v>
      </c>
      <c r="C12" s="59" t="n">
        <f aca="false">COUNTIF(Database!$C:$C,B12)</f>
        <v>4</v>
      </c>
      <c r="D12" s="59" t="n">
        <f aca="false">SUMIFS(Database!$P:$P,Database!$C:$C,B12)</f>
        <v>6</v>
      </c>
      <c r="E12" s="59" t="n">
        <f aca="false">COUNTIFS(Database!$C:$C,B12,Database!$L:$L,"Grade Change")</f>
        <v>1</v>
      </c>
    </row>
    <row r="13" customFormat="false" ht="15" hidden="false" customHeight="false" outlineLevel="0" collapsed="false">
      <c r="B13" s="21" t="s">
        <v>715</v>
      </c>
      <c r="C13" s="27" t="n">
        <f aca="false">COUNTIF(Database!$C:$C,B13)</f>
        <v>4</v>
      </c>
      <c r="D13" s="27" t="n">
        <f aca="false">SUMIFS(Database!$P:$P,Database!$C:$C,B13)</f>
        <v>9</v>
      </c>
      <c r="E13" s="27" t="n">
        <f aca="false">COUNTIFS(Database!$C:$C,B13,Database!$L:$L,"Grade Change")</f>
        <v>1</v>
      </c>
    </row>
    <row r="14" customFormat="false" ht="15" hidden="false" customHeight="false" outlineLevel="0" collapsed="false">
      <c r="B14" s="55" t="s">
        <v>722</v>
      </c>
      <c r="C14" s="59" t="n">
        <f aca="false">COUNTIF(Database!$C:$C,B14)</f>
        <v>4</v>
      </c>
      <c r="D14" s="59" t="n">
        <f aca="false">SUMIFS(Database!$P:$P,Database!$C:$C,B14)</f>
        <v>4</v>
      </c>
      <c r="E14" s="59" t="n">
        <f aca="false">COUNTIFS(Database!$C:$C,B14,Database!$L:$L,"Grade Change")</f>
        <v>1</v>
      </c>
    </row>
    <row r="15" customFormat="false" ht="15" hidden="false" customHeight="false" outlineLevel="0" collapsed="false">
      <c r="B15" s="21" t="s">
        <v>729</v>
      </c>
      <c r="C15" s="27" t="n">
        <f aca="false">COUNTIF(Database!$C:$C,B15)</f>
        <v>4</v>
      </c>
      <c r="D15" s="27" t="n">
        <f aca="false">SUMIFS(Database!$P:$P,Database!$C:$C,B15)</f>
        <v>1</v>
      </c>
      <c r="E15" s="27" t="n">
        <f aca="false">COUNTIFS(Database!$C:$C,B15,Database!$L:$L,"Grade Change")</f>
        <v>1</v>
      </c>
    </row>
    <row r="18" customFormat="false" ht="15" hidden="false" customHeight="false" outlineLevel="0" collapsed="false">
      <c r="B18" s="6" t="s">
        <v>754</v>
      </c>
    </row>
    <row r="19" customFormat="false" ht="21.75" hidden="false" customHeight="true" outlineLevel="0" collapsed="false">
      <c r="B19" s="28" t="s">
        <v>90</v>
      </c>
      <c r="C19" s="28" t="s">
        <v>755</v>
      </c>
      <c r="D19" s="28" t="s">
        <v>756</v>
      </c>
    </row>
    <row r="20" customFormat="false" ht="15" hidden="false" customHeight="false" outlineLevel="0" collapsed="false">
      <c r="B20" s="21" t="n">
        <v>1</v>
      </c>
      <c r="C20" s="27" t="n">
        <f aca="false">COUNTIF(Database!$I:$I,B20)</f>
        <v>0</v>
      </c>
      <c r="D20" s="27" t="n">
        <f aca="false">COUNTIF(Database!$J:$J,B20)</f>
        <v>0</v>
      </c>
    </row>
    <row r="21" customFormat="false" ht="15" hidden="false" customHeight="false" outlineLevel="0" collapsed="false">
      <c r="B21" s="55" t="n">
        <v>2</v>
      </c>
      <c r="C21" s="59" t="n">
        <f aca="false">COUNTIF(Database!$I:$I,B21)</f>
        <v>4</v>
      </c>
      <c r="D21" s="59" t="n">
        <f aca="false">COUNTIF(Database!$J:$J,B21)</f>
        <v>4</v>
      </c>
    </row>
    <row r="22" customFormat="false" ht="15" hidden="false" customHeight="false" outlineLevel="0" collapsed="false">
      <c r="B22" s="21" t="n">
        <v>3</v>
      </c>
      <c r="C22" s="27" t="n">
        <f aca="false">COUNTIF(Database!$I:$I,B22)</f>
        <v>6</v>
      </c>
      <c r="D22" s="27" t="n">
        <f aca="false">COUNTIF(Database!$J:$J,B22)</f>
        <v>5</v>
      </c>
    </row>
    <row r="23" customFormat="false" ht="15" hidden="false" customHeight="false" outlineLevel="0" collapsed="false">
      <c r="B23" s="55" t="n">
        <v>4</v>
      </c>
      <c r="C23" s="59" t="n">
        <f aca="false">COUNTIF(Database!$I:$I,B23)</f>
        <v>11</v>
      </c>
      <c r="D23" s="59" t="n">
        <f aca="false">COUNTIF(Database!$J:$J,B23)</f>
        <v>7</v>
      </c>
    </row>
    <row r="24" customFormat="false" ht="15" hidden="false" customHeight="false" outlineLevel="0" collapsed="false">
      <c r="B24" s="21" t="n">
        <v>5</v>
      </c>
      <c r="C24" s="27" t="n">
        <f aca="false">COUNTIF(Database!$I:$I,B24)</f>
        <v>5</v>
      </c>
      <c r="D24" s="27" t="n">
        <f aca="false">COUNTIF(Database!$J:$J,B24)</f>
        <v>9</v>
      </c>
    </row>
    <row r="25" customFormat="false" ht="15" hidden="false" customHeight="false" outlineLevel="0" collapsed="false">
      <c r="B25" s="55" t="n">
        <v>6</v>
      </c>
      <c r="C25" s="59" t="n">
        <f aca="false">COUNTIF(Database!$I:$I,B25)</f>
        <v>1</v>
      </c>
      <c r="D25" s="59" t="n">
        <f aca="false">COUNTIF(Database!$J:$J,B25)</f>
        <v>2</v>
      </c>
    </row>
    <row r="26" customFormat="false" ht="15" hidden="false" customHeight="false" outlineLevel="0" collapsed="false">
      <c r="B26" s="21" t="n">
        <v>7</v>
      </c>
      <c r="C26" s="27" t="n">
        <f aca="false">COUNTIF(Database!$I:$I,B26)</f>
        <v>1</v>
      </c>
      <c r="D26" s="27" t="n">
        <f aca="false">COUNTIF(Database!$J:$J,B26)</f>
        <v>1</v>
      </c>
    </row>
    <row r="27" customFormat="false" ht="15" hidden="false" customHeight="false" outlineLevel="0" collapsed="false">
      <c r="B27" s="55" t="n">
        <v>8</v>
      </c>
      <c r="C27" s="59" t="n">
        <f aca="false">COUNTIF(Database!$I:$I,B27)</f>
        <v>0</v>
      </c>
      <c r="D27" s="59" t="n">
        <f aca="false">COUNTIF(Database!$J:$J,B27)</f>
        <v>0</v>
      </c>
    </row>
    <row r="30" customFormat="false" ht="15" hidden="false" customHeight="false" outlineLevel="0" collapsed="false">
      <c r="B30" s="6" t="s">
        <v>757</v>
      </c>
    </row>
    <row r="31" customFormat="false" ht="21.75" hidden="false" customHeight="true" outlineLevel="0" collapsed="false">
      <c r="B31" s="28" t="s">
        <v>758</v>
      </c>
      <c r="C31" s="28" t="s">
        <v>759</v>
      </c>
      <c r="D31" s="28" t="s">
        <v>760</v>
      </c>
      <c r="E31" s="28" t="s">
        <v>761</v>
      </c>
      <c r="F31" s="28" t="s">
        <v>762</v>
      </c>
      <c r="G31" s="28" t="s">
        <v>763</v>
      </c>
      <c r="H31" s="28" t="s">
        <v>764</v>
      </c>
      <c r="I31" s="28" t="s">
        <v>765</v>
      </c>
      <c r="J31" s="28" t="s">
        <v>766</v>
      </c>
    </row>
    <row r="32" customFormat="false" ht="15" hidden="false" customHeight="false" outlineLevel="0" collapsed="false">
      <c r="B32" s="9" t="n">
        <v>1</v>
      </c>
      <c r="C32" s="79" t="str">
        <f aca="false">IF(COUNTIFS(Database!$I:$I,$B32,Database!$J:$J,1)=0,"",COUNTIFS(Database!$I:$I,$B32,Database!$J:$J,1))</f>
        <v/>
      </c>
      <c r="D32" s="79" t="str">
        <f aca="false">IF(COUNTIFS(Database!$I:$I,$B32,Database!$J:$J,2)=0,"",COUNTIFS(Database!$I:$I,$B32,Database!$J:$J,2))</f>
        <v/>
      </c>
      <c r="E32" s="79" t="str">
        <f aca="false">IF(COUNTIFS(Database!$I:$I,$B32,Database!$J:$J,3)=0,"",COUNTIFS(Database!$I:$I,$B32,Database!$J:$J,3))</f>
        <v/>
      </c>
      <c r="F32" s="79" t="str">
        <f aca="false">IF(COUNTIFS(Database!$I:$I,$B32,Database!$J:$J,4)=0,"",COUNTIFS(Database!$I:$I,$B32,Database!$J:$J,4))</f>
        <v/>
      </c>
      <c r="G32" s="79" t="str">
        <f aca="false">IF(COUNTIFS(Database!$I:$I,$B32,Database!$J:$J,5)=0,"",COUNTIFS(Database!$I:$I,$B32,Database!$J:$J,5))</f>
        <v/>
      </c>
      <c r="H32" s="79" t="str">
        <f aca="false">IF(COUNTIFS(Database!$I:$I,$B32,Database!$J:$J,6)=0,"",COUNTIFS(Database!$I:$I,$B32,Database!$J:$J,6))</f>
        <v/>
      </c>
      <c r="I32" s="79" t="str">
        <f aca="false">IF(COUNTIFS(Database!$I:$I,$B32,Database!$J:$J,7)=0,"",COUNTIFS(Database!$I:$I,$B32,Database!$J:$J,7))</f>
        <v/>
      </c>
      <c r="J32" s="79" t="str">
        <f aca="false">IF(COUNTIFS(Database!$I:$I,$B32,Database!$J:$J,8)=0,"",COUNTIFS(Database!$I:$I,$B32,Database!$J:$J,8))</f>
        <v/>
      </c>
    </row>
    <row r="33" customFormat="false" ht="15" hidden="false" customHeight="false" outlineLevel="0" collapsed="false">
      <c r="B33" s="9" t="n">
        <v>2</v>
      </c>
      <c r="C33" s="79" t="str">
        <f aca="false">IF(COUNTIFS(Database!$I:$I,$B33,Database!$J:$J,1)=0,"",COUNTIFS(Database!$I:$I,$B33,Database!$J:$J,1))</f>
        <v/>
      </c>
      <c r="D33" s="79" t="n">
        <f aca="false">IF(COUNTIFS(Database!$I:$I,$B33,Database!$J:$J,2)=0,"",COUNTIFS(Database!$I:$I,$B33,Database!$J:$J,2))</f>
        <v>4</v>
      </c>
      <c r="E33" s="79" t="str">
        <f aca="false">IF(COUNTIFS(Database!$I:$I,$B33,Database!$J:$J,3)=0,"",COUNTIFS(Database!$I:$I,$B33,Database!$J:$J,3))</f>
        <v/>
      </c>
      <c r="F33" s="79" t="str">
        <f aca="false">IF(COUNTIFS(Database!$I:$I,$B33,Database!$J:$J,4)=0,"",COUNTIFS(Database!$I:$I,$B33,Database!$J:$J,4))</f>
        <v/>
      </c>
      <c r="G33" s="79" t="str">
        <f aca="false">IF(COUNTIFS(Database!$I:$I,$B33,Database!$J:$J,5)=0,"",COUNTIFS(Database!$I:$I,$B33,Database!$J:$J,5))</f>
        <v/>
      </c>
      <c r="H33" s="79" t="str">
        <f aca="false">IF(COUNTIFS(Database!$I:$I,$B33,Database!$J:$J,6)=0,"",COUNTIFS(Database!$I:$I,$B33,Database!$J:$J,6))</f>
        <v/>
      </c>
      <c r="I33" s="79" t="str">
        <f aca="false">IF(COUNTIFS(Database!$I:$I,$B33,Database!$J:$J,7)=0,"",COUNTIFS(Database!$I:$I,$B33,Database!$J:$J,7))</f>
        <v/>
      </c>
      <c r="J33" s="79" t="str">
        <f aca="false">IF(COUNTIFS(Database!$I:$I,$B33,Database!$J:$J,8)=0,"",COUNTIFS(Database!$I:$I,$B33,Database!$J:$J,8))</f>
        <v/>
      </c>
    </row>
    <row r="34" customFormat="false" ht="15" hidden="false" customHeight="false" outlineLevel="0" collapsed="false">
      <c r="B34" s="9" t="n">
        <v>3</v>
      </c>
      <c r="C34" s="79" t="str">
        <f aca="false">IF(COUNTIFS(Database!$I:$I,$B34,Database!$J:$J,1)=0,"",COUNTIFS(Database!$I:$I,$B34,Database!$J:$J,1))</f>
        <v/>
      </c>
      <c r="D34" s="79" t="str">
        <f aca="false">IF(COUNTIFS(Database!$I:$I,$B34,Database!$J:$J,2)=0,"",COUNTIFS(Database!$I:$I,$B34,Database!$J:$J,2))</f>
        <v/>
      </c>
      <c r="E34" s="79" t="n">
        <f aca="false">IF(COUNTIFS(Database!$I:$I,$B34,Database!$J:$J,3)=0,"",COUNTIFS(Database!$I:$I,$B34,Database!$J:$J,3))</f>
        <v>5</v>
      </c>
      <c r="F34" s="79" t="n">
        <f aca="false">IF(COUNTIFS(Database!$I:$I,$B34,Database!$J:$J,4)=0,"",COUNTIFS(Database!$I:$I,$B34,Database!$J:$J,4))</f>
        <v>1</v>
      </c>
      <c r="G34" s="79" t="str">
        <f aca="false">IF(COUNTIFS(Database!$I:$I,$B34,Database!$J:$J,5)=0,"",COUNTIFS(Database!$I:$I,$B34,Database!$J:$J,5))</f>
        <v/>
      </c>
      <c r="H34" s="79" t="str">
        <f aca="false">IF(COUNTIFS(Database!$I:$I,$B34,Database!$J:$J,6)=0,"",COUNTIFS(Database!$I:$I,$B34,Database!$J:$J,6))</f>
        <v/>
      </c>
      <c r="I34" s="79" t="str">
        <f aca="false">IF(COUNTIFS(Database!$I:$I,$B34,Database!$J:$J,7)=0,"",COUNTIFS(Database!$I:$I,$B34,Database!$J:$J,7))</f>
        <v/>
      </c>
      <c r="J34" s="79" t="str">
        <f aca="false">IF(COUNTIFS(Database!$I:$I,$B34,Database!$J:$J,8)=0,"",COUNTIFS(Database!$I:$I,$B34,Database!$J:$J,8))</f>
        <v/>
      </c>
    </row>
    <row r="35" customFormat="false" ht="15" hidden="false" customHeight="false" outlineLevel="0" collapsed="false">
      <c r="B35" s="9" t="n">
        <v>4</v>
      </c>
      <c r="C35" s="79" t="str">
        <f aca="false">IF(COUNTIFS(Database!$I:$I,$B35,Database!$J:$J,1)=0,"",COUNTIFS(Database!$I:$I,$B35,Database!$J:$J,1))</f>
        <v/>
      </c>
      <c r="D35" s="79" t="str">
        <f aca="false">IF(COUNTIFS(Database!$I:$I,$B35,Database!$J:$J,2)=0,"",COUNTIFS(Database!$I:$I,$B35,Database!$J:$J,2))</f>
        <v/>
      </c>
      <c r="E35" s="79" t="str">
        <f aca="false">IF(COUNTIFS(Database!$I:$I,$B35,Database!$J:$J,3)=0,"",COUNTIFS(Database!$I:$I,$B35,Database!$J:$J,3))</f>
        <v/>
      </c>
      <c r="F35" s="79" t="n">
        <f aca="false">IF(COUNTIFS(Database!$I:$I,$B35,Database!$J:$J,4)=0,"",COUNTIFS(Database!$I:$I,$B35,Database!$J:$J,4))</f>
        <v>6</v>
      </c>
      <c r="G35" s="79" t="n">
        <f aca="false">IF(COUNTIFS(Database!$I:$I,$B35,Database!$J:$J,5)=0,"",COUNTIFS(Database!$I:$I,$B35,Database!$J:$J,5))</f>
        <v>5</v>
      </c>
      <c r="H35" s="79" t="str">
        <f aca="false">IF(COUNTIFS(Database!$I:$I,$B35,Database!$J:$J,6)=0,"",COUNTIFS(Database!$I:$I,$B35,Database!$J:$J,6))</f>
        <v/>
      </c>
      <c r="I35" s="79" t="str">
        <f aca="false">IF(COUNTIFS(Database!$I:$I,$B35,Database!$J:$J,7)=0,"",COUNTIFS(Database!$I:$I,$B35,Database!$J:$J,7))</f>
        <v/>
      </c>
      <c r="J35" s="79" t="str">
        <f aca="false">IF(COUNTIFS(Database!$I:$I,$B35,Database!$J:$J,8)=0,"",COUNTIFS(Database!$I:$I,$B35,Database!$J:$J,8))</f>
        <v/>
      </c>
    </row>
    <row r="36" customFormat="false" ht="15" hidden="false" customHeight="false" outlineLevel="0" collapsed="false">
      <c r="B36" s="9" t="n">
        <v>5</v>
      </c>
      <c r="C36" s="79" t="str">
        <f aca="false">IF(COUNTIFS(Database!$I:$I,$B36,Database!$J:$J,1)=0,"",COUNTIFS(Database!$I:$I,$B36,Database!$J:$J,1))</f>
        <v/>
      </c>
      <c r="D36" s="79" t="str">
        <f aca="false">IF(COUNTIFS(Database!$I:$I,$B36,Database!$J:$J,2)=0,"",COUNTIFS(Database!$I:$I,$B36,Database!$J:$J,2))</f>
        <v/>
      </c>
      <c r="E36" s="79" t="str">
        <f aca="false">IF(COUNTIFS(Database!$I:$I,$B36,Database!$J:$J,3)=0,"",COUNTIFS(Database!$I:$I,$B36,Database!$J:$J,3))</f>
        <v/>
      </c>
      <c r="F36" s="79" t="str">
        <f aca="false">IF(COUNTIFS(Database!$I:$I,$B36,Database!$J:$J,4)=0,"",COUNTIFS(Database!$I:$I,$B36,Database!$J:$J,4))</f>
        <v/>
      </c>
      <c r="G36" s="79" t="n">
        <f aca="false">IF(COUNTIFS(Database!$I:$I,$B36,Database!$J:$J,5)=0,"",COUNTIFS(Database!$I:$I,$B36,Database!$J:$J,5))</f>
        <v>4</v>
      </c>
      <c r="H36" s="79" t="n">
        <f aca="false">IF(COUNTIFS(Database!$I:$I,$B36,Database!$J:$J,6)=0,"",COUNTIFS(Database!$I:$I,$B36,Database!$J:$J,6))</f>
        <v>1</v>
      </c>
      <c r="I36" s="79" t="str">
        <f aca="false">IF(COUNTIFS(Database!$I:$I,$B36,Database!$J:$J,7)=0,"",COUNTIFS(Database!$I:$I,$B36,Database!$J:$J,7))</f>
        <v/>
      </c>
      <c r="J36" s="79" t="str">
        <f aca="false">IF(COUNTIFS(Database!$I:$I,$B36,Database!$J:$J,8)=0,"",COUNTIFS(Database!$I:$I,$B36,Database!$J:$J,8))</f>
        <v/>
      </c>
    </row>
    <row r="37" customFormat="false" ht="15" hidden="false" customHeight="false" outlineLevel="0" collapsed="false">
      <c r="B37" s="9" t="n">
        <v>6</v>
      </c>
      <c r="C37" s="79" t="str">
        <f aca="false">IF(COUNTIFS(Database!$I:$I,$B37,Database!$J:$J,1)=0,"",COUNTIFS(Database!$I:$I,$B37,Database!$J:$J,1))</f>
        <v/>
      </c>
      <c r="D37" s="79" t="str">
        <f aca="false">IF(COUNTIFS(Database!$I:$I,$B37,Database!$J:$J,2)=0,"",COUNTIFS(Database!$I:$I,$B37,Database!$J:$J,2))</f>
        <v/>
      </c>
      <c r="E37" s="79" t="str">
        <f aca="false">IF(COUNTIFS(Database!$I:$I,$B37,Database!$J:$J,3)=0,"",COUNTIFS(Database!$I:$I,$B37,Database!$J:$J,3))</f>
        <v/>
      </c>
      <c r="F37" s="79" t="str">
        <f aca="false">IF(COUNTIFS(Database!$I:$I,$B37,Database!$J:$J,4)=0,"",COUNTIFS(Database!$I:$I,$B37,Database!$J:$J,4))</f>
        <v/>
      </c>
      <c r="G37" s="79" t="str">
        <f aca="false">IF(COUNTIFS(Database!$I:$I,$B37,Database!$J:$J,5)=0,"",COUNTIFS(Database!$I:$I,$B37,Database!$J:$J,5))</f>
        <v/>
      </c>
      <c r="H37" s="79" t="n">
        <f aca="false">IF(COUNTIFS(Database!$I:$I,$B37,Database!$J:$J,6)=0,"",COUNTIFS(Database!$I:$I,$B37,Database!$J:$J,6))</f>
        <v>1</v>
      </c>
      <c r="I37" s="79" t="str">
        <f aca="false">IF(COUNTIFS(Database!$I:$I,$B37,Database!$J:$J,7)=0,"",COUNTIFS(Database!$I:$I,$B37,Database!$J:$J,7))</f>
        <v/>
      </c>
      <c r="J37" s="79" t="str">
        <f aca="false">IF(COUNTIFS(Database!$I:$I,$B37,Database!$J:$J,8)=0,"",COUNTIFS(Database!$I:$I,$B37,Database!$J:$J,8))</f>
        <v/>
      </c>
    </row>
    <row r="38" customFormat="false" ht="15" hidden="false" customHeight="false" outlineLevel="0" collapsed="false">
      <c r="B38" s="9" t="n">
        <v>7</v>
      </c>
      <c r="C38" s="79" t="str">
        <f aca="false">IF(COUNTIFS(Database!$I:$I,$B38,Database!$J:$J,1)=0,"",COUNTIFS(Database!$I:$I,$B38,Database!$J:$J,1))</f>
        <v/>
      </c>
      <c r="D38" s="79" t="str">
        <f aca="false">IF(COUNTIFS(Database!$I:$I,$B38,Database!$J:$J,2)=0,"",COUNTIFS(Database!$I:$I,$B38,Database!$J:$J,2))</f>
        <v/>
      </c>
      <c r="E38" s="79" t="str">
        <f aca="false">IF(COUNTIFS(Database!$I:$I,$B38,Database!$J:$J,3)=0,"",COUNTIFS(Database!$I:$I,$B38,Database!$J:$J,3))</f>
        <v/>
      </c>
      <c r="F38" s="79" t="str">
        <f aca="false">IF(COUNTIFS(Database!$I:$I,$B38,Database!$J:$J,4)=0,"",COUNTIFS(Database!$I:$I,$B38,Database!$J:$J,4))</f>
        <v/>
      </c>
      <c r="G38" s="79" t="str">
        <f aca="false">IF(COUNTIFS(Database!$I:$I,$B38,Database!$J:$J,5)=0,"",COUNTIFS(Database!$I:$I,$B38,Database!$J:$J,5))</f>
        <v/>
      </c>
      <c r="H38" s="79" t="str">
        <f aca="false">IF(COUNTIFS(Database!$I:$I,$B38,Database!$J:$J,6)=0,"",COUNTIFS(Database!$I:$I,$B38,Database!$J:$J,6))</f>
        <v/>
      </c>
      <c r="I38" s="79" t="n">
        <f aca="false">IF(COUNTIFS(Database!$I:$I,$B38,Database!$J:$J,7)=0,"",COUNTIFS(Database!$I:$I,$B38,Database!$J:$J,7))</f>
        <v>1</v>
      </c>
      <c r="J38" s="79" t="str">
        <f aca="false">IF(COUNTIFS(Database!$I:$I,$B38,Database!$J:$J,8)=0,"",COUNTIFS(Database!$I:$I,$B38,Database!$J:$J,8))</f>
        <v/>
      </c>
    </row>
    <row r="39" customFormat="false" ht="15" hidden="false" customHeight="false" outlineLevel="0" collapsed="false">
      <c r="B39" s="9" t="n">
        <v>8</v>
      </c>
      <c r="C39" s="79" t="str">
        <f aca="false">IF(COUNTIFS(Database!$I:$I,$B39,Database!$J:$J,1)=0,"",COUNTIFS(Database!$I:$I,$B39,Database!$J:$J,1))</f>
        <v/>
      </c>
      <c r="D39" s="79" t="str">
        <f aca="false">IF(COUNTIFS(Database!$I:$I,$B39,Database!$J:$J,2)=0,"",COUNTIFS(Database!$I:$I,$B39,Database!$J:$J,2))</f>
        <v/>
      </c>
      <c r="E39" s="79" t="str">
        <f aca="false">IF(COUNTIFS(Database!$I:$I,$B39,Database!$J:$J,3)=0,"",COUNTIFS(Database!$I:$I,$B39,Database!$J:$J,3))</f>
        <v/>
      </c>
      <c r="F39" s="79" t="str">
        <f aca="false">IF(COUNTIFS(Database!$I:$I,$B39,Database!$J:$J,4)=0,"",COUNTIFS(Database!$I:$I,$B39,Database!$J:$J,4))</f>
        <v/>
      </c>
      <c r="G39" s="79" t="str">
        <f aca="false">IF(COUNTIFS(Database!$I:$I,$B39,Database!$J:$J,5)=0,"",COUNTIFS(Database!$I:$I,$B39,Database!$J:$J,5))</f>
        <v/>
      </c>
      <c r="H39" s="79" t="str">
        <f aca="false">IF(COUNTIFS(Database!$I:$I,$B39,Database!$J:$J,6)=0,"",COUNTIFS(Database!$I:$I,$B39,Database!$J:$J,6))</f>
        <v/>
      </c>
      <c r="I39" s="79" t="str">
        <f aca="false">IF(COUNTIFS(Database!$I:$I,$B39,Database!$J:$J,7)=0,"",COUNTIFS(Database!$I:$I,$B39,Database!$J:$J,7))</f>
        <v/>
      </c>
      <c r="J39" s="79" t="str">
        <f aca="false">IF(COUNTIFS(Database!$I:$I,$B39,Database!$J:$J,8)=0,"",COUNTIFS(Database!$I:$I,$B39,Database!$J:$J,8))</f>
        <v/>
      </c>
    </row>
    <row r="41" customFormat="false" ht="15" hidden="false" customHeight="false" outlineLevel="0" collapsed="false">
      <c r="B41" s="17" t="s">
        <v>767</v>
      </c>
    </row>
  </sheetData>
  <conditionalFormatting sqref="C32:J39">
    <cfRule type="expression" priority="2" aboveAverage="0" equalAverage="0" bottom="0" percent="0" rank="0" text="" dxfId="4">
      <formula>COLUMN()-2&gt;$B32</formula>
    </cfRule>
  </conditionalFormatting>
  <printOptions headings="false" gridLines="false" gridLinesSet="true" horizontalCentered="false" verticalCentered="false"/>
  <pageMargins left="0.4" right="0.4" top="0.5" bottom="0.5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548235"/>
    <pageSetUpPr fitToPage="true"/>
  </sheetPr>
  <dimension ref="B1:N6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1" width="2"/>
    <col collapsed="false" customWidth="true" hidden="false" outlineLevel="0" max="2" min="2" style="1" width="24"/>
    <col collapsed="false" customWidth="true" hidden="false" outlineLevel="0" max="5" min="3" style="1" width="12"/>
    <col collapsed="false" customWidth="true" hidden="false" outlineLevel="0" max="6" min="6" style="1" width="3"/>
    <col collapsed="false" customWidth="true" hidden="false" outlineLevel="0" max="7" min="7" style="1" width="6"/>
    <col collapsed="false" customWidth="true" hidden="false" outlineLevel="0" max="8" min="8" style="1" width="11"/>
    <col collapsed="false" customWidth="true" hidden="false" outlineLevel="0" max="9" min="9" style="1" width="7"/>
    <col collapsed="false" customWidth="true" hidden="false" outlineLevel="0" max="10" min="10" style="1" width="9"/>
    <col collapsed="false" customWidth="true" hidden="false" outlineLevel="0" max="11" min="11" style="1" width="10"/>
    <col collapsed="false" customWidth="true" hidden="false" outlineLevel="0" max="12" min="12" style="1" width="60"/>
    <col collapsed="false" customWidth="true" hidden="false" outlineLevel="0" max="13" min="13" style="1" width="45"/>
    <col collapsed="false" customWidth="true" hidden="false" outlineLevel="0" max="14" min="14" style="1" width="10"/>
  </cols>
  <sheetData>
    <row r="1" customFormat="false" ht="30" hidden="false" customHeight="true" outlineLevel="0" collapsed="false">
      <c r="B1" s="2" t="s">
        <v>768</v>
      </c>
    </row>
    <row r="2" customFormat="false" ht="13.5" hidden="false" customHeight="true" outlineLevel="0" collapsed="false">
      <c r="B2" s="3" t="s">
        <v>769</v>
      </c>
    </row>
    <row r="3" customFormat="false" ht="3" hidden="false" customHeight="true" outlineLevel="0" collapsed="false"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5"/>
    </row>
    <row r="4" customFormat="false" ht="15.75" hidden="false" customHeight="true" outlineLevel="0" collapsed="false">
      <c r="B4" s="76" t="s">
        <v>770</v>
      </c>
      <c r="C4" s="76" t="s">
        <v>771</v>
      </c>
      <c r="D4" s="76" t="s">
        <v>772</v>
      </c>
      <c r="E4" s="76" t="s">
        <v>773</v>
      </c>
    </row>
    <row r="5" customFormat="false" ht="25.5" hidden="false" customHeight="true" outlineLevel="0" collapsed="false">
      <c r="B5" s="77" t="n">
        <f aca="false">COUNTIF(Responses!$G:$G,"No")</f>
        <v>46</v>
      </c>
      <c r="C5" s="77" t="n">
        <f aca="false">COUNTIFS(Responses!$G:$G,"No",Responses!$F:$F,"High")</f>
        <v>25</v>
      </c>
      <c r="D5" s="77" t="n">
        <f aca="false">COUNTIFS(Responses!$G:$G,"No",Responses!$K:$K,"&gt;180")</f>
        <v>18</v>
      </c>
      <c r="E5" s="77" t="n">
        <f aca="false">COUNTIFS(Responses!$G:$G,"No",Responses!$H:$H,"")+COUNTIFS(Responses!$G:$G,"Obs",Responses!$H:$H,"")</f>
        <v>0</v>
      </c>
    </row>
    <row r="7" customFormat="false" ht="15" hidden="false" customHeight="false" outlineLevel="0" collapsed="false">
      <c r="B7" s="6" t="s">
        <v>774</v>
      </c>
    </row>
    <row r="8" customFormat="false" ht="21.75" hidden="false" customHeight="true" outlineLevel="0" collapsed="false">
      <c r="B8" s="28" t="s">
        <v>673</v>
      </c>
      <c r="C8" s="28" t="s">
        <v>752</v>
      </c>
      <c r="D8" s="28" t="s">
        <v>775</v>
      </c>
    </row>
    <row r="9" customFormat="false" ht="15" hidden="false" customHeight="false" outlineLevel="0" collapsed="false">
      <c r="B9" s="21" t="s">
        <v>132</v>
      </c>
      <c r="C9" s="27" t="n">
        <f aca="false">COUNTIFS(Responses!$B:$B,$B9,Responses!$G:$G,"No")</f>
        <v>8</v>
      </c>
      <c r="D9" s="49" t="n">
        <f aca="false">IF(COUNTIFS(Responses!$B:$B,$B9,Responses!$G:$G,"Yes")+COUNTIFS(Responses!$B:$B,$B9,Responses!$G:$G,"No")+COUNTIFS(Responses!$B:$B,$B9,Responses!$G:$G,"Obs")=0,"",COUNTIFS(Responses!$B:$B,$B9,Responses!$G:$G,"No")/(COUNTIFS(Responses!$B:$B,$B9,Responses!$G:$G,"Yes")+COUNTIFS(Responses!$B:$B,$B9,Responses!$G:$G,"No")+COUNTIFS(Responses!$B:$B,$B9,Responses!$G:$G,"Obs")))</f>
        <v>0.0816326530612245</v>
      </c>
    </row>
    <row r="10" customFormat="false" ht="15" hidden="false" customHeight="false" outlineLevel="0" collapsed="false">
      <c r="B10" s="55" t="s">
        <v>197</v>
      </c>
      <c r="C10" s="59" t="n">
        <f aca="false">COUNTIFS(Responses!$B:$B,$B10,Responses!$G:$G,"No")</f>
        <v>8</v>
      </c>
      <c r="D10" s="64" t="n">
        <f aca="false">IF(COUNTIFS(Responses!$B:$B,$B10,Responses!$G:$G,"Yes")+COUNTIFS(Responses!$B:$B,$B10,Responses!$G:$G,"No")+COUNTIFS(Responses!$B:$B,$B10,Responses!$G:$G,"Obs")=0,"",COUNTIFS(Responses!$B:$B,$B10,Responses!$G:$G,"No")/(COUNTIFS(Responses!$B:$B,$B10,Responses!$G:$G,"Yes")+COUNTIFS(Responses!$B:$B,$B10,Responses!$G:$G,"No")+COUNTIFS(Responses!$B:$B,$B10,Responses!$G:$G,"Obs")))</f>
        <v>0.0824742268041237</v>
      </c>
    </row>
    <row r="11" customFormat="false" ht="15" hidden="false" customHeight="false" outlineLevel="0" collapsed="false">
      <c r="B11" s="21" t="s">
        <v>234</v>
      </c>
      <c r="C11" s="27" t="n">
        <f aca="false">COUNTIFS(Responses!$B:$B,$B11,Responses!$G:$G,"No")</f>
        <v>10</v>
      </c>
      <c r="D11" s="49" t="n">
        <f aca="false">IF(COUNTIFS(Responses!$B:$B,$B11,Responses!$G:$G,"Yes")+COUNTIFS(Responses!$B:$B,$B11,Responses!$G:$G,"No")+COUNTIFS(Responses!$B:$B,$B11,Responses!$G:$G,"Obs")=0,"",COUNTIFS(Responses!$B:$B,$B11,Responses!$G:$G,"No")/(COUNTIFS(Responses!$B:$B,$B11,Responses!$G:$G,"Yes")+COUNTIFS(Responses!$B:$B,$B11,Responses!$G:$G,"No")+COUNTIFS(Responses!$B:$B,$B11,Responses!$G:$G,"Obs")))</f>
        <v>0.102040816326531</v>
      </c>
    </row>
    <row r="12" customFormat="false" ht="15" hidden="false" customHeight="false" outlineLevel="0" collapsed="false">
      <c r="B12" s="55" t="s">
        <v>268</v>
      </c>
      <c r="C12" s="59" t="n">
        <f aca="false">COUNTIFS(Responses!$B:$B,$B12,Responses!$G:$G,"No")</f>
        <v>6</v>
      </c>
      <c r="D12" s="64" t="n">
        <f aca="false">IF(COUNTIFS(Responses!$B:$B,$B12,Responses!$G:$G,"Yes")+COUNTIFS(Responses!$B:$B,$B12,Responses!$G:$G,"No")+COUNTIFS(Responses!$B:$B,$B12,Responses!$G:$G,"Obs")=0,"",COUNTIFS(Responses!$B:$B,$B12,Responses!$G:$G,"No")/(COUNTIFS(Responses!$B:$B,$B12,Responses!$G:$G,"Yes")+COUNTIFS(Responses!$B:$B,$B12,Responses!$G:$G,"No")+COUNTIFS(Responses!$B:$B,$B12,Responses!$G:$G,"Obs")))</f>
        <v>0.0638297872340426</v>
      </c>
    </row>
    <row r="13" customFormat="false" ht="15" hidden="false" customHeight="false" outlineLevel="0" collapsed="false">
      <c r="B13" s="21" t="s">
        <v>302</v>
      </c>
      <c r="C13" s="27" t="n">
        <f aca="false">COUNTIFS(Responses!$B:$B,$B13,Responses!$G:$G,"No")</f>
        <v>9</v>
      </c>
      <c r="D13" s="49" t="n">
        <f aca="false">IF(COUNTIFS(Responses!$B:$B,$B13,Responses!$G:$G,"Yes")+COUNTIFS(Responses!$B:$B,$B13,Responses!$G:$G,"No")+COUNTIFS(Responses!$B:$B,$B13,Responses!$G:$G,"Obs")=0,"",COUNTIFS(Responses!$B:$B,$B13,Responses!$G:$G,"No")/(COUNTIFS(Responses!$B:$B,$B13,Responses!$G:$G,"Yes")+COUNTIFS(Responses!$B:$B,$B13,Responses!$G:$G,"No")+COUNTIFS(Responses!$B:$B,$B13,Responses!$G:$G,"Obs")))</f>
        <v>0.0865384615384615</v>
      </c>
    </row>
    <row r="14" customFormat="false" ht="15" hidden="false" customHeight="false" outlineLevel="0" collapsed="false">
      <c r="B14" s="55" t="s">
        <v>338</v>
      </c>
      <c r="C14" s="59" t="n">
        <f aca="false">COUNTIFS(Responses!$B:$B,$B14,Responses!$G:$G,"No")</f>
        <v>4</v>
      </c>
      <c r="D14" s="64" t="n">
        <f aca="false">IF(COUNTIFS(Responses!$B:$B,$B14,Responses!$G:$G,"Yes")+COUNTIFS(Responses!$B:$B,$B14,Responses!$G:$G,"No")+COUNTIFS(Responses!$B:$B,$B14,Responses!$G:$G,"Obs")=0,"",COUNTIFS(Responses!$B:$B,$B14,Responses!$G:$G,"No")/(COUNTIFS(Responses!$B:$B,$B14,Responses!$G:$G,"Yes")+COUNTIFS(Responses!$B:$B,$B14,Responses!$G:$G,"No")+COUNTIFS(Responses!$B:$B,$B14,Responses!$G:$G,"Obs")))</f>
        <v>0.0579710144927536</v>
      </c>
    </row>
    <row r="15" customFormat="false" ht="15" hidden="false" customHeight="false" outlineLevel="0" collapsed="false">
      <c r="B15" s="21" t="s">
        <v>383</v>
      </c>
      <c r="C15" s="27" t="n">
        <f aca="false">COUNTIFS(Responses!$B:$B,$B15,Responses!$G:$G,"No")</f>
        <v>1</v>
      </c>
      <c r="D15" s="49" t="n">
        <f aca="false">IF(COUNTIFS(Responses!$B:$B,$B15,Responses!$G:$G,"Yes")+COUNTIFS(Responses!$B:$B,$B15,Responses!$G:$G,"No")+COUNTIFS(Responses!$B:$B,$B15,Responses!$G:$G,"Obs")=0,"",COUNTIFS(Responses!$B:$B,$B15,Responses!$G:$G,"No")/(COUNTIFS(Responses!$B:$B,$B15,Responses!$G:$G,"Yes")+COUNTIFS(Responses!$B:$B,$B15,Responses!$G:$G,"No")+COUNTIFS(Responses!$B:$B,$B15,Responses!$G:$G,"Obs")))</f>
        <v>0.0102040816326531</v>
      </c>
    </row>
    <row r="18" customFormat="false" ht="15" hidden="false" customHeight="false" outlineLevel="0" collapsed="false">
      <c r="B18" s="6" t="s">
        <v>776</v>
      </c>
    </row>
    <row r="19" customFormat="false" ht="21.75" hidden="false" customHeight="true" outlineLevel="0" collapsed="false">
      <c r="B19" s="28" t="s">
        <v>93</v>
      </c>
      <c r="C19" s="28" t="s">
        <v>777</v>
      </c>
    </row>
    <row r="20" customFormat="false" ht="15" hidden="false" customHeight="false" outlineLevel="0" collapsed="false">
      <c r="B20" s="21" t="s">
        <v>99</v>
      </c>
      <c r="C20" s="27" t="n">
        <f aca="false">COUNTIFS(Responses!$G:$G,"No",Responses!$F:$F,B20)</f>
        <v>25</v>
      </c>
    </row>
    <row r="21" customFormat="false" ht="15" hidden="false" customHeight="false" outlineLevel="0" collapsed="false">
      <c r="B21" s="55" t="s">
        <v>105</v>
      </c>
      <c r="C21" s="59" t="n">
        <f aca="false">COUNTIFS(Responses!$G:$G,"No",Responses!$F:$F,B21)</f>
        <v>16</v>
      </c>
    </row>
    <row r="22" customFormat="false" ht="15" hidden="false" customHeight="false" outlineLevel="0" collapsed="false">
      <c r="B22" s="21" t="s">
        <v>110</v>
      </c>
      <c r="C22" s="27" t="n">
        <f aca="false">COUNTIFS(Responses!$G:$G,"No",Responses!$F:$F,B22)</f>
        <v>5</v>
      </c>
    </row>
    <row r="25" customFormat="false" ht="15" hidden="false" customHeight="false" outlineLevel="0" collapsed="false">
      <c r="B25" s="6" t="s">
        <v>778</v>
      </c>
    </row>
    <row r="26" customFormat="false" ht="21.75" hidden="false" customHeight="true" outlineLevel="0" collapsed="false">
      <c r="B26" s="28" t="s">
        <v>779</v>
      </c>
      <c r="C26" s="28" t="s">
        <v>777</v>
      </c>
    </row>
    <row r="27" customFormat="false" ht="15" hidden="false" customHeight="false" outlineLevel="0" collapsed="false">
      <c r="B27" s="21" t="s">
        <v>780</v>
      </c>
      <c r="C27" s="27" t="n">
        <f aca="false">COUNTIFS(Responses!$G:$G,"No",Responses!$L:$L,B27)</f>
        <v>14</v>
      </c>
    </row>
    <row r="28" customFormat="false" ht="15" hidden="false" customHeight="false" outlineLevel="0" collapsed="false">
      <c r="B28" s="55" t="s">
        <v>781</v>
      </c>
      <c r="C28" s="59" t="n">
        <f aca="false">COUNTIFS(Responses!$G:$G,"No",Responses!$L:$L,B28)</f>
        <v>14</v>
      </c>
    </row>
    <row r="29" customFormat="false" ht="15" hidden="false" customHeight="false" outlineLevel="0" collapsed="false">
      <c r="B29" s="21" t="s">
        <v>782</v>
      </c>
      <c r="C29" s="27" t="n">
        <f aca="false">COUNTIFS(Responses!$G:$G,"No",Responses!$L:$L,B29)</f>
        <v>10</v>
      </c>
    </row>
    <row r="30" customFormat="false" ht="15" hidden="false" customHeight="false" outlineLevel="0" collapsed="false">
      <c r="B30" s="55" t="s">
        <v>783</v>
      </c>
      <c r="C30" s="59" t="n">
        <f aca="false">COUNTIFS(Responses!$G:$G,"No",Responses!$L:$L,B30)</f>
        <v>0</v>
      </c>
    </row>
    <row r="33" customFormat="false" ht="15" hidden="false" customHeight="false" outlineLevel="0" collapsed="false">
      <c r="B33" s="6" t="s">
        <v>784</v>
      </c>
    </row>
    <row r="34" customFormat="false" ht="21.75" hidden="false" customHeight="true" outlineLevel="0" collapsed="false">
      <c r="G34" s="28" t="s">
        <v>785</v>
      </c>
      <c r="H34" s="28" t="s">
        <v>786</v>
      </c>
      <c r="I34" s="28" t="s">
        <v>128</v>
      </c>
      <c r="J34" s="28" t="s">
        <v>127</v>
      </c>
      <c r="K34" s="28" t="s">
        <v>93</v>
      </c>
      <c r="L34" s="28" t="s">
        <v>130</v>
      </c>
      <c r="M34" s="28" t="s">
        <v>787</v>
      </c>
      <c r="N34" s="28" t="s">
        <v>788</v>
      </c>
    </row>
    <row r="35" customFormat="false" ht="15" hidden="false" customHeight="false" outlineLevel="0" collapsed="false">
      <c r="G35" s="17" t="n">
        <v>1</v>
      </c>
      <c r="H35" s="12" t="str">
        <f aca="false">IFERROR(INDEX(Responses!$A:$A,MATCH($G35,Responses!$N:$N,0)),"")</f>
        <v>CI-2026001</v>
      </c>
      <c r="I35" s="12" t="str">
        <f aca="false">IFERROR(INDEX(Responses!$B:$B,MATCH($G35,Responses!$N:$N,0)),"")</f>
        <v>CI</v>
      </c>
      <c r="J35" s="12" t="str">
        <f aca="false">IFERROR(INDEX(Responses!$C:$C,MATCH($G35,Responses!$N:$N,0)),"")</f>
        <v>CI-Q09</v>
      </c>
      <c r="K35" s="12" t="str">
        <f aca="false">IFERROR(INDEX(Responses!$F:$F,MATCH($G35,Responses!$N:$N,0)),"")</f>
        <v>High</v>
      </c>
      <c r="L35" s="80" t="str">
        <f aca="false">IFERROR(INDEX(Responses!$E:$E,MATCH($G35,Responses!$N:$N,0)),"")</f>
        <v>Projection assumptions are reasonable versus historical performance and market data.</v>
      </c>
      <c r="M35" s="80" t="str">
        <f aca="false">IFERROR(INDEX(Responses!$H:$H,MATCH($G35,Responses!$N:$N,0)),"")</f>
        <v>UCC continuation lapsed; lien perfection not verified at review date.</v>
      </c>
      <c r="N35" s="68" t="n">
        <f aca="false">IFERROR(INDEX(Responses!$K:$K,MATCH($G35,Responses!$N:$N,0)),"")</f>
        <v>300</v>
      </c>
    </row>
    <row r="36" customFormat="false" ht="15" hidden="false" customHeight="false" outlineLevel="0" collapsed="false">
      <c r="G36" s="17" t="n">
        <v>2</v>
      </c>
      <c r="H36" s="12" t="str">
        <f aca="false">IFERROR(INDEX(Responses!$A:$A,MATCH($G36,Responses!$N:$N,0)),"")</f>
        <v>CI-2026001</v>
      </c>
      <c r="I36" s="12" t="str">
        <f aca="false">IFERROR(INDEX(Responses!$B:$B,MATCH($G36,Responses!$N:$N,0)),"")</f>
        <v>CI</v>
      </c>
      <c r="J36" s="12" t="str">
        <f aca="false">IFERROR(INDEX(Responses!$C:$C,MATCH($G36,Responses!$N:$N,0)),"")</f>
        <v>CI-Q14</v>
      </c>
      <c r="K36" s="12" t="str">
        <f aca="false">IFERROR(INDEX(Responses!$F:$F,MATCH($G36,Responses!$N:$N,0)),"")</f>
        <v>Low</v>
      </c>
      <c r="L36" s="80" t="str">
        <f aca="false">IFERROR(INDEX(Responses!$E:$E,MATCH($G36,Responses!$N:$N,0)),"")</f>
        <v>Insurance requirements are met and the bank is loss payee where required.</v>
      </c>
      <c r="M36" s="80" t="str">
        <f aca="false">IFERROR(INDEX(Responses!$H:$H,MATCH($G36,Responses!$N:$N,0)),"")</f>
        <v>UCC continuation lapsed; lien perfection not verified at review date.</v>
      </c>
      <c r="N36" s="68" t="n">
        <f aca="false">IFERROR(INDEX(Responses!$K:$K,MATCH($G36,Responses!$N:$N,0)),"")</f>
        <v>300</v>
      </c>
    </row>
    <row r="37" customFormat="false" ht="15" hidden="false" customHeight="false" outlineLevel="0" collapsed="false">
      <c r="G37" s="17" t="n">
        <v>3</v>
      </c>
      <c r="H37" s="12" t="str">
        <f aca="false">IFERROR(INDEX(Responses!$A:$A,MATCH($G37,Responses!$N:$N,0)),"")</f>
        <v>CI-2026002</v>
      </c>
      <c r="I37" s="12" t="str">
        <f aca="false">IFERROR(INDEX(Responses!$B:$B,MATCH($G37,Responses!$N:$N,0)),"")</f>
        <v>CI</v>
      </c>
      <c r="J37" s="12" t="str">
        <f aca="false">IFERROR(INDEX(Responses!$C:$C,MATCH($G37,Responses!$N:$N,0)),"")</f>
        <v>CI-Q04</v>
      </c>
      <c r="K37" s="12" t="str">
        <f aca="false">IFERROR(INDEX(Responses!$F:$F,MATCH($G37,Responses!$N:$N,0)),"")</f>
        <v>High</v>
      </c>
      <c r="L37" s="80" t="str">
        <f aca="false">IFERROR(INDEX(Responses!$E:$E,MATCH($G37,Responses!$N:$N,0)),"")</f>
        <v>Underwriting at origination conformed to policy standards in effect.</v>
      </c>
      <c r="M37" s="80" t="str">
        <f aca="false">IFERROR(INDEX(Responses!$H:$H,MATCH($G37,Responses!$N:$N,0)),"")</f>
        <v>Covenant test for Q4 not evidenced; compliance certificate missing.</v>
      </c>
      <c r="N37" s="68" t="n">
        <f aca="false">IFERROR(INDEX(Responses!$K:$K,MATCH($G37,Responses!$N:$N,0)),"")</f>
        <v>216</v>
      </c>
    </row>
    <row r="38" customFormat="false" ht="15" hidden="false" customHeight="false" outlineLevel="0" collapsed="false">
      <c r="G38" s="17" t="n">
        <v>4</v>
      </c>
      <c r="H38" s="12" t="str">
        <f aca="false">IFERROR(INDEX(Responses!$A:$A,MATCH($G38,Responses!$N:$N,0)),"")</f>
        <v>CI-2026002</v>
      </c>
      <c r="I38" s="12" t="str">
        <f aca="false">IFERROR(INDEX(Responses!$B:$B,MATCH($G38,Responses!$N:$N,0)),"")</f>
        <v>CI</v>
      </c>
      <c r="J38" s="12" t="str">
        <f aca="false">IFERROR(INDEX(Responses!$C:$C,MATCH($G38,Responses!$N:$N,0)),"")</f>
        <v>CI-Q23</v>
      </c>
      <c r="K38" s="12" t="str">
        <f aca="false">IFERROR(INDEX(Responses!$F:$F,MATCH($G38,Responses!$N:$N,0)),"")</f>
        <v>Medium</v>
      </c>
      <c r="L38" s="80" t="str">
        <f aca="false">IFERROR(INDEX(Responses!$E:$E,MATCH($G38,Responses!$N:$N,0)),"")</f>
        <v>Capital: borrower equity/tangible net worth is adequate for the risk.</v>
      </c>
      <c r="M38" s="80" t="str">
        <f aca="false">IFERROR(INDEX(Responses!$H:$H,MATCH($G38,Responses!$N:$N,0)),"")</f>
        <v>Financial statements stale beyond policy window; no waiver in file.</v>
      </c>
      <c r="N38" s="68" t="n">
        <f aca="false">IFERROR(INDEX(Responses!$K:$K,MATCH($G38,Responses!$N:$N,0)),"")</f>
        <v>216</v>
      </c>
    </row>
    <row r="39" customFormat="false" ht="15" hidden="false" customHeight="false" outlineLevel="0" collapsed="false">
      <c r="G39" s="17" t="n">
        <v>5</v>
      </c>
      <c r="H39" s="12" t="str">
        <f aca="false">IFERROR(INDEX(Responses!$A:$A,MATCH($G39,Responses!$N:$N,0)),"")</f>
        <v>CI-2026003</v>
      </c>
      <c r="I39" s="12" t="str">
        <f aca="false">IFERROR(INDEX(Responses!$B:$B,MATCH($G39,Responses!$N:$N,0)),"")</f>
        <v>CI</v>
      </c>
      <c r="J39" s="12" t="str">
        <f aca="false">IFERROR(INDEX(Responses!$C:$C,MATCH($G39,Responses!$N:$N,0)),"")</f>
        <v>CI-Q01</v>
      </c>
      <c r="K39" s="12" t="str">
        <f aca="false">IFERROR(INDEX(Responses!$F:$F,MATCH($G39,Responses!$N:$N,0)),"")</f>
        <v>High</v>
      </c>
      <c r="L39" s="80" t="str">
        <f aca="false">IFERROR(INDEX(Responses!$E:$E,MATCH($G39,Responses!$N:$N,0)),"")</f>
        <v>LOB-assigned risk grade is supported by current financial analysis.</v>
      </c>
      <c r="M39" s="80" t="str">
        <f aca="false">IFERROR(INDEX(Responses!$H:$H,MATCH($G39,Responses!$N:$N,0)),"")</f>
        <v>Financial statements stale beyond policy window; no waiver in file.</v>
      </c>
      <c r="N39" s="68" t="n">
        <f aca="false">IFERROR(INDEX(Responses!$K:$K,MATCH($G39,Responses!$N:$N,0)),"")</f>
        <v>111</v>
      </c>
    </row>
    <row r="40" customFormat="false" ht="15" hidden="false" customHeight="false" outlineLevel="0" collapsed="false">
      <c r="G40" s="17" t="n">
        <v>6</v>
      </c>
      <c r="H40" s="12" t="str">
        <f aca="false">IFERROR(INDEX(Responses!$A:$A,MATCH($G40,Responses!$N:$N,0)),"")</f>
        <v>CI-2026003</v>
      </c>
      <c r="I40" s="12" t="str">
        <f aca="false">IFERROR(INDEX(Responses!$B:$B,MATCH($G40,Responses!$N:$N,0)),"")</f>
        <v>CI</v>
      </c>
      <c r="J40" s="12" t="str">
        <f aca="false">IFERROR(INDEX(Responses!$C:$C,MATCH($G40,Responses!$N:$N,0)),"")</f>
        <v>CI-Q25</v>
      </c>
      <c r="K40" s="12" t="str">
        <f aca="false">IFERROR(INDEX(Responses!$F:$F,MATCH($G40,Responses!$N:$N,0)),"")</f>
        <v>Low</v>
      </c>
      <c r="L40" s="80" t="str">
        <f aca="false">IFERROR(INDEX(Responses!$E:$E,MATCH($G40,Responses!$N:$N,0)),"")</f>
        <v>Conditions: industry, market, and macro conditions are evaluated.</v>
      </c>
      <c r="M40" s="80" t="str">
        <f aca="false">IFERROR(INDEX(Responses!$H:$H,MATCH($G40,Responses!$N:$N,0)),"")</f>
        <v>Covenant test for Q4 not evidenced; compliance certificate missing.</v>
      </c>
      <c r="N40" s="68" t="n">
        <f aca="false">IFERROR(INDEX(Responses!$K:$K,MATCH($G40,Responses!$N:$N,0)),"")</f>
        <v>111</v>
      </c>
    </row>
    <row r="41" customFormat="false" ht="15" hidden="false" customHeight="false" outlineLevel="0" collapsed="false">
      <c r="G41" s="17" t="n">
        <v>7</v>
      </c>
      <c r="H41" s="12" t="str">
        <f aca="false">IFERROR(INDEX(Responses!$A:$A,MATCH($G41,Responses!$N:$N,0)),"")</f>
        <v>CI-2026004</v>
      </c>
      <c r="I41" s="12" t="str">
        <f aca="false">IFERROR(INDEX(Responses!$B:$B,MATCH($G41,Responses!$N:$N,0)),"")</f>
        <v>CI</v>
      </c>
      <c r="J41" s="12" t="str">
        <f aca="false">IFERROR(INDEX(Responses!$C:$C,MATCH($G41,Responses!$N:$N,0)),"")</f>
        <v>CI-Q11</v>
      </c>
      <c r="K41" s="12" t="str">
        <f aca="false">IFERROR(INDEX(Responses!$F:$F,MATCH($G41,Responses!$N:$N,0)),"")</f>
        <v>Medium</v>
      </c>
      <c r="L41" s="80" t="str">
        <f aca="false">IFERROR(INDEX(Responses!$E:$E,MATCH($G41,Responses!$N:$N,0)),"")</f>
        <v>Guaranty enforceability documented (signed, unconditional unless approved otherwise).</v>
      </c>
      <c r="M41" s="80" t="str">
        <f aca="false">IFERROR(INDEX(Responses!$H:$H,MATCH($G41,Responses!$N:$N,0)),"")</f>
        <v>Financial statements stale beyond policy window; no waiver in file.</v>
      </c>
      <c r="N41" s="68" t="n">
        <f aca="false">IFERROR(INDEX(Responses!$K:$K,MATCH($G41,Responses!$N:$N,0)),"")</f>
        <v>34</v>
      </c>
    </row>
    <row r="42" customFormat="false" ht="15" hidden="false" customHeight="false" outlineLevel="0" collapsed="false">
      <c r="G42" s="17" t="n">
        <v>8</v>
      </c>
      <c r="H42" s="12" t="str">
        <f aca="false">IFERROR(INDEX(Responses!$A:$A,MATCH($G42,Responses!$N:$N,0)),"")</f>
        <v>CI-2026004</v>
      </c>
      <c r="I42" s="12" t="str">
        <f aca="false">IFERROR(INDEX(Responses!$B:$B,MATCH($G42,Responses!$N:$N,0)),"")</f>
        <v>CI</v>
      </c>
      <c r="J42" s="12" t="str">
        <f aca="false">IFERROR(INDEX(Responses!$C:$C,MATCH($G42,Responses!$N:$N,0)),"")</f>
        <v>CI-Q13</v>
      </c>
      <c r="K42" s="12" t="str">
        <f aca="false">IFERROR(INDEX(Responses!$F:$F,MATCH($G42,Responses!$N:$N,0)),"")</f>
        <v>High</v>
      </c>
      <c r="L42" s="80" t="str">
        <f aca="false">IFERROR(INDEX(Responses!$E:$E,MATCH($G42,Responses!$N:$N,0)),"")</f>
        <v>Lien positions are perfected and verified (searches, filings, titles).</v>
      </c>
      <c r="M42" s="80" t="str">
        <f aca="false">IFERROR(INDEX(Responses!$H:$H,MATCH($G42,Responses!$N:$N,0)),"")</f>
        <v>Projection growth assumption unsupported versus 3-year actuals.</v>
      </c>
      <c r="N42" s="68" t="n">
        <f aca="false">IFERROR(INDEX(Responses!$K:$K,MATCH($G42,Responses!$N:$N,0)),"")</f>
        <v>34</v>
      </c>
    </row>
    <row r="43" customFormat="false" ht="15" hidden="false" customHeight="false" outlineLevel="0" collapsed="false">
      <c r="G43" s="17" t="n">
        <v>9</v>
      </c>
      <c r="H43" s="12" t="str">
        <f aca="false">IFERROR(INDEX(Responses!$A:$A,MATCH($G43,Responses!$N:$N,0)),"")</f>
        <v>CRE-2026001</v>
      </c>
      <c r="I43" s="12" t="str">
        <f aca="false">IFERROR(INDEX(Responses!$B:$B,MATCH($G43,Responses!$N:$N,0)),"")</f>
        <v>CRE</v>
      </c>
      <c r="J43" s="12" t="str">
        <f aca="false">IFERROR(INDEX(Responses!$C:$C,MATCH($G43,Responses!$N:$N,0)),"")</f>
        <v>CRE-Q16</v>
      </c>
      <c r="K43" s="12" t="str">
        <f aca="false">IFERROR(INDEX(Responses!$F:$F,MATCH($G43,Responses!$N:$N,0)),"")</f>
        <v>Medium</v>
      </c>
      <c r="L43" s="80" t="str">
        <f aca="false">IFERROR(INDEX(Responses!$E:$E,MATCH($G43,Responses!$N:$N,0)),"")</f>
        <v>Policy exceptions at approval were identified, justified, and approved at proper level.</v>
      </c>
      <c r="M43" s="80" t="str">
        <f aca="false">IFERROR(INDEX(Responses!$H:$H,MATCH($G43,Responses!$N:$N,0)),"")</f>
        <v>Financial statements stale beyond policy window; no waiver in file.</v>
      </c>
      <c r="N43" s="68" t="n">
        <f aca="false">IFERROR(INDEX(Responses!$K:$K,MATCH($G43,Responses!$N:$N,0)),"")</f>
        <v>300</v>
      </c>
    </row>
    <row r="44" customFormat="false" ht="23.85" hidden="false" customHeight="false" outlineLevel="0" collapsed="false">
      <c r="G44" s="17" t="n">
        <v>10</v>
      </c>
      <c r="H44" s="12" t="str">
        <f aca="false">IFERROR(INDEX(Responses!$A:$A,MATCH($G44,Responses!$N:$N,0)),"")</f>
        <v>CRE-2026002</v>
      </c>
      <c r="I44" s="12" t="str">
        <f aca="false">IFERROR(INDEX(Responses!$B:$B,MATCH($G44,Responses!$N:$N,0)),"")</f>
        <v>CRE</v>
      </c>
      <c r="J44" s="12" t="str">
        <f aca="false">IFERROR(INDEX(Responses!$C:$C,MATCH($G44,Responses!$N:$N,0)),"")</f>
        <v>CRE-Q06</v>
      </c>
      <c r="K44" s="12" t="str">
        <f aca="false">IFERROR(INDEX(Responses!$F:$F,MATCH($G44,Responses!$N:$N,0)),"")</f>
        <v>High</v>
      </c>
      <c r="L44" s="80" t="str">
        <f aca="false">IFERROR(INDEX(Responses!$E:$E,MATCH($G44,Responses!$N:$N,0)),"")</f>
        <v>Analysis critically evaluates borrower-provided information rather than restating it.</v>
      </c>
      <c r="M44" s="80" t="str">
        <f aca="false">IFERROR(INDEX(Responses!$H:$H,MATCH($G44,Responses!$N:$N,0)),"")</f>
        <v>Guarantor PFS older than 12 months; reliance not currently supported.</v>
      </c>
      <c r="N44" s="68" t="n">
        <f aca="false">IFERROR(INDEX(Responses!$K:$K,MATCH($G44,Responses!$N:$N,0)),"")</f>
        <v>216</v>
      </c>
    </row>
    <row r="45" customFormat="false" ht="23.85" hidden="false" customHeight="false" outlineLevel="0" collapsed="false">
      <c r="G45" s="17" t="n">
        <v>11</v>
      </c>
      <c r="H45" s="12" t="str">
        <f aca="false">IFERROR(INDEX(Responses!$A:$A,MATCH($G45,Responses!$N:$N,0)),"")</f>
        <v>CRE-2026002</v>
      </c>
      <c r="I45" s="12" t="str">
        <f aca="false">IFERROR(INDEX(Responses!$B:$B,MATCH($G45,Responses!$N:$N,0)),"")</f>
        <v>CRE</v>
      </c>
      <c r="J45" s="12" t="str">
        <f aca="false">IFERROR(INDEX(Responses!$C:$C,MATCH($G45,Responses!$N:$N,0)),"")</f>
        <v>CRE-Q22</v>
      </c>
      <c r="K45" s="12" t="str">
        <f aca="false">IFERROR(INDEX(Responses!$F:$F,MATCH($G45,Responses!$N:$N,0)),"")</f>
        <v>High</v>
      </c>
      <c r="L45" s="80" t="str">
        <f aca="false">IFERROR(INDEX(Responses!$E:$E,MATCH($G45,Responses!$N:$N,0)),"")</f>
        <v>Occupancy and lease rollover within 24 months are analyzed against market.</v>
      </c>
      <c r="M45" s="80" t="str">
        <f aca="false">IFERROR(INDEX(Responses!$H:$H,MATCH($G45,Responses!$N:$N,0)),"")</f>
        <v>Approval signature exceeds officer's delegated authority; no co-approval.</v>
      </c>
      <c r="N45" s="68" t="n">
        <f aca="false">IFERROR(INDEX(Responses!$K:$K,MATCH($G45,Responses!$N:$N,0)),"")</f>
        <v>216</v>
      </c>
    </row>
    <row r="46" customFormat="false" ht="23.85" hidden="false" customHeight="false" outlineLevel="0" collapsed="false">
      <c r="G46" s="17" t="n">
        <v>12</v>
      </c>
      <c r="H46" s="12" t="str">
        <f aca="false">IFERROR(INDEX(Responses!$A:$A,MATCH($G46,Responses!$N:$N,0)),"")</f>
        <v>CRE-2026003</v>
      </c>
      <c r="I46" s="12" t="str">
        <f aca="false">IFERROR(INDEX(Responses!$B:$B,MATCH($G46,Responses!$N:$N,0)),"")</f>
        <v>CRE</v>
      </c>
      <c r="J46" s="12" t="str">
        <f aca="false">IFERROR(INDEX(Responses!$C:$C,MATCH($G46,Responses!$N:$N,0)),"")</f>
        <v>CRE-Q09</v>
      </c>
      <c r="K46" s="12" t="str">
        <f aca="false">IFERROR(INDEX(Responses!$F:$F,MATCH($G46,Responses!$N:$N,0)),"")</f>
        <v>High</v>
      </c>
      <c r="L46" s="80" t="str">
        <f aca="false">IFERROR(INDEX(Responses!$E:$E,MATCH($G46,Responses!$N:$N,0)),"")</f>
        <v>Projection assumptions are reasonable versus historical performance and market data.</v>
      </c>
      <c r="M46" s="80" t="str">
        <f aca="false">IFERROR(INDEX(Responses!$H:$H,MATCH($G46,Responses!$N:$N,0)),"")</f>
        <v>Guarantor PFS older than 12 months; reliance not currently supported.</v>
      </c>
      <c r="N46" s="68" t="n">
        <f aca="false">IFERROR(INDEX(Responses!$K:$K,MATCH($G46,Responses!$N:$N,0)),"")</f>
        <v>111</v>
      </c>
    </row>
    <row r="47" customFormat="false" ht="15" hidden="false" customHeight="false" outlineLevel="0" collapsed="false">
      <c r="G47" s="17" t="n">
        <v>13</v>
      </c>
      <c r="H47" s="12" t="str">
        <f aca="false">IFERROR(INDEX(Responses!$A:$A,MATCH($G47,Responses!$N:$N,0)),"")</f>
        <v>CRE-2026003</v>
      </c>
      <c r="I47" s="12" t="str">
        <f aca="false">IFERROR(INDEX(Responses!$B:$B,MATCH($G47,Responses!$N:$N,0)),"")</f>
        <v>CRE</v>
      </c>
      <c r="J47" s="12" t="str">
        <f aca="false">IFERROR(INDEX(Responses!$C:$C,MATCH($G47,Responses!$N:$N,0)),"")</f>
        <v>CRE-Q14</v>
      </c>
      <c r="K47" s="12" t="str">
        <f aca="false">IFERROR(INDEX(Responses!$F:$F,MATCH($G47,Responses!$N:$N,0)),"")</f>
        <v>Low</v>
      </c>
      <c r="L47" s="80" t="str">
        <f aca="false">IFERROR(INDEX(Responses!$E:$E,MATCH($G47,Responses!$N:$N,0)),"")</f>
        <v>Insurance requirements are met and the bank is loss payee where required.</v>
      </c>
      <c r="M47" s="80" t="str">
        <f aca="false">IFERROR(INDEX(Responses!$H:$H,MATCH($G47,Responses!$N:$N,0)),"")</f>
        <v>Covenant test for Q4 not evidenced; compliance certificate missing.</v>
      </c>
      <c r="N47" s="68" t="n">
        <f aca="false">IFERROR(INDEX(Responses!$K:$K,MATCH($G47,Responses!$N:$N,0)),"")</f>
        <v>111</v>
      </c>
    </row>
    <row r="48" customFormat="false" ht="15" hidden="false" customHeight="false" outlineLevel="0" collapsed="false">
      <c r="G48" s="17" t="n">
        <v>14</v>
      </c>
      <c r="H48" s="12" t="str">
        <f aca="false">IFERROR(INDEX(Responses!$A:$A,MATCH($G48,Responses!$N:$N,0)),"")</f>
        <v>CRE-2026003</v>
      </c>
      <c r="I48" s="12" t="str">
        <f aca="false">IFERROR(INDEX(Responses!$B:$B,MATCH($G48,Responses!$N:$N,0)),"")</f>
        <v>CRE</v>
      </c>
      <c r="J48" s="12" t="str">
        <f aca="false">IFERROR(INDEX(Responses!$C:$C,MATCH($G48,Responses!$N:$N,0)),"")</f>
        <v>CRE-Q16</v>
      </c>
      <c r="K48" s="12" t="str">
        <f aca="false">IFERROR(INDEX(Responses!$F:$F,MATCH($G48,Responses!$N:$N,0)),"")</f>
        <v>Medium</v>
      </c>
      <c r="L48" s="80" t="str">
        <f aca="false">IFERROR(INDEX(Responses!$E:$E,MATCH($G48,Responses!$N:$N,0)),"")</f>
        <v>Policy exceptions at approval were identified, justified, and approved at proper level.</v>
      </c>
      <c r="M48" s="80" t="str">
        <f aca="false">IFERROR(INDEX(Responses!$H:$H,MATCH($G48,Responses!$N:$N,0)),"")</f>
        <v>Projection growth assumption unsupported versus 3-year actuals.</v>
      </c>
      <c r="N48" s="68" t="n">
        <f aca="false">IFERROR(INDEX(Responses!$K:$K,MATCH($G48,Responses!$N:$N,0)),"")</f>
        <v>111</v>
      </c>
    </row>
    <row r="49" customFormat="false" ht="15" hidden="false" customHeight="false" outlineLevel="0" collapsed="false">
      <c r="G49" s="17" t="n">
        <v>15</v>
      </c>
      <c r="H49" s="12" t="str">
        <f aca="false">IFERROR(INDEX(Responses!$A:$A,MATCH($G49,Responses!$N:$N,0)),"")</f>
        <v>CRE-2026004</v>
      </c>
      <c r="I49" s="12" t="str">
        <f aca="false">IFERROR(INDEX(Responses!$B:$B,MATCH($G49,Responses!$N:$N,0)),"")</f>
        <v>CRE</v>
      </c>
      <c r="J49" s="12" t="str">
        <f aca="false">IFERROR(INDEX(Responses!$C:$C,MATCH($G49,Responses!$N:$N,0)),"")</f>
        <v>CRE-Q08</v>
      </c>
      <c r="K49" s="12" t="str">
        <f aca="false">IFERROR(INDEX(Responses!$F:$F,MATCH($G49,Responses!$N:$N,0)),"")</f>
        <v>Medium</v>
      </c>
      <c r="L49" s="80" t="str">
        <f aca="false">IFERROR(INDEX(Responses!$E:$E,MATCH($G49,Responses!$N:$N,0)),"")</f>
        <v>Secondary repayment source is identified and realizable.</v>
      </c>
      <c r="M49" s="80" t="str">
        <f aca="false">IFERROR(INDEX(Responses!$H:$H,MATCH($G49,Responses!$N:$N,0)),"")</f>
        <v>Financial statements stale beyond policy window; no waiver in file.</v>
      </c>
      <c r="N49" s="68" t="n">
        <f aca="false">IFERROR(INDEX(Responses!$K:$K,MATCH($G49,Responses!$N:$N,0)),"")</f>
        <v>34</v>
      </c>
    </row>
    <row r="50" customFormat="false" ht="15" hidden="false" customHeight="false" outlineLevel="0" collapsed="false">
      <c r="G50" s="17" t="n">
        <v>16</v>
      </c>
      <c r="H50" s="12" t="str">
        <f aca="false">IFERROR(INDEX(Responses!$A:$A,MATCH($G50,Responses!$N:$N,0)),"")</f>
        <v>CRE-2026004</v>
      </c>
      <c r="I50" s="12" t="str">
        <f aca="false">IFERROR(INDEX(Responses!$B:$B,MATCH($G50,Responses!$N:$N,0)),"")</f>
        <v>CRE</v>
      </c>
      <c r="J50" s="12" t="str">
        <f aca="false">IFERROR(INDEX(Responses!$C:$C,MATCH($G50,Responses!$N:$N,0)),"")</f>
        <v>CRE-Q25</v>
      </c>
      <c r="K50" s="12" t="str">
        <f aca="false">IFERROR(INDEX(Responses!$F:$F,MATCH($G50,Responses!$N:$N,0)),"")</f>
        <v>High</v>
      </c>
      <c r="L50" s="80" t="str">
        <f aca="false">IFERROR(INDEX(Responses!$E:$E,MATCH($G50,Responses!$N:$N,0)),"")</f>
        <v>Appraiser was engaged independently of the credit function.</v>
      </c>
      <c r="M50" s="80" t="str">
        <f aca="false">IFERROR(INDEX(Responses!$H:$H,MATCH($G50,Responses!$N:$N,0)),"")</f>
        <v>Financial statements stale beyond policy window; no waiver in file.</v>
      </c>
      <c r="N50" s="68" t="n">
        <f aca="false">IFERROR(INDEX(Responses!$K:$K,MATCH($G50,Responses!$N:$N,0)),"")</f>
        <v>34</v>
      </c>
    </row>
    <row r="51" customFormat="false" ht="23.85" hidden="false" customHeight="false" outlineLevel="0" collapsed="false">
      <c r="G51" s="17" t="n">
        <v>17</v>
      </c>
      <c r="H51" s="12" t="str">
        <f aca="false">IFERROR(INDEX(Responses!$A:$A,MATCH($G51,Responses!$N:$N,0)),"")</f>
        <v>LL-2026001</v>
      </c>
      <c r="I51" s="12" t="str">
        <f aca="false">IFERROR(INDEX(Responses!$B:$B,MATCH($G51,Responses!$N:$N,0)),"")</f>
        <v>LL</v>
      </c>
      <c r="J51" s="12" t="str">
        <f aca="false">IFERROR(INDEX(Responses!$C:$C,MATCH($G51,Responses!$N:$N,0)),"")</f>
        <v>LL-Q13</v>
      </c>
      <c r="K51" s="12" t="str">
        <f aca="false">IFERROR(INDEX(Responses!$F:$F,MATCH($G51,Responses!$N:$N,0)),"")</f>
        <v>High</v>
      </c>
      <c r="L51" s="80" t="str">
        <f aca="false">IFERROR(INDEX(Responses!$E:$E,MATCH($G51,Responses!$N:$N,0)),"")</f>
        <v>Lien positions are perfected and verified (searches, filings, titles).</v>
      </c>
      <c r="M51" s="80" t="str">
        <f aca="false">IFERROR(INDEX(Responses!$H:$H,MATCH($G51,Responses!$N:$N,0)),"")</f>
        <v>Guarantor PFS older than 12 months; reliance not currently supported.</v>
      </c>
      <c r="N51" s="68" t="n">
        <f aca="false">IFERROR(INDEX(Responses!$K:$K,MATCH($G51,Responses!$N:$N,0)),"")</f>
        <v>300</v>
      </c>
    </row>
    <row r="52" customFormat="false" ht="23.85" hidden="false" customHeight="false" outlineLevel="0" collapsed="false">
      <c r="G52" s="17" t="n">
        <v>18</v>
      </c>
      <c r="H52" s="12" t="str">
        <f aca="false">IFERROR(INDEX(Responses!$A:$A,MATCH($G52,Responses!$N:$N,0)),"")</f>
        <v>LL-2026001</v>
      </c>
      <c r="I52" s="12" t="str">
        <f aca="false">IFERROR(INDEX(Responses!$B:$B,MATCH($G52,Responses!$N:$N,0)),"")</f>
        <v>LL</v>
      </c>
      <c r="J52" s="12" t="str">
        <f aca="false">IFERROR(INDEX(Responses!$C:$C,MATCH($G52,Responses!$N:$N,0)),"")</f>
        <v>LL-Q24</v>
      </c>
      <c r="K52" s="12" t="str">
        <f aca="false">IFERROR(INDEX(Responses!$F:$F,MATCH($G52,Responses!$N:$N,0)),"")</f>
        <v>High</v>
      </c>
      <c r="L52" s="80" t="str">
        <f aca="false">IFERROR(INDEX(Responses!$E:$E,MATCH($G52,Responses!$N:$N,0)),"")</f>
        <v>EBITDA adjustments/add-backs are scrutinized and supportable.</v>
      </c>
      <c r="M52" s="80" t="str">
        <f aca="false">IFERROR(INDEX(Responses!$H:$H,MATCH($G52,Responses!$N:$N,0)),"")</f>
        <v>Guarantor PFS older than 12 months; reliance not currently supported.</v>
      </c>
      <c r="N52" s="68" t="n">
        <f aca="false">IFERROR(INDEX(Responses!$K:$K,MATCH($G52,Responses!$N:$N,0)),"")</f>
        <v>300</v>
      </c>
    </row>
    <row r="53" customFormat="false" ht="15" hidden="false" customHeight="false" outlineLevel="0" collapsed="false">
      <c r="G53" s="17" t="n">
        <v>19</v>
      </c>
      <c r="H53" s="12" t="str">
        <f aca="false">IFERROR(INDEX(Responses!$A:$A,MATCH($G53,Responses!$N:$N,0)),"")</f>
        <v>LL-2026002</v>
      </c>
      <c r="I53" s="12" t="str">
        <f aca="false">IFERROR(INDEX(Responses!$B:$B,MATCH($G53,Responses!$N:$N,0)),"")</f>
        <v>LL</v>
      </c>
      <c r="J53" s="12" t="str">
        <f aca="false">IFERROR(INDEX(Responses!$C:$C,MATCH($G53,Responses!$N:$N,0)),"")</f>
        <v>LL-Q05</v>
      </c>
      <c r="K53" s="12" t="str">
        <f aca="false">IFERROR(INDEX(Responses!$F:$F,MATCH($G53,Responses!$N:$N,0)),"")</f>
        <v>Medium</v>
      </c>
      <c r="L53" s="80" t="str">
        <f aca="false">IFERROR(INDEX(Responses!$E:$E,MATCH($G53,Responses!$N:$N,0)),"")</f>
        <v>Financial statements meet policy quality/recency requirements (audit level, age).</v>
      </c>
      <c r="M53" s="80" t="str">
        <f aca="false">IFERROR(INDEX(Responses!$H:$H,MATCH($G53,Responses!$N:$N,0)),"")</f>
        <v>UCC continuation lapsed; lien perfection not verified at review date.</v>
      </c>
      <c r="N53" s="68" t="n">
        <f aca="false">IFERROR(INDEX(Responses!$K:$K,MATCH($G53,Responses!$N:$N,0)),"")</f>
        <v>216</v>
      </c>
    </row>
    <row r="54" customFormat="false" ht="15" hidden="false" customHeight="false" outlineLevel="0" collapsed="false">
      <c r="G54" s="17" t="n">
        <v>20</v>
      </c>
      <c r="H54" s="12" t="str">
        <f aca="false">IFERROR(INDEX(Responses!$A:$A,MATCH($G54,Responses!$N:$N,0)),"")</f>
        <v>LL-2026002</v>
      </c>
      <c r="I54" s="12" t="str">
        <f aca="false">IFERROR(INDEX(Responses!$B:$B,MATCH($G54,Responses!$N:$N,0)),"")</f>
        <v>LL</v>
      </c>
      <c r="J54" s="12" t="str">
        <f aca="false">IFERROR(INDEX(Responses!$C:$C,MATCH($G54,Responses!$N:$N,0)),"")</f>
        <v>LL-Q07</v>
      </c>
      <c r="K54" s="12" t="str">
        <f aca="false">IFERROR(INDEX(Responses!$F:$F,MATCH($G54,Responses!$N:$N,0)),"")</f>
        <v>High</v>
      </c>
      <c r="L54" s="80" t="str">
        <f aca="false">IFERROR(INDEX(Responses!$E:$E,MATCH($G54,Responses!$N:$N,0)),"")</f>
        <v>Primary repayment source is clearly identified and quantitatively supported.</v>
      </c>
      <c r="M54" s="80" t="str">
        <f aca="false">IFERROR(INDEX(Responses!$H:$H,MATCH($G54,Responses!$N:$N,0)),"")</f>
        <v>Projection growth assumption unsupported versus 3-year actuals.</v>
      </c>
      <c r="N54" s="68" t="n">
        <f aca="false">IFERROR(INDEX(Responses!$K:$K,MATCH($G54,Responses!$N:$N,0)),"")</f>
        <v>216</v>
      </c>
    </row>
    <row r="55" customFormat="false" ht="15" hidden="false" customHeight="false" outlineLevel="0" collapsed="false">
      <c r="G55" s="17" t="n">
        <v>21</v>
      </c>
      <c r="H55" s="12" t="str">
        <f aca="false">IFERROR(INDEX(Responses!$A:$A,MATCH($G55,Responses!$N:$N,0)),"")</f>
        <v>LL-2026002</v>
      </c>
      <c r="I55" s="12" t="str">
        <f aca="false">IFERROR(INDEX(Responses!$B:$B,MATCH($G55,Responses!$N:$N,0)),"")</f>
        <v>LL</v>
      </c>
      <c r="J55" s="12" t="str">
        <f aca="false">IFERROR(INDEX(Responses!$C:$C,MATCH($G55,Responses!$N:$N,0)),"")</f>
        <v>LL-Q17</v>
      </c>
      <c r="K55" s="12" t="str">
        <f aca="false">IFERROR(INDEX(Responses!$F:$F,MATCH($G55,Responses!$N:$N,0)),"")</f>
        <v>Medium</v>
      </c>
      <c r="L55" s="80" t="str">
        <f aca="false">IFERROR(INDEX(Responses!$E:$E,MATCH($G55,Responses!$N:$N,0)),"")</f>
        <v>Covenant compliance is tested at required frequency with evidence retained.</v>
      </c>
      <c r="M55" s="80" t="str">
        <f aca="false">IFERROR(INDEX(Responses!$H:$H,MATCH($G55,Responses!$N:$N,0)),"")</f>
        <v>Financial statements stale beyond policy window; no waiver in file.</v>
      </c>
      <c r="N55" s="68" t="n">
        <f aca="false">IFERROR(INDEX(Responses!$K:$K,MATCH($G55,Responses!$N:$N,0)),"")</f>
        <v>216</v>
      </c>
    </row>
    <row r="56" customFormat="false" ht="23.85" hidden="false" customHeight="false" outlineLevel="0" collapsed="false">
      <c r="G56" s="17" t="n">
        <v>22</v>
      </c>
      <c r="H56" s="12" t="str">
        <f aca="false">IFERROR(INDEX(Responses!$A:$A,MATCH($G56,Responses!$N:$N,0)),"")</f>
        <v>LL-2026003</v>
      </c>
      <c r="I56" s="12" t="str">
        <f aca="false">IFERROR(INDEX(Responses!$B:$B,MATCH($G56,Responses!$N:$N,0)),"")</f>
        <v>LL</v>
      </c>
      <c r="J56" s="12" t="str">
        <f aca="false">IFERROR(INDEX(Responses!$C:$C,MATCH($G56,Responses!$N:$N,0)),"")</f>
        <v>LL-Q26</v>
      </c>
      <c r="K56" s="12" t="str">
        <f aca="false">IFERROR(INDEX(Responses!$F:$F,MATCH($G56,Responses!$N:$N,0)),"")</f>
        <v>High</v>
      </c>
      <c r="L56" s="80" t="str">
        <f aca="false">IFERROR(INDEX(Responses!$E:$E,MATCH($G56,Responses!$N:$N,0)),"")</f>
        <v>Repayment-capacity test (de-lever &gt;=50% of total debt over 5-7 years, base case) is evidenced.</v>
      </c>
      <c r="M56" s="80" t="str">
        <f aca="false">IFERROR(INDEX(Responses!$H:$H,MATCH($G56,Responses!$N:$N,0)),"")</f>
        <v>Projection growth assumption unsupported versus 3-year actuals.</v>
      </c>
      <c r="N56" s="68" t="n">
        <f aca="false">IFERROR(INDEX(Responses!$K:$K,MATCH($G56,Responses!$N:$N,0)),"")</f>
        <v>111</v>
      </c>
    </row>
    <row r="57" customFormat="false" ht="15" hidden="false" customHeight="false" outlineLevel="0" collapsed="false">
      <c r="G57" s="17" t="n">
        <v>23</v>
      </c>
      <c r="H57" s="12" t="str">
        <f aca="false">IFERROR(INDEX(Responses!$A:$A,MATCH($G57,Responses!$N:$N,0)),"")</f>
        <v>LL-2026004</v>
      </c>
      <c r="I57" s="12" t="str">
        <f aca="false">IFERROR(INDEX(Responses!$B:$B,MATCH($G57,Responses!$N:$N,0)),"")</f>
        <v>LL</v>
      </c>
      <c r="J57" s="12" t="str">
        <f aca="false">IFERROR(INDEX(Responses!$C:$C,MATCH($G57,Responses!$N:$N,0)),"")</f>
        <v>LL-Q02</v>
      </c>
      <c r="K57" s="12" t="str">
        <f aca="false">IFERROR(INDEX(Responses!$F:$F,MATCH($G57,Responses!$N:$N,0)),"")</f>
        <v>High</v>
      </c>
      <c r="L57" s="80" t="str">
        <f aca="false">IFERROR(INDEX(Responses!$E:$E,MATCH($G57,Responses!$N:$N,0)),"")</f>
        <v>Grade reflects all material credit weaknesses identified in the file.</v>
      </c>
      <c r="M57" s="80" t="str">
        <f aca="false">IFERROR(INDEX(Responses!$H:$H,MATCH($G57,Responses!$N:$N,0)),"")</f>
        <v>Financial statements stale beyond policy window; no waiver in file.</v>
      </c>
      <c r="N57" s="68" t="n">
        <f aca="false">IFERROR(INDEX(Responses!$K:$K,MATCH($G57,Responses!$N:$N,0)),"")</f>
        <v>34</v>
      </c>
    </row>
    <row r="58" customFormat="false" ht="15" hidden="false" customHeight="false" outlineLevel="0" collapsed="false">
      <c r="G58" s="17" t="n">
        <v>24</v>
      </c>
      <c r="H58" s="12" t="str">
        <f aca="false">IFERROR(INDEX(Responses!$A:$A,MATCH($G58,Responses!$N:$N,0)),"")</f>
        <v>LL-2026004</v>
      </c>
      <c r="I58" s="12" t="str">
        <f aca="false">IFERROR(INDEX(Responses!$B:$B,MATCH($G58,Responses!$N:$N,0)),"")</f>
        <v>LL</v>
      </c>
      <c r="J58" s="12" t="str">
        <f aca="false">IFERROR(INDEX(Responses!$C:$C,MATCH($G58,Responses!$N:$N,0)),"")</f>
        <v>LL-Q05</v>
      </c>
      <c r="K58" s="12" t="str">
        <f aca="false">IFERROR(INDEX(Responses!$F:$F,MATCH($G58,Responses!$N:$N,0)),"")</f>
        <v>Medium</v>
      </c>
      <c r="L58" s="80" t="str">
        <f aca="false">IFERROR(INDEX(Responses!$E:$E,MATCH($G58,Responses!$N:$N,0)),"")</f>
        <v>Financial statements meet policy quality/recency requirements (audit level, age).</v>
      </c>
      <c r="M58" s="80" t="str">
        <f aca="false">IFERROR(INDEX(Responses!$H:$H,MATCH($G58,Responses!$N:$N,0)),"")</f>
        <v>Financial statements stale beyond policy window; no waiver in file.</v>
      </c>
      <c r="N58" s="68" t="n">
        <f aca="false">IFERROR(INDEX(Responses!$K:$K,MATCH($G58,Responses!$N:$N,0)),"")</f>
        <v>34</v>
      </c>
    </row>
    <row r="59" customFormat="false" ht="15" hidden="false" customHeight="false" outlineLevel="0" collapsed="false">
      <c r="G59" s="17" t="n">
        <v>25</v>
      </c>
      <c r="H59" s="12" t="str">
        <f aca="false">IFERROR(INDEX(Responses!$A:$A,MATCH($G59,Responses!$N:$N,0)),"")</f>
        <v>LL-2026004</v>
      </c>
      <c r="I59" s="12" t="str">
        <f aca="false">IFERROR(INDEX(Responses!$B:$B,MATCH($G59,Responses!$N:$N,0)),"")</f>
        <v>LL</v>
      </c>
      <c r="J59" s="12" t="str">
        <f aca="false">IFERROR(INDEX(Responses!$C:$C,MATCH($G59,Responses!$N:$N,0)),"")</f>
        <v>LL-Q12</v>
      </c>
      <c r="K59" s="12" t="str">
        <f aca="false">IFERROR(INDEX(Responses!$F:$F,MATCH($G59,Responses!$N:$N,0)),"")</f>
        <v>High</v>
      </c>
      <c r="L59" s="80" t="str">
        <f aca="false">IFERROR(INDEX(Responses!$E:$E,MATCH($G59,Responses!$N:$N,0)),"")</f>
        <v>All required credit documents are present, current, and properly executed.</v>
      </c>
      <c r="M59" s="80" t="str">
        <f aca="false">IFERROR(INDEX(Responses!$H:$H,MATCH($G59,Responses!$N:$N,0)),"")</f>
        <v>Projection growth assumption unsupported versus 3-year actuals.</v>
      </c>
      <c r="N59" s="68" t="n">
        <f aca="false">IFERROR(INDEX(Responses!$K:$K,MATCH($G59,Responses!$N:$N,0)),"")</f>
        <v>34</v>
      </c>
    </row>
    <row r="60" customFormat="false" ht="15" hidden="false" customHeight="false" outlineLevel="0" collapsed="false">
      <c r="G60" s="17" t="n">
        <v>26</v>
      </c>
      <c r="H60" s="12" t="str">
        <f aca="false">IFERROR(INDEX(Responses!$A:$A,MATCH($G60,Responses!$N:$N,0)),"")</f>
        <v>LL-2026004</v>
      </c>
      <c r="I60" s="12" t="str">
        <f aca="false">IFERROR(INDEX(Responses!$B:$B,MATCH($G60,Responses!$N:$N,0)),"")</f>
        <v>LL</v>
      </c>
      <c r="J60" s="12" t="str">
        <f aca="false">IFERROR(INDEX(Responses!$C:$C,MATCH($G60,Responses!$N:$N,0)),"")</f>
        <v>LL-Q18</v>
      </c>
      <c r="K60" s="12" t="str">
        <f aca="false">IFERROR(INDEX(Responses!$F:$F,MATCH($G60,Responses!$N:$N,0)),"")</f>
        <v>High</v>
      </c>
      <c r="L60" s="80" t="str">
        <f aca="false">IFERROR(INDEX(Responses!$E:$E,MATCH($G60,Responses!$N:$N,0)),"")</f>
        <v>Covenant breaches (if any) were identified, reported, and waived/cured per policy.</v>
      </c>
      <c r="M60" s="80" t="str">
        <f aca="false">IFERROR(INDEX(Responses!$H:$H,MATCH($G60,Responses!$N:$N,0)),"")</f>
        <v>Projection growth assumption unsupported versus 3-year actuals.</v>
      </c>
      <c r="N60" s="68" t="n">
        <f aca="false">IFERROR(INDEX(Responses!$K:$K,MATCH($G60,Responses!$N:$N,0)),"")</f>
        <v>34</v>
      </c>
    </row>
    <row r="61" customFormat="false" ht="15" hidden="false" customHeight="false" outlineLevel="0" collapsed="false">
      <c r="G61" s="17" t="n">
        <v>27</v>
      </c>
      <c r="H61" s="12" t="str">
        <f aca="false">IFERROR(INDEX(Responses!$A:$A,MATCH($G61,Responses!$N:$N,0)),"")</f>
        <v>ABL-2026001</v>
      </c>
      <c r="I61" s="12" t="str">
        <f aca="false">IFERROR(INDEX(Responses!$B:$B,MATCH($G61,Responses!$N:$N,0)),"")</f>
        <v>ABL</v>
      </c>
      <c r="J61" s="12" t="str">
        <f aca="false">IFERROR(INDEX(Responses!$C:$C,MATCH($G61,Responses!$N:$N,0)),"")</f>
        <v>ABL-Q18</v>
      </c>
      <c r="K61" s="12" t="str">
        <f aca="false">IFERROR(INDEX(Responses!$F:$F,MATCH($G61,Responses!$N:$N,0)),"")</f>
        <v>High</v>
      </c>
      <c r="L61" s="80" t="str">
        <f aca="false">IFERROR(INDEX(Responses!$E:$E,MATCH($G61,Responses!$N:$N,0)),"")</f>
        <v>Covenant breaches (if any) were identified, reported, and waived/cured per policy.</v>
      </c>
      <c r="M61" s="80" t="str">
        <f aca="false">IFERROR(INDEX(Responses!$H:$H,MATCH($G61,Responses!$N:$N,0)),"")</f>
        <v>Financial statements stale beyond policy window; no waiver in file.</v>
      </c>
      <c r="N61" s="68" t="n">
        <f aca="false">IFERROR(INDEX(Responses!$K:$K,MATCH($G61,Responses!$N:$N,0)),"")</f>
        <v>300</v>
      </c>
    </row>
    <row r="62" customFormat="false" ht="15" hidden="false" customHeight="false" outlineLevel="0" collapsed="false">
      <c r="G62" s="17" t="n">
        <v>28</v>
      </c>
      <c r="H62" s="12" t="str">
        <f aca="false">IFERROR(INDEX(Responses!$A:$A,MATCH($G62,Responses!$N:$N,0)),"")</f>
        <v>ABL-2026003</v>
      </c>
      <c r="I62" s="12" t="str">
        <f aca="false">IFERROR(INDEX(Responses!$B:$B,MATCH($G62,Responses!$N:$N,0)),"")</f>
        <v>ABL</v>
      </c>
      <c r="J62" s="12" t="str">
        <f aca="false">IFERROR(INDEX(Responses!$C:$C,MATCH($G62,Responses!$N:$N,0)),"")</f>
        <v>ABL-Q05</v>
      </c>
      <c r="K62" s="12" t="str">
        <f aca="false">IFERROR(INDEX(Responses!$F:$F,MATCH($G62,Responses!$N:$N,0)),"")</f>
        <v>Medium</v>
      </c>
      <c r="L62" s="80" t="str">
        <f aca="false">IFERROR(INDEX(Responses!$E:$E,MATCH($G62,Responses!$N:$N,0)),"")</f>
        <v>Financial statements meet policy quality/recency requirements (audit level, age).</v>
      </c>
      <c r="M62" s="80" t="str">
        <f aca="false">IFERROR(INDEX(Responses!$H:$H,MATCH($G62,Responses!$N:$N,0)),"")</f>
        <v>Covenant test for Q4 not evidenced; compliance certificate missing.</v>
      </c>
      <c r="N62" s="68" t="n">
        <f aca="false">IFERROR(INDEX(Responses!$K:$K,MATCH($G62,Responses!$N:$N,0)),"")</f>
        <v>111</v>
      </c>
    </row>
    <row r="63" customFormat="false" ht="23.85" hidden="false" customHeight="false" outlineLevel="0" collapsed="false">
      <c r="G63" s="17" t="n">
        <v>29</v>
      </c>
      <c r="H63" s="12" t="str">
        <f aca="false">IFERROR(INDEX(Responses!$A:$A,MATCH($G63,Responses!$N:$N,0)),"")</f>
        <v>ABL-2026003</v>
      </c>
      <c r="I63" s="12" t="str">
        <f aca="false">IFERROR(INDEX(Responses!$B:$B,MATCH($G63,Responses!$N:$N,0)),"")</f>
        <v>ABL</v>
      </c>
      <c r="J63" s="12" t="str">
        <f aca="false">IFERROR(INDEX(Responses!$C:$C,MATCH($G63,Responses!$N:$N,0)),"")</f>
        <v>ABL-Q17</v>
      </c>
      <c r="K63" s="12" t="str">
        <f aca="false">IFERROR(INDEX(Responses!$F:$F,MATCH($G63,Responses!$N:$N,0)),"")</f>
        <v>Medium</v>
      </c>
      <c r="L63" s="80" t="str">
        <f aca="false">IFERROR(INDEX(Responses!$E:$E,MATCH($G63,Responses!$N:$N,0)),"")</f>
        <v>Covenant compliance is tested at required frequency with evidence retained.</v>
      </c>
      <c r="M63" s="80" t="str">
        <f aca="false">IFERROR(INDEX(Responses!$H:$H,MATCH($G63,Responses!$N:$N,0)),"")</f>
        <v>Guarantor PFS older than 12 months; reliance not currently supported.</v>
      </c>
      <c r="N63" s="68" t="n">
        <f aca="false">IFERROR(INDEX(Responses!$K:$K,MATCH($G63,Responses!$N:$N,0)),"")</f>
        <v>111</v>
      </c>
    </row>
    <row r="64" customFormat="false" ht="23.85" hidden="false" customHeight="false" outlineLevel="0" collapsed="false">
      <c r="G64" s="17" t="n">
        <v>30</v>
      </c>
      <c r="H64" s="12" t="str">
        <f aca="false">IFERROR(INDEX(Responses!$A:$A,MATCH($G64,Responses!$N:$N,0)),"")</f>
        <v>ABL-2026003</v>
      </c>
      <c r="I64" s="12" t="str">
        <f aca="false">IFERROR(INDEX(Responses!$B:$B,MATCH($G64,Responses!$N:$N,0)),"")</f>
        <v>ABL</v>
      </c>
      <c r="J64" s="12" t="str">
        <f aca="false">IFERROR(INDEX(Responses!$C:$C,MATCH($G64,Responses!$N:$N,0)),"")</f>
        <v>ABL-Q26</v>
      </c>
      <c r="K64" s="12" t="str">
        <f aca="false">IFERROR(INDEX(Responses!$F:$F,MATCH($G64,Responses!$N:$N,0)),"")</f>
        <v>Medium</v>
      </c>
      <c r="L64" s="80" t="str">
        <f aca="false">IFERROR(INDEX(Responses!$E:$E,MATCH($G64,Responses!$N:$N,0)),"")</f>
        <v>Borrowing-base certificate frequency and verification meet monitoring requirements.</v>
      </c>
      <c r="M64" s="80" t="str">
        <f aca="false">IFERROR(INDEX(Responses!$H:$H,MATCH($G64,Responses!$N:$N,0)),"")</f>
        <v>Approval signature exceeds officer's delegated authority; no co-approval.</v>
      </c>
      <c r="N64" s="68" t="n">
        <f aca="false">IFERROR(INDEX(Responses!$K:$K,MATCH($G64,Responses!$N:$N,0)),"")</f>
        <v>111</v>
      </c>
    </row>
  </sheetData>
  <printOptions headings="false" gridLines="false" gridLinesSet="true" horizontalCentered="false" verticalCentered="false"/>
  <pageMargins left="0.4" right="0.4" top="0.5" bottom="0.5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548235"/>
    <pageSetUpPr fitToPage="true"/>
  </sheetPr>
  <dimension ref="B1:K3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1" width="2"/>
    <col collapsed="false" customWidth="true" hidden="false" outlineLevel="0" max="2" min="2" style="1" width="38"/>
    <col collapsed="false" customWidth="true" hidden="false" outlineLevel="0" max="3" min="3" style="1" width="10"/>
    <col collapsed="false" customWidth="true" hidden="false" outlineLevel="0" max="4" min="4" style="1" width="3"/>
    <col collapsed="false" customWidth="true" hidden="false" outlineLevel="0" max="5" min="5" style="1" width="6"/>
    <col collapsed="false" customWidth="true" hidden="false" outlineLevel="0" max="6" min="6" style="1" width="11"/>
    <col collapsed="false" customWidth="true" hidden="false" outlineLevel="0" max="7" min="7" style="1" width="7"/>
    <col collapsed="false" customWidth="true" hidden="false" outlineLevel="0" max="8" min="8" style="1" width="9"/>
    <col collapsed="false" customWidth="true" hidden="false" outlineLevel="0" max="9" min="9" style="1" width="60"/>
    <col collapsed="false" customWidth="true" hidden="false" outlineLevel="0" max="10" min="10" style="1" width="45"/>
    <col collapsed="false" customWidth="true" hidden="false" outlineLevel="0" max="11" min="11" style="1" width="11"/>
  </cols>
  <sheetData>
    <row r="1" customFormat="false" ht="30" hidden="false" customHeight="true" outlineLevel="0" collapsed="false">
      <c r="B1" s="2" t="s">
        <v>789</v>
      </c>
    </row>
    <row r="2" customFormat="false" ht="13.5" hidden="false" customHeight="true" outlineLevel="0" collapsed="false">
      <c r="B2" s="3" t="s">
        <v>790</v>
      </c>
    </row>
    <row r="3" customFormat="false" ht="3" hidden="false" customHeight="true" outlineLevel="0" collapsed="false">
      <c r="B3" s="4"/>
      <c r="C3" s="4"/>
      <c r="D3" s="4"/>
      <c r="E3" s="4"/>
      <c r="F3" s="4"/>
      <c r="G3" s="4"/>
      <c r="H3" s="4"/>
      <c r="I3" s="4"/>
      <c r="J3" s="4"/>
      <c r="K3" s="5"/>
    </row>
    <row r="4" customFormat="false" ht="15.75" hidden="false" customHeight="true" outlineLevel="0" collapsed="false">
      <c r="B4" s="76" t="s">
        <v>791</v>
      </c>
    </row>
    <row r="5" customFormat="false" ht="25.5" hidden="false" customHeight="true" outlineLevel="0" collapsed="false">
      <c r="B5" s="77" t="n">
        <f aca="false">COUNTIF(Responses!$G:$G,"Obs")</f>
        <v>50</v>
      </c>
    </row>
    <row r="6" customFormat="false" ht="15" hidden="false" customHeight="false" outlineLevel="0" collapsed="false">
      <c r="E6" s="6" t="s">
        <v>792</v>
      </c>
    </row>
    <row r="7" customFormat="false" ht="21.75" hidden="false" customHeight="true" outlineLevel="0" collapsed="false">
      <c r="B7" s="6" t="s">
        <v>793</v>
      </c>
      <c r="E7" s="28" t="s">
        <v>785</v>
      </c>
      <c r="F7" s="28" t="s">
        <v>786</v>
      </c>
      <c r="G7" s="28" t="s">
        <v>128</v>
      </c>
      <c r="H7" s="28" t="s">
        <v>127</v>
      </c>
      <c r="I7" s="28" t="s">
        <v>130</v>
      </c>
      <c r="J7" s="28" t="s">
        <v>794</v>
      </c>
      <c r="K7" s="28" t="s">
        <v>423</v>
      </c>
    </row>
    <row r="8" customFormat="false" ht="21.75" hidden="false" customHeight="true" outlineLevel="0" collapsed="false">
      <c r="B8" s="28" t="s">
        <v>736</v>
      </c>
      <c r="C8" s="28" t="s">
        <v>795</v>
      </c>
      <c r="E8" s="17" t="n">
        <v>1</v>
      </c>
      <c r="F8" s="12" t="str">
        <f aca="false">IFERROR(INDEX(Responses!$A:$A,MATCH($E8,Responses!$M:$M,0)),"")</f>
        <v>CI-2026002</v>
      </c>
      <c r="G8" s="12" t="str">
        <f aca="false">IFERROR(INDEX(Responses!$B:$B,MATCH($E8,Responses!$M:$M,0)),"")</f>
        <v>CI</v>
      </c>
      <c r="H8" s="12" t="str">
        <f aca="false">IFERROR(INDEX(Responses!$C:$C,MATCH($E8,Responses!$M:$M,0)),"")</f>
        <v>CI-Q20</v>
      </c>
      <c r="I8" s="80" t="str">
        <f aca="false">IFERROR(INDEX(Responses!$E:$E,MATCH($E8,Responses!$M:$M,0)),"")</f>
        <v>Required periodic monitoring (annual review, site visits) is current.</v>
      </c>
      <c r="J8" s="80" t="str">
        <f aca="false">IFERROR(INDEX(Responses!$H:$H,MATCH($E8,Responses!$M:$M,0)),"")</f>
        <v>Annual review completed 10 days before deadline two cycles running - timing risk.</v>
      </c>
      <c r="K8" s="81" t="n">
        <f aca="false">IFERROR(INDEX(Responses!$I:$I,MATCH($E8,Responses!$M:$M,0)),"")</f>
        <v>45967</v>
      </c>
    </row>
    <row r="9" customFormat="false" ht="23.85" hidden="false" customHeight="false" outlineLevel="0" collapsed="false">
      <c r="B9" s="21" t="s">
        <v>133</v>
      </c>
      <c r="C9" s="27" t="n">
        <f aca="false">COUNTIFS(Responses!$D:$D,B9,Responses!$G:$G,"Obs")</f>
        <v>4</v>
      </c>
      <c r="E9" s="17" t="n">
        <v>2</v>
      </c>
      <c r="F9" s="12" t="str">
        <f aca="false">IFERROR(INDEX(Responses!$A:$A,MATCH($E9,Responses!$M:$M,0)),"")</f>
        <v>CI-2026004</v>
      </c>
      <c r="G9" s="12" t="str">
        <f aca="false">IFERROR(INDEX(Responses!$B:$B,MATCH($E9,Responses!$M:$M,0)),"")</f>
        <v>CI</v>
      </c>
      <c r="H9" s="12" t="str">
        <f aca="false">IFERROR(INDEX(Responses!$C:$C,MATCH($E9,Responses!$M:$M,0)),"")</f>
        <v>CI-Q19</v>
      </c>
      <c r="I9" s="80" t="str">
        <f aca="false">IFERROR(INDEX(Responses!$E:$E,MATCH($E9,Responses!$M:$M,0)),"")</f>
        <v>Credit complies with internal lending policy limits (hold limits, tenor, pricing floors).</v>
      </c>
      <c r="J9" s="80" t="str">
        <f aca="false">IFERROR(INDEX(Responses!$H:$H,MATCH($E9,Responses!$M:$M,0)),"")</f>
        <v>Borrowing-base certificate delivered by email rather than portal per agreement.</v>
      </c>
      <c r="K9" s="81" t="n">
        <f aca="false">IFERROR(INDEX(Responses!$I:$I,MATCH($E9,Responses!$M:$M,0)),"")</f>
        <v>46149</v>
      </c>
    </row>
    <row r="10" customFormat="false" ht="15" hidden="false" customHeight="false" outlineLevel="0" collapsed="false">
      <c r="B10" s="55" t="s">
        <v>140</v>
      </c>
      <c r="C10" s="82" t="n">
        <f aca="false">COUNTIFS(Responses!$D:$D,B10,Responses!$G:$G,"Obs")</f>
        <v>2</v>
      </c>
      <c r="E10" s="17" t="n">
        <v>3</v>
      </c>
      <c r="F10" s="12" t="str">
        <f aca="false">IFERROR(INDEX(Responses!$A:$A,MATCH($E10,Responses!$M:$M,0)),"")</f>
        <v>CRE-2026001</v>
      </c>
      <c r="G10" s="12" t="str">
        <f aca="false">IFERROR(INDEX(Responses!$B:$B,MATCH($E10,Responses!$M:$M,0)),"")</f>
        <v>CRE</v>
      </c>
      <c r="H10" s="12" t="str">
        <f aca="false">IFERROR(INDEX(Responses!$C:$C,MATCH($E10,Responses!$M:$M,0)),"")</f>
        <v>CRE-Q10</v>
      </c>
      <c r="I10" s="80" t="str">
        <f aca="false">IFERROR(INDEX(Responses!$E:$E,MATCH($E10,Responses!$M:$M,0)),"")</f>
        <v>Guarantor/sponsor financial condition is current, analyzed, and supports reliance.</v>
      </c>
      <c r="J10" s="80" t="str">
        <f aca="false">IFERROR(INDEX(Responses!$H:$H,MATCH($E10,Responses!$M:$M,0)),"")</f>
        <v>Spread mislabels FY2024 column as FY2025; values correct.</v>
      </c>
      <c r="K10" s="81" t="n">
        <f aca="false">IFERROR(INDEX(Responses!$I:$I,MATCH($E10,Responses!$M:$M,0)),"")</f>
        <v>45883</v>
      </c>
    </row>
    <row r="11" customFormat="false" ht="23.85" hidden="false" customHeight="false" outlineLevel="0" collapsed="false">
      <c r="B11" s="21" t="s">
        <v>147</v>
      </c>
      <c r="C11" s="27" t="n">
        <f aca="false">COUNTIFS(Responses!$D:$D,B11,Responses!$G:$G,"Obs")</f>
        <v>4</v>
      </c>
      <c r="E11" s="17" t="n">
        <v>4</v>
      </c>
      <c r="F11" s="12" t="str">
        <f aca="false">IFERROR(INDEX(Responses!$A:$A,MATCH($E11,Responses!$M:$M,0)),"")</f>
        <v>CRE-2026002</v>
      </c>
      <c r="G11" s="12" t="str">
        <f aca="false">IFERROR(INDEX(Responses!$B:$B,MATCH($E11,Responses!$M:$M,0)),"")</f>
        <v>CRE</v>
      </c>
      <c r="H11" s="12" t="str">
        <f aca="false">IFERROR(INDEX(Responses!$C:$C,MATCH($E11,Responses!$M:$M,0)),"")</f>
        <v>CRE-Q16</v>
      </c>
      <c r="I11" s="80" t="str">
        <f aca="false">IFERROR(INDEX(Responses!$E:$E,MATCH($E11,Responses!$M:$M,0)),"")</f>
        <v>Policy exceptions at approval were identified, justified, and approved at proper level.</v>
      </c>
      <c r="J11" s="80" t="str">
        <f aca="false">IFERROR(INDEX(Responses!$H:$H,MATCH($E11,Responses!$M:$M,0)),"")</f>
        <v>Annual review completed 10 days before deadline two cycles running - timing risk.</v>
      </c>
      <c r="K11" s="81" t="n">
        <f aca="false">IFERROR(INDEX(Responses!$I:$I,MATCH($E11,Responses!$M:$M,0)),"")</f>
        <v>45967</v>
      </c>
    </row>
    <row r="12" customFormat="false" ht="15" hidden="false" customHeight="false" outlineLevel="0" collapsed="false">
      <c r="B12" s="55" t="s">
        <v>154</v>
      </c>
      <c r="C12" s="82" t="n">
        <f aca="false">COUNTIFS(Responses!$D:$D,B12,Responses!$G:$G,"Obs")</f>
        <v>4</v>
      </c>
      <c r="E12" s="17" t="n">
        <v>5</v>
      </c>
      <c r="F12" s="12" t="str">
        <f aca="false">IFERROR(INDEX(Responses!$A:$A,MATCH($E12,Responses!$M:$M,0)),"")</f>
        <v>CRE-2026002</v>
      </c>
      <c r="G12" s="12" t="str">
        <f aca="false">IFERROR(INDEX(Responses!$B:$B,MATCH($E12,Responses!$M:$M,0)),"")</f>
        <v>CRE</v>
      </c>
      <c r="H12" s="12" t="str">
        <f aca="false">IFERROR(INDEX(Responses!$C:$C,MATCH($E12,Responses!$M:$M,0)),"")</f>
        <v>CRE-Q17</v>
      </c>
      <c r="I12" s="80" t="str">
        <f aca="false">IFERROR(INDEX(Responses!$E:$E,MATCH($E12,Responses!$M:$M,0)),"")</f>
        <v>Covenant compliance is tested at required frequency with evidence retained.</v>
      </c>
      <c r="J12" s="80" t="str">
        <f aca="false">IFERROR(INDEX(Responses!$H:$H,MATCH($E12,Responses!$M:$M,0)),"")</f>
        <v>Site-visit memo informative but not filed in imaging system.</v>
      </c>
      <c r="K12" s="81" t="n">
        <f aca="false">IFERROR(INDEX(Responses!$I:$I,MATCH($E12,Responses!$M:$M,0)),"")</f>
        <v>45967</v>
      </c>
    </row>
    <row r="13" customFormat="false" ht="15" hidden="false" customHeight="false" outlineLevel="0" collapsed="false">
      <c r="B13" s="21" t="s">
        <v>159</v>
      </c>
      <c r="C13" s="27" t="n">
        <f aca="false">COUNTIFS(Responses!$D:$D,B13,Responses!$G:$G,"Obs")</f>
        <v>5</v>
      </c>
      <c r="E13" s="17" t="n">
        <v>6</v>
      </c>
      <c r="F13" s="12" t="str">
        <f aca="false">IFERROR(INDEX(Responses!$A:$A,MATCH($E13,Responses!$M:$M,0)),"")</f>
        <v>CRE-2026003</v>
      </c>
      <c r="G13" s="12" t="str">
        <f aca="false">IFERROR(INDEX(Responses!$B:$B,MATCH($E13,Responses!$M:$M,0)),"")</f>
        <v>CRE</v>
      </c>
      <c r="H13" s="12" t="str">
        <f aca="false">IFERROR(INDEX(Responses!$C:$C,MATCH($E13,Responses!$M:$M,0)),"")</f>
        <v>CRE-Q03</v>
      </c>
      <c r="I13" s="80" t="str">
        <f aca="false">IFERROR(INDEX(Responses!$E:$E,MATCH($E13,Responses!$M:$M,0)),"")</f>
        <v>Grade was reviewed/affirmed within policy frequency requirements.</v>
      </c>
      <c r="J13" s="80" t="str">
        <f aca="false">IFERROR(INDEX(Responses!$H:$H,MATCH($E13,Responses!$M:$M,0)),"")</f>
        <v>Spread mislabels FY2024 column as FY2025; values correct.</v>
      </c>
      <c r="K13" s="81" t="n">
        <f aca="false">IFERROR(INDEX(Responses!$I:$I,MATCH($E13,Responses!$M:$M,0)),"")</f>
        <v>46072</v>
      </c>
    </row>
    <row r="14" customFormat="false" ht="23.85" hidden="false" customHeight="false" outlineLevel="0" collapsed="false">
      <c r="B14" s="55" t="s">
        <v>166</v>
      </c>
      <c r="C14" s="82" t="n">
        <f aca="false">COUNTIFS(Responses!$D:$D,B14,Responses!$G:$G,"Obs")</f>
        <v>6</v>
      </c>
      <c r="E14" s="17" t="n">
        <v>7</v>
      </c>
      <c r="F14" s="12" t="str">
        <f aca="false">IFERROR(INDEX(Responses!$A:$A,MATCH($E14,Responses!$M:$M,0)),"")</f>
        <v>CRE-2026003</v>
      </c>
      <c r="G14" s="12" t="str">
        <f aca="false">IFERROR(INDEX(Responses!$B:$B,MATCH($E14,Responses!$M:$M,0)),"")</f>
        <v>CRE</v>
      </c>
      <c r="H14" s="12" t="str">
        <f aca="false">IFERROR(INDEX(Responses!$C:$C,MATCH($E14,Responses!$M:$M,0)),"")</f>
        <v>CRE-Q06</v>
      </c>
      <c r="I14" s="80" t="str">
        <f aca="false">IFERROR(INDEX(Responses!$E:$E,MATCH($E14,Responses!$M:$M,0)),"")</f>
        <v>Analysis critically evaluates borrower-provided information rather than restating it.</v>
      </c>
      <c r="J14" s="80" t="str">
        <f aca="false">IFERROR(INDEX(Responses!$H:$H,MATCH($E14,Responses!$M:$M,0)),"")</f>
        <v>Rate-reset sensitivity shown only at +100bp; broader stress would aid analysis.</v>
      </c>
      <c r="K14" s="81" t="n">
        <f aca="false">IFERROR(INDEX(Responses!$I:$I,MATCH($E14,Responses!$M:$M,0)),"")</f>
        <v>46072</v>
      </c>
    </row>
    <row r="15" customFormat="false" ht="15" hidden="false" customHeight="false" outlineLevel="0" collapsed="false">
      <c r="B15" s="21" t="s">
        <v>171</v>
      </c>
      <c r="C15" s="27" t="n">
        <f aca="false">COUNTIFS(Responses!$D:$D,B15,Responses!$G:$G,"Obs")</f>
        <v>6</v>
      </c>
      <c r="E15" s="17" t="n">
        <v>8</v>
      </c>
      <c r="F15" s="12" t="str">
        <f aca="false">IFERROR(INDEX(Responses!$A:$A,MATCH($E15,Responses!$M:$M,0)),"")</f>
        <v>CRE-2026003</v>
      </c>
      <c r="G15" s="12" t="str">
        <f aca="false">IFERROR(INDEX(Responses!$B:$B,MATCH($E15,Responses!$M:$M,0)),"")</f>
        <v>CRE</v>
      </c>
      <c r="H15" s="12" t="str">
        <f aca="false">IFERROR(INDEX(Responses!$C:$C,MATCH($E15,Responses!$M:$M,0)),"")</f>
        <v>CRE-Q18</v>
      </c>
      <c r="I15" s="80" t="str">
        <f aca="false">IFERROR(INDEX(Responses!$E:$E,MATCH($E15,Responses!$M:$M,0)),"")</f>
        <v>Covenant breaches (if any) were identified, reported, and waived/cured per policy.</v>
      </c>
      <c r="J15" s="80" t="str">
        <f aca="false">IFERROR(INDEX(Responses!$H:$H,MATCH($E15,Responses!$M:$M,0)),"")</f>
        <v>Spread mislabels FY2024 column as FY2025; values correct.</v>
      </c>
      <c r="K15" s="81" t="n">
        <f aca="false">IFERROR(INDEX(Responses!$I:$I,MATCH($E15,Responses!$M:$M,0)),"")</f>
        <v>46072</v>
      </c>
    </row>
    <row r="16" customFormat="false" ht="23.85" hidden="false" customHeight="false" outlineLevel="0" collapsed="false">
      <c r="B16" s="55" t="s">
        <v>176</v>
      </c>
      <c r="C16" s="82" t="n">
        <f aca="false">COUNTIFS(Responses!$D:$D,B16,Responses!$G:$G,"Obs")</f>
        <v>3</v>
      </c>
      <c r="E16" s="17" t="n">
        <v>9</v>
      </c>
      <c r="F16" s="12" t="str">
        <f aca="false">IFERROR(INDEX(Responses!$A:$A,MATCH($E16,Responses!$M:$M,0)),"")</f>
        <v>CRE-2026003</v>
      </c>
      <c r="G16" s="12" t="str">
        <f aca="false">IFERROR(INDEX(Responses!$B:$B,MATCH($E16,Responses!$M:$M,0)),"")</f>
        <v>CRE</v>
      </c>
      <c r="H16" s="12" t="str">
        <f aca="false">IFERROR(INDEX(Responses!$C:$C,MATCH($E16,Responses!$M:$M,0)),"")</f>
        <v>CRE-Q21</v>
      </c>
      <c r="I16" s="80" t="str">
        <f aca="false">IFERROR(INDEX(Responses!$E:$E,MATCH($E16,Responses!$M:$M,0)),"")</f>
        <v>Property-type risk factors (office obsolescence, MF supply, retail anchor risk) addressed for the subject type.</v>
      </c>
      <c r="J16" s="80" t="str">
        <f aca="false">IFERROR(INDEX(Responses!$H:$H,MATCH($E16,Responses!$M:$M,0)),"")</f>
        <v>Annual review completed 10 days before deadline two cycles running - timing risk.</v>
      </c>
      <c r="K16" s="81" t="n">
        <f aca="false">IFERROR(INDEX(Responses!$I:$I,MATCH($E16,Responses!$M:$M,0)),"")</f>
        <v>46072</v>
      </c>
    </row>
    <row r="17" customFormat="false" ht="23.85" hidden="false" customHeight="false" outlineLevel="0" collapsed="false">
      <c r="B17" s="21" t="s">
        <v>181</v>
      </c>
      <c r="C17" s="27" t="n">
        <f aca="false">COUNTIFS(Responses!$D:$D,B17,Responses!$G:$G,"Obs")</f>
        <v>0</v>
      </c>
      <c r="E17" s="17" t="n">
        <v>10</v>
      </c>
      <c r="F17" s="12" t="str">
        <f aca="false">IFERROR(INDEX(Responses!$A:$A,MATCH($E17,Responses!$M:$M,0)),"")</f>
        <v>CRE-2026004</v>
      </c>
      <c r="G17" s="12" t="str">
        <f aca="false">IFERROR(INDEX(Responses!$B:$B,MATCH($E17,Responses!$M:$M,0)),"")</f>
        <v>CRE</v>
      </c>
      <c r="H17" s="12" t="str">
        <f aca="false">IFERROR(INDEX(Responses!$C:$C,MATCH($E17,Responses!$M:$M,0)),"")</f>
        <v>CRE-Q16</v>
      </c>
      <c r="I17" s="80" t="str">
        <f aca="false">IFERROR(INDEX(Responses!$E:$E,MATCH($E17,Responses!$M:$M,0)),"")</f>
        <v>Policy exceptions at approval were identified, justified, and approved at proper level.</v>
      </c>
      <c r="J17" s="80" t="str">
        <f aca="false">IFERROR(INDEX(Responses!$H:$H,MATCH($E17,Responses!$M:$M,0)),"")</f>
        <v>Rate-reset sensitivity shown only at +100bp; broader stress would aid analysis.</v>
      </c>
      <c r="K17" s="81" t="n">
        <f aca="false">IFERROR(INDEX(Responses!$I:$I,MATCH($E17,Responses!$M:$M,0)),"")</f>
        <v>46149</v>
      </c>
    </row>
    <row r="18" customFormat="false" ht="15" hidden="false" customHeight="false" outlineLevel="0" collapsed="false">
      <c r="B18" s="55" t="s">
        <v>192</v>
      </c>
      <c r="C18" s="82" t="n">
        <f aca="false">COUNTIFS(Responses!$D:$D,B18,Responses!$G:$G,"Obs")</f>
        <v>0</v>
      </c>
      <c r="E18" s="17" t="n">
        <v>11</v>
      </c>
      <c r="F18" s="12" t="str">
        <f aca="false">IFERROR(INDEX(Responses!$A:$A,MATCH($E18,Responses!$M:$M,0)),"")</f>
        <v>LL-2026001</v>
      </c>
      <c r="G18" s="12" t="str">
        <f aca="false">IFERROR(INDEX(Responses!$B:$B,MATCH($E18,Responses!$M:$M,0)),"")</f>
        <v>LL</v>
      </c>
      <c r="H18" s="12" t="str">
        <f aca="false">IFERROR(INDEX(Responses!$C:$C,MATCH($E18,Responses!$M:$M,0)),"")</f>
        <v>LL-Q12</v>
      </c>
      <c r="I18" s="80" t="str">
        <f aca="false">IFERROR(INDEX(Responses!$E:$E,MATCH($E18,Responses!$M:$M,0)),"")</f>
        <v>All required credit documents are present, current, and properly executed.</v>
      </c>
      <c r="J18" s="80" t="str">
        <f aca="false">IFERROR(INDEX(Responses!$H:$H,MATCH($E18,Responses!$M:$M,0)),"")</f>
        <v>Site-visit memo informative but not filed in imaging system.</v>
      </c>
      <c r="K18" s="81" t="n">
        <f aca="false">IFERROR(INDEX(Responses!$I:$I,MATCH($E18,Responses!$M:$M,0)),"")</f>
        <v>45883</v>
      </c>
    </row>
    <row r="19" customFormat="false" ht="23.85" hidden="false" customHeight="false" outlineLevel="0" collapsed="false">
      <c r="B19" s="21" t="s">
        <v>218</v>
      </c>
      <c r="C19" s="27" t="n">
        <f aca="false">COUNTIFS(Responses!$D:$D,B19,Responses!$G:$G,"Obs")</f>
        <v>1</v>
      </c>
      <c r="E19" s="17" t="n">
        <v>12</v>
      </c>
      <c r="F19" s="12" t="str">
        <f aca="false">IFERROR(INDEX(Responses!$A:$A,MATCH($E19,Responses!$M:$M,0)),"")</f>
        <v>LL-2026002</v>
      </c>
      <c r="G19" s="12" t="str">
        <f aca="false">IFERROR(INDEX(Responses!$B:$B,MATCH($E19,Responses!$M:$M,0)),"")</f>
        <v>LL</v>
      </c>
      <c r="H19" s="12" t="str">
        <f aca="false">IFERROR(INDEX(Responses!$C:$C,MATCH($E19,Responses!$M:$M,0)),"")</f>
        <v>LL-Q01</v>
      </c>
      <c r="I19" s="80" t="str">
        <f aca="false">IFERROR(INDEX(Responses!$E:$E,MATCH($E19,Responses!$M:$M,0)),"")</f>
        <v>LOB-assigned risk grade is supported by current financial analysis.</v>
      </c>
      <c r="J19" s="80" t="str">
        <f aca="false">IFERROR(INDEX(Responses!$H:$H,MATCH($E19,Responses!$M:$M,0)),"")</f>
        <v>Annual review completed 10 days before deadline two cycles running - timing risk.</v>
      </c>
      <c r="K19" s="81" t="n">
        <f aca="false">IFERROR(INDEX(Responses!$I:$I,MATCH($E19,Responses!$M:$M,0)),"")</f>
        <v>45967</v>
      </c>
    </row>
    <row r="20" customFormat="false" ht="15" hidden="false" customHeight="false" outlineLevel="0" collapsed="false">
      <c r="B20" s="55" t="s">
        <v>225</v>
      </c>
      <c r="C20" s="82" t="n">
        <f aca="false">COUNTIFS(Responses!$D:$D,B20,Responses!$G:$G,"Obs")</f>
        <v>0</v>
      </c>
      <c r="E20" s="17" t="n">
        <v>13</v>
      </c>
      <c r="F20" s="12" t="str">
        <f aca="false">IFERROR(INDEX(Responses!$A:$A,MATCH($E20,Responses!$M:$M,0)),"")</f>
        <v>LL-2026002</v>
      </c>
      <c r="G20" s="12" t="str">
        <f aca="false">IFERROR(INDEX(Responses!$B:$B,MATCH($E20,Responses!$M:$M,0)),"")</f>
        <v>LL</v>
      </c>
      <c r="H20" s="12" t="str">
        <f aca="false">IFERROR(INDEX(Responses!$C:$C,MATCH($E20,Responses!$M:$M,0)),"")</f>
        <v>LL-Q15</v>
      </c>
      <c r="I20" s="80" t="str">
        <f aca="false">IFERROR(INDEX(Responses!$E:$E,MATCH($E20,Responses!$M:$M,0)),"")</f>
        <v>Credit was approved within delegated authority of the approving officer(s).</v>
      </c>
      <c r="J20" s="80" t="str">
        <f aca="false">IFERROR(INDEX(Responses!$H:$H,MATCH($E20,Responses!$M:$M,0)),"")</f>
        <v>Spread mislabels FY2024 column as FY2025; values correct.</v>
      </c>
      <c r="K20" s="81" t="n">
        <f aca="false">IFERROR(INDEX(Responses!$I:$I,MATCH($E20,Responses!$M:$M,0)),"")</f>
        <v>45967</v>
      </c>
    </row>
    <row r="21" customFormat="false" ht="23.85" hidden="false" customHeight="false" outlineLevel="0" collapsed="false">
      <c r="B21" s="21" t="s">
        <v>255</v>
      </c>
      <c r="C21" s="27" t="n">
        <f aca="false">COUNTIFS(Responses!$D:$D,B21,Responses!$G:$G,"Obs")</f>
        <v>2</v>
      </c>
      <c r="E21" s="17" t="n">
        <v>14</v>
      </c>
      <c r="F21" s="12" t="str">
        <f aca="false">IFERROR(INDEX(Responses!$A:$A,MATCH($E21,Responses!$M:$M,0)),"")</f>
        <v>LL-2026003</v>
      </c>
      <c r="G21" s="12" t="str">
        <f aca="false">IFERROR(INDEX(Responses!$B:$B,MATCH($E21,Responses!$M:$M,0)),"")</f>
        <v>LL</v>
      </c>
      <c r="H21" s="12" t="str">
        <f aca="false">IFERROR(INDEX(Responses!$C:$C,MATCH($E21,Responses!$M:$M,0)),"")</f>
        <v>LL-Q09</v>
      </c>
      <c r="I21" s="80" t="str">
        <f aca="false">IFERROR(INDEX(Responses!$E:$E,MATCH($E21,Responses!$M:$M,0)),"")</f>
        <v>Projection assumptions are reasonable versus historical performance and market data.</v>
      </c>
      <c r="J21" s="80" t="str">
        <f aca="false">IFERROR(INDEX(Responses!$H:$H,MATCH($E21,Responses!$M:$M,0)),"")</f>
        <v>Rate-reset sensitivity shown only at +100bp; broader stress would aid analysis.</v>
      </c>
      <c r="K21" s="81" t="n">
        <f aca="false">IFERROR(INDEX(Responses!$I:$I,MATCH($E21,Responses!$M:$M,0)),"")</f>
        <v>46072</v>
      </c>
    </row>
    <row r="22" customFormat="false" ht="15" hidden="false" customHeight="false" outlineLevel="0" collapsed="false">
      <c r="B22" s="55" t="s">
        <v>289</v>
      </c>
      <c r="C22" s="82" t="n">
        <f aca="false">COUNTIFS(Responses!$D:$D,B22,Responses!$G:$G,"Obs")</f>
        <v>2</v>
      </c>
      <c r="E22" s="17" t="n">
        <v>15</v>
      </c>
      <c r="F22" s="12" t="str">
        <f aca="false">IFERROR(INDEX(Responses!$A:$A,MATCH($E22,Responses!$M:$M,0)),"")</f>
        <v>LL-2026003</v>
      </c>
      <c r="G22" s="12" t="str">
        <f aca="false">IFERROR(INDEX(Responses!$B:$B,MATCH($E22,Responses!$M:$M,0)),"")</f>
        <v>LL</v>
      </c>
      <c r="H22" s="12" t="str">
        <f aca="false">IFERROR(INDEX(Responses!$C:$C,MATCH($E22,Responses!$M:$M,0)),"")</f>
        <v>LL-Q23</v>
      </c>
      <c r="I22" s="80" t="str">
        <f aca="false">IFERROR(INDEX(Responses!$E:$E,MATCH($E22,Responses!$M:$M,0)),"")</f>
        <v>Covenant package adequacy assessed; cov-lite structure identified and justified.</v>
      </c>
      <c r="J22" s="80" t="str">
        <f aca="false">IFERROR(INDEX(Responses!$H:$H,MATCH($E22,Responses!$M:$M,0)),"")</f>
        <v>Spread mislabels FY2024 column as FY2025; values correct.</v>
      </c>
      <c r="K22" s="81" t="n">
        <f aca="false">IFERROR(INDEX(Responses!$I:$I,MATCH($E22,Responses!$M:$M,0)),"")</f>
        <v>46072</v>
      </c>
    </row>
    <row r="23" customFormat="false" ht="23.85" hidden="false" customHeight="false" outlineLevel="0" collapsed="false">
      <c r="B23" s="21" t="s">
        <v>323</v>
      </c>
      <c r="C23" s="27" t="n">
        <f aca="false">COUNTIFS(Responses!$D:$D,B23,Responses!$G:$G,"Obs")</f>
        <v>2</v>
      </c>
      <c r="E23" s="17" t="n">
        <v>16</v>
      </c>
      <c r="F23" s="12" t="str">
        <f aca="false">IFERROR(INDEX(Responses!$A:$A,MATCH($E23,Responses!$M:$M,0)),"")</f>
        <v>LL-2026004</v>
      </c>
      <c r="G23" s="12" t="str">
        <f aca="false">IFERROR(INDEX(Responses!$B:$B,MATCH($E23,Responses!$M:$M,0)),"")</f>
        <v>LL</v>
      </c>
      <c r="H23" s="12" t="str">
        <f aca="false">IFERROR(INDEX(Responses!$C:$C,MATCH($E23,Responses!$M:$M,0)),"")</f>
        <v>LL-Q21</v>
      </c>
      <c r="I23" s="80" t="str">
        <f aca="false">IFERROR(INDEX(Responses!$E:$E,MATCH($E23,Responses!$M:$M,0)),"")</f>
        <v>Transaction meets the bank's leveraged-lending definition and is flagged in systems.</v>
      </c>
      <c r="J23" s="80" t="str">
        <f aca="false">IFERROR(INDEX(Responses!$H:$H,MATCH($E23,Responses!$M:$M,0)),"")</f>
        <v>Rate-reset sensitivity shown only at +100bp; broader stress would aid analysis.</v>
      </c>
      <c r="K23" s="81" t="n">
        <f aca="false">IFERROR(INDEX(Responses!$I:$I,MATCH($E23,Responses!$M:$M,0)),"")</f>
        <v>46149</v>
      </c>
    </row>
    <row r="24" customFormat="false" ht="23.85" hidden="false" customHeight="false" outlineLevel="0" collapsed="false">
      <c r="B24" s="55" t="s">
        <v>339</v>
      </c>
      <c r="C24" s="82" t="n">
        <f aca="false">COUNTIFS(Responses!$D:$D,B24,Responses!$G:$G,"Obs")</f>
        <v>3</v>
      </c>
      <c r="E24" s="17" t="n">
        <v>17</v>
      </c>
      <c r="F24" s="12" t="str">
        <f aca="false">IFERROR(INDEX(Responses!$A:$A,MATCH($E24,Responses!$M:$M,0)),"")</f>
        <v>ABL-2026001</v>
      </c>
      <c r="G24" s="12" t="str">
        <f aca="false">IFERROR(INDEX(Responses!$B:$B,MATCH($E24,Responses!$M:$M,0)),"")</f>
        <v>ABL</v>
      </c>
      <c r="H24" s="12" t="str">
        <f aca="false">IFERROR(INDEX(Responses!$C:$C,MATCH($E24,Responses!$M:$M,0)),"")</f>
        <v>ABL-Q06</v>
      </c>
      <c r="I24" s="80" t="str">
        <f aca="false">IFERROR(INDEX(Responses!$E:$E,MATCH($E24,Responses!$M:$M,0)),"")</f>
        <v>Analysis critically evaluates borrower-provided information rather than restating it.</v>
      </c>
      <c r="J24" s="80" t="str">
        <f aca="false">IFERROR(INDEX(Responses!$H:$H,MATCH($E24,Responses!$M:$M,0)),"")</f>
        <v>Annual review completed 10 days before deadline two cycles running - timing risk.</v>
      </c>
      <c r="K24" s="81" t="n">
        <f aca="false">IFERROR(INDEX(Responses!$I:$I,MATCH($E24,Responses!$M:$M,0)),"")</f>
        <v>45883</v>
      </c>
    </row>
    <row r="25" customFormat="false" ht="23.85" hidden="false" customHeight="false" outlineLevel="0" collapsed="false">
      <c r="B25" s="21" t="s">
        <v>348</v>
      </c>
      <c r="C25" s="27" t="n">
        <f aca="false">COUNTIFS(Responses!$D:$D,B25,Responses!$G:$G,"Obs")</f>
        <v>0</v>
      </c>
      <c r="E25" s="17" t="n">
        <v>18</v>
      </c>
      <c r="F25" s="12" t="str">
        <f aca="false">IFERROR(INDEX(Responses!$A:$A,MATCH($E25,Responses!$M:$M,0)),"")</f>
        <v>ABL-2026001</v>
      </c>
      <c r="G25" s="12" t="str">
        <f aca="false">IFERROR(INDEX(Responses!$B:$B,MATCH($E25,Responses!$M:$M,0)),"")</f>
        <v>ABL</v>
      </c>
      <c r="H25" s="12" t="str">
        <f aca="false">IFERROR(INDEX(Responses!$C:$C,MATCH($E25,Responses!$M:$M,0)),"")</f>
        <v>ABL-Q17</v>
      </c>
      <c r="I25" s="80" t="str">
        <f aca="false">IFERROR(INDEX(Responses!$E:$E,MATCH($E25,Responses!$M:$M,0)),"")</f>
        <v>Covenant compliance is tested at required frequency with evidence retained.</v>
      </c>
      <c r="J25" s="80" t="str">
        <f aca="false">IFERROR(INDEX(Responses!$H:$H,MATCH($E25,Responses!$M:$M,0)),"")</f>
        <v>Annual review completed 10 days before deadline two cycles running - timing risk.</v>
      </c>
      <c r="K25" s="81" t="n">
        <f aca="false">IFERROR(INDEX(Responses!$I:$I,MATCH($E25,Responses!$M:$M,0)),"")</f>
        <v>45883</v>
      </c>
    </row>
    <row r="26" customFormat="false" ht="23.85" hidden="false" customHeight="false" outlineLevel="0" collapsed="false">
      <c r="B26" s="55" t="s">
        <v>355</v>
      </c>
      <c r="C26" s="82" t="n">
        <f aca="false">COUNTIFS(Responses!$D:$D,B26,Responses!$G:$G,"Obs")</f>
        <v>2</v>
      </c>
      <c r="E26" s="17" t="n">
        <v>19</v>
      </c>
      <c r="F26" s="12" t="str">
        <f aca="false">IFERROR(INDEX(Responses!$A:$A,MATCH($E26,Responses!$M:$M,0)),"")</f>
        <v>ABL-2026002</v>
      </c>
      <c r="G26" s="12" t="str">
        <f aca="false">IFERROR(INDEX(Responses!$B:$B,MATCH($E26,Responses!$M:$M,0)),"")</f>
        <v>ABL</v>
      </c>
      <c r="H26" s="12" t="str">
        <f aca="false">IFERROR(INDEX(Responses!$C:$C,MATCH($E26,Responses!$M:$M,0)),"")</f>
        <v>ABL-Q01</v>
      </c>
      <c r="I26" s="80" t="str">
        <f aca="false">IFERROR(INDEX(Responses!$E:$E,MATCH($E26,Responses!$M:$M,0)),"")</f>
        <v>LOB-assigned risk grade is supported by current financial analysis.</v>
      </c>
      <c r="J26" s="80" t="str">
        <f aca="false">IFERROR(INDEX(Responses!$H:$H,MATCH($E26,Responses!$M:$M,0)),"")</f>
        <v>Annual review completed 10 days before deadline two cycles running - timing risk.</v>
      </c>
      <c r="K26" s="81" t="n">
        <f aca="false">IFERROR(INDEX(Responses!$I:$I,MATCH($E26,Responses!$M:$M,0)),"")</f>
        <v>45967</v>
      </c>
    </row>
    <row r="27" customFormat="false" ht="15" hidden="false" customHeight="false" outlineLevel="0" collapsed="false">
      <c r="B27" s="21" t="s">
        <v>364</v>
      </c>
      <c r="C27" s="27" t="n">
        <f aca="false">COUNTIFS(Responses!$D:$D,B27,Responses!$G:$G,"Obs")</f>
        <v>1</v>
      </c>
      <c r="E27" s="17" t="n">
        <v>20</v>
      </c>
      <c r="F27" s="12" t="str">
        <f aca="false">IFERROR(INDEX(Responses!$A:$A,MATCH($E27,Responses!$M:$M,0)),"")</f>
        <v>ABL-2026002</v>
      </c>
      <c r="G27" s="12" t="str">
        <f aca="false">IFERROR(INDEX(Responses!$B:$B,MATCH($E27,Responses!$M:$M,0)),"")</f>
        <v>ABL</v>
      </c>
      <c r="H27" s="12" t="str">
        <f aca="false">IFERROR(INDEX(Responses!$C:$C,MATCH($E27,Responses!$M:$M,0)),"")</f>
        <v>ABL-Q16</v>
      </c>
      <c r="I27" s="80" t="str">
        <f aca="false">IFERROR(INDEX(Responses!$E:$E,MATCH($E27,Responses!$M:$M,0)),"")</f>
        <v>Policy exceptions at approval were identified, justified, and approved at proper level.</v>
      </c>
      <c r="J27" s="80" t="str">
        <f aca="false">IFERROR(INDEX(Responses!$H:$H,MATCH($E27,Responses!$M:$M,0)),"")</f>
        <v>Site-visit memo informative but not filed in imaging system.</v>
      </c>
      <c r="K27" s="81" t="n">
        <f aca="false">IFERROR(INDEX(Responses!$I:$I,MATCH($E27,Responses!$M:$M,0)),"")</f>
        <v>45967</v>
      </c>
    </row>
    <row r="28" customFormat="false" ht="23.85" hidden="false" customHeight="false" outlineLevel="0" collapsed="false">
      <c r="B28" s="55" t="s">
        <v>371</v>
      </c>
      <c r="C28" s="82" t="n">
        <f aca="false">COUNTIFS(Responses!$D:$D,B28,Responses!$G:$G,"Obs")</f>
        <v>1</v>
      </c>
      <c r="E28" s="17" t="n">
        <v>21</v>
      </c>
      <c r="F28" s="12" t="str">
        <f aca="false">IFERROR(INDEX(Responses!$A:$A,MATCH($E28,Responses!$M:$M,0)),"")</f>
        <v>ABL-2026002</v>
      </c>
      <c r="G28" s="12" t="str">
        <f aca="false">IFERROR(INDEX(Responses!$B:$B,MATCH($E28,Responses!$M:$M,0)),"")</f>
        <v>ABL</v>
      </c>
      <c r="H28" s="12" t="str">
        <f aca="false">IFERROR(INDEX(Responses!$C:$C,MATCH($E28,Responses!$M:$M,0)),"")</f>
        <v>ABL-Q24</v>
      </c>
      <c r="I28" s="80" t="str">
        <f aca="false">IFERROR(INDEX(Responses!$E:$E,MATCH($E28,Responses!$M:$M,0)),"")</f>
        <v>Field examination is current per policy frequency and findings were cleared.</v>
      </c>
      <c r="J28" s="80" t="str">
        <f aca="false">IFERROR(INDEX(Responses!$H:$H,MATCH($E28,Responses!$M:$M,0)),"")</f>
        <v>Annual review completed 10 days before deadline two cycles running - timing risk.</v>
      </c>
      <c r="K28" s="81" t="n">
        <f aca="false">IFERROR(INDEX(Responses!$I:$I,MATCH($E28,Responses!$M:$M,0)),"")</f>
        <v>45967</v>
      </c>
    </row>
    <row r="29" customFormat="false" ht="23.85" hidden="false" customHeight="false" outlineLevel="0" collapsed="false">
      <c r="B29" s="21" t="s">
        <v>378</v>
      </c>
      <c r="C29" s="27" t="n">
        <f aca="false">COUNTIFS(Responses!$D:$D,B29,Responses!$G:$G,"Obs")</f>
        <v>1</v>
      </c>
      <c r="E29" s="17" t="n">
        <v>22</v>
      </c>
      <c r="F29" s="12" t="str">
        <f aca="false">IFERROR(INDEX(Responses!$A:$A,MATCH($E29,Responses!$M:$M,0)),"")</f>
        <v>ABL-2026003</v>
      </c>
      <c r="G29" s="12" t="str">
        <f aca="false">IFERROR(INDEX(Responses!$B:$B,MATCH($E29,Responses!$M:$M,0)),"")</f>
        <v>ABL</v>
      </c>
      <c r="H29" s="12" t="str">
        <f aca="false">IFERROR(INDEX(Responses!$C:$C,MATCH($E29,Responses!$M:$M,0)),"")</f>
        <v>ABL-Q11</v>
      </c>
      <c r="I29" s="80" t="str">
        <f aca="false">IFERROR(INDEX(Responses!$E:$E,MATCH($E29,Responses!$M:$M,0)),"")</f>
        <v>Guaranty enforceability documented (signed, unconditional unless approved otherwise).</v>
      </c>
      <c r="J29" s="80" t="str">
        <f aca="false">IFERROR(INDEX(Responses!$H:$H,MATCH($E29,Responses!$M:$M,0)),"")</f>
        <v>Rate-reset sensitivity shown only at +100bp; broader stress would aid analysis.</v>
      </c>
      <c r="K29" s="81" t="n">
        <f aca="false">IFERROR(INDEX(Responses!$I:$I,MATCH($E29,Responses!$M:$M,0)),"")</f>
        <v>46072</v>
      </c>
    </row>
    <row r="30" customFormat="false" ht="15" hidden="false" customHeight="false" outlineLevel="0" collapsed="false">
      <c r="B30" s="55" t="s">
        <v>404</v>
      </c>
      <c r="C30" s="82" t="n">
        <f aca="false">COUNTIFS(Responses!$D:$D,B30,Responses!$G:$G,"Obs")</f>
        <v>0</v>
      </c>
      <c r="E30" s="17" t="n">
        <v>23</v>
      </c>
      <c r="F30" s="12" t="str">
        <f aca="false">IFERROR(INDEX(Responses!$A:$A,MATCH($E30,Responses!$M:$M,0)),"")</f>
        <v>ABL-2026003</v>
      </c>
      <c r="G30" s="12" t="str">
        <f aca="false">IFERROR(INDEX(Responses!$B:$B,MATCH($E30,Responses!$M:$M,0)),"")</f>
        <v>ABL</v>
      </c>
      <c r="H30" s="12" t="str">
        <f aca="false">IFERROR(INDEX(Responses!$C:$C,MATCH($E30,Responses!$M:$M,0)),"")</f>
        <v>ABL-Q15</v>
      </c>
      <c r="I30" s="80" t="str">
        <f aca="false">IFERROR(INDEX(Responses!$E:$E,MATCH($E30,Responses!$M:$M,0)),"")</f>
        <v>Credit was approved within delegated authority of the approving officer(s).</v>
      </c>
      <c r="J30" s="80" t="str">
        <f aca="false">IFERROR(INDEX(Responses!$H:$H,MATCH($E30,Responses!$M:$M,0)),"")</f>
        <v>Site-visit memo informative but not filed in imaging system.</v>
      </c>
      <c r="K30" s="81" t="n">
        <f aca="false">IFERROR(INDEX(Responses!$I:$I,MATCH($E30,Responses!$M:$M,0)),"")</f>
        <v>46072</v>
      </c>
    </row>
    <row r="31" customFormat="false" ht="23.85" hidden="false" customHeight="false" outlineLevel="0" collapsed="false">
      <c r="B31" s="21" t="s">
        <v>409</v>
      </c>
      <c r="C31" s="27" t="n">
        <f aca="false">COUNTIFS(Responses!$D:$D,B31,Responses!$G:$G,"Obs")</f>
        <v>0</v>
      </c>
      <c r="E31" s="17" t="n">
        <v>24</v>
      </c>
      <c r="F31" s="12" t="str">
        <f aca="false">IFERROR(INDEX(Responses!$A:$A,MATCH($E31,Responses!$M:$M,0)),"")</f>
        <v>ABL-2026004</v>
      </c>
      <c r="G31" s="12" t="str">
        <f aca="false">IFERROR(INDEX(Responses!$B:$B,MATCH($E31,Responses!$M:$M,0)),"")</f>
        <v>ABL</v>
      </c>
      <c r="H31" s="12" t="str">
        <f aca="false">IFERROR(INDEX(Responses!$C:$C,MATCH($E31,Responses!$M:$M,0)),"")</f>
        <v>ABL-Q07</v>
      </c>
      <c r="I31" s="80" t="str">
        <f aca="false">IFERROR(INDEX(Responses!$E:$E,MATCH($E31,Responses!$M:$M,0)),"")</f>
        <v>Primary repayment source is clearly identified and quantitatively supported.</v>
      </c>
      <c r="J31" s="80" t="str">
        <f aca="false">IFERROR(INDEX(Responses!$H:$H,MATCH($E31,Responses!$M:$M,0)),"")</f>
        <v>Rate-reset sensitivity shown only at +100bp; broader stress would aid analysis.</v>
      </c>
      <c r="K31" s="81" t="n">
        <f aca="false">IFERROR(INDEX(Responses!$I:$I,MATCH($E31,Responses!$M:$M,0)),"")</f>
        <v>46149</v>
      </c>
    </row>
    <row r="32" customFormat="false" ht="15" hidden="false" customHeight="false" outlineLevel="0" collapsed="false">
      <c r="B32" s="55" t="s">
        <v>414</v>
      </c>
      <c r="C32" s="82" t="n">
        <f aca="false">COUNTIFS(Responses!$D:$D,B32,Responses!$G:$G,"Obs")</f>
        <v>1</v>
      </c>
      <c r="E32" s="17" t="n">
        <v>25</v>
      </c>
      <c r="F32" s="12" t="str">
        <f aca="false">IFERROR(INDEX(Responses!$A:$A,MATCH($E32,Responses!$M:$M,0)),"")</f>
        <v>ABL-2026004</v>
      </c>
      <c r="G32" s="12" t="str">
        <f aca="false">IFERROR(INDEX(Responses!$B:$B,MATCH($E32,Responses!$M:$M,0)),"")</f>
        <v>ABL</v>
      </c>
      <c r="H32" s="12" t="str">
        <f aca="false">IFERROR(INDEX(Responses!$C:$C,MATCH($E32,Responses!$M:$M,0)),"")</f>
        <v>ABL-Q09</v>
      </c>
      <c r="I32" s="80" t="str">
        <f aca="false">IFERROR(INDEX(Responses!$E:$E,MATCH($E32,Responses!$M:$M,0)),"")</f>
        <v>Projection assumptions are reasonable versus historical performance and market data.</v>
      </c>
      <c r="J32" s="80" t="str">
        <f aca="false">IFERROR(INDEX(Responses!$H:$H,MATCH($E32,Responses!$M:$M,0)),"")</f>
        <v>Site-visit memo informative but not filed in imaging system.</v>
      </c>
      <c r="K32" s="81" t="n">
        <f aca="false">IFERROR(INDEX(Responses!$I:$I,MATCH($E32,Responses!$M:$M,0)),"")</f>
        <v>46149</v>
      </c>
    </row>
    <row r="33" customFormat="false" ht="15" hidden="false" customHeight="false" outlineLevel="0" collapsed="false">
      <c r="B33" s="17" t="s">
        <v>796</v>
      </c>
      <c r="E33" s="17" t="n">
        <v>26</v>
      </c>
      <c r="F33" s="12" t="str">
        <f aca="false">IFERROR(INDEX(Responses!$A:$A,MATCH($E33,Responses!$M:$M,0)),"")</f>
        <v>ABL-2026004</v>
      </c>
      <c r="G33" s="12" t="str">
        <f aca="false">IFERROR(INDEX(Responses!$B:$B,MATCH($E33,Responses!$M:$M,0)),"")</f>
        <v>ABL</v>
      </c>
      <c r="H33" s="12" t="str">
        <f aca="false">IFERROR(INDEX(Responses!$C:$C,MATCH($E33,Responses!$M:$M,0)),"")</f>
        <v>ABL-Q22</v>
      </c>
      <c r="I33" s="80" t="str">
        <f aca="false">IFERROR(INDEX(Responses!$E:$E,MATCH($E33,Responses!$M:$M,0)),"")</f>
        <v>Ineligibles are identified, current, and correctly deducted.</v>
      </c>
      <c r="J33" s="80" t="str">
        <f aca="false">IFERROR(INDEX(Responses!$H:$H,MATCH($E33,Responses!$M:$M,0)),"")</f>
        <v>Spread mislabels FY2024 column as FY2025; values correct.</v>
      </c>
      <c r="K33" s="81" t="n">
        <f aca="false">IFERROR(INDEX(Responses!$I:$I,MATCH($E33,Responses!$M:$M,0)),"")</f>
        <v>46149</v>
      </c>
    </row>
    <row r="34" customFormat="false" ht="15" hidden="false" customHeight="false" outlineLevel="0" collapsed="false">
      <c r="E34" s="17" t="n">
        <v>27</v>
      </c>
      <c r="F34" s="12" t="str">
        <f aca="false">IFERROR(INDEX(Responses!$A:$A,MATCH($E34,Responses!$M:$M,0)),"")</f>
        <v>ARG-2026001</v>
      </c>
      <c r="G34" s="12" t="str">
        <f aca="false">IFERROR(INDEX(Responses!$B:$B,MATCH($E34,Responses!$M:$M,0)),"")</f>
        <v>ARG</v>
      </c>
      <c r="H34" s="12" t="str">
        <f aca="false">IFERROR(INDEX(Responses!$C:$C,MATCH($E34,Responses!$M:$M,0)),"")</f>
        <v>ARG-Q11</v>
      </c>
      <c r="I34" s="80" t="str">
        <f aca="false">IFERROR(INDEX(Responses!$E:$E,MATCH($E34,Responses!$M:$M,0)),"")</f>
        <v>Guaranty enforceability documented (signed, unconditional unless approved otherwise).</v>
      </c>
      <c r="J34" s="80" t="str">
        <f aca="false">IFERROR(INDEX(Responses!$H:$H,MATCH($E34,Responses!$M:$M,0)),"")</f>
        <v>Spread mislabels FY2024 column as FY2025; values correct.</v>
      </c>
      <c r="K34" s="81" t="n">
        <f aca="false">IFERROR(INDEX(Responses!$I:$I,MATCH($E34,Responses!$M:$M,0)),"")</f>
        <v>45883</v>
      </c>
    </row>
    <row r="35" customFormat="false" ht="15" hidden="false" customHeight="false" outlineLevel="0" collapsed="false">
      <c r="E35" s="17" t="n">
        <v>28</v>
      </c>
      <c r="F35" s="12" t="str">
        <f aca="false">IFERROR(INDEX(Responses!$A:$A,MATCH($E35,Responses!$M:$M,0)),"")</f>
        <v>ARG-2026001</v>
      </c>
      <c r="G35" s="12" t="str">
        <f aca="false">IFERROR(INDEX(Responses!$B:$B,MATCH($E35,Responses!$M:$M,0)),"")</f>
        <v>ARG</v>
      </c>
      <c r="H35" s="12" t="str">
        <f aca="false">IFERROR(INDEX(Responses!$C:$C,MATCH($E35,Responses!$M:$M,0)),"")</f>
        <v>ARG-Q13</v>
      </c>
      <c r="I35" s="80" t="str">
        <f aca="false">IFERROR(INDEX(Responses!$E:$E,MATCH($E35,Responses!$M:$M,0)),"")</f>
        <v>Lien positions are perfected and verified (searches, filings, titles).</v>
      </c>
      <c r="J35" s="80" t="str">
        <f aca="false">IFERROR(INDEX(Responses!$H:$H,MATCH($E35,Responses!$M:$M,0)),"")</f>
        <v>Spread mislabels FY2024 column as FY2025; values correct.</v>
      </c>
      <c r="K35" s="81" t="n">
        <f aca="false">IFERROR(INDEX(Responses!$I:$I,MATCH($E35,Responses!$M:$M,0)),"")</f>
        <v>45883</v>
      </c>
    </row>
    <row r="36" customFormat="false" ht="15" hidden="false" customHeight="false" outlineLevel="0" collapsed="false">
      <c r="E36" s="17" t="n">
        <v>29</v>
      </c>
      <c r="F36" s="12" t="str">
        <f aca="false">IFERROR(INDEX(Responses!$A:$A,MATCH($E36,Responses!$M:$M,0)),"")</f>
        <v>ARG-2026001</v>
      </c>
      <c r="G36" s="12" t="str">
        <f aca="false">IFERROR(INDEX(Responses!$B:$B,MATCH($E36,Responses!$M:$M,0)),"")</f>
        <v>ARG</v>
      </c>
      <c r="H36" s="12" t="str">
        <f aca="false">IFERROR(INDEX(Responses!$C:$C,MATCH($E36,Responses!$M:$M,0)),"")</f>
        <v>ARG-Q17</v>
      </c>
      <c r="I36" s="80" t="str">
        <f aca="false">IFERROR(INDEX(Responses!$E:$E,MATCH($E36,Responses!$M:$M,0)),"")</f>
        <v>Covenant compliance is tested at required frequency with evidence retained.</v>
      </c>
      <c r="J36" s="80" t="str">
        <f aca="false">IFERROR(INDEX(Responses!$H:$H,MATCH($E36,Responses!$M:$M,0)),"")</f>
        <v>Site-visit memo informative but not filed in imaging system.</v>
      </c>
      <c r="K36" s="81" t="n">
        <f aca="false">IFERROR(INDEX(Responses!$I:$I,MATCH($E36,Responses!$M:$M,0)),"")</f>
        <v>45883</v>
      </c>
    </row>
    <row r="37" customFormat="false" ht="15" hidden="false" customHeight="false" outlineLevel="0" collapsed="false">
      <c r="E37" s="17" t="n">
        <v>30</v>
      </c>
      <c r="F37" s="12" t="str">
        <f aca="false">IFERROR(INDEX(Responses!$A:$A,MATCH($E37,Responses!$M:$M,0)),"")</f>
        <v>ARG-2026002</v>
      </c>
      <c r="G37" s="12" t="str">
        <f aca="false">IFERROR(INDEX(Responses!$B:$B,MATCH($E37,Responses!$M:$M,0)),"")</f>
        <v>ARG</v>
      </c>
      <c r="H37" s="12" t="str">
        <f aca="false">IFERROR(INDEX(Responses!$C:$C,MATCH($E37,Responses!$M:$M,0)),"")</f>
        <v>ARG-Q08</v>
      </c>
      <c r="I37" s="80" t="str">
        <f aca="false">IFERROR(INDEX(Responses!$E:$E,MATCH($E37,Responses!$M:$M,0)),"")</f>
        <v>Secondary repayment source is identified and realizable.</v>
      </c>
      <c r="J37" s="80" t="str">
        <f aca="false">IFERROR(INDEX(Responses!$H:$H,MATCH($E37,Responses!$M:$M,0)),"")</f>
        <v>Spread mislabels FY2024 column as FY2025; values correct.</v>
      </c>
      <c r="K37" s="81" t="n">
        <f aca="false">IFERROR(INDEX(Responses!$I:$I,MATCH($E37,Responses!$M:$M,0)),"")</f>
        <v>45967</v>
      </c>
    </row>
  </sheetData>
  <conditionalFormatting sqref="B9:C32">
    <cfRule type="expression" priority="2" aboveAverage="0" equalAverage="0" bottom="0" percent="0" rank="0" text="" dxfId="5">
      <formula>$C9&gt;=2</formula>
    </cfRule>
  </conditionalFormatting>
  <printOptions headings="false" gridLines="false" gridLinesSet="true" horizontalCentered="false" verticalCentered="false"/>
  <pageMargins left="0.4" right="0.4" top="0.5" bottom="0.5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548235"/>
    <pageSetUpPr fitToPage="true"/>
  </sheetPr>
  <dimension ref="B1:J2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1" width="2"/>
    <col collapsed="false" customWidth="true" hidden="false" outlineLevel="0" max="2" min="2" style="1" width="42"/>
    <col collapsed="false" customWidth="true" hidden="false" outlineLevel="0" max="4" min="3" style="1" width="15"/>
    <col collapsed="false" customWidth="true" hidden="false" outlineLevel="0" max="5" min="5" style="1" width="22"/>
    <col collapsed="false" customWidth="true" hidden="false" outlineLevel="0" max="6" min="6" style="1" width="3"/>
    <col collapsed="false" customWidth="true" hidden="false" outlineLevel="0" max="9" min="7" style="1" width="14"/>
    <col collapsed="false" customWidth="true" hidden="false" outlineLevel="0" max="10" min="10" style="1" width="16"/>
  </cols>
  <sheetData>
    <row r="1" customFormat="false" ht="30" hidden="false" customHeight="true" outlineLevel="0" collapsed="false">
      <c r="B1" s="2" t="s">
        <v>797</v>
      </c>
    </row>
    <row r="2" customFormat="false" ht="13.5" hidden="false" customHeight="true" outlineLevel="0" collapsed="false">
      <c r="B2" s="3" t="s">
        <v>798</v>
      </c>
    </row>
    <row r="3" customFormat="false" ht="3" hidden="false" customHeight="true" outlineLevel="0" collapsed="false">
      <c r="B3" s="4"/>
      <c r="C3" s="4"/>
      <c r="D3" s="4"/>
      <c r="E3" s="4"/>
      <c r="F3" s="4"/>
      <c r="G3" s="4"/>
      <c r="H3" s="4"/>
      <c r="I3" s="4"/>
      <c r="J3" s="5"/>
    </row>
    <row r="4" customFormat="false" ht="15" hidden="false" customHeight="false" outlineLevel="0" collapsed="false">
      <c r="B4" s="6" t="s">
        <v>799</v>
      </c>
    </row>
    <row r="5" customFormat="false" ht="15" hidden="false" customHeight="false" outlineLevel="0" collapsed="false">
      <c r="B5" s="10" t="s">
        <v>80</v>
      </c>
      <c r="C5" s="83" t="n">
        <f aca="false">TotalRBC</f>
        <v>185000</v>
      </c>
    </row>
    <row r="6" customFormat="false" ht="15" hidden="false" customHeight="false" outlineLevel="0" collapsed="false">
      <c r="B6" s="10" t="s">
        <v>82</v>
      </c>
      <c r="C6" s="83" t="n">
        <f aca="false">CLDLoans</f>
        <v>142000</v>
      </c>
    </row>
    <row r="7" customFormat="false" ht="15" hidden="false" customHeight="false" outlineLevel="0" collapsed="false">
      <c r="B7" s="10" t="s">
        <v>84</v>
      </c>
      <c r="C7" s="83" t="n">
        <f aca="false">CRELoans</f>
        <v>612000</v>
      </c>
    </row>
    <row r="8" customFormat="false" ht="15" hidden="false" customHeight="false" outlineLevel="0" collapsed="false">
      <c r="B8" s="10" t="s">
        <v>85</v>
      </c>
      <c r="C8" s="83" t="n">
        <f aca="false">CRELoans36</f>
        <v>425000</v>
      </c>
    </row>
    <row r="11" customFormat="false" ht="15" hidden="false" customHeight="false" outlineLevel="0" collapsed="false">
      <c r="B11" s="6" t="s">
        <v>800</v>
      </c>
    </row>
    <row r="12" customFormat="false" ht="21.75" hidden="false" customHeight="true" outlineLevel="0" collapsed="false">
      <c r="B12" s="28" t="s">
        <v>801</v>
      </c>
      <c r="C12" s="28" t="s">
        <v>802</v>
      </c>
      <c r="D12" s="28" t="s">
        <v>803</v>
      </c>
      <c r="E12" s="28" t="s">
        <v>88</v>
      </c>
    </row>
    <row r="13" customFormat="false" ht="15" hidden="false" customHeight="false" outlineLevel="0" collapsed="false">
      <c r="B13" s="21" t="s">
        <v>804</v>
      </c>
      <c r="C13" s="49" t="n">
        <f aca="false">IF(TotalRBC=0,"",CLDLoans/TotalRBC)</f>
        <v>0.767567567567568</v>
      </c>
      <c r="D13" s="50" t="n">
        <f aca="false">IF(SUMPRODUCT(MAX((Crosswalk!$O$2:$O$300="CLD Concentration / Total Risk-Based Capital|"&amp;PrimaryAgency)*(Crosswalk!$P$2:$P$300=1)*Crosswalk!$C$2:$C$300))=0,"Coverage gap",SUMPRODUCT(MAX((Crosswalk!$O$2:$O$300="CLD Concentration / Total Risk-Based Capital|"&amp;PrimaryAgency)*(Crosswalk!$P$2:$P$300=1)*Crosswalk!$C$2:$C$300))/100)</f>
        <v>1</v>
      </c>
      <c r="E13" s="27" t="str">
        <f aca="false">IF(OR(C13="",ISTEXT(D13)),"n/a",IF(C13&gt;=D13,"Criterion met — heightened scrutiny","Below criterion"))</f>
        <v>Below criterion</v>
      </c>
    </row>
    <row r="14" customFormat="false" ht="15" hidden="false" customHeight="false" outlineLevel="0" collapsed="false">
      <c r="B14" s="21" t="s">
        <v>805</v>
      </c>
      <c r="C14" s="49" t="n">
        <f aca="false">IF(TotalRBC=0,"",CRELoans/TotalRBC)</f>
        <v>3.30810810810811</v>
      </c>
      <c r="D14" s="50" t="n">
        <f aca="false">IF(SUMPRODUCT(MAX((Crosswalk!$O$2:$O$300="Total CRE / Total Risk-Based Capital|"&amp;PrimaryAgency)*(Crosswalk!$P$2:$P$300=1)*Crosswalk!$C$2:$C$300))=0,"Coverage gap",SUMPRODUCT(MAX((Crosswalk!$O$2:$O$300="Total CRE / Total Risk-Based Capital|"&amp;PrimaryAgency)*(Crosswalk!$P$2:$P$300=1)*Crosswalk!$C$2:$C$300))/100)</f>
        <v>3</v>
      </c>
      <c r="E14" s="27" t="str">
        <f aca="false">IF(OR(C14="",ISTEXT(D14)),"n/a",IF(C14&gt;=D14,"Part 1 met — test growth","Below criterion"))</f>
        <v>Part 1 met — test growth</v>
      </c>
    </row>
    <row r="15" customFormat="false" ht="15" hidden="false" customHeight="false" outlineLevel="0" collapsed="false">
      <c r="B15" s="21" t="s">
        <v>806</v>
      </c>
      <c r="C15" s="49" t="n">
        <f aca="false">IF(CRELoans36=0,"",(CRELoans-CRELoans36)/CRELoans36)</f>
        <v>0.44</v>
      </c>
      <c r="D15" s="50" t="n">
        <f aca="false">IF(SUMPRODUCT(MAX((Crosswalk!$O$2:$O$300="CRE 36-Month Growth Trigger|"&amp;PrimaryAgency)*(Crosswalk!$P$2:$P$300=1)*Crosswalk!$C$2:$C$300))=0,"Coverage gap",SUMPRODUCT(MAX((Crosswalk!$O$2:$O$300="CRE 36-Month Growth Trigger|"&amp;PrimaryAgency)*(Crosswalk!$P$2:$P$300=1)*Crosswalk!$C$2:$C$300))/100)</f>
        <v>0.5</v>
      </c>
      <c r="E15" s="27" t="str">
        <f aca="false">IF(OR(C15="",ISTEXT(D15)),"n/a",IF(AND(C15&gt;=D15,C14&gt;=D14),"Combined criterion met — heightened scrutiny","Below combined criterion"))</f>
        <v>Below combined criterion</v>
      </c>
    </row>
    <row r="18" customFormat="false" ht="15" hidden="false" customHeight="false" outlineLevel="0" collapsed="false">
      <c r="B18" s="6" t="s">
        <v>807</v>
      </c>
    </row>
    <row r="19" customFormat="false" ht="21.75" hidden="false" customHeight="true" outlineLevel="0" collapsed="false">
      <c r="B19" s="28" t="s">
        <v>808</v>
      </c>
      <c r="C19" s="28" t="s">
        <v>809</v>
      </c>
      <c r="D19" s="28" t="s">
        <v>810</v>
      </c>
      <c r="E19" s="28" t="s">
        <v>811</v>
      </c>
      <c r="F19" s="28" t="s">
        <v>812</v>
      </c>
    </row>
    <row r="20" customFormat="false" ht="15" hidden="false" customHeight="false" outlineLevel="0" collapsed="false">
      <c r="B20" s="21" t="s">
        <v>77</v>
      </c>
      <c r="C20" s="31" t="n">
        <f aca="false">IFERROR(IF(INDEX(Crosswalk!$C:$C,MATCH("Total Debt / EBITDA|OCC",Crosswalk!$O:$O,0))=0,"—",INDEX(Crosswalk!$C:$C,MATCH("Total Debt / EBITDA|OCC",Crosswalk!$O:$O,0))),"not in crosswalk")</f>
        <v>6</v>
      </c>
      <c r="D20" s="84" t="n">
        <f aca="false">IFERROR(IF(INDEX(Crosswalk!$H:$H,MATCH("Total Debt / EBITDA|OCC",Crosswalk!$O:$O,0))=0,"—",INDEX(Crosswalk!$H:$H,MATCH("Total Debt / EBITDA|OCC",Crosswalk!$O:$O,0))),"not in crosswalk")</f>
        <v>41354</v>
      </c>
      <c r="E20" s="84" t="n">
        <f aca="false">IFERROR(IF(INDEX(Crosswalk!$I:$I,MATCH("Total Debt / EBITDA|OCC",Crosswalk!$O:$O,0))=0,"—",INDEX(Crosswalk!$I:$I,MATCH("Total Debt / EBITDA|OCC",Crosswalk!$O:$O,0))),"not in crosswalk")</f>
        <v>46007</v>
      </c>
      <c r="F20" s="26" t="str">
        <f aca="false">IFERROR(IF(INDEX(Crosswalk!$J:$J,MATCH("Total Debt / EBITDA|OCC",Crosswalk!$O:$O,0))=0,"—",INDEX(Crosswalk!$J:$J,MATCH("Total Debt / EBITDA|OCC",Crosswalk!$O:$O,0))),"not in crosswalk")</f>
        <v>Rescinded</v>
      </c>
    </row>
    <row r="21" customFormat="false" ht="15" hidden="false" customHeight="false" outlineLevel="0" collapsed="false">
      <c r="B21" s="21" t="s">
        <v>108</v>
      </c>
      <c r="C21" s="31" t="n">
        <f aca="false">IFERROR(IF(INDEX(Crosswalk!$C:$C,MATCH("Total Debt / EBITDA|FDIC",Crosswalk!$O:$O,0))=0,"—",INDEX(Crosswalk!$C:$C,MATCH("Total Debt / EBITDA|FDIC",Crosswalk!$O:$O,0))),"not in crosswalk")</f>
        <v>6</v>
      </c>
      <c r="D21" s="84" t="n">
        <f aca="false">IFERROR(IF(INDEX(Crosswalk!$H:$H,MATCH("Total Debt / EBITDA|FDIC",Crosswalk!$O:$O,0))=0,"—",INDEX(Crosswalk!$H:$H,MATCH("Total Debt / EBITDA|FDIC",Crosswalk!$O:$O,0))),"not in crosswalk")</f>
        <v>41354</v>
      </c>
      <c r="E21" s="84" t="n">
        <f aca="false">IFERROR(IF(INDEX(Crosswalk!$I:$I,MATCH("Total Debt / EBITDA|FDIC",Crosswalk!$O:$O,0))=0,"—",INDEX(Crosswalk!$I:$I,MATCH("Total Debt / EBITDA|FDIC",Crosswalk!$O:$O,0))),"not in crosswalk")</f>
        <v>46007</v>
      </c>
      <c r="F21" s="26" t="str">
        <f aca="false">IFERROR(IF(INDEX(Crosswalk!$J:$J,MATCH("Total Debt / EBITDA|FDIC",Crosswalk!$O:$O,0))=0,"—",INDEX(Crosswalk!$J:$J,MATCH("Total Debt / EBITDA|FDIC",Crosswalk!$O:$O,0))),"not in crosswalk")</f>
        <v>Rescinded</v>
      </c>
    </row>
    <row r="22" customFormat="false" ht="15" hidden="false" customHeight="false" outlineLevel="0" collapsed="false">
      <c r="B22" s="21" t="s">
        <v>103</v>
      </c>
      <c r="C22" s="31" t="n">
        <f aca="false">IFERROR(IF(INDEX(Crosswalk!$C:$C,MATCH("Total Debt / EBITDA|FRB",Crosswalk!$O:$O,0))=0,"—",INDEX(Crosswalk!$C:$C,MATCH("Total Debt / EBITDA|FRB",Crosswalk!$O:$O,0))),"not in crosswalk")</f>
        <v>6</v>
      </c>
      <c r="D22" s="84" t="n">
        <f aca="false">IFERROR(IF(INDEX(Crosswalk!$H:$H,MATCH("Total Debt / EBITDA|FRB",Crosswalk!$O:$O,0))=0,"—",INDEX(Crosswalk!$H:$H,MATCH("Total Debt / EBITDA|FRB",Crosswalk!$O:$O,0))),"not in crosswalk")</f>
        <v>41354</v>
      </c>
      <c r="E22" s="84" t="str">
        <f aca="false">IFERROR(IF(INDEX(Crosswalk!$I:$I,MATCH("Total Debt / EBITDA|FRB",Crosswalk!$O:$O,0))=0,"—",INDEX(Crosswalk!$I:$I,MATCH("Total Debt / EBITDA|FRB",Crosswalk!$O:$O,0))),"not in crosswalk")</f>
        <v>—</v>
      </c>
      <c r="F22" s="26" t="str">
        <f aca="false">IFERROR(IF(INDEX(Crosswalk!$J:$J,MATCH("Total Debt / EBITDA|FRB",Crosswalk!$O:$O,0))=0,"—",INDEX(Crosswalk!$J:$J,MATCH("Total Debt / EBITDA|FRB",Crosswalk!$O:$O,0))),"not in crosswalk")</f>
        <v>Active</v>
      </c>
    </row>
    <row r="24" customFormat="false" ht="15" hidden="false" customHeight="false" outlineLevel="0" collapsed="false">
      <c r="B24" s="17" t="s">
        <v>813</v>
      </c>
    </row>
  </sheetData>
  <conditionalFormatting sqref="B13:E15">
    <cfRule type="expression" priority="2" aboveAverage="0" equalAverage="0" bottom="0" percent="0" rank="0" text="" dxfId="4">
      <formula>ISNUMBER(SEARCH("met",$E13))</formula>
    </cfRule>
  </conditionalFormatting>
  <conditionalFormatting sqref="B20:F22">
    <cfRule type="expression" priority="3" aboveAverage="0" equalAverage="0" bottom="0" percent="0" rank="0" text="" dxfId="9">
      <formula>$F20="Rescinded"</formula>
    </cfRule>
  </conditionalFormatting>
  <printOptions headings="false" gridLines="false" gridLinesSet="true" horizontalCentered="false" verticalCentered="false"/>
  <pageMargins left="0.4" right="0.4" top="0.5" bottom="0.5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548235"/>
    <pageSetUpPr fitToPage="true"/>
  </sheetPr>
  <dimension ref="B1:O1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1" width="2"/>
    <col collapsed="false" customWidth="true" hidden="false" outlineLevel="0" max="2" min="2" style="1" width="14"/>
    <col collapsed="false" customWidth="true" hidden="false" outlineLevel="0" max="3" min="3" style="1" width="12"/>
    <col collapsed="false" customWidth="true" hidden="false" outlineLevel="0" max="6" min="4" style="1" width="14"/>
    <col collapsed="false" customWidth="true" hidden="false" outlineLevel="0" max="7" min="7" style="1" width="3"/>
    <col collapsed="false" customWidth="true" hidden="false" outlineLevel="0" max="15" min="8" style="1" width="10"/>
  </cols>
  <sheetData>
    <row r="1" customFormat="false" ht="30" hidden="false" customHeight="true" outlineLevel="0" collapsed="false">
      <c r="B1" s="2" t="s">
        <v>814</v>
      </c>
    </row>
    <row r="2" customFormat="false" ht="13.5" hidden="false" customHeight="true" outlineLevel="0" collapsed="false">
      <c r="B2" s="3" t="s">
        <v>815</v>
      </c>
    </row>
    <row r="3" customFormat="false" ht="3" hidden="false" customHeight="true" outlineLevel="0" collapsed="false"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5"/>
    </row>
    <row r="5" customFormat="false" ht="15" hidden="false" customHeight="false" outlineLevel="0" collapsed="false">
      <c r="B5" s="6" t="s">
        <v>816</v>
      </c>
    </row>
    <row r="6" customFormat="false" ht="21.75" hidden="false" customHeight="true" outlineLevel="0" collapsed="false">
      <c r="B6" s="28" t="s">
        <v>674</v>
      </c>
      <c r="C6" s="28" t="s">
        <v>751</v>
      </c>
      <c r="D6" s="28" t="s">
        <v>817</v>
      </c>
      <c r="E6" s="28" t="s">
        <v>818</v>
      </c>
      <c r="F6" s="28" t="s">
        <v>819</v>
      </c>
    </row>
    <row r="7" customFormat="false" ht="15" hidden="false" customHeight="false" outlineLevel="0" collapsed="false">
      <c r="B7" s="21" t="s">
        <v>820</v>
      </c>
      <c r="C7" s="27" t="n">
        <f aca="false">COUNTIF(Database!$G:$G,B7)</f>
        <v>7</v>
      </c>
      <c r="D7" s="27" t="n">
        <f aca="false">COUNTIFS(Database!$G:$G,B7,Database!$J:$J,5)</f>
        <v>1</v>
      </c>
      <c r="E7" s="27" t="n">
        <f aca="false">COUNTIFS(Database!$G:$G,B7,Database!$J:$J,"&gt;=6")</f>
        <v>1</v>
      </c>
      <c r="F7" s="85" t="n">
        <f aca="false">IF(COUNTIF(Database!$G:$G,B7)=0,"",AVERAGEIFS(Database!$J:$J,Database!$G:$G,B7))</f>
        <v>3.85714285714286</v>
      </c>
    </row>
    <row r="8" customFormat="false" ht="15" hidden="false" customHeight="false" outlineLevel="0" collapsed="false">
      <c r="B8" s="55" t="s">
        <v>821</v>
      </c>
      <c r="C8" s="59" t="n">
        <f aca="false">COUNTIF(Database!$G:$G,B8)</f>
        <v>7</v>
      </c>
      <c r="D8" s="59" t="n">
        <f aca="false">COUNTIFS(Database!$G:$G,B8,Database!$J:$J,5)</f>
        <v>3</v>
      </c>
      <c r="E8" s="59" t="n">
        <f aca="false">COUNTIFS(Database!$G:$G,B8,Database!$J:$J,"&gt;=6")</f>
        <v>0</v>
      </c>
      <c r="F8" s="86" t="n">
        <f aca="false">IF(COUNTIF(Database!$G:$G,B8)=0,"",AVERAGEIFS(Database!$J:$J,Database!$G:$G,B8))</f>
        <v>3.71428571428571</v>
      </c>
    </row>
    <row r="9" customFormat="false" ht="15" hidden="false" customHeight="false" outlineLevel="0" collapsed="false">
      <c r="B9" s="21" t="s">
        <v>822</v>
      </c>
      <c r="C9" s="27" t="n">
        <f aca="false">COUNTIF(Database!$G:$G,B9)</f>
        <v>7</v>
      </c>
      <c r="D9" s="27" t="n">
        <f aca="false">COUNTIFS(Database!$G:$G,B9,Database!$J:$J,5)</f>
        <v>1</v>
      </c>
      <c r="E9" s="27" t="n">
        <f aca="false">COUNTIFS(Database!$G:$G,B9,Database!$J:$J,"&gt;=6")</f>
        <v>1</v>
      </c>
      <c r="F9" s="85" t="n">
        <f aca="false">IF(COUNTIF(Database!$G:$G,B9)=0,"",AVERAGEIFS(Database!$J:$J,Database!$G:$G,B9))</f>
        <v>4</v>
      </c>
    </row>
    <row r="10" customFormat="false" ht="15" hidden="false" customHeight="false" outlineLevel="0" collapsed="false">
      <c r="B10" s="55" t="s">
        <v>823</v>
      </c>
      <c r="C10" s="59" t="n">
        <f aca="false">COUNTIF(Database!$G:$G,B10)</f>
        <v>7</v>
      </c>
      <c r="D10" s="59" t="n">
        <f aca="false">COUNTIFS(Database!$G:$G,B10,Database!$J:$J,5)</f>
        <v>4</v>
      </c>
      <c r="E10" s="59" t="n">
        <f aca="false">COUNTIFS(Database!$G:$G,B10,Database!$J:$J,"&gt;=6")</f>
        <v>1</v>
      </c>
      <c r="F10" s="86" t="n">
        <f aca="false">IF(COUNTIF(Database!$G:$G,B10)=0,"",AVERAGEIFS(Database!$J:$J,Database!$G:$G,B10))</f>
        <v>4.85714285714286</v>
      </c>
    </row>
  </sheetData>
  <printOptions headings="false" gridLines="false" gridLinesSet="true" horizontalCentered="false" verticalCentered="false"/>
  <pageMargins left="0.4" right="0.4" top="0.5" bottom="0.5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BF8F00"/>
    <pageSetUpPr fitToPage="true"/>
  </sheetPr>
  <dimension ref="A1:P2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1" width="13"/>
    <col collapsed="false" customWidth="true" hidden="false" outlineLevel="0" max="2" min="2" style="1" width="30"/>
    <col collapsed="false" customWidth="true" hidden="false" outlineLevel="0" max="3" min="3" style="1" width="12"/>
    <col collapsed="false" customWidth="true" hidden="false" outlineLevel="0" max="4" min="4" style="1" width="7"/>
    <col collapsed="false" customWidth="true" hidden="false" outlineLevel="0" max="5" min="5" style="1" width="24"/>
    <col collapsed="false" customWidth="true" hidden="false" outlineLevel="0" max="6" min="6" style="1" width="9"/>
    <col collapsed="false" customWidth="true" hidden="false" outlineLevel="0" max="7" min="7" style="1" width="22"/>
    <col collapsed="false" customWidth="true" hidden="false" outlineLevel="0" max="9" min="8" style="1" width="12"/>
    <col collapsed="false" customWidth="true" hidden="false" outlineLevel="0" max="10" min="10" style="1" width="18"/>
    <col collapsed="false" customWidth="true" hidden="false" outlineLevel="0" max="11" min="11" style="1" width="26"/>
    <col collapsed="false" customWidth="true" hidden="false" outlineLevel="0" max="12" min="12" style="1" width="16"/>
    <col collapsed="false" customWidth="true" hidden="false" outlineLevel="0" max="13" min="13" style="1" width="60"/>
    <col collapsed="false" customWidth="true" hidden="false" outlineLevel="0" max="14" min="14" style="1" width="26"/>
    <col collapsed="false" customWidth="true" hidden="false" outlineLevel="0" max="15" min="15" style="1" width="30"/>
    <col collapsed="false" customWidth="true" hidden="false" outlineLevel="0" max="16" min="16" style="1" width="9"/>
  </cols>
  <sheetData>
    <row r="1" customFormat="false" ht="30" hidden="false" customHeight="true" outlineLevel="0" collapsed="false">
      <c r="A1" s="87" t="s">
        <v>824</v>
      </c>
      <c r="B1" s="87" t="s">
        <v>825</v>
      </c>
      <c r="C1" s="87" t="s">
        <v>438</v>
      </c>
      <c r="D1" s="87" t="s">
        <v>826</v>
      </c>
      <c r="E1" s="87" t="s">
        <v>827</v>
      </c>
      <c r="F1" s="87" t="s">
        <v>808</v>
      </c>
      <c r="G1" s="87" t="s">
        <v>828</v>
      </c>
      <c r="H1" s="87" t="s">
        <v>829</v>
      </c>
      <c r="I1" s="87" t="s">
        <v>830</v>
      </c>
      <c r="J1" s="87" t="s">
        <v>831</v>
      </c>
      <c r="K1" s="87" t="s">
        <v>832</v>
      </c>
      <c r="L1" s="87" t="s">
        <v>833</v>
      </c>
      <c r="M1" s="87" t="s">
        <v>834</v>
      </c>
      <c r="N1" s="87" t="s">
        <v>835</v>
      </c>
      <c r="O1" s="87" t="s">
        <v>836</v>
      </c>
      <c r="P1" s="87" t="s">
        <v>837</v>
      </c>
    </row>
    <row r="2" customFormat="false" ht="35.05" hidden="false" customHeight="false" outlineLevel="0" collapsed="false">
      <c r="A2" s="88" t="s">
        <v>838</v>
      </c>
      <c r="B2" s="88" t="s">
        <v>471</v>
      </c>
      <c r="C2" s="88" t="n">
        <v>6</v>
      </c>
      <c r="D2" s="88" t="s">
        <v>839</v>
      </c>
      <c r="E2" s="88" t="s">
        <v>840</v>
      </c>
      <c r="F2" s="88" t="s">
        <v>77</v>
      </c>
      <c r="G2" s="88" t="s">
        <v>841</v>
      </c>
      <c r="H2" s="89" t="n">
        <v>41354</v>
      </c>
      <c r="I2" s="89" t="n">
        <v>46007</v>
      </c>
      <c r="J2" s="90" t="str">
        <f aca="false">IF(H2="","Unknown (Coverage Gap)",IF(AsOfDate&lt;H2,"Not Yet Effective",IF(AND(I2&lt;&gt;"",AsOfDate&gt;=I2),"Rescinded","Active")))</f>
        <v>Rescinded</v>
      </c>
      <c r="K2" s="88" t="s">
        <v>842</v>
      </c>
      <c r="L2" s="88" t="s">
        <v>843</v>
      </c>
      <c r="M2" s="88" t="s">
        <v>844</v>
      </c>
      <c r="N2" s="88" t="s">
        <v>845</v>
      </c>
      <c r="O2" s="88" t="str">
        <f aca="false">B2&amp;"|"&amp;F2</f>
        <v>Total Debt / EBITDA|OCC</v>
      </c>
      <c r="P2" s="88" t="n">
        <f aca="false">IF(J2="Active",1,0)</f>
        <v>0</v>
      </c>
    </row>
    <row r="3" customFormat="false" ht="35.05" hidden="false" customHeight="false" outlineLevel="0" collapsed="false">
      <c r="A3" s="88" t="s">
        <v>846</v>
      </c>
      <c r="B3" s="88" t="s">
        <v>471</v>
      </c>
      <c r="C3" s="88" t="n">
        <v>6</v>
      </c>
      <c r="D3" s="88" t="s">
        <v>839</v>
      </c>
      <c r="E3" s="88" t="s">
        <v>840</v>
      </c>
      <c r="F3" s="88" t="s">
        <v>103</v>
      </c>
      <c r="G3" s="88" t="s">
        <v>841</v>
      </c>
      <c r="H3" s="89" t="n">
        <v>41354</v>
      </c>
      <c r="I3" s="88"/>
      <c r="J3" s="90" t="str">
        <f aca="false">IF(H3="","Unknown (Coverage Gap)",IF(AsOfDate&lt;H3,"Not Yet Effective",IF(AND(I3&lt;&gt;"",AsOfDate&gt;=I3),"Rescinded","Active")))</f>
        <v>Active</v>
      </c>
      <c r="K3" s="88" t="s">
        <v>842</v>
      </c>
      <c r="L3" s="88" t="s">
        <v>843</v>
      </c>
      <c r="M3" s="88" t="s">
        <v>844</v>
      </c>
      <c r="N3" s="88" t="s">
        <v>845</v>
      </c>
      <c r="O3" s="88" t="str">
        <f aca="false">B3&amp;"|"&amp;F3</f>
        <v>Total Debt / EBITDA|FRB</v>
      </c>
      <c r="P3" s="88" t="n">
        <f aca="false">IF(J3="Active",1,0)</f>
        <v>1</v>
      </c>
    </row>
    <row r="4" customFormat="false" ht="35.05" hidden="false" customHeight="false" outlineLevel="0" collapsed="false">
      <c r="A4" s="88" t="s">
        <v>847</v>
      </c>
      <c r="B4" s="88" t="s">
        <v>471</v>
      </c>
      <c r="C4" s="88" t="n">
        <v>6</v>
      </c>
      <c r="D4" s="88" t="s">
        <v>839</v>
      </c>
      <c r="E4" s="88" t="s">
        <v>840</v>
      </c>
      <c r="F4" s="88" t="s">
        <v>108</v>
      </c>
      <c r="G4" s="88" t="s">
        <v>841</v>
      </c>
      <c r="H4" s="89" t="n">
        <v>41354</v>
      </c>
      <c r="I4" s="89" t="n">
        <v>46007</v>
      </c>
      <c r="J4" s="90" t="str">
        <f aca="false">IF(H4="","Unknown (Coverage Gap)",IF(AsOfDate&lt;H4,"Not Yet Effective",IF(AND(I4&lt;&gt;"",AsOfDate&gt;=I4),"Rescinded","Active")))</f>
        <v>Rescinded</v>
      </c>
      <c r="K4" s="88" t="s">
        <v>842</v>
      </c>
      <c r="L4" s="88" t="s">
        <v>843</v>
      </c>
      <c r="M4" s="88" t="s">
        <v>844</v>
      </c>
      <c r="N4" s="88" t="s">
        <v>845</v>
      </c>
      <c r="O4" s="88" t="str">
        <f aca="false">B4&amp;"|"&amp;F4</f>
        <v>Total Debt / EBITDA|FDIC</v>
      </c>
      <c r="P4" s="88" t="n">
        <f aca="false">IF(J4="Active",1,0)</f>
        <v>0</v>
      </c>
    </row>
    <row r="5" customFormat="false" ht="35.05" hidden="false" customHeight="false" outlineLevel="0" collapsed="false">
      <c r="A5" s="88" t="s">
        <v>848</v>
      </c>
      <c r="B5" s="88" t="s">
        <v>471</v>
      </c>
      <c r="C5" s="88" t="n">
        <v>4</v>
      </c>
      <c r="D5" s="88" t="s">
        <v>839</v>
      </c>
      <c r="E5" s="88" t="s">
        <v>849</v>
      </c>
      <c r="F5" s="88" t="s">
        <v>77</v>
      </c>
      <c r="G5" s="88" t="s">
        <v>841</v>
      </c>
      <c r="H5" s="89" t="n">
        <v>41354</v>
      </c>
      <c r="I5" s="89" t="n">
        <v>46007</v>
      </c>
      <c r="J5" s="90" t="str">
        <f aca="false">IF(H5="","Unknown (Coverage Gap)",IF(AsOfDate&lt;H5,"Not Yet Effective",IF(AND(I5&lt;&gt;"",AsOfDate&gt;=I5),"Rescinded","Active")))</f>
        <v>Rescinded</v>
      </c>
      <c r="K5" s="88" t="s">
        <v>842</v>
      </c>
      <c r="L5" s="88" t="s">
        <v>843</v>
      </c>
      <c r="M5" s="88" t="s">
        <v>850</v>
      </c>
      <c r="N5" s="88" t="s">
        <v>845</v>
      </c>
      <c r="O5" s="88" t="str">
        <f aca="false">B5&amp;"|"&amp;F5</f>
        <v>Total Debt / EBITDA|OCC</v>
      </c>
      <c r="P5" s="88" t="n">
        <f aca="false">IF(J5="Active",1,0)</f>
        <v>0</v>
      </c>
    </row>
    <row r="6" customFormat="false" ht="35.05" hidden="false" customHeight="false" outlineLevel="0" collapsed="false">
      <c r="A6" s="88" t="s">
        <v>851</v>
      </c>
      <c r="B6" s="88" t="s">
        <v>471</v>
      </c>
      <c r="C6" s="88" t="n">
        <v>4</v>
      </c>
      <c r="D6" s="88" t="s">
        <v>839</v>
      </c>
      <c r="E6" s="88" t="s">
        <v>849</v>
      </c>
      <c r="F6" s="88" t="s">
        <v>103</v>
      </c>
      <c r="G6" s="88" t="s">
        <v>841</v>
      </c>
      <c r="H6" s="89" t="n">
        <v>41354</v>
      </c>
      <c r="I6" s="88"/>
      <c r="J6" s="90" t="str">
        <f aca="false">IF(H6="","Unknown (Coverage Gap)",IF(AsOfDate&lt;H6,"Not Yet Effective",IF(AND(I6&lt;&gt;"",AsOfDate&gt;=I6),"Rescinded","Active")))</f>
        <v>Active</v>
      </c>
      <c r="K6" s="88" t="s">
        <v>842</v>
      </c>
      <c r="L6" s="88" t="s">
        <v>843</v>
      </c>
      <c r="M6" s="88" t="s">
        <v>850</v>
      </c>
      <c r="N6" s="88" t="s">
        <v>845</v>
      </c>
      <c r="O6" s="88" t="str">
        <f aca="false">B6&amp;"|"&amp;F6</f>
        <v>Total Debt / EBITDA|FRB</v>
      </c>
      <c r="P6" s="88" t="n">
        <f aca="false">IF(J6="Active",1,0)</f>
        <v>1</v>
      </c>
    </row>
    <row r="7" customFormat="false" ht="35.05" hidden="false" customHeight="false" outlineLevel="0" collapsed="false">
      <c r="A7" s="88" t="s">
        <v>852</v>
      </c>
      <c r="B7" s="88" t="s">
        <v>471</v>
      </c>
      <c r="C7" s="88" t="n">
        <v>4</v>
      </c>
      <c r="D7" s="88" t="s">
        <v>839</v>
      </c>
      <c r="E7" s="88" t="s">
        <v>849</v>
      </c>
      <c r="F7" s="88" t="s">
        <v>108</v>
      </c>
      <c r="G7" s="88" t="s">
        <v>841</v>
      </c>
      <c r="H7" s="89" t="n">
        <v>41354</v>
      </c>
      <c r="I7" s="89" t="n">
        <v>46007</v>
      </c>
      <c r="J7" s="90" t="str">
        <f aca="false">IF(H7="","Unknown (Coverage Gap)",IF(AsOfDate&lt;H7,"Not Yet Effective",IF(AND(I7&lt;&gt;"",AsOfDate&gt;=I7),"Rescinded","Active")))</f>
        <v>Rescinded</v>
      </c>
      <c r="K7" s="88" t="s">
        <v>842</v>
      </c>
      <c r="L7" s="88" t="s">
        <v>843</v>
      </c>
      <c r="M7" s="88" t="s">
        <v>850</v>
      </c>
      <c r="N7" s="88" t="s">
        <v>845</v>
      </c>
      <c r="O7" s="88" t="str">
        <f aca="false">B7&amp;"|"&amp;F7</f>
        <v>Total Debt / EBITDA|FDIC</v>
      </c>
      <c r="P7" s="88" t="n">
        <f aca="false">IF(J7="Active",1,0)</f>
        <v>0</v>
      </c>
    </row>
    <row r="8" customFormat="false" ht="35.05" hidden="false" customHeight="false" outlineLevel="0" collapsed="false">
      <c r="A8" s="88" t="s">
        <v>853</v>
      </c>
      <c r="B8" s="88" t="s">
        <v>473</v>
      </c>
      <c r="C8" s="88" t="n">
        <v>3</v>
      </c>
      <c r="D8" s="88" t="s">
        <v>839</v>
      </c>
      <c r="E8" s="88" t="s">
        <v>849</v>
      </c>
      <c r="F8" s="88" t="s">
        <v>77</v>
      </c>
      <c r="G8" s="88" t="s">
        <v>841</v>
      </c>
      <c r="H8" s="89" t="n">
        <v>41354</v>
      </c>
      <c r="I8" s="89" t="n">
        <v>46007</v>
      </c>
      <c r="J8" s="90" t="str">
        <f aca="false">IF(H8="","Unknown (Coverage Gap)",IF(AsOfDate&lt;H8,"Not Yet Effective",IF(AND(I8&lt;&gt;"",AsOfDate&gt;=I8),"Rescinded","Active")))</f>
        <v>Rescinded</v>
      </c>
      <c r="K8" s="88" t="s">
        <v>842</v>
      </c>
      <c r="L8" s="88" t="s">
        <v>843</v>
      </c>
      <c r="M8" s="88" t="s">
        <v>850</v>
      </c>
      <c r="N8" s="88" t="s">
        <v>845</v>
      </c>
      <c r="O8" s="88" t="str">
        <f aca="false">B8&amp;"|"&amp;F8</f>
        <v>Senior Debt / EBITDA|OCC</v>
      </c>
      <c r="P8" s="88" t="n">
        <f aca="false">IF(J8="Active",1,0)</f>
        <v>0</v>
      </c>
    </row>
    <row r="9" customFormat="false" ht="35.05" hidden="false" customHeight="false" outlineLevel="0" collapsed="false">
      <c r="A9" s="88" t="s">
        <v>854</v>
      </c>
      <c r="B9" s="88" t="s">
        <v>473</v>
      </c>
      <c r="C9" s="88" t="n">
        <v>3</v>
      </c>
      <c r="D9" s="88" t="s">
        <v>839</v>
      </c>
      <c r="E9" s="88" t="s">
        <v>849</v>
      </c>
      <c r="F9" s="88" t="s">
        <v>103</v>
      </c>
      <c r="G9" s="88" t="s">
        <v>841</v>
      </c>
      <c r="H9" s="89" t="n">
        <v>41354</v>
      </c>
      <c r="I9" s="88"/>
      <c r="J9" s="90" t="str">
        <f aca="false">IF(H9="","Unknown (Coverage Gap)",IF(AsOfDate&lt;H9,"Not Yet Effective",IF(AND(I9&lt;&gt;"",AsOfDate&gt;=I9),"Rescinded","Active")))</f>
        <v>Active</v>
      </c>
      <c r="K9" s="88" t="s">
        <v>842</v>
      </c>
      <c r="L9" s="88" t="s">
        <v>843</v>
      </c>
      <c r="M9" s="88" t="s">
        <v>850</v>
      </c>
      <c r="N9" s="88" t="s">
        <v>845</v>
      </c>
      <c r="O9" s="88" t="str">
        <f aca="false">B9&amp;"|"&amp;F9</f>
        <v>Senior Debt / EBITDA|FRB</v>
      </c>
      <c r="P9" s="88" t="n">
        <f aca="false">IF(J9="Active",1,0)</f>
        <v>1</v>
      </c>
    </row>
    <row r="10" customFormat="false" ht="35.05" hidden="false" customHeight="false" outlineLevel="0" collapsed="false">
      <c r="A10" s="88" t="s">
        <v>855</v>
      </c>
      <c r="B10" s="88" t="s">
        <v>473</v>
      </c>
      <c r="C10" s="88" t="n">
        <v>3</v>
      </c>
      <c r="D10" s="88" t="s">
        <v>839</v>
      </c>
      <c r="E10" s="88" t="s">
        <v>849</v>
      </c>
      <c r="F10" s="88" t="s">
        <v>108</v>
      </c>
      <c r="G10" s="88" t="s">
        <v>841</v>
      </c>
      <c r="H10" s="89" t="n">
        <v>41354</v>
      </c>
      <c r="I10" s="89" t="n">
        <v>46007</v>
      </c>
      <c r="J10" s="90" t="str">
        <f aca="false">IF(H10="","Unknown (Coverage Gap)",IF(AsOfDate&lt;H10,"Not Yet Effective",IF(AND(I10&lt;&gt;"",AsOfDate&gt;=I10),"Rescinded","Active")))</f>
        <v>Rescinded</v>
      </c>
      <c r="K10" s="88" t="s">
        <v>842</v>
      </c>
      <c r="L10" s="88" t="s">
        <v>843</v>
      </c>
      <c r="M10" s="88" t="s">
        <v>850</v>
      </c>
      <c r="N10" s="88" t="s">
        <v>845</v>
      </c>
      <c r="O10" s="88" t="str">
        <f aca="false">B10&amp;"|"&amp;F10</f>
        <v>Senior Debt / EBITDA|FDIC</v>
      </c>
      <c r="P10" s="88" t="n">
        <f aca="false">IF(J10="Active",1,0)</f>
        <v>0</v>
      </c>
    </row>
    <row r="11" customFormat="false" ht="46.25" hidden="false" customHeight="false" outlineLevel="0" collapsed="false">
      <c r="A11" s="88" t="s">
        <v>856</v>
      </c>
      <c r="B11" s="88" t="s">
        <v>857</v>
      </c>
      <c r="C11" s="88" t="n">
        <v>100</v>
      </c>
      <c r="D11" s="88" t="s">
        <v>858</v>
      </c>
      <c r="E11" s="88" t="s">
        <v>840</v>
      </c>
      <c r="F11" s="88" t="s">
        <v>77</v>
      </c>
      <c r="G11" s="88" t="s">
        <v>859</v>
      </c>
      <c r="H11" s="89" t="n">
        <v>39063</v>
      </c>
      <c r="I11" s="88"/>
      <c r="J11" s="90" t="str">
        <f aca="false">IF(H11="","Unknown (Coverage Gap)",IF(AsOfDate&lt;H11,"Not Yet Effective",IF(AND(I11&lt;&gt;"",AsOfDate&gt;=I11),"Rescinded","Active")))</f>
        <v>Active</v>
      </c>
      <c r="K11" s="88" t="s">
        <v>860</v>
      </c>
      <c r="L11" s="88" t="s">
        <v>861</v>
      </c>
      <c r="M11" s="88" t="s">
        <v>862</v>
      </c>
      <c r="N11" s="88" t="s">
        <v>845</v>
      </c>
      <c r="O11" s="88" t="str">
        <f aca="false">B11&amp;"|"&amp;F11</f>
        <v>CLD Concentration / Total Risk-Based Capital|OCC</v>
      </c>
      <c r="P11" s="88" t="n">
        <f aca="false">IF(J11="Active",1,0)</f>
        <v>1</v>
      </c>
    </row>
    <row r="12" customFormat="false" ht="46.25" hidden="false" customHeight="false" outlineLevel="0" collapsed="false">
      <c r="A12" s="88" t="s">
        <v>863</v>
      </c>
      <c r="B12" s="88" t="s">
        <v>857</v>
      </c>
      <c r="C12" s="88" t="n">
        <v>100</v>
      </c>
      <c r="D12" s="88" t="s">
        <v>858</v>
      </c>
      <c r="E12" s="88" t="s">
        <v>840</v>
      </c>
      <c r="F12" s="88" t="s">
        <v>103</v>
      </c>
      <c r="G12" s="88" t="s">
        <v>859</v>
      </c>
      <c r="H12" s="89" t="n">
        <v>39063</v>
      </c>
      <c r="I12" s="88"/>
      <c r="J12" s="90" t="str">
        <f aca="false">IF(H12="","Unknown (Coverage Gap)",IF(AsOfDate&lt;H12,"Not Yet Effective",IF(AND(I12&lt;&gt;"",AsOfDate&gt;=I12),"Rescinded","Active")))</f>
        <v>Active</v>
      </c>
      <c r="K12" s="88" t="s">
        <v>860</v>
      </c>
      <c r="L12" s="88" t="s">
        <v>861</v>
      </c>
      <c r="M12" s="88" t="s">
        <v>862</v>
      </c>
      <c r="N12" s="88" t="s">
        <v>845</v>
      </c>
      <c r="O12" s="88" t="str">
        <f aca="false">B12&amp;"|"&amp;F12</f>
        <v>CLD Concentration / Total Risk-Based Capital|FRB</v>
      </c>
      <c r="P12" s="88" t="n">
        <f aca="false">IF(J12="Active",1,0)</f>
        <v>1</v>
      </c>
    </row>
    <row r="13" customFormat="false" ht="46.25" hidden="false" customHeight="false" outlineLevel="0" collapsed="false">
      <c r="A13" s="88" t="s">
        <v>864</v>
      </c>
      <c r="B13" s="88" t="s">
        <v>857</v>
      </c>
      <c r="C13" s="88" t="n">
        <v>100</v>
      </c>
      <c r="D13" s="88" t="s">
        <v>858</v>
      </c>
      <c r="E13" s="88" t="s">
        <v>840</v>
      </c>
      <c r="F13" s="88" t="s">
        <v>108</v>
      </c>
      <c r="G13" s="88" t="s">
        <v>859</v>
      </c>
      <c r="H13" s="89" t="n">
        <v>39063</v>
      </c>
      <c r="I13" s="88"/>
      <c r="J13" s="90" t="str">
        <f aca="false">IF(H13="","Unknown (Coverage Gap)",IF(AsOfDate&lt;H13,"Not Yet Effective",IF(AND(I13&lt;&gt;"",AsOfDate&gt;=I13),"Rescinded","Active")))</f>
        <v>Active</v>
      </c>
      <c r="K13" s="88" t="s">
        <v>860</v>
      </c>
      <c r="L13" s="88" t="s">
        <v>861</v>
      </c>
      <c r="M13" s="88" t="s">
        <v>862</v>
      </c>
      <c r="N13" s="88" t="s">
        <v>845</v>
      </c>
      <c r="O13" s="88" t="str">
        <f aca="false">B13&amp;"|"&amp;F13</f>
        <v>CLD Concentration / Total Risk-Based Capital|FDIC</v>
      </c>
      <c r="P13" s="88" t="n">
        <f aca="false">IF(J13="Active",1,0)</f>
        <v>1</v>
      </c>
    </row>
    <row r="14" customFormat="false" ht="57.45" hidden="false" customHeight="false" outlineLevel="0" collapsed="false">
      <c r="A14" s="88" t="s">
        <v>865</v>
      </c>
      <c r="B14" s="88" t="s">
        <v>866</v>
      </c>
      <c r="C14" s="88" t="n">
        <v>300</v>
      </c>
      <c r="D14" s="88" t="s">
        <v>858</v>
      </c>
      <c r="E14" s="88" t="s">
        <v>849</v>
      </c>
      <c r="F14" s="88" t="s">
        <v>77</v>
      </c>
      <c r="G14" s="88" t="s">
        <v>859</v>
      </c>
      <c r="H14" s="89" t="n">
        <v>39063</v>
      </c>
      <c r="I14" s="88"/>
      <c r="J14" s="90" t="str">
        <f aca="false">IF(H14="","Unknown (Coverage Gap)",IF(AsOfDate&lt;H14,"Not Yet Effective",IF(AND(I14&lt;&gt;"",AsOfDate&gt;=I14),"Rescinded","Active")))</f>
        <v>Active</v>
      </c>
      <c r="K14" s="88" t="s">
        <v>860</v>
      </c>
      <c r="L14" s="88" t="s">
        <v>861</v>
      </c>
      <c r="M14" s="88" t="s">
        <v>867</v>
      </c>
      <c r="N14" s="88" t="s">
        <v>845</v>
      </c>
      <c r="O14" s="88" t="str">
        <f aca="false">B14&amp;"|"&amp;F14</f>
        <v>Total CRE / Total Risk-Based Capital|OCC</v>
      </c>
      <c r="P14" s="88" t="n">
        <f aca="false">IF(J14="Active",1,0)</f>
        <v>1</v>
      </c>
    </row>
    <row r="15" customFormat="false" ht="57.45" hidden="false" customHeight="false" outlineLevel="0" collapsed="false">
      <c r="A15" s="88" t="s">
        <v>868</v>
      </c>
      <c r="B15" s="88" t="s">
        <v>866</v>
      </c>
      <c r="C15" s="88" t="n">
        <v>300</v>
      </c>
      <c r="D15" s="88" t="s">
        <v>858</v>
      </c>
      <c r="E15" s="88" t="s">
        <v>849</v>
      </c>
      <c r="F15" s="88" t="s">
        <v>103</v>
      </c>
      <c r="G15" s="88" t="s">
        <v>859</v>
      </c>
      <c r="H15" s="89" t="n">
        <v>39063</v>
      </c>
      <c r="I15" s="88"/>
      <c r="J15" s="90" t="str">
        <f aca="false">IF(H15="","Unknown (Coverage Gap)",IF(AsOfDate&lt;H15,"Not Yet Effective",IF(AND(I15&lt;&gt;"",AsOfDate&gt;=I15),"Rescinded","Active")))</f>
        <v>Active</v>
      </c>
      <c r="K15" s="88" t="s">
        <v>860</v>
      </c>
      <c r="L15" s="88" t="s">
        <v>861</v>
      </c>
      <c r="M15" s="88" t="s">
        <v>867</v>
      </c>
      <c r="N15" s="88" t="s">
        <v>845</v>
      </c>
      <c r="O15" s="88" t="str">
        <f aca="false">B15&amp;"|"&amp;F15</f>
        <v>Total CRE / Total Risk-Based Capital|FRB</v>
      </c>
      <c r="P15" s="88" t="n">
        <f aca="false">IF(J15="Active",1,0)</f>
        <v>1</v>
      </c>
    </row>
    <row r="16" customFormat="false" ht="57.45" hidden="false" customHeight="false" outlineLevel="0" collapsed="false">
      <c r="A16" s="88" t="s">
        <v>869</v>
      </c>
      <c r="B16" s="88" t="s">
        <v>866</v>
      </c>
      <c r="C16" s="88" t="n">
        <v>300</v>
      </c>
      <c r="D16" s="88" t="s">
        <v>858</v>
      </c>
      <c r="E16" s="88" t="s">
        <v>849</v>
      </c>
      <c r="F16" s="88" t="s">
        <v>108</v>
      </c>
      <c r="G16" s="88" t="s">
        <v>859</v>
      </c>
      <c r="H16" s="89" t="n">
        <v>39063</v>
      </c>
      <c r="I16" s="88"/>
      <c r="J16" s="90" t="str">
        <f aca="false">IF(H16="","Unknown (Coverage Gap)",IF(AsOfDate&lt;H16,"Not Yet Effective",IF(AND(I16&lt;&gt;"",AsOfDate&gt;=I16),"Rescinded","Active")))</f>
        <v>Active</v>
      </c>
      <c r="K16" s="88" t="s">
        <v>860</v>
      </c>
      <c r="L16" s="88" t="s">
        <v>861</v>
      </c>
      <c r="M16" s="88" t="s">
        <v>867</v>
      </c>
      <c r="N16" s="88" t="s">
        <v>845</v>
      </c>
      <c r="O16" s="88" t="str">
        <f aca="false">B16&amp;"|"&amp;F16</f>
        <v>Total CRE / Total Risk-Based Capital|FDIC</v>
      </c>
      <c r="P16" s="88" t="n">
        <f aca="false">IF(J16="Active",1,0)</f>
        <v>1</v>
      </c>
    </row>
    <row r="17" customFormat="false" ht="57.45" hidden="false" customHeight="false" outlineLevel="0" collapsed="false">
      <c r="A17" s="88" t="s">
        <v>870</v>
      </c>
      <c r="B17" s="88" t="s">
        <v>871</v>
      </c>
      <c r="C17" s="88" t="n">
        <v>50</v>
      </c>
      <c r="D17" s="88" t="s">
        <v>858</v>
      </c>
      <c r="E17" s="88" t="s">
        <v>849</v>
      </c>
      <c r="F17" s="88" t="s">
        <v>77</v>
      </c>
      <c r="G17" s="88" t="s">
        <v>859</v>
      </c>
      <c r="H17" s="89" t="n">
        <v>39063</v>
      </c>
      <c r="I17" s="88"/>
      <c r="J17" s="90" t="str">
        <f aca="false">IF(H17="","Unknown (Coverage Gap)",IF(AsOfDate&lt;H17,"Not Yet Effective",IF(AND(I17&lt;&gt;"",AsOfDate&gt;=I17),"Rescinded","Active")))</f>
        <v>Active</v>
      </c>
      <c r="K17" s="88" t="s">
        <v>860</v>
      </c>
      <c r="L17" s="88" t="s">
        <v>861</v>
      </c>
      <c r="M17" s="88" t="s">
        <v>867</v>
      </c>
      <c r="N17" s="88" t="s">
        <v>845</v>
      </c>
      <c r="O17" s="88" t="str">
        <f aca="false">B17&amp;"|"&amp;F17</f>
        <v>CRE 36-Month Growth Trigger|OCC</v>
      </c>
      <c r="P17" s="88" t="n">
        <f aca="false">IF(J17="Active",1,0)</f>
        <v>1</v>
      </c>
    </row>
    <row r="18" customFormat="false" ht="57.45" hidden="false" customHeight="false" outlineLevel="0" collapsed="false">
      <c r="A18" s="88" t="s">
        <v>872</v>
      </c>
      <c r="B18" s="88" t="s">
        <v>871</v>
      </c>
      <c r="C18" s="88" t="n">
        <v>50</v>
      </c>
      <c r="D18" s="88" t="s">
        <v>858</v>
      </c>
      <c r="E18" s="88" t="s">
        <v>849</v>
      </c>
      <c r="F18" s="88" t="s">
        <v>103</v>
      </c>
      <c r="G18" s="88" t="s">
        <v>859</v>
      </c>
      <c r="H18" s="89" t="n">
        <v>39063</v>
      </c>
      <c r="I18" s="88"/>
      <c r="J18" s="90" t="str">
        <f aca="false">IF(H18="","Unknown (Coverage Gap)",IF(AsOfDate&lt;H18,"Not Yet Effective",IF(AND(I18&lt;&gt;"",AsOfDate&gt;=I18),"Rescinded","Active")))</f>
        <v>Active</v>
      </c>
      <c r="K18" s="88" t="s">
        <v>860</v>
      </c>
      <c r="L18" s="88" t="s">
        <v>861</v>
      </c>
      <c r="M18" s="88" t="s">
        <v>867</v>
      </c>
      <c r="N18" s="88" t="s">
        <v>845</v>
      </c>
      <c r="O18" s="88" t="str">
        <f aca="false">B18&amp;"|"&amp;F18</f>
        <v>CRE 36-Month Growth Trigger|FRB</v>
      </c>
      <c r="P18" s="88" t="n">
        <f aca="false">IF(J18="Active",1,0)</f>
        <v>1</v>
      </c>
    </row>
    <row r="19" customFormat="false" ht="57.45" hidden="false" customHeight="false" outlineLevel="0" collapsed="false">
      <c r="A19" s="88" t="s">
        <v>873</v>
      </c>
      <c r="B19" s="88" t="s">
        <v>871</v>
      </c>
      <c r="C19" s="88" t="n">
        <v>50</v>
      </c>
      <c r="D19" s="88" t="s">
        <v>858</v>
      </c>
      <c r="E19" s="88" t="s">
        <v>849</v>
      </c>
      <c r="F19" s="88" t="s">
        <v>108</v>
      </c>
      <c r="G19" s="88" t="s">
        <v>859</v>
      </c>
      <c r="H19" s="89" t="n">
        <v>39063</v>
      </c>
      <c r="I19" s="88"/>
      <c r="J19" s="90" t="str">
        <f aca="false">IF(H19="","Unknown (Coverage Gap)",IF(AsOfDate&lt;H19,"Not Yet Effective",IF(AND(I19&lt;&gt;"",AsOfDate&gt;=I19),"Rescinded","Active")))</f>
        <v>Active</v>
      </c>
      <c r="K19" s="88" t="s">
        <v>860</v>
      </c>
      <c r="L19" s="88" t="s">
        <v>861</v>
      </c>
      <c r="M19" s="88" t="s">
        <v>867</v>
      </c>
      <c r="N19" s="88" t="s">
        <v>845</v>
      </c>
      <c r="O19" s="88" t="str">
        <f aca="false">B19&amp;"|"&amp;F19</f>
        <v>CRE 36-Month Growth Trigger|FDIC</v>
      </c>
      <c r="P19" s="88" t="n">
        <f aca="false">IF(J19="Active",1,0)</f>
        <v>1</v>
      </c>
    </row>
    <row r="20" customFormat="false" ht="23.85" hidden="false" customHeight="false" outlineLevel="0" collapsed="false">
      <c r="A20" s="88" t="s">
        <v>874</v>
      </c>
      <c r="B20" s="88" t="s">
        <v>875</v>
      </c>
      <c r="C20" s="88" t="n">
        <v>1.25</v>
      </c>
      <c r="D20" s="88" t="s">
        <v>839</v>
      </c>
      <c r="E20" s="88" t="s">
        <v>849</v>
      </c>
      <c r="F20" s="88" t="s">
        <v>116</v>
      </c>
      <c r="G20" s="88" t="s">
        <v>876</v>
      </c>
      <c r="H20" s="89" t="n">
        <v>45292</v>
      </c>
      <c r="I20" s="88"/>
      <c r="J20" s="90" t="str">
        <f aca="false">IF(H20="","Unknown (Coverage Gap)",IF(AsOfDate&lt;H20,"Not Yet Effective",IF(AND(I20&lt;&gt;"",AsOfDate&gt;=I20),"Rescinded","Active")))</f>
        <v>Active</v>
      </c>
      <c r="K20" s="88" t="s">
        <v>877</v>
      </c>
      <c r="L20" s="88" t="s">
        <v>878</v>
      </c>
      <c r="M20" s="88" t="s">
        <v>879</v>
      </c>
      <c r="N20" s="88" t="s">
        <v>845</v>
      </c>
      <c r="O20" s="88" t="str">
        <f aca="false">B20&amp;"|"&amp;F20</f>
        <v>Minimum DSCR|Internal</v>
      </c>
      <c r="P20" s="88" t="n">
        <f aca="false">IF(J20="Active",1,0)</f>
        <v>1</v>
      </c>
    </row>
    <row r="21" customFormat="false" ht="23.85" hidden="false" customHeight="false" outlineLevel="0" collapsed="false">
      <c r="A21" s="88" t="s">
        <v>880</v>
      </c>
      <c r="B21" s="88" t="s">
        <v>881</v>
      </c>
      <c r="C21" s="88" t="n">
        <v>75</v>
      </c>
      <c r="D21" s="88" t="s">
        <v>858</v>
      </c>
      <c r="E21" s="88" t="s">
        <v>849</v>
      </c>
      <c r="F21" s="88" t="s">
        <v>116</v>
      </c>
      <c r="G21" s="88" t="s">
        <v>876</v>
      </c>
      <c r="H21" s="89" t="n">
        <v>45292</v>
      </c>
      <c r="I21" s="88"/>
      <c r="J21" s="90" t="str">
        <f aca="false">IF(H21="","Unknown (Coverage Gap)",IF(AsOfDate&lt;H21,"Not Yet Effective",IF(AND(I21&lt;&gt;"",AsOfDate&gt;=I21),"Rescinded","Active")))</f>
        <v>Active</v>
      </c>
      <c r="K21" s="88" t="s">
        <v>877</v>
      </c>
      <c r="L21" s="88" t="s">
        <v>878</v>
      </c>
      <c r="M21" s="88" t="s">
        <v>882</v>
      </c>
      <c r="N21" s="88" t="s">
        <v>845</v>
      </c>
      <c r="O21" s="88" t="str">
        <f aca="false">B21&amp;"|"&amp;F21</f>
        <v>Maximum LTV|Internal</v>
      </c>
      <c r="P21" s="88" t="n">
        <f aca="false">IF(J21="Active",1,0)</f>
        <v>1</v>
      </c>
    </row>
    <row r="22" customFormat="false" ht="23.85" hidden="false" customHeight="false" outlineLevel="0" collapsed="false">
      <c r="A22" s="88" t="s">
        <v>883</v>
      </c>
      <c r="B22" s="88" t="s">
        <v>884</v>
      </c>
      <c r="C22" s="88" t="n">
        <v>85</v>
      </c>
      <c r="D22" s="88" t="s">
        <v>858</v>
      </c>
      <c r="E22" s="88" t="s">
        <v>849</v>
      </c>
      <c r="F22" s="88" t="s">
        <v>116</v>
      </c>
      <c r="G22" s="88" t="s">
        <v>876</v>
      </c>
      <c r="H22" s="89" t="n">
        <v>45292</v>
      </c>
      <c r="I22" s="88"/>
      <c r="J22" s="90" t="str">
        <f aca="false">IF(H22="","Unknown (Coverage Gap)",IF(AsOfDate&lt;H22,"Not Yet Effective",IF(AND(I22&lt;&gt;"",AsOfDate&gt;=I22),"Rescinded","Active")))</f>
        <v>Active</v>
      </c>
      <c r="K22" s="88" t="s">
        <v>877</v>
      </c>
      <c r="L22" s="88" t="s">
        <v>885</v>
      </c>
      <c r="M22" s="88" t="s">
        <v>886</v>
      </c>
      <c r="N22" s="88" t="s">
        <v>845</v>
      </c>
      <c r="O22" s="88" t="str">
        <f aca="false">B22&amp;"|"&amp;F22</f>
        <v>Maximum Advance Rate (Eligible AR)|Internal</v>
      </c>
      <c r="P22" s="88" t="n">
        <f aca="false">IF(J22="Active",1,0)</f>
        <v>1</v>
      </c>
    </row>
    <row r="23" customFormat="false" ht="23.85" hidden="false" customHeight="false" outlineLevel="0" collapsed="false">
      <c r="A23" s="88" t="s">
        <v>887</v>
      </c>
      <c r="B23" s="88" t="s">
        <v>888</v>
      </c>
      <c r="C23" s="88" t="n">
        <v>60</v>
      </c>
      <c r="D23" s="88" t="s">
        <v>858</v>
      </c>
      <c r="E23" s="88" t="s">
        <v>849</v>
      </c>
      <c r="F23" s="88" t="s">
        <v>116</v>
      </c>
      <c r="G23" s="88" t="s">
        <v>876</v>
      </c>
      <c r="H23" s="89" t="n">
        <v>45292</v>
      </c>
      <c r="I23" s="88"/>
      <c r="J23" s="90" t="str">
        <f aca="false">IF(H23="","Unknown (Coverage Gap)",IF(AsOfDate&lt;H23,"Not Yet Effective",IF(AND(I23&lt;&gt;"",AsOfDate&gt;=I23),"Rescinded","Active")))</f>
        <v>Active</v>
      </c>
      <c r="K23" s="88" t="s">
        <v>877</v>
      </c>
      <c r="L23" s="88" t="s">
        <v>885</v>
      </c>
      <c r="M23" s="88" t="s">
        <v>889</v>
      </c>
      <c r="N23" s="88" t="s">
        <v>845</v>
      </c>
      <c r="O23" s="88" t="str">
        <f aca="false">B23&amp;"|"&amp;F23</f>
        <v>Maximum Advance Rate (Eligible Inventory)|Internal</v>
      </c>
      <c r="P23" s="88" t="n">
        <f aca="false">IF(J23="Active",1,0)</f>
        <v>1</v>
      </c>
    </row>
  </sheetData>
  <printOptions headings="false" gridLines="false" gridLinesSet="true" horizontalCentered="false" verticalCentered="false"/>
  <pageMargins left="0.4" right="0.4" top="0.5" bottom="0.5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BF8F00"/>
    <pageSetUpPr fitToPage="true"/>
  </sheetPr>
  <dimension ref="A1:N1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1" width="13"/>
    <col collapsed="false" customWidth="true" hidden="false" outlineLevel="0" max="3" min="2" style="1" width="22"/>
    <col collapsed="false" customWidth="true" hidden="false" outlineLevel="0" max="4" min="4" style="1" width="12"/>
    <col collapsed="false" customWidth="true" hidden="false" outlineLevel="0" max="5" min="5" style="1" width="28"/>
    <col collapsed="false" customWidth="true" hidden="false" outlineLevel="0" max="6" min="6" style="1" width="30"/>
    <col collapsed="false" customWidth="true" hidden="false" outlineLevel="0" max="7" min="7" style="1" width="7"/>
    <col collapsed="false" customWidth="true" hidden="false" outlineLevel="0" max="8" min="8" style="1" width="18"/>
    <col collapsed="false" customWidth="true" hidden="false" outlineLevel="0" max="9" min="9" style="1" width="10"/>
    <col collapsed="false" customWidth="true" hidden="false" outlineLevel="0" max="10" min="10" style="1" width="14"/>
    <col collapsed="false" customWidth="true" hidden="false" outlineLevel="0" max="11" min="11" style="1" width="24"/>
    <col collapsed="false" customWidth="true" hidden="false" outlineLevel="0" max="12" min="12" style="1" width="14"/>
    <col collapsed="false" customWidth="true" hidden="false" outlineLevel="0" max="13" min="13" style="1" width="60"/>
    <col collapsed="false" customWidth="true" hidden="false" outlineLevel="0" max="14" min="14" style="1" width="26"/>
  </cols>
  <sheetData>
    <row r="1" customFormat="false" ht="30" hidden="false" customHeight="true" outlineLevel="0" collapsed="false">
      <c r="A1" s="87" t="s">
        <v>824</v>
      </c>
      <c r="B1" s="87" t="s">
        <v>425</v>
      </c>
      <c r="C1" s="87" t="s">
        <v>890</v>
      </c>
      <c r="D1" s="87" t="s">
        <v>91</v>
      </c>
      <c r="E1" s="87" t="s">
        <v>891</v>
      </c>
      <c r="F1" s="87" t="s">
        <v>892</v>
      </c>
      <c r="G1" s="87" t="s">
        <v>826</v>
      </c>
      <c r="H1" s="87" t="s">
        <v>893</v>
      </c>
      <c r="I1" s="87" t="s">
        <v>465</v>
      </c>
      <c r="J1" s="87" t="s">
        <v>894</v>
      </c>
      <c r="K1" s="87" t="s">
        <v>832</v>
      </c>
      <c r="L1" s="87" t="s">
        <v>833</v>
      </c>
      <c r="M1" s="87" t="s">
        <v>834</v>
      </c>
      <c r="N1" s="87" t="s">
        <v>835</v>
      </c>
    </row>
    <row r="2" customFormat="false" ht="35.05" hidden="false" customHeight="false" outlineLevel="0" collapsed="false">
      <c r="A2" s="88" t="s">
        <v>895</v>
      </c>
      <c r="B2" s="88" t="s">
        <v>426</v>
      </c>
      <c r="C2" s="88"/>
      <c r="D2" s="88" t="s">
        <v>896</v>
      </c>
      <c r="E2" s="88" t="s">
        <v>425</v>
      </c>
      <c r="F2" s="88" t="s">
        <v>426</v>
      </c>
      <c r="G2" s="88" t="s">
        <v>897</v>
      </c>
      <c r="H2" s="88"/>
      <c r="I2" s="88" t="str">
        <f aca="false">IF(AND(ISNUMBER(F2),ISNUMBER(H2)),H2-F2,"")</f>
        <v/>
      </c>
      <c r="J2" s="88"/>
      <c r="K2" s="88" t="s">
        <v>898</v>
      </c>
      <c r="L2" s="88" t="s">
        <v>899</v>
      </c>
      <c r="M2" s="88" t="s">
        <v>900</v>
      </c>
      <c r="N2" s="88"/>
    </row>
    <row r="3" customFormat="false" ht="35.05" hidden="false" customHeight="false" outlineLevel="0" collapsed="false">
      <c r="A3" s="88" t="s">
        <v>901</v>
      </c>
      <c r="B3" s="88" t="s">
        <v>426</v>
      </c>
      <c r="C3" s="88"/>
      <c r="D3" s="88" t="s">
        <v>902</v>
      </c>
      <c r="E3" s="88" t="s">
        <v>890</v>
      </c>
      <c r="F3" s="88" t="s">
        <v>903</v>
      </c>
      <c r="G3" s="88" t="s">
        <v>897</v>
      </c>
      <c r="H3" s="88"/>
      <c r="I3" s="88" t="str">
        <f aca="false">IF(AND(ISNUMBER(F3),ISNUMBER(H3)),H3-F3,"")</f>
        <v/>
      </c>
      <c r="J3" s="88"/>
      <c r="K3" s="88" t="s">
        <v>898</v>
      </c>
      <c r="L3" s="88" t="s">
        <v>899</v>
      </c>
      <c r="M3" s="88" t="s">
        <v>904</v>
      </c>
      <c r="N3" s="88"/>
    </row>
    <row r="4" customFormat="false" ht="35.05" hidden="false" customHeight="false" outlineLevel="0" collapsed="false">
      <c r="A4" s="88" t="s">
        <v>905</v>
      </c>
      <c r="B4" s="88" t="s">
        <v>426</v>
      </c>
      <c r="C4" s="88"/>
      <c r="D4" s="88" t="s">
        <v>906</v>
      </c>
      <c r="E4" s="88" t="s">
        <v>907</v>
      </c>
      <c r="F4" s="88" t="s">
        <v>908</v>
      </c>
      <c r="G4" s="88" t="s">
        <v>897</v>
      </c>
      <c r="H4" s="88"/>
      <c r="I4" s="88" t="str">
        <f aca="false">IF(AND(ISNUMBER(F4),ISNUMBER(H4)),H4-F4,"")</f>
        <v/>
      </c>
      <c r="J4" s="88"/>
      <c r="K4" s="88" t="s">
        <v>898</v>
      </c>
      <c r="L4" s="88" t="s">
        <v>899</v>
      </c>
      <c r="M4" s="88" t="s">
        <v>909</v>
      </c>
      <c r="N4" s="88"/>
    </row>
    <row r="5" customFormat="false" ht="23.85" hidden="false" customHeight="false" outlineLevel="0" collapsed="false">
      <c r="A5" s="88" t="s">
        <v>910</v>
      </c>
      <c r="B5" s="88" t="s">
        <v>426</v>
      </c>
      <c r="C5" s="88"/>
      <c r="D5" s="88" t="s">
        <v>911</v>
      </c>
      <c r="E5" s="88" t="s">
        <v>912</v>
      </c>
      <c r="F5" s="88" t="s">
        <v>913</v>
      </c>
      <c r="G5" s="88" t="s">
        <v>897</v>
      </c>
      <c r="H5" s="88"/>
      <c r="I5" s="88" t="str">
        <f aca="false">IF(AND(ISNUMBER(F5),ISNUMBER(H5)),H5-F5,"")</f>
        <v/>
      </c>
      <c r="J5" s="88"/>
      <c r="K5" s="88" t="s">
        <v>898</v>
      </c>
      <c r="L5" s="88" t="s">
        <v>914</v>
      </c>
      <c r="M5" s="88" t="s">
        <v>915</v>
      </c>
      <c r="N5" s="88"/>
    </row>
    <row r="6" customFormat="false" ht="35.05" hidden="false" customHeight="false" outlineLevel="0" collapsed="false">
      <c r="A6" s="88" t="s">
        <v>916</v>
      </c>
      <c r="B6" s="88" t="s">
        <v>426</v>
      </c>
      <c r="C6" s="88"/>
      <c r="D6" s="88" t="s">
        <v>917</v>
      </c>
      <c r="E6" s="88" t="s">
        <v>918</v>
      </c>
      <c r="F6" s="88" t="s">
        <v>919</v>
      </c>
      <c r="G6" s="88" t="s">
        <v>897</v>
      </c>
      <c r="H6" s="88"/>
      <c r="I6" s="88" t="str">
        <f aca="false">IF(AND(ISNUMBER(F6),ISNUMBER(H6)),H6-F6,"")</f>
        <v/>
      </c>
      <c r="J6" s="88"/>
      <c r="K6" s="88" t="s">
        <v>898</v>
      </c>
      <c r="L6" s="88" t="s">
        <v>914</v>
      </c>
      <c r="M6" s="88" t="s">
        <v>920</v>
      </c>
      <c r="N6" s="88"/>
    </row>
    <row r="7" customFormat="false" ht="23.85" hidden="false" customHeight="false" outlineLevel="0" collapsed="false">
      <c r="A7" s="88" t="s">
        <v>921</v>
      </c>
      <c r="B7" s="88" t="s">
        <v>426</v>
      </c>
      <c r="C7" s="88"/>
      <c r="D7" s="88" t="s">
        <v>922</v>
      </c>
      <c r="E7" s="88" t="s">
        <v>923</v>
      </c>
      <c r="F7" s="88" t="n">
        <v>3.8</v>
      </c>
      <c r="G7" s="88" t="s">
        <v>839</v>
      </c>
      <c r="H7" s="88" t="n">
        <v>3.8</v>
      </c>
      <c r="I7" s="88" t="n">
        <f aca="false">IF(AND(ISNUMBER(F7),ISNUMBER(H7)),H7-F7,"")</f>
        <v>0</v>
      </c>
      <c r="J7" s="88" t="s">
        <v>924</v>
      </c>
      <c r="K7" s="88" t="s">
        <v>898</v>
      </c>
      <c r="L7" s="88" t="s">
        <v>925</v>
      </c>
      <c r="M7" s="88" t="s">
        <v>926</v>
      </c>
      <c r="N7" s="88"/>
    </row>
    <row r="8" customFormat="false" ht="23.85" hidden="false" customHeight="false" outlineLevel="0" collapsed="false">
      <c r="A8" s="88" t="s">
        <v>927</v>
      </c>
      <c r="B8" s="88" t="s">
        <v>426</v>
      </c>
      <c r="C8" s="88"/>
      <c r="D8" s="88" t="s">
        <v>922</v>
      </c>
      <c r="E8" s="88" t="s">
        <v>928</v>
      </c>
      <c r="F8" s="88" t="n">
        <v>2.9</v>
      </c>
      <c r="G8" s="88" t="s">
        <v>839</v>
      </c>
      <c r="H8" s="88" t="n">
        <v>2.9</v>
      </c>
      <c r="I8" s="88" t="n">
        <f aca="false">IF(AND(ISNUMBER(F8),ISNUMBER(H8)),H8-F8,"")</f>
        <v>0</v>
      </c>
      <c r="J8" s="88" t="s">
        <v>924</v>
      </c>
      <c r="K8" s="88" t="s">
        <v>898</v>
      </c>
      <c r="L8" s="88" t="s">
        <v>925</v>
      </c>
      <c r="M8" s="88" t="s">
        <v>929</v>
      </c>
      <c r="N8" s="88"/>
    </row>
    <row r="9" customFormat="false" ht="23.85" hidden="false" customHeight="false" outlineLevel="0" collapsed="false">
      <c r="A9" s="88" t="s">
        <v>930</v>
      </c>
      <c r="B9" s="88" t="s">
        <v>426</v>
      </c>
      <c r="C9" s="88"/>
      <c r="D9" s="88" t="s">
        <v>922</v>
      </c>
      <c r="E9" s="88" t="s">
        <v>931</v>
      </c>
      <c r="F9" s="88" t="n">
        <v>1.25</v>
      </c>
      <c r="G9" s="88" t="s">
        <v>839</v>
      </c>
      <c r="H9" s="88"/>
      <c r="I9" s="88" t="str">
        <f aca="false">IF(AND(ISNUMBER(F9),ISNUMBER(H9)),H9-F9,"")</f>
        <v/>
      </c>
      <c r="J9" s="88"/>
      <c r="K9" s="88" t="s">
        <v>898</v>
      </c>
      <c r="L9" s="88" t="s">
        <v>925</v>
      </c>
      <c r="M9" s="88" t="s">
        <v>932</v>
      </c>
      <c r="N9" s="88"/>
    </row>
    <row r="10" customFormat="false" ht="35.05" hidden="false" customHeight="false" outlineLevel="0" collapsed="false">
      <c r="A10" s="88" t="s">
        <v>933</v>
      </c>
      <c r="B10" s="88" t="s">
        <v>426</v>
      </c>
      <c r="C10" s="88"/>
      <c r="D10" s="88" t="s">
        <v>922</v>
      </c>
      <c r="E10" s="88" t="s">
        <v>934</v>
      </c>
      <c r="F10" s="88" t="n">
        <v>3.6</v>
      </c>
      <c r="G10" s="88" t="s">
        <v>839</v>
      </c>
      <c r="H10" s="88" t="n">
        <v>5.03</v>
      </c>
      <c r="I10" s="88" t="n">
        <f aca="false">IF(AND(ISNUMBER(F10),ISNUMBER(H10)),H10-F10,"")</f>
        <v>1.43</v>
      </c>
      <c r="J10" s="88" t="s">
        <v>935</v>
      </c>
      <c r="K10" s="88" t="s">
        <v>898</v>
      </c>
      <c r="L10" s="88" t="s">
        <v>925</v>
      </c>
      <c r="M10" s="88" t="s">
        <v>936</v>
      </c>
      <c r="N10" s="88" t="s">
        <v>937</v>
      </c>
    </row>
    <row r="11" customFormat="false" ht="23.85" hidden="false" customHeight="false" outlineLevel="0" collapsed="false">
      <c r="A11" s="88" t="s">
        <v>938</v>
      </c>
      <c r="B11" s="88" t="s">
        <v>426</v>
      </c>
      <c r="C11" s="88"/>
      <c r="D11" s="88" t="s">
        <v>922</v>
      </c>
      <c r="E11" s="88" t="s">
        <v>939</v>
      </c>
      <c r="F11" s="88" t="n">
        <v>1.7</v>
      </c>
      <c r="G11" s="88" t="s">
        <v>839</v>
      </c>
      <c r="H11" s="88"/>
      <c r="I11" s="88" t="str">
        <f aca="false">IF(AND(ISNUMBER(F11),ISNUMBER(H11)),H11-F11,"")</f>
        <v/>
      </c>
      <c r="J11" s="88"/>
      <c r="K11" s="88" t="s">
        <v>898</v>
      </c>
      <c r="L11" s="88" t="s">
        <v>925</v>
      </c>
      <c r="M11" s="88" t="s">
        <v>940</v>
      </c>
      <c r="N11" s="88"/>
    </row>
    <row r="12" customFormat="false" ht="35.05" hidden="false" customHeight="false" outlineLevel="0" collapsed="false">
      <c r="A12" s="88" t="s">
        <v>941</v>
      </c>
      <c r="B12" s="88" t="s">
        <v>426</v>
      </c>
      <c r="C12" s="88"/>
      <c r="D12" s="88" t="s">
        <v>922</v>
      </c>
      <c r="E12" s="88" t="s">
        <v>942</v>
      </c>
      <c r="F12" s="88" t="n">
        <v>1.55</v>
      </c>
      <c r="G12" s="88" t="s">
        <v>839</v>
      </c>
      <c r="H12" s="88" t="n">
        <v>1.46</v>
      </c>
      <c r="I12" s="88" t="n">
        <f aca="false">IF(AND(ISNUMBER(F12),ISNUMBER(H12)),H12-F12,"")</f>
        <v>-0.0900000000000001</v>
      </c>
      <c r="J12" s="88" t="s">
        <v>935</v>
      </c>
      <c r="K12" s="88" t="s">
        <v>898</v>
      </c>
      <c r="L12" s="88" t="s">
        <v>925</v>
      </c>
      <c r="M12" s="88" t="s">
        <v>943</v>
      </c>
      <c r="N12" s="88" t="s">
        <v>937</v>
      </c>
    </row>
    <row r="13" customFormat="false" ht="46.25" hidden="false" customHeight="false" outlineLevel="0" collapsed="false">
      <c r="A13" s="88" t="s">
        <v>944</v>
      </c>
      <c r="B13" s="88" t="s">
        <v>426</v>
      </c>
      <c r="C13" s="88"/>
      <c r="D13" s="88" t="s">
        <v>945</v>
      </c>
      <c r="E13" s="88" t="s">
        <v>946</v>
      </c>
      <c r="F13" s="88" t="s">
        <v>947</v>
      </c>
      <c r="G13" s="88" t="s">
        <v>897</v>
      </c>
      <c r="H13" s="88"/>
      <c r="I13" s="88" t="str">
        <f aca="false">IF(AND(ISNUMBER(F13),ISNUMBER(H13)),H13-F13,"")</f>
        <v/>
      </c>
      <c r="J13" s="88"/>
      <c r="K13" s="88" t="s">
        <v>898</v>
      </c>
      <c r="L13" s="88" t="s">
        <v>948</v>
      </c>
      <c r="M13" s="88" t="s">
        <v>947</v>
      </c>
      <c r="N13" s="88"/>
    </row>
  </sheetData>
  <printOptions headings="false" gridLines="false" gridLinesSet="true" horizontalCentered="false" verticalCentered="false"/>
  <pageMargins left="0.4" right="0.4" top="0.5" bottom="0.5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00000"/>
    <pageSetUpPr fitToPage="true"/>
  </sheetPr>
  <dimension ref="A1:Q2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1" width="13"/>
    <col collapsed="false" customWidth="true" hidden="false" outlineLevel="0" max="2" min="2" style="1" width="30"/>
    <col collapsed="false" customWidth="true" hidden="false" outlineLevel="0" max="3" min="3" style="1" width="12"/>
    <col collapsed="false" customWidth="true" hidden="false" outlineLevel="0" max="4" min="4" style="1" width="7"/>
    <col collapsed="false" customWidth="true" hidden="false" outlineLevel="0" max="5" min="5" style="1" width="24"/>
    <col collapsed="false" customWidth="true" hidden="false" outlineLevel="0" max="6" min="6" style="1" width="9"/>
    <col collapsed="false" customWidth="true" hidden="false" outlineLevel="0" max="7" min="7" style="1" width="22"/>
    <col collapsed="false" customWidth="true" hidden="false" outlineLevel="0" max="9" min="8" style="1" width="12"/>
    <col collapsed="false" customWidth="true" hidden="false" outlineLevel="0" max="10" min="10" style="1" width="13"/>
    <col collapsed="false" customWidth="true" hidden="false" outlineLevel="0" max="11" min="11" style="1" width="11"/>
    <col collapsed="false" customWidth="true" hidden="false" outlineLevel="0" max="12" min="12" style="1" width="26"/>
    <col collapsed="false" customWidth="true" hidden="false" outlineLevel="0" max="13" min="13" style="1" width="16"/>
    <col collapsed="false" customWidth="true" hidden="false" outlineLevel="0" max="14" min="14" style="1" width="60"/>
    <col collapsed="false" customWidth="true" hidden="false" outlineLevel="0" max="15" min="15" style="1" width="30"/>
    <col collapsed="false" customWidth="true" hidden="false" outlineLevel="0" max="16" min="16" style="1" width="16"/>
    <col collapsed="false" customWidth="true" hidden="false" outlineLevel="0" max="17" min="17" style="1" width="26"/>
  </cols>
  <sheetData>
    <row r="1" customFormat="false" ht="30" hidden="false" customHeight="true" outlineLevel="0" collapsed="false">
      <c r="A1" s="87" t="s">
        <v>824</v>
      </c>
      <c r="B1" s="87" t="s">
        <v>825</v>
      </c>
      <c r="C1" s="87" t="s">
        <v>949</v>
      </c>
      <c r="D1" s="87" t="s">
        <v>826</v>
      </c>
      <c r="E1" s="87" t="s">
        <v>827</v>
      </c>
      <c r="F1" s="87" t="s">
        <v>808</v>
      </c>
      <c r="G1" s="87" t="s">
        <v>828</v>
      </c>
      <c r="H1" s="87" t="s">
        <v>829</v>
      </c>
      <c r="I1" s="87" t="s">
        <v>830</v>
      </c>
      <c r="J1" s="87" t="s">
        <v>88</v>
      </c>
      <c r="K1" s="87" t="s">
        <v>950</v>
      </c>
      <c r="L1" s="87" t="s">
        <v>832</v>
      </c>
      <c r="M1" s="87" t="s">
        <v>833</v>
      </c>
      <c r="N1" s="87" t="s">
        <v>834</v>
      </c>
      <c r="O1" s="87" t="s">
        <v>951</v>
      </c>
      <c r="P1" s="87" t="s">
        <v>952</v>
      </c>
      <c r="Q1" s="87" t="s">
        <v>835</v>
      </c>
    </row>
    <row r="2" customFormat="false" ht="35.05" hidden="false" customHeight="false" outlineLevel="0" collapsed="false">
      <c r="A2" s="88" t="s">
        <v>838</v>
      </c>
      <c r="B2" s="88" t="s">
        <v>471</v>
      </c>
      <c r="C2" s="88" t="n">
        <v>6</v>
      </c>
      <c r="D2" s="88" t="s">
        <v>839</v>
      </c>
      <c r="E2" s="88" t="s">
        <v>840</v>
      </c>
      <c r="F2" s="88" t="s">
        <v>77</v>
      </c>
      <c r="G2" s="88" t="s">
        <v>841</v>
      </c>
      <c r="H2" s="89" t="n">
        <v>41354</v>
      </c>
      <c r="I2" s="89" t="n">
        <v>46007</v>
      </c>
      <c r="J2" s="88" t="s">
        <v>953</v>
      </c>
      <c r="K2" s="88" t="s">
        <v>99</v>
      </c>
      <c r="L2" s="88" t="s">
        <v>842</v>
      </c>
      <c r="M2" s="88" t="s">
        <v>843</v>
      </c>
      <c r="N2" s="88" t="s">
        <v>844</v>
      </c>
      <c r="O2" s="88" t="s">
        <v>954</v>
      </c>
      <c r="P2" s="88" t="s">
        <v>955</v>
      </c>
      <c r="Q2" s="88" t="s">
        <v>845</v>
      </c>
    </row>
    <row r="3" customFormat="false" ht="35.05" hidden="false" customHeight="false" outlineLevel="0" collapsed="false">
      <c r="A3" s="88" t="s">
        <v>846</v>
      </c>
      <c r="B3" s="88" t="s">
        <v>471</v>
      </c>
      <c r="C3" s="88" t="n">
        <v>6</v>
      </c>
      <c r="D3" s="88" t="s">
        <v>839</v>
      </c>
      <c r="E3" s="88" t="s">
        <v>840</v>
      </c>
      <c r="F3" s="88" t="s">
        <v>103</v>
      </c>
      <c r="G3" s="88" t="s">
        <v>841</v>
      </c>
      <c r="H3" s="89" t="n">
        <v>41354</v>
      </c>
      <c r="I3" s="88"/>
      <c r="J3" s="88" t="s">
        <v>953</v>
      </c>
      <c r="K3" s="88" t="s">
        <v>99</v>
      </c>
      <c r="L3" s="88" t="s">
        <v>842</v>
      </c>
      <c r="M3" s="88" t="s">
        <v>843</v>
      </c>
      <c r="N3" s="88" t="s">
        <v>844</v>
      </c>
      <c r="O3" s="88"/>
      <c r="P3" s="88" t="s">
        <v>955</v>
      </c>
      <c r="Q3" s="88" t="s">
        <v>845</v>
      </c>
    </row>
    <row r="4" customFormat="false" ht="35.05" hidden="false" customHeight="false" outlineLevel="0" collapsed="false">
      <c r="A4" s="88" t="s">
        <v>847</v>
      </c>
      <c r="B4" s="88" t="s">
        <v>471</v>
      </c>
      <c r="C4" s="88" t="n">
        <v>6</v>
      </c>
      <c r="D4" s="88" t="s">
        <v>839</v>
      </c>
      <c r="E4" s="88" t="s">
        <v>840</v>
      </c>
      <c r="F4" s="88" t="s">
        <v>108</v>
      </c>
      <c r="G4" s="88" t="s">
        <v>841</v>
      </c>
      <c r="H4" s="89" t="n">
        <v>41354</v>
      </c>
      <c r="I4" s="89" t="n">
        <v>46007</v>
      </c>
      <c r="J4" s="88" t="s">
        <v>953</v>
      </c>
      <c r="K4" s="88" t="s">
        <v>99</v>
      </c>
      <c r="L4" s="88" t="s">
        <v>842</v>
      </c>
      <c r="M4" s="88" t="s">
        <v>843</v>
      </c>
      <c r="N4" s="88" t="s">
        <v>844</v>
      </c>
      <c r="O4" s="88" t="s">
        <v>956</v>
      </c>
      <c r="P4" s="88" t="s">
        <v>955</v>
      </c>
      <c r="Q4" s="88" t="s">
        <v>845</v>
      </c>
    </row>
    <row r="5" customFormat="false" ht="35.05" hidden="false" customHeight="false" outlineLevel="0" collapsed="false">
      <c r="A5" s="88" t="s">
        <v>848</v>
      </c>
      <c r="B5" s="88" t="s">
        <v>471</v>
      </c>
      <c r="C5" s="88" t="n">
        <v>4</v>
      </c>
      <c r="D5" s="88" t="s">
        <v>839</v>
      </c>
      <c r="E5" s="88" t="s">
        <v>849</v>
      </c>
      <c r="F5" s="88" t="s">
        <v>77</v>
      </c>
      <c r="G5" s="88" t="s">
        <v>841</v>
      </c>
      <c r="H5" s="89" t="n">
        <v>41354</v>
      </c>
      <c r="I5" s="89" t="n">
        <v>46007</v>
      </c>
      <c r="J5" s="88" t="s">
        <v>953</v>
      </c>
      <c r="K5" s="88" t="s">
        <v>99</v>
      </c>
      <c r="L5" s="88" t="s">
        <v>842</v>
      </c>
      <c r="M5" s="88" t="s">
        <v>843</v>
      </c>
      <c r="N5" s="88" t="s">
        <v>850</v>
      </c>
      <c r="O5" s="88" t="s">
        <v>954</v>
      </c>
      <c r="P5" s="88" t="s">
        <v>955</v>
      </c>
      <c r="Q5" s="88" t="s">
        <v>845</v>
      </c>
    </row>
    <row r="6" customFormat="false" ht="35.05" hidden="false" customHeight="false" outlineLevel="0" collapsed="false">
      <c r="A6" s="88" t="s">
        <v>851</v>
      </c>
      <c r="B6" s="88" t="s">
        <v>471</v>
      </c>
      <c r="C6" s="88" t="n">
        <v>4</v>
      </c>
      <c r="D6" s="88" t="s">
        <v>839</v>
      </c>
      <c r="E6" s="88" t="s">
        <v>849</v>
      </c>
      <c r="F6" s="88" t="s">
        <v>103</v>
      </c>
      <c r="G6" s="88" t="s">
        <v>841</v>
      </c>
      <c r="H6" s="89" t="n">
        <v>41354</v>
      </c>
      <c r="I6" s="88"/>
      <c r="J6" s="88" t="s">
        <v>953</v>
      </c>
      <c r="K6" s="88" t="s">
        <v>99</v>
      </c>
      <c r="L6" s="88" t="s">
        <v>842</v>
      </c>
      <c r="M6" s="88" t="s">
        <v>843</v>
      </c>
      <c r="N6" s="88" t="s">
        <v>850</v>
      </c>
      <c r="O6" s="88"/>
      <c r="P6" s="88" t="s">
        <v>955</v>
      </c>
      <c r="Q6" s="88" t="s">
        <v>845</v>
      </c>
    </row>
    <row r="7" customFormat="false" ht="35.05" hidden="false" customHeight="false" outlineLevel="0" collapsed="false">
      <c r="A7" s="88" t="s">
        <v>852</v>
      </c>
      <c r="B7" s="88" t="s">
        <v>471</v>
      </c>
      <c r="C7" s="88" t="n">
        <v>4</v>
      </c>
      <c r="D7" s="88" t="s">
        <v>839</v>
      </c>
      <c r="E7" s="88" t="s">
        <v>849</v>
      </c>
      <c r="F7" s="88" t="s">
        <v>108</v>
      </c>
      <c r="G7" s="88" t="s">
        <v>841</v>
      </c>
      <c r="H7" s="89" t="n">
        <v>41354</v>
      </c>
      <c r="I7" s="89" t="n">
        <v>46007</v>
      </c>
      <c r="J7" s="88" t="s">
        <v>953</v>
      </c>
      <c r="K7" s="88" t="s">
        <v>99</v>
      </c>
      <c r="L7" s="88" t="s">
        <v>842</v>
      </c>
      <c r="M7" s="88" t="s">
        <v>843</v>
      </c>
      <c r="N7" s="88" t="s">
        <v>850</v>
      </c>
      <c r="O7" s="88" t="s">
        <v>956</v>
      </c>
      <c r="P7" s="88" t="s">
        <v>955</v>
      </c>
      <c r="Q7" s="88" t="s">
        <v>845</v>
      </c>
    </row>
    <row r="8" customFormat="false" ht="35.05" hidden="false" customHeight="false" outlineLevel="0" collapsed="false">
      <c r="A8" s="88" t="s">
        <v>853</v>
      </c>
      <c r="B8" s="88" t="s">
        <v>473</v>
      </c>
      <c r="C8" s="88" t="n">
        <v>3</v>
      </c>
      <c r="D8" s="88" t="s">
        <v>839</v>
      </c>
      <c r="E8" s="88" t="s">
        <v>849</v>
      </c>
      <c r="F8" s="88" t="s">
        <v>77</v>
      </c>
      <c r="G8" s="88" t="s">
        <v>841</v>
      </c>
      <c r="H8" s="89" t="n">
        <v>41354</v>
      </c>
      <c r="I8" s="89" t="n">
        <v>46007</v>
      </c>
      <c r="J8" s="88" t="s">
        <v>953</v>
      </c>
      <c r="K8" s="88" t="s">
        <v>99</v>
      </c>
      <c r="L8" s="88" t="s">
        <v>842</v>
      </c>
      <c r="M8" s="88" t="s">
        <v>843</v>
      </c>
      <c r="N8" s="88" t="s">
        <v>850</v>
      </c>
      <c r="O8" s="88" t="s">
        <v>954</v>
      </c>
      <c r="P8" s="88" t="s">
        <v>955</v>
      </c>
      <c r="Q8" s="88" t="s">
        <v>845</v>
      </c>
    </row>
    <row r="9" customFormat="false" ht="35.05" hidden="false" customHeight="false" outlineLevel="0" collapsed="false">
      <c r="A9" s="88" t="s">
        <v>854</v>
      </c>
      <c r="B9" s="88" t="s">
        <v>473</v>
      </c>
      <c r="C9" s="88" t="n">
        <v>3</v>
      </c>
      <c r="D9" s="88" t="s">
        <v>839</v>
      </c>
      <c r="E9" s="88" t="s">
        <v>849</v>
      </c>
      <c r="F9" s="88" t="s">
        <v>103</v>
      </c>
      <c r="G9" s="88" t="s">
        <v>841</v>
      </c>
      <c r="H9" s="89" t="n">
        <v>41354</v>
      </c>
      <c r="I9" s="88"/>
      <c r="J9" s="88" t="s">
        <v>953</v>
      </c>
      <c r="K9" s="88" t="s">
        <v>99</v>
      </c>
      <c r="L9" s="88" t="s">
        <v>842</v>
      </c>
      <c r="M9" s="88" t="s">
        <v>843</v>
      </c>
      <c r="N9" s="88" t="s">
        <v>850</v>
      </c>
      <c r="O9" s="88"/>
      <c r="P9" s="88" t="s">
        <v>955</v>
      </c>
      <c r="Q9" s="88" t="s">
        <v>845</v>
      </c>
    </row>
    <row r="10" customFormat="false" ht="35.05" hidden="false" customHeight="false" outlineLevel="0" collapsed="false">
      <c r="A10" s="88" t="s">
        <v>855</v>
      </c>
      <c r="B10" s="88" t="s">
        <v>473</v>
      </c>
      <c r="C10" s="88" t="n">
        <v>3</v>
      </c>
      <c r="D10" s="88" t="s">
        <v>839</v>
      </c>
      <c r="E10" s="88" t="s">
        <v>849</v>
      </c>
      <c r="F10" s="88" t="s">
        <v>108</v>
      </c>
      <c r="G10" s="88" t="s">
        <v>841</v>
      </c>
      <c r="H10" s="89" t="n">
        <v>41354</v>
      </c>
      <c r="I10" s="89" t="n">
        <v>46007</v>
      </c>
      <c r="J10" s="88" t="s">
        <v>953</v>
      </c>
      <c r="K10" s="88" t="s">
        <v>99</v>
      </c>
      <c r="L10" s="88" t="s">
        <v>842</v>
      </c>
      <c r="M10" s="88" t="s">
        <v>843</v>
      </c>
      <c r="N10" s="88" t="s">
        <v>850</v>
      </c>
      <c r="O10" s="88" t="s">
        <v>956</v>
      </c>
      <c r="P10" s="88" t="s">
        <v>955</v>
      </c>
      <c r="Q10" s="88" t="s">
        <v>845</v>
      </c>
    </row>
    <row r="11" customFormat="false" ht="35.05" hidden="false" customHeight="false" outlineLevel="0" collapsed="false">
      <c r="A11" s="88" t="s">
        <v>957</v>
      </c>
      <c r="B11" s="88" t="s">
        <v>958</v>
      </c>
      <c r="C11" s="88" t="n">
        <v>50</v>
      </c>
      <c r="D11" s="88" t="s">
        <v>959</v>
      </c>
      <c r="E11" s="88" t="s">
        <v>849</v>
      </c>
      <c r="F11" s="88" t="s">
        <v>77</v>
      </c>
      <c r="G11" s="88" t="s">
        <v>841</v>
      </c>
      <c r="H11" s="89" t="n">
        <v>41354</v>
      </c>
      <c r="I11" s="89" t="n">
        <v>46007</v>
      </c>
      <c r="J11" s="88" t="s">
        <v>953</v>
      </c>
      <c r="K11" s="88" t="s">
        <v>105</v>
      </c>
      <c r="L11" s="88" t="s">
        <v>842</v>
      </c>
      <c r="M11" s="88" t="s">
        <v>960</v>
      </c>
      <c r="N11" s="88" t="s">
        <v>961</v>
      </c>
      <c r="O11" s="88" t="s">
        <v>954</v>
      </c>
      <c r="P11" s="88" t="s">
        <v>962</v>
      </c>
      <c r="Q11" s="88"/>
    </row>
    <row r="12" customFormat="false" ht="35.05" hidden="false" customHeight="false" outlineLevel="0" collapsed="false">
      <c r="A12" s="88" t="s">
        <v>963</v>
      </c>
      <c r="B12" s="88" t="s">
        <v>958</v>
      </c>
      <c r="C12" s="88" t="n">
        <v>50</v>
      </c>
      <c r="D12" s="88" t="s">
        <v>959</v>
      </c>
      <c r="E12" s="88" t="s">
        <v>849</v>
      </c>
      <c r="F12" s="88" t="s">
        <v>103</v>
      </c>
      <c r="G12" s="88" t="s">
        <v>841</v>
      </c>
      <c r="H12" s="89" t="n">
        <v>41354</v>
      </c>
      <c r="I12" s="88"/>
      <c r="J12" s="88" t="s">
        <v>953</v>
      </c>
      <c r="K12" s="88" t="s">
        <v>105</v>
      </c>
      <c r="L12" s="88" t="s">
        <v>842</v>
      </c>
      <c r="M12" s="88" t="s">
        <v>960</v>
      </c>
      <c r="N12" s="88" t="s">
        <v>961</v>
      </c>
      <c r="O12" s="88"/>
      <c r="P12" s="88" t="s">
        <v>962</v>
      </c>
      <c r="Q12" s="88"/>
    </row>
    <row r="13" customFormat="false" ht="35.05" hidden="false" customHeight="false" outlineLevel="0" collapsed="false">
      <c r="A13" s="88" t="s">
        <v>964</v>
      </c>
      <c r="B13" s="88" t="s">
        <v>958</v>
      </c>
      <c r="C13" s="88" t="n">
        <v>50</v>
      </c>
      <c r="D13" s="88" t="s">
        <v>959</v>
      </c>
      <c r="E13" s="88" t="s">
        <v>849</v>
      </c>
      <c r="F13" s="88" t="s">
        <v>108</v>
      </c>
      <c r="G13" s="88" t="s">
        <v>841</v>
      </c>
      <c r="H13" s="89" t="n">
        <v>41354</v>
      </c>
      <c r="I13" s="89" t="n">
        <v>46007</v>
      </c>
      <c r="J13" s="88" t="s">
        <v>953</v>
      </c>
      <c r="K13" s="88" t="s">
        <v>105</v>
      </c>
      <c r="L13" s="88" t="s">
        <v>842</v>
      </c>
      <c r="M13" s="88" t="s">
        <v>960</v>
      </c>
      <c r="N13" s="88" t="s">
        <v>961</v>
      </c>
      <c r="O13" s="88" t="s">
        <v>956</v>
      </c>
      <c r="P13" s="88" t="s">
        <v>962</v>
      </c>
      <c r="Q13" s="88"/>
    </row>
    <row r="14" customFormat="false" ht="46.25" hidden="false" customHeight="false" outlineLevel="0" collapsed="false">
      <c r="A14" s="88" t="s">
        <v>856</v>
      </c>
      <c r="B14" s="88" t="s">
        <v>857</v>
      </c>
      <c r="C14" s="88" t="n">
        <v>100</v>
      </c>
      <c r="D14" s="88" t="s">
        <v>858</v>
      </c>
      <c r="E14" s="88" t="s">
        <v>840</v>
      </c>
      <c r="F14" s="88" t="s">
        <v>77</v>
      </c>
      <c r="G14" s="88" t="s">
        <v>859</v>
      </c>
      <c r="H14" s="89" t="n">
        <v>39063</v>
      </c>
      <c r="I14" s="88"/>
      <c r="J14" s="88" t="s">
        <v>953</v>
      </c>
      <c r="K14" s="88" t="s">
        <v>99</v>
      </c>
      <c r="L14" s="88" t="s">
        <v>860</v>
      </c>
      <c r="M14" s="88" t="s">
        <v>861</v>
      </c>
      <c r="N14" s="88" t="s">
        <v>862</v>
      </c>
      <c r="O14" s="88"/>
      <c r="P14" s="88" t="s">
        <v>955</v>
      </c>
      <c r="Q14" s="88" t="s">
        <v>845</v>
      </c>
    </row>
    <row r="15" customFormat="false" ht="46.25" hidden="false" customHeight="false" outlineLevel="0" collapsed="false">
      <c r="A15" s="88" t="s">
        <v>863</v>
      </c>
      <c r="B15" s="88" t="s">
        <v>857</v>
      </c>
      <c r="C15" s="88" t="n">
        <v>100</v>
      </c>
      <c r="D15" s="88" t="s">
        <v>858</v>
      </c>
      <c r="E15" s="88" t="s">
        <v>840</v>
      </c>
      <c r="F15" s="88" t="s">
        <v>103</v>
      </c>
      <c r="G15" s="88" t="s">
        <v>859</v>
      </c>
      <c r="H15" s="89" t="n">
        <v>39063</v>
      </c>
      <c r="I15" s="88"/>
      <c r="J15" s="88" t="s">
        <v>953</v>
      </c>
      <c r="K15" s="88" t="s">
        <v>99</v>
      </c>
      <c r="L15" s="88" t="s">
        <v>860</v>
      </c>
      <c r="M15" s="88" t="s">
        <v>861</v>
      </c>
      <c r="N15" s="88" t="s">
        <v>862</v>
      </c>
      <c r="O15" s="88"/>
      <c r="P15" s="88" t="s">
        <v>955</v>
      </c>
      <c r="Q15" s="88" t="s">
        <v>845</v>
      </c>
    </row>
    <row r="16" customFormat="false" ht="46.25" hidden="false" customHeight="false" outlineLevel="0" collapsed="false">
      <c r="A16" s="88" t="s">
        <v>864</v>
      </c>
      <c r="B16" s="88" t="s">
        <v>857</v>
      </c>
      <c r="C16" s="88" t="n">
        <v>100</v>
      </c>
      <c r="D16" s="88" t="s">
        <v>858</v>
      </c>
      <c r="E16" s="88" t="s">
        <v>840</v>
      </c>
      <c r="F16" s="88" t="s">
        <v>108</v>
      </c>
      <c r="G16" s="88" t="s">
        <v>859</v>
      </c>
      <c r="H16" s="89" t="n">
        <v>39063</v>
      </c>
      <c r="I16" s="88"/>
      <c r="J16" s="88" t="s">
        <v>953</v>
      </c>
      <c r="K16" s="88" t="s">
        <v>99</v>
      </c>
      <c r="L16" s="88" t="s">
        <v>860</v>
      </c>
      <c r="M16" s="88" t="s">
        <v>861</v>
      </c>
      <c r="N16" s="88" t="s">
        <v>862</v>
      </c>
      <c r="O16" s="88"/>
      <c r="P16" s="88" t="s">
        <v>955</v>
      </c>
      <c r="Q16" s="88" t="s">
        <v>845</v>
      </c>
    </row>
    <row r="17" customFormat="false" ht="57.45" hidden="false" customHeight="false" outlineLevel="0" collapsed="false">
      <c r="A17" s="88" t="s">
        <v>865</v>
      </c>
      <c r="B17" s="88" t="s">
        <v>866</v>
      </c>
      <c r="C17" s="88" t="n">
        <v>300</v>
      </c>
      <c r="D17" s="88" t="s">
        <v>858</v>
      </c>
      <c r="E17" s="88" t="s">
        <v>849</v>
      </c>
      <c r="F17" s="88" t="s">
        <v>77</v>
      </c>
      <c r="G17" s="88" t="s">
        <v>859</v>
      </c>
      <c r="H17" s="89" t="n">
        <v>39063</v>
      </c>
      <c r="I17" s="88"/>
      <c r="J17" s="88" t="s">
        <v>953</v>
      </c>
      <c r="K17" s="88" t="s">
        <v>99</v>
      </c>
      <c r="L17" s="88" t="s">
        <v>860</v>
      </c>
      <c r="M17" s="88" t="s">
        <v>861</v>
      </c>
      <c r="N17" s="88" t="s">
        <v>867</v>
      </c>
      <c r="O17" s="88"/>
      <c r="P17" s="88" t="s">
        <v>955</v>
      </c>
      <c r="Q17" s="88" t="s">
        <v>845</v>
      </c>
    </row>
    <row r="18" customFormat="false" ht="57.45" hidden="false" customHeight="false" outlineLevel="0" collapsed="false">
      <c r="A18" s="88" t="s">
        <v>868</v>
      </c>
      <c r="B18" s="88" t="s">
        <v>866</v>
      </c>
      <c r="C18" s="88" t="n">
        <v>300</v>
      </c>
      <c r="D18" s="88" t="s">
        <v>858</v>
      </c>
      <c r="E18" s="88" t="s">
        <v>849</v>
      </c>
      <c r="F18" s="88" t="s">
        <v>103</v>
      </c>
      <c r="G18" s="88" t="s">
        <v>859</v>
      </c>
      <c r="H18" s="89" t="n">
        <v>39063</v>
      </c>
      <c r="I18" s="88"/>
      <c r="J18" s="88" t="s">
        <v>953</v>
      </c>
      <c r="K18" s="88" t="s">
        <v>99</v>
      </c>
      <c r="L18" s="88" t="s">
        <v>860</v>
      </c>
      <c r="M18" s="88" t="s">
        <v>861</v>
      </c>
      <c r="N18" s="88" t="s">
        <v>867</v>
      </c>
      <c r="O18" s="88"/>
      <c r="P18" s="88" t="s">
        <v>955</v>
      </c>
      <c r="Q18" s="88" t="s">
        <v>845</v>
      </c>
    </row>
    <row r="19" customFormat="false" ht="57.45" hidden="false" customHeight="false" outlineLevel="0" collapsed="false">
      <c r="A19" s="88" t="s">
        <v>869</v>
      </c>
      <c r="B19" s="88" t="s">
        <v>866</v>
      </c>
      <c r="C19" s="88" t="n">
        <v>300</v>
      </c>
      <c r="D19" s="88" t="s">
        <v>858</v>
      </c>
      <c r="E19" s="88" t="s">
        <v>849</v>
      </c>
      <c r="F19" s="88" t="s">
        <v>108</v>
      </c>
      <c r="G19" s="88" t="s">
        <v>859</v>
      </c>
      <c r="H19" s="89" t="n">
        <v>39063</v>
      </c>
      <c r="I19" s="88"/>
      <c r="J19" s="88" t="s">
        <v>953</v>
      </c>
      <c r="K19" s="88" t="s">
        <v>99</v>
      </c>
      <c r="L19" s="88" t="s">
        <v>860</v>
      </c>
      <c r="M19" s="88" t="s">
        <v>861</v>
      </c>
      <c r="N19" s="88" t="s">
        <v>867</v>
      </c>
      <c r="O19" s="88"/>
      <c r="P19" s="88" t="s">
        <v>955</v>
      </c>
      <c r="Q19" s="88" t="s">
        <v>845</v>
      </c>
    </row>
    <row r="20" customFormat="false" ht="57.45" hidden="false" customHeight="false" outlineLevel="0" collapsed="false">
      <c r="A20" s="88" t="s">
        <v>870</v>
      </c>
      <c r="B20" s="88" t="s">
        <v>871</v>
      </c>
      <c r="C20" s="88" t="n">
        <v>50</v>
      </c>
      <c r="D20" s="88" t="s">
        <v>858</v>
      </c>
      <c r="E20" s="88" t="s">
        <v>849</v>
      </c>
      <c r="F20" s="88" t="s">
        <v>77</v>
      </c>
      <c r="G20" s="88" t="s">
        <v>859</v>
      </c>
      <c r="H20" s="89" t="n">
        <v>39063</v>
      </c>
      <c r="I20" s="88"/>
      <c r="J20" s="88" t="s">
        <v>953</v>
      </c>
      <c r="K20" s="88" t="s">
        <v>99</v>
      </c>
      <c r="L20" s="88" t="s">
        <v>860</v>
      </c>
      <c r="M20" s="88" t="s">
        <v>861</v>
      </c>
      <c r="N20" s="88" t="s">
        <v>867</v>
      </c>
      <c r="O20" s="88"/>
      <c r="P20" s="88" t="s">
        <v>955</v>
      </c>
      <c r="Q20" s="88" t="s">
        <v>845</v>
      </c>
    </row>
    <row r="21" customFormat="false" ht="57.45" hidden="false" customHeight="false" outlineLevel="0" collapsed="false">
      <c r="A21" s="88" t="s">
        <v>872</v>
      </c>
      <c r="B21" s="88" t="s">
        <v>871</v>
      </c>
      <c r="C21" s="88" t="n">
        <v>50</v>
      </c>
      <c r="D21" s="88" t="s">
        <v>858</v>
      </c>
      <c r="E21" s="88" t="s">
        <v>849</v>
      </c>
      <c r="F21" s="88" t="s">
        <v>103</v>
      </c>
      <c r="G21" s="88" t="s">
        <v>859</v>
      </c>
      <c r="H21" s="89" t="n">
        <v>39063</v>
      </c>
      <c r="I21" s="88"/>
      <c r="J21" s="88" t="s">
        <v>953</v>
      </c>
      <c r="K21" s="88" t="s">
        <v>99</v>
      </c>
      <c r="L21" s="88" t="s">
        <v>860</v>
      </c>
      <c r="M21" s="88" t="s">
        <v>861</v>
      </c>
      <c r="N21" s="88" t="s">
        <v>867</v>
      </c>
      <c r="O21" s="88"/>
      <c r="P21" s="88" t="s">
        <v>955</v>
      </c>
      <c r="Q21" s="88" t="s">
        <v>845</v>
      </c>
    </row>
    <row r="22" customFormat="false" ht="57.45" hidden="false" customHeight="false" outlineLevel="0" collapsed="false">
      <c r="A22" s="88" t="s">
        <v>873</v>
      </c>
      <c r="B22" s="88" t="s">
        <v>871</v>
      </c>
      <c r="C22" s="88" t="n">
        <v>50</v>
      </c>
      <c r="D22" s="88" t="s">
        <v>858</v>
      </c>
      <c r="E22" s="88" t="s">
        <v>849</v>
      </c>
      <c r="F22" s="88" t="s">
        <v>108</v>
      </c>
      <c r="G22" s="88" t="s">
        <v>859</v>
      </c>
      <c r="H22" s="89" t="n">
        <v>39063</v>
      </c>
      <c r="I22" s="88"/>
      <c r="J22" s="88" t="s">
        <v>953</v>
      </c>
      <c r="K22" s="88" t="s">
        <v>99</v>
      </c>
      <c r="L22" s="88" t="s">
        <v>860</v>
      </c>
      <c r="M22" s="88" t="s">
        <v>861</v>
      </c>
      <c r="N22" s="88" t="s">
        <v>867</v>
      </c>
      <c r="O22" s="88"/>
      <c r="P22" s="88" t="s">
        <v>955</v>
      </c>
      <c r="Q22" s="88" t="s">
        <v>845</v>
      </c>
    </row>
    <row r="23" customFormat="false" ht="23.85" hidden="false" customHeight="false" outlineLevel="0" collapsed="false">
      <c r="A23" s="88" t="s">
        <v>874</v>
      </c>
      <c r="B23" s="88" t="s">
        <v>875</v>
      </c>
      <c r="C23" s="88" t="n">
        <v>1.25</v>
      </c>
      <c r="D23" s="88" t="s">
        <v>839</v>
      </c>
      <c r="E23" s="88" t="s">
        <v>849</v>
      </c>
      <c r="F23" s="88" t="s">
        <v>116</v>
      </c>
      <c r="G23" s="88" t="s">
        <v>876</v>
      </c>
      <c r="H23" s="89" t="n">
        <v>45292</v>
      </c>
      <c r="I23" s="88"/>
      <c r="J23" s="88" t="s">
        <v>953</v>
      </c>
      <c r="K23" s="88" t="s">
        <v>99</v>
      </c>
      <c r="L23" s="88" t="s">
        <v>877</v>
      </c>
      <c r="M23" s="88" t="s">
        <v>878</v>
      </c>
      <c r="N23" s="88" t="s">
        <v>879</v>
      </c>
      <c r="O23" s="88"/>
      <c r="P23" s="88" t="s">
        <v>955</v>
      </c>
      <c r="Q23" s="88" t="s">
        <v>845</v>
      </c>
    </row>
    <row r="24" customFormat="false" ht="23.85" hidden="false" customHeight="false" outlineLevel="0" collapsed="false">
      <c r="A24" s="88" t="s">
        <v>880</v>
      </c>
      <c r="B24" s="88" t="s">
        <v>881</v>
      </c>
      <c r="C24" s="88" t="n">
        <v>75</v>
      </c>
      <c r="D24" s="88" t="s">
        <v>858</v>
      </c>
      <c r="E24" s="88" t="s">
        <v>849</v>
      </c>
      <c r="F24" s="88" t="s">
        <v>116</v>
      </c>
      <c r="G24" s="88" t="s">
        <v>876</v>
      </c>
      <c r="H24" s="89" t="n">
        <v>45292</v>
      </c>
      <c r="I24" s="88"/>
      <c r="J24" s="88" t="s">
        <v>953</v>
      </c>
      <c r="K24" s="88" t="s">
        <v>99</v>
      </c>
      <c r="L24" s="88" t="s">
        <v>877</v>
      </c>
      <c r="M24" s="88" t="s">
        <v>878</v>
      </c>
      <c r="N24" s="88" t="s">
        <v>882</v>
      </c>
      <c r="O24" s="88"/>
      <c r="P24" s="88" t="s">
        <v>955</v>
      </c>
      <c r="Q24" s="88" t="s">
        <v>845</v>
      </c>
    </row>
    <row r="25" customFormat="false" ht="23.85" hidden="false" customHeight="false" outlineLevel="0" collapsed="false">
      <c r="A25" s="88" t="s">
        <v>883</v>
      </c>
      <c r="B25" s="88" t="s">
        <v>884</v>
      </c>
      <c r="C25" s="88" t="n">
        <v>85</v>
      </c>
      <c r="D25" s="88" t="s">
        <v>858</v>
      </c>
      <c r="E25" s="88" t="s">
        <v>849</v>
      </c>
      <c r="F25" s="88" t="s">
        <v>116</v>
      </c>
      <c r="G25" s="88" t="s">
        <v>876</v>
      </c>
      <c r="H25" s="89" t="n">
        <v>45292</v>
      </c>
      <c r="I25" s="88"/>
      <c r="J25" s="88" t="s">
        <v>953</v>
      </c>
      <c r="K25" s="88" t="s">
        <v>99</v>
      </c>
      <c r="L25" s="88" t="s">
        <v>877</v>
      </c>
      <c r="M25" s="88" t="s">
        <v>885</v>
      </c>
      <c r="N25" s="88" t="s">
        <v>886</v>
      </c>
      <c r="O25" s="88"/>
      <c r="P25" s="88" t="s">
        <v>955</v>
      </c>
      <c r="Q25" s="88" t="s">
        <v>845</v>
      </c>
    </row>
    <row r="26" customFormat="false" ht="23.85" hidden="false" customHeight="false" outlineLevel="0" collapsed="false">
      <c r="A26" s="88" t="s">
        <v>887</v>
      </c>
      <c r="B26" s="88" t="s">
        <v>888</v>
      </c>
      <c r="C26" s="88" t="n">
        <v>60</v>
      </c>
      <c r="D26" s="88" t="s">
        <v>858</v>
      </c>
      <c r="E26" s="88" t="s">
        <v>849</v>
      </c>
      <c r="F26" s="88" t="s">
        <v>116</v>
      </c>
      <c r="G26" s="88" t="s">
        <v>876</v>
      </c>
      <c r="H26" s="89" t="n">
        <v>45292</v>
      </c>
      <c r="I26" s="88"/>
      <c r="J26" s="88" t="s">
        <v>953</v>
      </c>
      <c r="K26" s="88" t="s">
        <v>99</v>
      </c>
      <c r="L26" s="88" t="s">
        <v>877</v>
      </c>
      <c r="M26" s="88" t="s">
        <v>885</v>
      </c>
      <c r="N26" s="88" t="s">
        <v>889</v>
      </c>
      <c r="O26" s="88"/>
      <c r="P26" s="88" t="s">
        <v>955</v>
      </c>
      <c r="Q26" s="88" t="s">
        <v>845</v>
      </c>
    </row>
  </sheetData>
  <conditionalFormatting sqref="A2:Q500">
    <cfRule type="expression" priority="2" aboveAverage="0" equalAverage="0" bottom="0" percent="0" rank="0" text="" dxfId="5">
      <formula>$K2="Low"</formula>
    </cfRule>
    <cfRule type="expression" priority="3" aboveAverage="0" equalAverage="0" bottom="0" percent="0" rank="0" text="" dxfId="10">
      <formula>$J2="Coverage Gap"</formula>
    </cfRule>
  </conditionalFormatting>
  <dataValidations count="1">
    <dataValidation allowBlank="false" errorStyle="stop" operator="between" showDropDown="false" showErrorMessage="false" showInputMessage="false" sqref="P2:P500" type="list">
      <formula1>"Pending,Confirmed,Rejected"</formula1>
      <formula2>0</formula2>
    </dataValidation>
  </dataValidations>
  <printOptions headings="false" gridLines="false" gridLinesSet="true" horizontalCentered="false" verticalCentered="false"/>
  <pageMargins left="0.4" right="0.4" top="0.5" bottom="0.5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00000"/>
    <pageSetUpPr fitToPage="true"/>
  </sheetPr>
  <dimension ref="A1:Q1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1" width="13"/>
    <col collapsed="false" customWidth="true" hidden="false" outlineLevel="0" max="3" min="2" style="1" width="22"/>
    <col collapsed="false" customWidth="true" hidden="false" outlineLevel="0" max="4" min="4" style="1" width="12"/>
    <col collapsed="false" customWidth="true" hidden="false" outlineLevel="0" max="5" min="5" style="1" width="28"/>
    <col collapsed="false" customWidth="true" hidden="false" outlineLevel="0" max="6" min="6" style="1" width="34"/>
    <col collapsed="false" customWidth="true" hidden="false" outlineLevel="0" max="7" min="7" style="1" width="7"/>
    <col collapsed="false" customWidth="true" hidden="false" outlineLevel="0" max="8" min="8" style="1" width="24"/>
    <col collapsed="false" customWidth="true" hidden="false" outlineLevel="0" max="9" min="9" style="1" width="14"/>
    <col collapsed="false" customWidth="true" hidden="false" outlineLevel="0" max="10" min="10" style="1" width="60"/>
    <col collapsed="false" customWidth="true" hidden="false" outlineLevel="0" max="11" min="11" style="1" width="11"/>
    <col collapsed="false" customWidth="true" hidden="false" outlineLevel="0" max="12" min="12" style="1" width="28"/>
    <col collapsed="false" customWidth="true" hidden="false" outlineLevel="0" max="13" min="13" style="1" width="18"/>
    <col collapsed="false" customWidth="true" hidden="false" outlineLevel="0" max="14" min="14" style="1" width="10"/>
    <col collapsed="false" customWidth="true" hidden="false" outlineLevel="0" max="15" min="15" style="1" width="14"/>
    <col collapsed="false" customWidth="true" hidden="false" outlineLevel="0" max="16" min="16" style="1" width="16"/>
    <col collapsed="false" customWidth="true" hidden="false" outlineLevel="0" max="17" min="17" style="1" width="26"/>
  </cols>
  <sheetData>
    <row r="1" customFormat="false" ht="30" hidden="false" customHeight="true" outlineLevel="0" collapsed="false">
      <c r="A1" s="87" t="s">
        <v>824</v>
      </c>
      <c r="B1" s="87" t="s">
        <v>425</v>
      </c>
      <c r="C1" s="87" t="s">
        <v>890</v>
      </c>
      <c r="D1" s="87" t="s">
        <v>91</v>
      </c>
      <c r="E1" s="87" t="s">
        <v>891</v>
      </c>
      <c r="F1" s="87" t="s">
        <v>892</v>
      </c>
      <c r="G1" s="87" t="s">
        <v>826</v>
      </c>
      <c r="H1" s="87" t="s">
        <v>832</v>
      </c>
      <c r="I1" s="87" t="s">
        <v>833</v>
      </c>
      <c r="J1" s="87" t="s">
        <v>834</v>
      </c>
      <c r="K1" s="87" t="s">
        <v>950</v>
      </c>
      <c r="L1" s="87" t="s">
        <v>951</v>
      </c>
      <c r="M1" s="87" t="s">
        <v>893</v>
      </c>
      <c r="N1" s="87" t="s">
        <v>465</v>
      </c>
      <c r="O1" s="87" t="s">
        <v>894</v>
      </c>
      <c r="P1" s="87" t="s">
        <v>952</v>
      </c>
      <c r="Q1" s="87" t="s">
        <v>835</v>
      </c>
    </row>
    <row r="2" customFormat="false" ht="35.05" hidden="false" customHeight="false" outlineLevel="0" collapsed="false">
      <c r="A2" s="88" t="s">
        <v>895</v>
      </c>
      <c r="B2" s="88" t="s">
        <v>426</v>
      </c>
      <c r="C2" s="88"/>
      <c r="D2" s="88" t="s">
        <v>896</v>
      </c>
      <c r="E2" s="88" t="s">
        <v>425</v>
      </c>
      <c r="F2" s="88" t="s">
        <v>426</v>
      </c>
      <c r="G2" s="88" t="s">
        <v>897</v>
      </c>
      <c r="H2" s="88" t="s">
        <v>898</v>
      </c>
      <c r="I2" s="88" t="s">
        <v>899</v>
      </c>
      <c r="J2" s="88" t="s">
        <v>900</v>
      </c>
      <c r="K2" s="88" t="s">
        <v>99</v>
      </c>
      <c r="L2" s="88"/>
      <c r="M2" s="88"/>
      <c r="N2" s="88" t="str">
        <f aca="false">IF(AND(ISNUMBER(F2),ISNUMBER(M2)),M2-F2,"")</f>
        <v/>
      </c>
      <c r="O2" s="88"/>
      <c r="P2" s="88" t="s">
        <v>955</v>
      </c>
      <c r="Q2" s="88"/>
    </row>
    <row r="3" customFormat="false" ht="35.05" hidden="false" customHeight="false" outlineLevel="0" collapsed="false">
      <c r="A3" s="88" t="s">
        <v>901</v>
      </c>
      <c r="B3" s="88" t="s">
        <v>426</v>
      </c>
      <c r="C3" s="88"/>
      <c r="D3" s="88" t="s">
        <v>902</v>
      </c>
      <c r="E3" s="88" t="s">
        <v>890</v>
      </c>
      <c r="F3" s="88" t="s">
        <v>903</v>
      </c>
      <c r="G3" s="88" t="s">
        <v>897</v>
      </c>
      <c r="H3" s="88" t="s">
        <v>898</v>
      </c>
      <c r="I3" s="88" t="s">
        <v>899</v>
      </c>
      <c r="J3" s="88" t="s">
        <v>904</v>
      </c>
      <c r="K3" s="88" t="s">
        <v>99</v>
      </c>
      <c r="L3" s="88"/>
      <c r="M3" s="88"/>
      <c r="N3" s="88" t="str">
        <f aca="false">IF(AND(ISNUMBER(F3),ISNUMBER(M3)),M3-F3,"")</f>
        <v/>
      </c>
      <c r="O3" s="88"/>
      <c r="P3" s="88" t="s">
        <v>955</v>
      </c>
      <c r="Q3" s="88"/>
    </row>
    <row r="4" customFormat="false" ht="35.05" hidden="false" customHeight="false" outlineLevel="0" collapsed="false">
      <c r="A4" s="88" t="s">
        <v>905</v>
      </c>
      <c r="B4" s="88" t="s">
        <v>426</v>
      </c>
      <c r="C4" s="88"/>
      <c r="D4" s="88" t="s">
        <v>906</v>
      </c>
      <c r="E4" s="88" t="s">
        <v>907</v>
      </c>
      <c r="F4" s="88" t="s">
        <v>908</v>
      </c>
      <c r="G4" s="88" t="s">
        <v>897</v>
      </c>
      <c r="H4" s="88" t="s">
        <v>898</v>
      </c>
      <c r="I4" s="88" t="s">
        <v>899</v>
      </c>
      <c r="J4" s="88" t="s">
        <v>909</v>
      </c>
      <c r="K4" s="88" t="s">
        <v>99</v>
      </c>
      <c r="L4" s="88"/>
      <c r="M4" s="88"/>
      <c r="N4" s="88" t="str">
        <f aca="false">IF(AND(ISNUMBER(F4),ISNUMBER(M4)),M4-F4,"")</f>
        <v/>
      </c>
      <c r="O4" s="88"/>
      <c r="P4" s="88" t="s">
        <v>955</v>
      </c>
      <c r="Q4" s="88"/>
    </row>
    <row r="5" customFormat="false" ht="23.85" hidden="false" customHeight="false" outlineLevel="0" collapsed="false">
      <c r="A5" s="88" t="s">
        <v>910</v>
      </c>
      <c r="B5" s="88" t="s">
        <v>426</v>
      </c>
      <c r="C5" s="88"/>
      <c r="D5" s="88" t="s">
        <v>911</v>
      </c>
      <c r="E5" s="88" t="s">
        <v>912</v>
      </c>
      <c r="F5" s="88" t="s">
        <v>913</v>
      </c>
      <c r="G5" s="88" t="s">
        <v>897</v>
      </c>
      <c r="H5" s="88" t="s">
        <v>898</v>
      </c>
      <c r="I5" s="88" t="s">
        <v>914</v>
      </c>
      <c r="J5" s="88" t="s">
        <v>915</v>
      </c>
      <c r="K5" s="88" t="s">
        <v>99</v>
      </c>
      <c r="L5" s="88"/>
      <c r="M5" s="88"/>
      <c r="N5" s="88" t="str">
        <f aca="false">IF(AND(ISNUMBER(F5),ISNUMBER(M5)),M5-F5,"")</f>
        <v/>
      </c>
      <c r="O5" s="88"/>
      <c r="P5" s="88" t="s">
        <v>955</v>
      </c>
      <c r="Q5" s="88"/>
    </row>
    <row r="6" customFormat="false" ht="35.05" hidden="false" customHeight="false" outlineLevel="0" collapsed="false">
      <c r="A6" s="88" t="s">
        <v>916</v>
      </c>
      <c r="B6" s="88" t="s">
        <v>426</v>
      </c>
      <c r="C6" s="88"/>
      <c r="D6" s="88" t="s">
        <v>917</v>
      </c>
      <c r="E6" s="88" t="s">
        <v>918</v>
      </c>
      <c r="F6" s="88" t="s">
        <v>919</v>
      </c>
      <c r="G6" s="88" t="s">
        <v>897</v>
      </c>
      <c r="H6" s="88" t="s">
        <v>898</v>
      </c>
      <c r="I6" s="88" t="s">
        <v>914</v>
      </c>
      <c r="J6" s="88" t="s">
        <v>920</v>
      </c>
      <c r="K6" s="88" t="s">
        <v>99</v>
      </c>
      <c r="L6" s="88"/>
      <c r="M6" s="88"/>
      <c r="N6" s="88" t="str">
        <f aca="false">IF(AND(ISNUMBER(F6),ISNUMBER(M6)),M6-F6,"")</f>
        <v/>
      </c>
      <c r="O6" s="88"/>
      <c r="P6" s="88" t="s">
        <v>955</v>
      </c>
      <c r="Q6" s="88"/>
    </row>
    <row r="7" customFormat="false" ht="23.85" hidden="false" customHeight="false" outlineLevel="0" collapsed="false">
      <c r="A7" s="88" t="s">
        <v>921</v>
      </c>
      <c r="B7" s="88" t="s">
        <v>426</v>
      </c>
      <c r="C7" s="88"/>
      <c r="D7" s="88" t="s">
        <v>922</v>
      </c>
      <c r="E7" s="88" t="s">
        <v>923</v>
      </c>
      <c r="F7" s="88" t="n">
        <v>3.8</v>
      </c>
      <c r="G7" s="88" t="s">
        <v>839</v>
      </c>
      <c r="H7" s="88" t="s">
        <v>898</v>
      </c>
      <c r="I7" s="88" t="s">
        <v>925</v>
      </c>
      <c r="J7" s="88" t="s">
        <v>926</v>
      </c>
      <c r="K7" s="88" t="s">
        <v>99</v>
      </c>
      <c r="L7" s="88"/>
      <c r="M7" s="88" t="n">
        <v>3.8</v>
      </c>
      <c r="N7" s="88" t="n">
        <f aca="false">IF(AND(ISNUMBER(F7),ISNUMBER(M7)),M7-F7,"")</f>
        <v>0</v>
      </c>
      <c r="O7" s="88" t="s">
        <v>924</v>
      </c>
      <c r="P7" s="88" t="s">
        <v>955</v>
      </c>
      <c r="Q7" s="88"/>
    </row>
    <row r="8" customFormat="false" ht="23.85" hidden="false" customHeight="false" outlineLevel="0" collapsed="false">
      <c r="A8" s="88" t="s">
        <v>927</v>
      </c>
      <c r="B8" s="88" t="s">
        <v>426</v>
      </c>
      <c r="C8" s="88"/>
      <c r="D8" s="88" t="s">
        <v>922</v>
      </c>
      <c r="E8" s="88" t="s">
        <v>928</v>
      </c>
      <c r="F8" s="88" t="n">
        <v>2.9</v>
      </c>
      <c r="G8" s="88" t="s">
        <v>839</v>
      </c>
      <c r="H8" s="88" t="s">
        <v>898</v>
      </c>
      <c r="I8" s="88" t="s">
        <v>925</v>
      </c>
      <c r="J8" s="88" t="s">
        <v>929</v>
      </c>
      <c r="K8" s="88" t="s">
        <v>99</v>
      </c>
      <c r="L8" s="88"/>
      <c r="M8" s="88" t="n">
        <v>2.9</v>
      </c>
      <c r="N8" s="88" t="n">
        <f aca="false">IF(AND(ISNUMBER(F8),ISNUMBER(M8)),M8-F8,"")</f>
        <v>0</v>
      </c>
      <c r="O8" s="88" t="s">
        <v>924</v>
      </c>
      <c r="P8" s="88" t="s">
        <v>955</v>
      </c>
      <c r="Q8" s="88"/>
    </row>
    <row r="9" customFormat="false" ht="23.85" hidden="false" customHeight="false" outlineLevel="0" collapsed="false">
      <c r="A9" s="88" t="s">
        <v>965</v>
      </c>
      <c r="B9" s="88" t="s">
        <v>426</v>
      </c>
      <c r="C9" s="88"/>
      <c r="D9" s="88" t="s">
        <v>922</v>
      </c>
      <c r="E9" s="88" t="s">
        <v>966</v>
      </c>
      <c r="F9" s="88" t="n">
        <v>1.42</v>
      </c>
      <c r="G9" s="88" t="s">
        <v>839</v>
      </c>
      <c r="H9" s="88" t="s">
        <v>898</v>
      </c>
      <c r="I9" s="88" t="s">
        <v>925</v>
      </c>
      <c r="J9" s="88" t="s">
        <v>967</v>
      </c>
      <c r="K9" s="88" t="s">
        <v>110</v>
      </c>
      <c r="L9" s="88" t="s">
        <v>968</v>
      </c>
      <c r="M9" s="88" t="n">
        <v>1.42</v>
      </c>
      <c r="N9" s="88" t="n">
        <f aca="false">IF(AND(ISNUMBER(F9),ISNUMBER(M9)),M9-F9,"")</f>
        <v>0</v>
      </c>
      <c r="O9" s="88" t="s">
        <v>924</v>
      </c>
      <c r="P9" s="88" t="s">
        <v>962</v>
      </c>
      <c r="Q9" s="88"/>
    </row>
    <row r="10" customFormat="false" ht="23.85" hidden="false" customHeight="false" outlineLevel="0" collapsed="false">
      <c r="A10" s="88" t="s">
        <v>930</v>
      </c>
      <c r="B10" s="88" t="s">
        <v>426</v>
      </c>
      <c r="C10" s="88"/>
      <c r="D10" s="88" t="s">
        <v>922</v>
      </c>
      <c r="E10" s="88" t="s">
        <v>931</v>
      </c>
      <c r="F10" s="88" t="n">
        <v>1.25</v>
      </c>
      <c r="G10" s="88" t="s">
        <v>839</v>
      </c>
      <c r="H10" s="88" t="s">
        <v>898</v>
      </c>
      <c r="I10" s="88" t="s">
        <v>925</v>
      </c>
      <c r="J10" s="88" t="s">
        <v>932</v>
      </c>
      <c r="K10" s="88" t="s">
        <v>99</v>
      </c>
      <c r="L10" s="88"/>
      <c r="M10" s="88"/>
      <c r="N10" s="88" t="str">
        <f aca="false">IF(AND(ISNUMBER(F10),ISNUMBER(M10)),M10-F10,"")</f>
        <v/>
      </c>
      <c r="O10" s="88"/>
      <c r="P10" s="88" t="s">
        <v>955</v>
      </c>
      <c r="Q10" s="88"/>
    </row>
    <row r="11" customFormat="false" ht="35.05" hidden="false" customHeight="false" outlineLevel="0" collapsed="false">
      <c r="A11" s="88" t="s">
        <v>933</v>
      </c>
      <c r="B11" s="88" t="s">
        <v>426</v>
      </c>
      <c r="C11" s="88"/>
      <c r="D11" s="88" t="s">
        <v>922</v>
      </c>
      <c r="E11" s="88" t="s">
        <v>934</v>
      </c>
      <c r="F11" s="88" t="n">
        <v>3.6</v>
      </c>
      <c r="G11" s="88" t="s">
        <v>839</v>
      </c>
      <c r="H11" s="88" t="s">
        <v>898</v>
      </c>
      <c r="I11" s="88" t="s">
        <v>925</v>
      </c>
      <c r="J11" s="88" t="s">
        <v>936</v>
      </c>
      <c r="K11" s="88" t="s">
        <v>99</v>
      </c>
      <c r="L11" s="88"/>
      <c r="M11" s="88" t="n">
        <v>5.03</v>
      </c>
      <c r="N11" s="88" t="n">
        <f aca="false">IF(AND(ISNUMBER(F11),ISNUMBER(M11)),M11-F11,"")</f>
        <v>1.43</v>
      </c>
      <c r="O11" s="88" t="s">
        <v>935</v>
      </c>
      <c r="P11" s="88" t="s">
        <v>955</v>
      </c>
      <c r="Q11" s="88" t="s">
        <v>937</v>
      </c>
    </row>
    <row r="12" customFormat="false" ht="23.85" hidden="false" customHeight="false" outlineLevel="0" collapsed="false">
      <c r="A12" s="88" t="s">
        <v>938</v>
      </c>
      <c r="B12" s="88" t="s">
        <v>426</v>
      </c>
      <c r="C12" s="88"/>
      <c r="D12" s="88" t="s">
        <v>922</v>
      </c>
      <c r="E12" s="88" t="s">
        <v>939</v>
      </c>
      <c r="F12" s="88" t="n">
        <v>1.7</v>
      </c>
      <c r="G12" s="88" t="s">
        <v>839</v>
      </c>
      <c r="H12" s="88" t="s">
        <v>898</v>
      </c>
      <c r="I12" s="88" t="s">
        <v>925</v>
      </c>
      <c r="J12" s="88" t="s">
        <v>940</v>
      </c>
      <c r="K12" s="88" t="s">
        <v>99</v>
      </c>
      <c r="L12" s="88"/>
      <c r="M12" s="88"/>
      <c r="N12" s="88" t="str">
        <f aca="false">IF(AND(ISNUMBER(F12),ISNUMBER(M12)),M12-F12,"")</f>
        <v/>
      </c>
      <c r="O12" s="88"/>
      <c r="P12" s="88" t="s">
        <v>955</v>
      </c>
      <c r="Q12" s="88"/>
    </row>
    <row r="13" customFormat="false" ht="35.05" hidden="false" customHeight="false" outlineLevel="0" collapsed="false">
      <c r="A13" s="88" t="s">
        <v>941</v>
      </c>
      <c r="B13" s="88" t="s">
        <v>426</v>
      </c>
      <c r="C13" s="88"/>
      <c r="D13" s="88" t="s">
        <v>922</v>
      </c>
      <c r="E13" s="88" t="s">
        <v>942</v>
      </c>
      <c r="F13" s="88" t="n">
        <v>1.55</v>
      </c>
      <c r="G13" s="88" t="s">
        <v>839</v>
      </c>
      <c r="H13" s="88" t="s">
        <v>898</v>
      </c>
      <c r="I13" s="88" t="s">
        <v>925</v>
      </c>
      <c r="J13" s="88" t="s">
        <v>943</v>
      </c>
      <c r="K13" s="88" t="s">
        <v>99</v>
      </c>
      <c r="L13" s="88"/>
      <c r="M13" s="88" t="n">
        <v>1.46</v>
      </c>
      <c r="N13" s="88" t="n">
        <f aca="false">IF(AND(ISNUMBER(F13),ISNUMBER(M13)),M13-F13,"")</f>
        <v>-0.0900000000000001</v>
      </c>
      <c r="O13" s="88" t="s">
        <v>935</v>
      </c>
      <c r="P13" s="88" t="s">
        <v>955</v>
      </c>
      <c r="Q13" s="88" t="s">
        <v>937</v>
      </c>
    </row>
    <row r="14" customFormat="false" ht="23.85" hidden="false" customHeight="false" outlineLevel="0" collapsed="false">
      <c r="A14" s="88" t="s">
        <v>969</v>
      </c>
      <c r="B14" s="88" t="s">
        <v>426</v>
      </c>
      <c r="C14" s="88"/>
      <c r="D14" s="88" t="s">
        <v>970</v>
      </c>
      <c r="E14" s="88" t="s">
        <v>971</v>
      </c>
      <c r="F14" s="88" t="s">
        <v>972</v>
      </c>
      <c r="G14" s="88" t="s">
        <v>897</v>
      </c>
      <c r="H14" s="88" t="s">
        <v>898</v>
      </c>
      <c r="I14" s="88" t="s">
        <v>973</v>
      </c>
      <c r="J14" s="88" t="s">
        <v>972</v>
      </c>
      <c r="K14" s="88" t="s">
        <v>105</v>
      </c>
      <c r="L14" s="88"/>
      <c r="M14" s="88"/>
      <c r="N14" s="88" t="str">
        <f aca="false">IF(AND(ISNUMBER(F14),ISNUMBER(M14)),M14-F14,"")</f>
        <v/>
      </c>
      <c r="O14" s="88"/>
      <c r="P14" s="88" t="s">
        <v>962</v>
      </c>
      <c r="Q14" s="88"/>
    </row>
    <row r="15" customFormat="false" ht="35.05" hidden="false" customHeight="false" outlineLevel="0" collapsed="false">
      <c r="A15" s="88" t="s">
        <v>974</v>
      </c>
      <c r="B15" s="88" t="s">
        <v>426</v>
      </c>
      <c r="C15" s="88"/>
      <c r="D15" s="88" t="s">
        <v>970</v>
      </c>
      <c r="E15" s="88" t="s">
        <v>975</v>
      </c>
      <c r="F15" s="88" t="s">
        <v>976</v>
      </c>
      <c r="G15" s="88" t="s">
        <v>897</v>
      </c>
      <c r="H15" s="88" t="s">
        <v>898</v>
      </c>
      <c r="I15" s="88" t="s">
        <v>977</v>
      </c>
      <c r="J15" s="88" t="s">
        <v>976</v>
      </c>
      <c r="K15" s="88" t="s">
        <v>105</v>
      </c>
      <c r="L15" s="88"/>
      <c r="M15" s="88"/>
      <c r="N15" s="88" t="str">
        <f aca="false">IF(AND(ISNUMBER(F15),ISNUMBER(M15)),M15-F15,"")</f>
        <v/>
      </c>
      <c r="O15" s="88"/>
      <c r="P15" s="88" t="s">
        <v>962</v>
      </c>
      <c r="Q15" s="88"/>
    </row>
    <row r="16" customFormat="false" ht="23.85" hidden="false" customHeight="false" outlineLevel="0" collapsed="false">
      <c r="A16" s="88" t="s">
        <v>978</v>
      </c>
      <c r="B16" s="88" t="s">
        <v>426</v>
      </c>
      <c r="C16" s="88"/>
      <c r="D16" s="88" t="s">
        <v>911</v>
      </c>
      <c r="E16" s="88" t="s">
        <v>979</v>
      </c>
      <c r="F16" s="88" t="s">
        <v>980</v>
      </c>
      <c r="G16" s="88" t="s">
        <v>897</v>
      </c>
      <c r="H16" s="88" t="s">
        <v>898</v>
      </c>
      <c r="I16" s="88" t="s">
        <v>977</v>
      </c>
      <c r="J16" s="88" t="s">
        <v>980</v>
      </c>
      <c r="K16" s="88" t="s">
        <v>105</v>
      </c>
      <c r="L16" s="88"/>
      <c r="M16" s="88"/>
      <c r="N16" s="88" t="str">
        <f aca="false">IF(AND(ISNUMBER(F16),ISNUMBER(M16)),M16-F16,"")</f>
        <v/>
      </c>
      <c r="O16" s="88"/>
      <c r="P16" s="88" t="s">
        <v>962</v>
      </c>
      <c r="Q16" s="88"/>
    </row>
    <row r="17" customFormat="false" ht="23.85" hidden="false" customHeight="false" outlineLevel="0" collapsed="false">
      <c r="A17" s="88" t="s">
        <v>981</v>
      </c>
      <c r="B17" s="88" t="s">
        <v>426</v>
      </c>
      <c r="C17" s="88"/>
      <c r="D17" s="88" t="s">
        <v>982</v>
      </c>
      <c r="E17" s="88" t="s">
        <v>983</v>
      </c>
      <c r="F17" s="88" t="s">
        <v>984</v>
      </c>
      <c r="G17" s="88" t="s">
        <v>897</v>
      </c>
      <c r="H17" s="88" t="s">
        <v>898</v>
      </c>
      <c r="I17" s="88" t="s">
        <v>985</v>
      </c>
      <c r="J17" s="88" t="s">
        <v>984</v>
      </c>
      <c r="K17" s="88" t="s">
        <v>105</v>
      </c>
      <c r="L17" s="88"/>
      <c r="M17" s="88"/>
      <c r="N17" s="88" t="str">
        <f aca="false">IF(AND(ISNUMBER(F17),ISNUMBER(M17)),M17-F17,"")</f>
        <v/>
      </c>
      <c r="O17" s="88"/>
      <c r="P17" s="88" t="s">
        <v>962</v>
      </c>
      <c r="Q17" s="88"/>
    </row>
    <row r="18" customFormat="false" ht="23.85" hidden="false" customHeight="false" outlineLevel="0" collapsed="false">
      <c r="A18" s="88" t="s">
        <v>986</v>
      </c>
      <c r="B18" s="88" t="s">
        <v>426</v>
      </c>
      <c r="C18" s="88"/>
      <c r="D18" s="88" t="s">
        <v>982</v>
      </c>
      <c r="E18" s="88" t="s">
        <v>983</v>
      </c>
      <c r="F18" s="88" t="s">
        <v>987</v>
      </c>
      <c r="G18" s="88" t="s">
        <v>897</v>
      </c>
      <c r="H18" s="88" t="s">
        <v>898</v>
      </c>
      <c r="I18" s="88" t="s">
        <v>988</v>
      </c>
      <c r="J18" s="88" t="s">
        <v>987</v>
      </c>
      <c r="K18" s="88" t="s">
        <v>105</v>
      </c>
      <c r="L18" s="88"/>
      <c r="M18" s="88"/>
      <c r="N18" s="88" t="str">
        <f aca="false">IF(AND(ISNUMBER(F18),ISNUMBER(M18)),M18-F18,"")</f>
        <v/>
      </c>
      <c r="O18" s="88"/>
      <c r="P18" s="88" t="s">
        <v>962</v>
      </c>
      <c r="Q18" s="88"/>
    </row>
    <row r="19" customFormat="false" ht="35.05" hidden="false" customHeight="false" outlineLevel="0" collapsed="false">
      <c r="A19" s="88" t="s">
        <v>944</v>
      </c>
      <c r="B19" s="88" t="s">
        <v>426</v>
      </c>
      <c r="C19" s="88"/>
      <c r="D19" s="88" t="s">
        <v>945</v>
      </c>
      <c r="E19" s="88" t="s">
        <v>946</v>
      </c>
      <c r="F19" s="88" t="s">
        <v>947</v>
      </c>
      <c r="G19" s="88" t="s">
        <v>897</v>
      </c>
      <c r="H19" s="88" t="s">
        <v>898</v>
      </c>
      <c r="I19" s="88" t="s">
        <v>948</v>
      </c>
      <c r="J19" s="88" t="s">
        <v>947</v>
      </c>
      <c r="K19" s="88" t="s">
        <v>99</v>
      </c>
      <c r="L19" s="88"/>
      <c r="M19" s="88"/>
      <c r="N19" s="88" t="str">
        <f aca="false">IF(AND(ISNUMBER(F19),ISNUMBER(M19)),M19-F19,"")</f>
        <v/>
      </c>
      <c r="O19" s="88"/>
      <c r="P19" s="88" t="s">
        <v>955</v>
      </c>
      <c r="Q19" s="88"/>
    </row>
  </sheetData>
  <conditionalFormatting sqref="A2:Q500">
    <cfRule type="expression" priority="2" aboveAverage="0" equalAverage="0" bottom="0" percent="0" rank="0" text="" dxfId="5">
      <formula>$K2="Low"</formula>
    </cfRule>
  </conditionalFormatting>
  <dataValidations count="2">
    <dataValidation allowBlank="false" errorStyle="stop" operator="between" showDropDown="false" showErrorMessage="false" showInputMessage="false" sqref="P2:P500" type="list">
      <formula1>"Pending,Confirmed,Rejected"</formula1>
      <formula2>0</formula2>
    </dataValidation>
    <dataValidation allowBlank="true" errorStyle="stop" operator="between" showDropDown="false" showErrorMessage="false" showInputMessage="false" sqref="O2:O500" type="list">
      <formula1>"Agree,Disagree"</formula1>
      <formula2>0</formula2>
    </dataValidation>
  </dataValidations>
  <printOptions headings="false" gridLines="false" gridLinesSet="true" horizontalCentered="false" verticalCentered="false"/>
  <pageMargins left="0.4" right="0.4" top="0.5" bottom="0.5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2026-06-10T12:40:31Z</dcterms:created>
  <dc:creator>openpyxl</dc:creator>
  <dc:description/>
  <dc:language>en-US</dc:language>
  <cp:lastModifiedBy/>
  <dcterms:modified xsi:type="dcterms:W3CDTF">2026-06-10T12:40:44Z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