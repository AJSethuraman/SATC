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AssetQuality" sheetId="1" state="visible" r:id="rId1"/>
    <sheet name="Dashboard_Capital_Earnings" sheetId="2" state="visible" r:id="rId2"/>
    <sheet name="Dashboard_Funding_Concentration" sheetId="3" state="visible" r:id="rId3"/>
    <sheet name="Watchlist" sheetId="4" state="visible" r:id="rId4"/>
    <sheet name="Raw_FDIC" sheetId="5" state="visible" r:id="rId5"/>
    <sheet name="_config" sheetId="6" state="visible" r:id="rId6"/>
    <sheet name="_code_py" sheetId="7" state="visible" r:id="rId7"/>
    <sheet name="_code_vba" sheetId="8" state="visible" r:id="rId8"/>
    <sheet name="_readme" sheetId="9" state="visible" r:id="rId9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3">
    <font>
      <name val="Calibri"/>
      <family val="2"/>
      <color theme="1"/>
      <sz val="11"/>
      <scheme val="minor"/>
    </font>
    <font>
      <name val="Calibri"/>
      <i val="1"/>
      <color rgb="0057534B"/>
      <sz val="9"/>
    </font>
    <font>
      <name val="Arial"/>
      <b val="1"/>
      <color rgb="000A0908"/>
    </font>
    <font>
      <name val="Calibri"/>
      <b val="1"/>
      <sz val="9"/>
    </font>
    <font>
      <name val="Arial"/>
      <b val="1"/>
      <color rgb="00FFFFFF"/>
      <sz val="11"/>
    </font>
    <font>
      <name val="Calibri"/>
      <color rgb="0016130F"/>
      <sz val="11"/>
    </font>
    <font>
      <name val="Consolas"/>
      <color rgb="0016130F"/>
      <sz val="9"/>
    </font>
    <font>
      <name val="Calibri"/>
      <color rgb="0057534B"/>
      <sz val="11"/>
    </font>
    <font>
      <name val="Arial"/>
      <b val="1"/>
      <color rgb="00FFFFFF"/>
      <sz val="16"/>
    </font>
    <font>
      <name val="Calibri"/>
      <color rgb="00B9B4AC"/>
      <sz val="11"/>
    </font>
    <font>
      <name val="Arial"/>
      <b val="1"/>
      <color rgb="0057534B"/>
      <sz val="9"/>
    </font>
    <font>
      <name val="Arial"/>
      <b val="1"/>
      <color rgb="000A0908"/>
      <sz val="20"/>
    </font>
    <font>
      <name val="Arial"/>
      <b val="1"/>
      <color rgb="00960019"/>
      <sz val="11"/>
    </font>
  </fonts>
  <fills count="6">
    <fill>
      <patternFill/>
    </fill>
    <fill>
      <patternFill patternType="gray125"/>
    </fill>
    <fill>
      <patternFill patternType="solid">
        <fgColor rgb="0016130F"/>
      </patternFill>
    </fill>
    <fill>
      <patternFill patternType="solid">
        <fgColor rgb="000A0908"/>
      </patternFill>
    </fill>
    <fill>
      <patternFill patternType="solid">
        <fgColor rgb="00F4F1EC"/>
      </patternFill>
    </fill>
    <fill>
      <patternFill patternType="solid">
        <fgColor rgb="00F7DEDE"/>
      </patternFill>
    </fill>
  </fills>
  <borders count="6">
    <border>
      <left/>
      <right/>
      <top/>
      <bottom/>
      <diagonal/>
    </border>
    <border>
      <bottom style="thin">
        <color rgb="00E7E2D8"/>
      </bottom>
    </border>
    <border>
      <bottom style="thin">
        <color rgb="0016130F"/>
      </bottom>
    </border>
    <border>
      <bottom style="medium">
        <color rgb="00CC0000"/>
      </bottom>
    </border>
    <border>
      <top style="medium">
        <color rgb="00CC0000"/>
      </top>
    </border>
    <border>
      <top style="medium">
        <color rgb="000A0908"/>
      </top>
    </border>
  </borders>
  <cellStyleXfs count="1">
    <xf numFmtId="0" fontId="0" fillId="0" borderId="0"/>
  </cellStyleXfs>
  <cellXfs count="30">
    <xf numFmtId="0" fontId="0" fillId="0" borderId="0" pivotButton="0" quotePrefix="0" xfId="0"/>
    <xf numFmtId="0" fontId="8" fillId="3" borderId="0" applyAlignment="1" pivotButton="0" quotePrefix="0" xfId="0">
      <alignment horizontal="left" vertical="center" indent="1"/>
    </xf>
    <xf numFmtId="0" fontId="7" fillId="0" borderId="0" applyAlignment="1" pivotButton="0" quotePrefix="0" xfId="0">
      <alignment horizontal="left" vertical="center"/>
    </xf>
    <xf numFmtId="0" fontId="9" fillId="3" borderId="3" applyAlignment="1" pivotButton="0" quotePrefix="0" xfId="0">
      <alignment horizontal="left" vertical="top" indent="1"/>
    </xf>
    <xf numFmtId="0" fontId="0" fillId="0" borderId="3" pivotButton="0" quotePrefix="0" xfId="0"/>
    <xf numFmtId="0" fontId="10" fillId="4" borderId="4" applyAlignment="1" pivotButton="0" quotePrefix="0" xfId="0">
      <alignment horizontal="left" vertical="center" indent="1"/>
    </xf>
    <xf numFmtId="0" fontId="0" fillId="0" borderId="4" pivotButton="0" quotePrefix="0" xfId="0"/>
    <xf numFmtId="0" fontId="10" fillId="4" borderId="5" applyAlignment="1" pivotButton="0" quotePrefix="0" xfId="0">
      <alignment horizontal="left" vertical="center" indent="1"/>
    </xf>
    <xf numFmtId="0" fontId="0" fillId="0" borderId="5" pivotButton="0" quotePrefix="0" xfId="0"/>
    <xf numFmtId="0" fontId="11" fillId="4" borderId="0" applyAlignment="1" pivotButton="0" quotePrefix="0" xfId="0">
      <alignment horizontal="left" vertical="center" indent="1"/>
    </xf>
    <xf numFmtId="0" fontId="1" fillId="0" borderId="0" applyAlignment="1" pivotButton="0" quotePrefix="0" xfId="0">
      <alignment horizontal="left" vertical="center"/>
    </xf>
    <xf numFmtId="0" fontId="7" fillId="4" borderId="0" applyAlignment="1" pivotButton="0" quotePrefix="0" xfId="0">
      <alignment horizontal="left" vertical="center" indent="1"/>
    </xf>
    <xf numFmtId="0" fontId="4" fillId="3" borderId="2" applyAlignment="1" pivotButton="0" quotePrefix="0" xfId="0">
      <alignment horizontal="left" vertical="center"/>
    </xf>
    <xf numFmtId="0" fontId="4" fillId="3" borderId="2" applyAlignment="1" pivotButton="0" quotePrefix="0" xfId="0">
      <alignment horizontal="right" vertical="center"/>
    </xf>
    <xf numFmtId="0" fontId="5" fillId="0" borderId="1" pivotButton="0" quotePrefix="0" xfId="0"/>
    <xf numFmtId="1" fontId="6" fillId="0" borderId="1" applyAlignment="1" pivotButton="0" quotePrefix="0" xfId="0">
      <alignment horizontal="right" vertical="center"/>
    </xf>
    <xf numFmtId="0" fontId="7" fillId="0" borderId="1" pivotButton="0" quotePrefix="0" xfId="0"/>
    <xf numFmtId="2" fontId="0" fillId="0" borderId="1" applyAlignment="1" pivotButton="0" quotePrefix="0" xfId="0">
      <alignment horizontal="right" vertical="center"/>
    </xf>
    <xf numFmtId="0" fontId="2" fillId="0" borderId="1" pivotButton="0" quotePrefix="0" xfId="0"/>
    <xf numFmtId="2" fontId="2" fillId="0" borderId="0" applyAlignment="1" pivotButton="0" quotePrefix="0" xfId="0">
      <alignment horizontal="right" vertical="center"/>
    </xf>
    <xf numFmtId="0" fontId="12" fillId="5" borderId="0" applyAlignment="1" pivotButton="0" quotePrefix="0" xfId="0">
      <alignment vertical="top" wrapText="1"/>
    </xf>
    <xf numFmtId="0" fontId="4" fillId="3" borderId="2" applyAlignment="1" pivotButton="0" quotePrefix="0" xfId="0">
      <alignment horizontal="center" vertical="center"/>
    </xf>
    <xf numFmtId="0" fontId="3" fillId="0" borderId="0" pivotButton="0" quotePrefix="0" xfId="0"/>
    <xf numFmtId="1" fontId="6" fillId="0" borderId="1" pivotButton="0" quotePrefix="0" xfId="0"/>
    <xf numFmtId="164" fontId="0" fillId="0" borderId="1" applyAlignment="1" pivotButton="0" quotePrefix="0" xfId="0">
      <alignment horizontal="right" vertical="center"/>
    </xf>
    <xf numFmtId="0" fontId="0" fillId="0" borderId="1" applyAlignment="1" pivotButton="0" quotePrefix="0" xfId="0">
      <alignment horizontal="center" vertical="center"/>
    </xf>
    <xf numFmtId="0" fontId="1" fillId="0" borderId="0" pivotButton="0" quotePrefix="0" xfId="0"/>
    <xf numFmtId="0" fontId="2" fillId="0" borderId="0" pivotButton="0" quotePrefix="0" xfId="0"/>
    <xf numFmtId="0" fontId="4" fillId="2" borderId="0" pivotButton="0" quotePrefix="0" xfId="0"/>
    <xf numFmtId="0" fontId="6" fillId="0" borderId="0" pivotButton="0" quotePrefix="0" xfId="0"/>
  </cellXfs>
  <cellStyles count="1">
    <cellStyle name="Normal" xfId="0" builtinId="0" hidden="0"/>
  </cellStyles>
  <dxfs count="2">
    <dxf>
      <font>
        <name val="Arial"/>
        <b val="1"/>
        <color rgb="00960019"/>
        <sz val="11"/>
      </font>
      <fill>
        <patternFill patternType="solid">
          <fgColor rgb="00F7DEDE"/>
        </patternFill>
      </fill>
    </dxf>
    <dxf>
      <font>
        <name val="Calibri"/>
        <b val="1"/>
        <color rgb="0057534B"/>
      </font>
      <fill>
        <patternFill patternType="solid">
          <fgColor rgb="00E4DFD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Id="rIdVbaProject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48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6" customWidth="1" min="1" max="1"/>
    <col width="9" customWidth="1" min="2" max="2"/>
    <col width="13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40" customWidth="1" min="12" max="12"/>
  </cols>
  <sheetData>
    <row r="1" ht="27.6" customHeight="1">
      <c r="A1" s="1" t="inlineStr">
        <is>
          <t>Asset Quality Dashboard</t>
        </is>
      </c>
      <c r="L1" s="2" t="n"/>
    </row>
    <row r="2" ht="18.4" customHeight="1">
      <c r="A2" s="3" t="inlineStr">
        <is>
          <t>Noncurrent, quarterly NCO (seasonal: Q4 cleanup -- compare YoY, F7), 30-89 day pipeline, allowance, coverage, Texas ratio (VARIANT). QBP Q1'26 industry reference: NCO 0.59%.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L2" s="2" t="n"/>
    </row>
    <row r="3">
      <c r="A3" s="5" t="inlineStr">
        <is>
          <t>BANKS IN ALERT</t>
        </is>
      </c>
      <c r="B3" s="6" t="n"/>
      <c r="C3" s="6" t="n"/>
      <c r="D3" s="5" t="inlineStr">
        <is>
          <t>BANKS IN WATCH</t>
        </is>
      </c>
      <c r="E3" s="6" t="n"/>
      <c r="F3" s="6" t="n"/>
      <c r="G3" s="7" t="inlineStr">
        <is>
          <t>BANKS TRACKED</t>
        </is>
      </c>
      <c r="H3" s="8" t="n"/>
      <c r="I3" s="8" t="n"/>
      <c r="L3" s="2" t="n"/>
    </row>
    <row r="4" ht="26" customHeight="1">
      <c r="A4" s="9">
        <f>COUNTIF(Watchlist!$H$5:$H$44,"ALERT")</f>
        <v/>
      </c>
      <c r="D4" s="9">
        <f>COUNTIF(Watchlist!$H$5:$H$44,"WATCH")</f>
        <v/>
      </c>
      <c r="G4" s="9">
        <f>COUNTIF(Watchlist!$A$5:$A$44,"?*")</f>
        <v/>
      </c>
      <c r="L4" s="10" t="n"/>
    </row>
    <row r="5">
      <c r="A5" s="11" t="inlineStr">
        <is>
          <t>of 12 active</t>
        </is>
      </c>
      <c r="D5" s="11" t="inlineStr">
        <is>
          <t>elevated</t>
        </is>
      </c>
      <c r="G5" s="11" t="inlineStr">
        <is>
          <t>of 40 built slots</t>
        </is>
      </c>
    </row>
    <row r="6" ht="8" customHeight="1"/>
    <row r="7" ht="22" customHeight="1">
      <c r="A7" s="12" t="inlineStr">
        <is>
          <t>Bank</t>
        </is>
      </c>
      <c r="B7" s="12" t="inlineStr">
        <is>
          <t>CERT</t>
        </is>
      </c>
      <c r="C7" s="12" t="inlineStr">
        <is>
          <t>Group</t>
        </is>
      </c>
      <c r="D7" s="13" t="inlineStr">
        <is>
          <t>Noncurrent %</t>
        </is>
      </c>
      <c r="E7" s="13" t="inlineStr">
        <is>
          <t>NCO % (q)</t>
        </is>
      </c>
      <c r="F7" s="13" t="inlineStr">
        <is>
          <t>30-89 PD %</t>
        </is>
      </c>
      <c r="G7" s="13" t="inlineStr">
        <is>
          <t>ALLL/Loans %</t>
        </is>
      </c>
      <c r="H7" s="13" t="inlineStr">
        <is>
          <t>Coverage %</t>
        </is>
      </c>
      <c r="I7" s="13" t="inlineStr">
        <is>
          <t>Texas %</t>
        </is>
      </c>
    </row>
    <row r="8">
      <c r="A8" s="14">
        <f>IF(_config!$C$33="","",_config!$C$33)</f>
        <v/>
      </c>
      <c r="B8" s="15">
        <f>IF(_config!$B$33="","",_config!$B$33)</f>
        <v/>
      </c>
      <c r="C8" s="16">
        <f>IF(_config!$D$33="","",_config!$D$33)</f>
        <v/>
      </c>
      <c r="D8" s="17">
        <f>IF(Raw_FDIC!N4="","",Raw_FDIC!N4)</f>
        <v/>
      </c>
      <c r="E8" s="17">
        <f>IF(Raw_FDIC!O4="","",Raw_FDIC!O4)</f>
        <v/>
      </c>
      <c r="F8" s="17">
        <f>IF(OR(Raw_FDIC!J4="",Raw_FDIC!D4=""),"",IF(Raw_FDIC!D4=0,"",Raw_FDIC!J4/Raw_FDIC!D4*100))</f>
        <v/>
      </c>
      <c r="G8" s="17">
        <f>IF(Raw_FDIC!P4="","",Raw_FDIC!P4)</f>
        <v/>
      </c>
      <c r="H8" s="17">
        <f>IF(Raw_FDIC!Q4="","",Raw_FDIC!Q4)</f>
        <v/>
      </c>
      <c r="I8" s="17">
        <f>IF(OR(Raw_FDIC!H4="",Raw_FDIC!G4="",Raw_FDIC!I4=""),"",IF(Raw_FDIC!G4+Raw_FDIC!I4=0,"",Raw_FDIC!H4/(Raw_FDIC!G4+Raw_FDIC!I4)*100))</f>
        <v/>
      </c>
    </row>
    <row r="9">
      <c r="A9" s="14">
        <f>IF(_config!$C$34="","",_config!$C$34)</f>
        <v/>
      </c>
      <c r="B9" s="15">
        <f>IF(_config!$B$34="","",_config!$B$34)</f>
        <v/>
      </c>
      <c r="C9" s="16">
        <f>IF(_config!$D$34="","",_config!$D$34)</f>
        <v/>
      </c>
      <c r="D9" s="17">
        <f>IF(Raw_FDIC!N24="","",Raw_FDIC!N24)</f>
        <v/>
      </c>
      <c r="E9" s="17">
        <f>IF(Raw_FDIC!O24="","",Raw_FDIC!O24)</f>
        <v/>
      </c>
      <c r="F9" s="17">
        <f>IF(OR(Raw_FDIC!J24="",Raw_FDIC!D24=""),"",IF(Raw_FDIC!D24=0,"",Raw_FDIC!J24/Raw_FDIC!D24*100))</f>
        <v/>
      </c>
      <c r="G9" s="17">
        <f>IF(Raw_FDIC!P24="","",Raw_FDIC!P24)</f>
        <v/>
      </c>
      <c r="H9" s="17">
        <f>IF(Raw_FDIC!Q24="","",Raw_FDIC!Q24)</f>
        <v/>
      </c>
      <c r="I9" s="17">
        <f>IF(OR(Raw_FDIC!H24="",Raw_FDIC!G24="",Raw_FDIC!I24=""),"",IF(Raw_FDIC!G24+Raw_FDIC!I24=0,"",Raw_FDIC!H24/(Raw_FDIC!G24+Raw_FDIC!I24)*100))</f>
        <v/>
      </c>
    </row>
    <row r="10">
      <c r="A10" s="14">
        <f>IF(_config!$C$35="","",_config!$C$35)</f>
        <v/>
      </c>
      <c r="B10" s="15">
        <f>IF(_config!$B$35="","",_config!$B$35)</f>
        <v/>
      </c>
      <c r="C10" s="16">
        <f>IF(_config!$D$35="","",_config!$D$35)</f>
        <v/>
      </c>
      <c r="D10" s="17">
        <f>IF(Raw_FDIC!N44="","",Raw_FDIC!N44)</f>
        <v/>
      </c>
      <c r="E10" s="17">
        <f>IF(Raw_FDIC!O44="","",Raw_FDIC!O44)</f>
        <v/>
      </c>
      <c r="F10" s="17">
        <f>IF(OR(Raw_FDIC!J44="",Raw_FDIC!D44=""),"",IF(Raw_FDIC!D44=0,"",Raw_FDIC!J44/Raw_FDIC!D44*100))</f>
        <v/>
      </c>
      <c r="G10" s="17">
        <f>IF(Raw_FDIC!P44="","",Raw_FDIC!P44)</f>
        <v/>
      </c>
      <c r="H10" s="17">
        <f>IF(Raw_FDIC!Q44="","",Raw_FDIC!Q44)</f>
        <v/>
      </c>
      <c r="I10" s="17">
        <f>IF(OR(Raw_FDIC!H44="",Raw_FDIC!G44="",Raw_FDIC!I44=""),"",IF(Raw_FDIC!G44+Raw_FDIC!I44=0,"",Raw_FDIC!H44/(Raw_FDIC!G44+Raw_FDIC!I44)*100))</f>
        <v/>
      </c>
    </row>
    <row r="11">
      <c r="A11" s="14">
        <f>IF(_config!$C$36="","",_config!$C$36)</f>
        <v/>
      </c>
      <c r="B11" s="15">
        <f>IF(_config!$B$36="","",_config!$B$36)</f>
        <v/>
      </c>
      <c r="C11" s="16">
        <f>IF(_config!$D$36="","",_config!$D$36)</f>
        <v/>
      </c>
      <c r="D11" s="17">
        <f>IF(Raw_FDIC!N64="","",Raw_FDIC!N64)</f>
        <v/>
      </c>
      <c r="E11" s="17">
        <f>IF(Raw_FDIC!O64="","",Raw_FDIC!O64)</f>
        <v/>
      </c>
      <c r="F11" s="17">
        <f>IF(OR(Raw_FDIC!J64="",Raw_FDIC!D64=""),"",IF(Raw_FDIC!D64=0,"",Raw_FDIC!J64/Raw_FDIC!D64*100))</f>
        <v/>
      </c>
      <c r="G11" s="17">
        <f>IF(Raw_FDIC!P64="","",Raw_FDIC!P64)</f>
        <v/>
      </c>
      <c r="H11" s="17">
        <f>IF(Raw_FDIC!Q64="","",Raw_FDIC!Q64)</f>
        <v/>
      </c>
      <c r="I11" s="17">
        <f>IF(OR(Raw_FDIC!H64="",Raw_FDIC!G64="",Raw_FDIC!I64=""),"",IF(Raw_FDIC!G64+Raw_FDIC!I64=0,"",Raw_FDIC!H64/(Raw_FDIC!G64+Raw_FDIC!I64)*100))</f>
        <v/>
      </c>
    </row>
    <row r="12">
      <c r="A12" s="14">
        <f>IF(_config!$C$37="","",_config!$C$37)</f>
        <v/>
      </c>
      <c r="B12" s="15">
        <f>IF(_config!$B$37="","",_config!$B$37)</f>
        <v/>
      </c>
      <c r="C12" s="16">
        <f>IF(_config!$D$37="","",_config!$D$37)</f>
        <v/>
      </c>
      <c r="D12" s="17">
        <f>IF(Raw_FDIC!N84="","",Raw_FDIC!N84)</f>
        <v/>
      </c>
      <c r="E12" s="17">
        <f>IF(Raw_FDIC!O84="","",Raw_FDIC!O84)</f>
        <v/>
      </c>
      <c r="F12" s="17">
        <f>IF(OR(Raw_FDIC!J84="",Raw_FDIC!D84=""),"",IF(Raw_FDIC!D84=0,"",Raw_FDIC!J84/Raw_FDIC!D84*100))</f>
        <v/>
      </c>
      <c r="G12" s="17">
        <f>IF(Raw_FDIC!P84="","",Raw_FDIC!P84)</f>
        <v/>
      </c>
      <c r="H12" s="17">
        <f>IF(Raw_FDIC!Q84="","",Raw_FDIC!Q84)</f>
        <v/>
      </c>
      <c r="I12" s="17">
        <f>IF(OR(Raw_FDIC!H84="",Raw_FDIC!G84="",Raw_FDIC!I84=""),"",IF(Raw_FDIC!G84+Raw_FDIC!I84=0,"",Raw_FDIC!H84/(Raw_FDIC!G84+Raw_FDIC!I84)*100))</f>
        <v/>
      </c>
    </row>
    <row r="13">
      <c r="A13" s="14">
        <f>IF(_config!$C$38="","",_config!$C$38)</f>
        <v/>
      </c>
      <c r="B13" s="15">
        <f>IF(_config!$B$38="","",_config!$B$38)</f>
        <v/>
      </c>
      <c r="C13" s="16">
        <f>IF(_config!$D$38="","",_config!$D$38)</f>
        <v/>
      </c>
      <c r="D13" s="17">
        <f>IF(Raw_FDIC!N104="","",Raw_FDIC!N104)</f>
        <v/>
      </c>
      <c r="E13" s="17">
        <f>IF(Raw_FDIC!O104="","",Raw_FDIC!O104)</f>
        <v/>
      </c>
      <c r="F13" s="17">
        <f>IF(OR(Raw_FDIC!J104="",Raw_FDIC!D104=""),"",IF(Raw_FDIC!D104=0,"",Raw_FDIC!J104/Raw_FDIC!D104*100))</f>
        <v/>
      </c>
      <c r="G13" s="17">
        <f>IF(Raw_FDIC!P104="","",Raw_FDIC!P104)</f>
        <v/>
      </c>
      <c r="H13" s="17">
        <f>IF(Raw_FDIC!Q104="","",Raw_FDIC!Q104)</f>
        <v/>
      </c>
      <c r="I13" s="17">
        <f>IF(OR(Raw_FDIC!H104="",Raw_FDIC!G104="",Raw_FDIC!I104=""),"",IF(Raw_FDIC!G104+Raw_FDIC!I104=0,"",Raw_FDIC!H104/(Raw_FDIC!G104+Raw_FDIC!I104)*100))</f>
        <v/>
      </c>
    </row>
    <row r="14">
      <c r="A14" s="14">
        <f>IF(_config!$C$39="","",_config!$C$39)</f>
        <v/>
      </c>
      <c r="B14" s="15">
        <f>IF(_config!$B$39="","",_config!$B$39)</f>
        <v/>
      </c>
      <c r="C14" s="16">
        <f>IF(_config!$D$39="","",_config!$D$39)</f>
        <v/>
      </c>
      <c r="D14" s="17">
        <f>IF(Raw_FDIC!N124="","",Raw_FDIC!N124)</f>
        <v/>
      </c>
      <c r="E14" s="17">
        <f>IF(Raw_FDIC!O124="","",Raw_FDIC!O124)</f>
        <v/>
      </c>
      <c r="F14" s="17">
        <f>IF(OR(Raw_FDIC!J124="",Raw_FDIC!D124=""),"",IF(Raw_FDIC!D124=0,"",Raw_FDIC!J124/Raw_FDIC!D124*100))</f>
        <v/>
      </c>
      <c r="G14" s="17">
        <f>IF(Raw_FDIC!P124="","",Raw_FDIC!P124)</f>
        <v/>
      </c>
      <c r="H14" s="17">
        <f>IF(Raw_FDIC!Q124="","",Raw_FDIC!Q124)</f>
        <v/>
      </c>
      <c r="I14" s="17">
        <f>IF(OR(Raw_FDIC!H124="",Raw_FDIC!G124="",Raw_FDIC!I124=""),"",IF(Raw_FDIC!G124+Raw_FDIC!I124=0,"",Raw_FDIC!H124/(Raw_FDIC!G124+Raw_FDIC!I124)*100))</f>
        <v/>
      </c>
    </row>
    <row r="15">
      <c r="A15" s="14">
        <f>IF(_config!$C$40="","",_config!$C$40)</f>
        <v/>
      </c>
      <c r="B15" s="15">
        <f>IF(_config!$B$40="","",_config!$B$40)</f>
        <v/>
      </c>
      <c r="C15" s="16">
        <f>IF(_config!$D$40="","",_config!$D$40)</f>
        <v/>
      </c>
      <c r="D15" s="17">
        <f>IF(Raw_FDIC!N144="","",Raw_FDIC!N144)</f>
        <v/>
      </c>
      <c r="E15" s="17">
        <f>IF(Raw_FDIC!O144="","",Raw_FDIC!O144)</f>
        <v/>
      </c>
      <c r="F15" s="17">
        <f>IF(OR(Raw_FDIC!J144="",Raw_FDIC!D144=""),"",IF(Raw_FDIC!D144=0,"",Raw_FDIC!J144/Raw_FDIC!D144*100))</f>
        <v/>
      </c>
      <c r="G15" s="17">
        <f>IF(Raw_FDIC!P144="","",Raw_FDIC!P144)</f>
        <v/>
      </c>
      <c r="H15" s="17">
        <f>IF(Raw_FDIC!Q144="","",Raw_FDIC!Q144)</f>
        <v/>
      </c>
      <c r="I15" s="17">
        <f>IF(OR(Raw_FDIC!H144="",Raw_FDIC!G144="",Raw_FDIC!I144=""),"",IF(Raw_FDIC!G144+Raw_FDIC!I144=0,"",Raw_FDIC!H144/(Raw_FDIC!G144+Raw_FDIC!I144)*100))</f>
        <v/>
      </c>
    </row>
    <row r="16">
      <c r="A16" s="14">
        <f>IF(_config!$C$41="","",_config!$C$41)</f>
        <v/>
      </c>
      <c r="B16" s="15">
        <f>IF(_config!$B$41="","",_config!$B$41)</f>
        <v/>
      </c>
      <c r="C16" s="16">
        <f>IF(_config!$D$41="","",_config!$D$41)</f>
        <v/>
      </c>
      <c r="D16" s="17">
        <f>IF(Raw_FDIC!N164="","",Raw_FDIC!N164)</f>
        <v/>
      </c>
      <c r="E16" s="17">
        <f>IF(Raw_FDIC!O164="","",Raw_FDIC!O164)</f>
        <v/>
      </c>
      <c r="F16" s="17">
        <f>IF(OR(Raw_FDIC!J164="",Raw_FDIC!D164=""),"",IF(Raw_FDIC!D164=0,"",Raw_FDIC!J164/Raw_FDIC!D164*100))</f>
        <v/>
      </c>
      <c r="G16" s="17">
        <f>IF(Raw_FDIC!P164="","",Raw_FDIC!P164)</f>
        <v/>
      </c>
      <c r="H16" s="17">
        <f>IF(Raw_FDIC!Q164="","",Raw_FDIC!Q164)</f>
        <v/>
      </c>
      <c r="I16" s="17">
        <f>IF(OR(Raw_FDIC!H164="",Raw_FDIC!G164="",Raw_FDIC!I164=""),"",IF(Raw_FDIC!G164+Raw_FDIC!I164=0,"",Raw_FDIC!H164/(Raw_FDIC!G164+Raw_FDIC!I164)*100))</f>
        <v/>
      </c>
    </row>
    <row r="17">
      <c r="A17" s="14">
        <f>IF(_config!$C$42="","",_config!$C$42)</f>
        <v/>
      </c>
      <c r="B17" s="15">
        <f>IF(_config!$B$42="","",_config!$B$42)</f>
        <v/>
      </c>
      <c r="C17" s="16">
        <f>IF(_config!$D$42="","",_config!$D$42)</f>
        <v/>
      </c>
      <c r="D17" s="17">
        <f>IF(Raw_FDIC!N184="","",Raw_FDIC!N184)</f>
        <v/>
      </c>
      <c r="E17" s="17">
        <f>IF(Raw_FDIC!O184="","",Raw_FDIC!O184)</f>
        <v/>
      </c>
      <c r="F17" s="17">
        <f>IF(OR(Raw_FDIC!J184="",Raw_FDIC!D184=""),"",IF(Raw_FDIC!D184=0,"",Raw_FDIC!J184/Raw_FDIC!D184*100))</f>
        <v/>
      </c>
      <c r="G17" s="17">
        <f>IF(Raw_FDIC!P184="","",Raw_FDIC!P184)</f>
        <v/>
      </c>
      <c r="H17" s="17">
        <f>IF(Raw_FDIC!Q184="","",Raw_FDIC!Q184)</f>
        <v/>
      </c>
      <c r="I17" s="17">
        <f>IF(OR(Raw_FDIC!H184="",Raw_FDIC!G184="",Raw_FDIC!I184=""),"",IF(Raw_FDIC!G184+Raw_FDIC!I184=0,"",Raw_FDIC!H184/(Raw_FDIC!G184+Raw_FDIC!I184)*100))</f>
        <v/>
      </c>
    </row>
    <row r="18">
      <c r="A18" s="14">
        <f>IF(_config!$C$43="","",_config!$C$43)</f>
        <v/>
      </c>
      <c r="B18" s="15">
        <f>IF(_config!$B$43="","",_config!$B$43)</f>
        <v/>
      </c>
      <c r="C18" s="16">
        <f>IF(_config!$D$43="","",_config!$D$43)</f>
        <v/>
      </c>
      <c r="D18" s="17">
        <f>IF(Raw_FDIC!N204="","",Raw_FDIC!N204)</f>
        <v/>
      </c>
      <c r="E18" s="17">
        <f>IF(Raw_FDIC!O204="","",Raw_FDIC!O204)</f>
        <v/>
      </c>
      <c r="F18" s="17">
        <f>IF(OR(Raw_FDIC!J204="",Raw_FDIC!D204=""),"",IF(Raw_FDIC!D204=0,"",Raw_FDIC!J204/Raw_FDIC!D204*100))</f>
        <v/>
      </c>
      <c r="G18" s="17">
        <f>IF(Raw_FDIC!P204="","",Raw_FDIC!P204)</f>
        <v/>
      </c>
      <c r="H18" s="17">
        <f>IF(Raw_FDIC!Q204="","",Raw_FDIC!Q204)</f>
        <v/>
      </c>
      <c r="I18" s="17">
        <f>IF(OR(Raw_FDIC!H204="",Raw_FDIC!G204="",Raw_FDIC!I204=""),"",IF(Raw_FDIC!G204+Raw_FDIC!I204=0,"",Raw_FDIC!H204/(Raw_FDIC!G204+Raw_FDIC!I204)*100))</f>
        <v/>
      </c>
    </row>
    <row r="19">
      <c r="A19" s="14">
        <f>IF(_config!$C$44="","",_config!$C$44)</f>
        <v/>
      </c>
      <c r="B19" s="15">
        <f>IF(_config!$B$44="","",_config!$B$44)</f>
        <v/>
      </c>
      <c r="C19" s="16">
        <f>IF(_config!$D$44="","",_config!$D$44)</f>
        <v/>
      </c>
      <c r="D19" s="17">
        <f>IF(Raw_FDIC!N224="","",Raw_FDIC!N224)</f>
        <v/>
      </c>
      <c r="E19" s="17">
        <f>IF(Raw_FDIC!O224="","",Raw_FDIC!O224)</f>
        <v/>
      </c>
      <c r="F19" s="17">
        <f>IF(OR(Raw_FDIC!J224="",Raw_FDIC!D224=""),"",IF(Raw_FDIC!D224=0,"",Raw_FDIC!J224/Raw_FDIC!D224*100))</f>
        <v/>
      </c>
      <c r="G19" s="17">
        <f>IF(Raw_FDIC!P224="","",Raw_FDIC!P224)</f>
        <v/>
      </c>
      <c r="H19" s="17">
        <f>IF(Raw_FDIC!Q224="","",Raw_FDIC!Q224)</f>
        <v/>
      </c>
      <c r="I19" s="17">
        <f>IF(OR(Raw_FDIC!H224="",Raw_FDIC!G224="",Raw_FDIC!I224=""),"",IF(Raw_FDIC!G224+Raw_FDIC!I224=0,"",Raw_FDIC!H224/(Raw_FDIC!G224+Raw_FDIC!I224)*100))</f>
        <v/>
      </c>
    </row>
    <row r="20">
      <c r="A20" s="14">
        <f>IF(_config!$C$45="","",_config!$C$45)</f>
        <v/>
      </c>
      <c r="B20" s="15">
        <f>IF(_config!$B$45="","",_config!$B$45)</f>
        <v/>
      </c>
      <c r="C20" s="16">
        <f>IF(_config!$D$45="","",_config!$D$45)</f>
        <v/>
      </c>
      <c r="D20" s="17">
        <f>IF(Raw_FDIC!N244="","",Raw_FDIC!N244)</f>
        <v/>
      </c>
      <c r="E20" s="17">
        <f>IF(Raw_FDIC!O244="","",Raw_FDIC!O244)</f>
        <v/>
      </c>
      <c r="F20" s="17">
        <f>IF(OR(Raw_FDIC!J244="",Raw_FDIC!D244=""),"",IF(Raw_FDIC!D244=0,"",Raw_FDIC!J244/Raw_FDIC!D244*100))</f>
        <v/>
      </c>
      <c r="G20" s="17">
        <f>IF(Raw_FDIC!P244="","",Raw_FDIC!P244)</f>
        <v/>
      </c>
      <c r="H20" s="17">
        <f>IF(Raw_FDIC!Q244="","",Raw_FDIC!Q244)</f>
        <v/>
      </c>
      <c r="I20" s="17">
        <f>IF(OR(Raw_FDIC!H244="",Raw_FDIC!G244="",Raw_FDIC!I244=""),"",IF(Raw_FDIC!G244+Raw_FDIC!I244=0,"",Raw_FDIC!H244/(Raw_FDIC!G244+Raw_FDIC!I244)*100))</f>
        <v/>
      </c>
    </row>
    <row r="21">
      <c r="A21" s="14">
        <f>IF(_config!$C$46="","",_config!$C$46)</f>
        <v/>
      </c>
      <c r="B21" s="15">
        <f>IF(_config!$B$46="","",_config!$B$46)</f>
        <v/>
      </c>
      <c r="C21" s="16">
        <f>IF(_config!$D$46="","",_config!$D$46)</f>
        <v/>
      </c>
      <c r="D21" s="17">
        <f>IF(Raw_FDIC!N264="","",Raw_FDIC!N264)</f>
        <v/>
      </c>
      <c r="E21" s="17">
        <f>IF(Raw_FDIC!O264="","",Raw_FDIC!O264)</f>
        <v/>
      </c>
      <c r="F21" s="17">
        <f>IF(OR(Raw_FDIC!J264="",Raw_FDIC!D264=""),"",IF(Raw_FDIC!D264=0,"",Raw_FDIC!J264/Raw_FDIC!D264*100))</f>
        <v/>
      </c>
      <c r="G21" s="17">
        <f>IF(Raw_FDIC!P264="","",Raw_FDIC!P264)</f>
        <v/>
      </c>
      <c r="H21" s="17">
        <f>IF(Raw_FDIC!Q264="","",Raw_FDIC!Q264)</f>
        <v/>
      </c>
      <c r="I21" s="17">
        <f>IF(OR(Raw_FDIC!H264="",Raw_FDIC!G264="",Raw_FDIC!I264=""),"",IF(Raw_FDIC!G264+Raw_FDIC!I264=0,"",Raw_FDIC!H264/(Raw_FDIC!G264+Raw_FDIC!I264)*100))</f>
        <v/>
      </c>
    </row>
    <row r="22">
      <c r="A22" s="14">
        <f>IF(_config!$C$47="","",_config!$C$47)</f>
        <v/>
      </c>
      <c r="B22" s="15">
        <f>IF(_config!$B$47="","",_config!$B$47)</f>
        <v/>
      </c>
      <c r="C22" s="16">
        <f>IF(_config!$D$47="","",_config!$D$47)</f>
        <v/>
      </c>
      <c r="D22" s="17">
        <f>IF(Raw_FDIC!N284="","",Raw_FDIC!N284)</f>
        <v/>
      </c>
      <c r="E22" s="17">
        <f>IF(Raw_FDIC!O284="","",Raw_FDIC!O284)</f>
        <v/>
      </c>
      <c r="F22" s="17">
        <f>IF(OR(Raw_FDIC!J284="",Raw_FDIC!D284=""),"",IF(Raw_FDIC!D284=0,"",Raw_FDIC!J284/Raw_FDIC!D284*100))</f>
        <v/>
      </c>
      <c r="G22" s="17">
        <f>IF(Raw_FDIC!P284="","",Raw_FDIC!P284)</f>
        <v/>
      </c>
      <c r="H22" s="17">
        <f>IF(Raw_FDIC!Q284="","",Raw_FDIC!Q284)</f>
        <v/>
      </c>
      <c r="I22" s="17">
        <f>IF(OR(Raw_FDIC!H284="",Raw_FDIC!G284="",Raw_FDIC!I284=""),"",IF(Raw_FDIC!G284+Raw_FDIC!I284=0,"",Raw_FDIC!H284/(Raw_FDIC!G284+Raw_FDIC!I284)*100))</f>
        <v/>
      </c>
    </row>
    <row r="23">
      <c r="A23" s="14">
        <f>IF(_config!$C$48="","",_config!$C$48)</f>
        <v/>
      </c>
      <c r="B23" s="15">
        <f>IF(_config!$B$48="","",_config!$B$48)</f>
        <v/>
      </c>
      <c r="C23" s="16">
        <f>IF(_config!$D$48="","",_config!$D$48)</f>
        <v/>
      </c>
      <c r="D23" s="17">
        <f>IF(Raw_FDIC!N304="","",Raw_FDIC!N304)</f>
        <v/>
      </c>
      <c r="E23" s="17">
        <f>IF(Raw_FDIC!O304="","",Raw_FDIC!O304)</f>
        <v/>
      </c>
      <c r="F23" s="17">
        <f>IF(OR(Raw_FDIC!J304="",Raw_FDIC!D304=""),"",IF(Raw_FDIC!D304=0,"",Raw_FDIC!J304/Raw_FDIC!D304*100))</f>
        <v/>
      </c>
      <c r="G23" s="17">
        <f>IF(Raw_FDIC!P304="","",Raw_FDIC!P304)</f>
        <v/>
      </c>
      <c r="H23" s="17">
        <f>IF(Raw_FDIC!Q304="","",Raw_FDIC!Q304)</f>
        <v/>
      </c>
      <c r="I23" s="17">
        <f>IF(OR(Raw_FDIC!H304="",Raw_FDIC!G304="",Raw_FDIC!I304=""),"",IF(Raw_FDIC!G304+Raw_FDIC!I304=0,"",Raw_FDIC!H304/(Raw_FDIC!G304+Raw_FDIC!I304)*100))</f>
        <v/>
      </c>
    </row>
    <row r="24">
      <c r="A24" s="14">
        <f>IF(_config!$C$49="","",_config!$C$49)</f>
        <v/>
      </c>
      <c r="B24" s="15">
        <f>IF(_config!$B$49="","",_config!$B$49)</f>
        <v/>
      </c>
      <c r="C24" s="16">
        <f>IF(_config!$D$49="","",_config!$D$49)</f>
        <v/>
      </c>
      <c r="D24" s="17">
        <f>IF(Raw_FDIC!N324="","",Raw_FDIC!N324)</f>
        <v/>
      </c>
      <c r="E24" s="17">
        <f>IF(Raw_FDIC!O324="","",Raw_FDIC!O324)</f>
        <v/>
      </c>
      <c r="F24" s="17">
        <f>IF(OR(Raw_FDIC!J324="",Raw_FDIC!D324=""),"",IF(Raw_FDIC!D324=0,"",Raw_FDIC!J324/Raw_FDIC!D324*100))</f>
        <v/>
      </c>
      <c r="G24" s="17">
        <f>IF(Raw_FDIC!P324="","",Raw_FDIC!P324)</f>
        <v/>
      </c>
      <c r="H24" s="17">
        <f>IF(Raw_FDIC!Q324="","",Raw_FDIC!Q324)</f>
        <v/>
      </c>
      <c r="I24" s="17">
        <f>IF(OR(Raw_FDIC!H324="",Raw_FDIC!G324="",Raw_FDIC!I324=""),"",IF(Raw_FDIC!G324+Raw_FDIC!I324=0,"",Raw_FDIC!H324/(Raw_FDIC!G324+Raw_FDIC!I324)*100))</f>
        <v/>
      </c>
    </row>
    <row r="25">
      <c r="A25" s="14">
        <f>IF(_config!$C$50="","",_config!$C$50)</f>
        <v/>
      </c>
      <c r="B25" s="15">
        <f>IF(_config!$B$50="","",_config!$B$50)</f>
        <v/>
      </c>
      <c r="C25" s="16">
        <f>IF(_config!$D$50="","",_config!$D$50)</f>
        <v/>
      </c>
      <c r="D25" s="17">
        <f>IF(Raw_FDIC!N344="","",Raw_FDIC!N344)</f>
        <v/>
      </c>
      <c r="E25" s="17">
        <f>IF(Raw_FDIC!O344="","",Raw_FDIC!O344)</f>
        <v/>
      </c>
      <c r="F25" s="17">
        <f>IF(OR(Raw_FDIC!J344="",Raw_FDIC!D344=""),"",IF(Raw_FDIC!D344=0,"",Raw_FDIC!J344/Raw_FDIC!D344*100))</f>
        <v/>
      </c>
      <c r="G25" s="17">
        <f>IF(Raw_FDIC!P344="","",Raw_FDIC!P344)</f>
        <v/>
      </c>
      <c r="H25" s="17">
        <f>IF(Raw_FDIC!Q344="","",Raw_FDIC!Q344)</f>
        <v/>
      </c>
      <c r="I25" s="17">
        <f>IF(OR(Raw_FDIC!H344="",Raw_FDIC!G344="",Raw_FDIC!I344=""),"",IF(Raw_FDIC!G344+Raw_FDIC!I344=0,"",Raw_FDIC!H344/(Raw_FDIC!G344+Raw_FDIC!I344)*100))</f>
        <v/>
      </c>
    </row>
    <row r="26">
      <c r="A26" s="14">
        <f>IF(_config!$C$51="","",_config!$C$51)</f>
        <v/>
      </c>
      <c r="B26" s="15">
        <f>IF(_config!$B$51="","",_config!$B$51)</f>
        <v/>
      </c>
      <c r="C26" s="16">
        <f>IF(_config!$D$51="","",_config!$D$51)</f>
        <v/>
      </c>
      <c r="D26" s="17">
        <f>IF(Raw_FDIC!N364="","",Raw_FDIC!N364)</f>
        <v/>
      </c>
      <c r="E26" s="17">
        <f>IF(Raw_FDIC!O364="","",Raw_FDIC!O364)</f>
        <v/>
      </c>
      <c r="F26" s="17">
        <f>IF(OR(Raw_FDIC!J364="",Raw_FDIC!D364=""),"",IF(Raw_FDIC!D364=0,"",Raw_FDIC!J364/Raw_FDIC!D364*100))</f>
        <v/>
      </c>
      <c r="G26" s="17">
        <f>IF(Raw_FDIC!P364="","",Raw_FDIC!P364)</f>
        <v/>
      </c>
      <c r="H26" s="17">
        <f>IF(Raw_FDIC!Q364="","",Raw_FDIC!Q364)</f>
        <v/>
      </c>
      <c r="I26" s="17">
        <f>IF(OR(Raw_FDIC!H364="",Raw_FDIC!G364="",Raw_FDIC!I364=""),"",IF(Raw_FDIC!G364+Raw_FDIC!I364=0,"",Raw_FDIC!H364/(Raw_FDIC!G364+Raw_FDIC!I364)*100))</f>
        <v/>
      </c>
    </row>
    <row r="27">
      <c r="A27" s="14">
        <f>IF(_config!$C$52="","",_config!$C$52)</f>
        <v/>
      </c>
      <c r="B27" s="15">
        <f>IF(_config!$B$52="","",_config!$B$52)</f>
        <v/>
      </c>
      <c r="C27" s="16">
        <f>IF(_config!$D$52="","",_config!$D$52)</f>
        <v/>
      </c>
      <c r="D27" s="17">
        <f>IF(Raw_FDIC!N384="","",Raw_FDIC!N384)</f>
        <v/>
      </c>
      <c r="E27" s="17">
        <f>IF(Raw_FDIC!O384="","",Raw_FDIC!O384)</f>
        <v/>
      </c>
      <c r="F27" s="17">
        <f>IF(OR(Raw_FDIC!J384="",Raw_FDIC!D384=""),"",IF(Raw_FDIC!D384=0,"",Raw_FDIC!J384/Raw_FDIC!D384*100))</f>
        <v/>
      </c>
      <c r="G27" s="17">
        <f>IF(Raw_FDIC!P384="","",Raw_FDIC!P384)</f>
        <v/>
      </c>
      <c r="H27" s="17">
        <f>IF(Raw_FDIC!Q384="","",Raw_FDIC!Q384)</f>
        <v/>
      </c>
      <c r="I27" s="17">
        <f>IF(OR(Raw_FDIC!H384="",Raw_FDIC!G384="",Raw_FDIC!I384=""),"",IF(Raw_FDIC!G384+Raw_FDIC!I384=0,"",Raw_FDIC!H384/(Raw_FDIC!G384+Raw_FDIC!I384)*100))</f>
        <v/>
      </c>
    </row>
    <row r="28">
      <c r="A28" s="14">
        <f>IF(_config!$C$53="","",_config!$C$53)</f>
        <v/>
      </c>
      <c r="B28" s="15">
        <f>IF(_config!$B$53="","",_config!$B$53)</f>
        <v/>
      </c>
      <c r="C28" s="16">
        <f>IF(_config!$D$53="","",_config!$D$53)</f>
        <v/>
      </c>
      <c r="D28" s="17">
        <f>IF(Raw_FDIC!N404="","",Raw_FDIC!N404)</f>
        <v/>
      </c>
      <c r="E28" s="17">
        <f>IF(Raw_FDIC!O404="","",Raw_FDIC!O404)</f>
        <v/>
      </c>
      <c r="F28" s="17">
        <f>IF(OR(Raw_FDIC!J404="",Raw_FDIC!D404=""),"",IF(Raw_FDIC!D404=0,"",Raw_FDIC!J404/Raw_FDIC!D404*100))</f>
        <v/>
      </c>
      <c r="G28" s="17">
        <f>IF(Raw_FDIC!P404="","",Raw_FDIC!P404)</f>
        <v/>
      </c>
      <c r="H28" s="17">
        <f>IF(Raw_FDIC!Q404="","",Raw_FDIC!Q404)</f>
        <v/>
      </c>
      <c r="I28" s="17">
        <f>IF(OR(Raw_FDIC!H404="",Raw_FDIC!G404="",Raw_FDIC!I404=""),"",IF(Raw_FDIC!G404+Raw_FDIC!I404=0,"",Raw_FDIC!H404/(Raw_FDIC!G404+Raw_FDIC!I404)*100))</f>
        <v/>
      </c>
    </row>
    <row r="29">
      <c r="A29" s="14">
        <f>IF(_config!$C$54="","",_config!$C$54)</f>
        <v/>
      </c>
      <c r="B29" s="15">
        <f>IF(_config!$B$54="","",_config!$B$54)</f>
        <v/>
      </c>
      <c r="C29" s="16">
        <f>IF(_config!$D$54="","",_config!$D$54)</f>
        <v/>
      </c>
      <c r="D29" s="17">
        <f>IF(Raw_FDIC!N424="","",Raw_FDIC!N424)</f>
        <v/>
      </c>
      <c r="E29" s="17">
        <f>IF(Raw_FDIC!O424="","",Raw_FDIC!O424)</f>
        <v/>
      </c>
      <c r="F29" s="17">
        <f>IF(OR(Raw_FDIC!J424="",Raw_FDIC!D424=""),"",IF(Raw_FDIC!D424=0,"",Raw_FDIC!J424/Raw_FDIC!D424*100))</f>
        <v/>
      </c>
      <c r="G29" s="17">
        <f>IF(Raw_FDIC!P424="","",Raw_FDIC!P424)</f>
        <v/>
      </c>
      <c r="H29" s="17">
        <f>IF(Raw_FDIC!Q424="","",Raw_FDIC!Q424)</f>
        <v/>
      </c>
      <c r="I29" s="17">
        <f>IF(OR(Raw_FDIC!H424="",Raw_FDIC!G424="",Raw_FDIC!I424=""),"",IF(Raw_FDIC!G424+Raw_FDIC!I424=0,"",Raw_FDIC!H424/(Raw_FDIC!G424+Raw_FDIC!I424)*100))</f>
        <v/>
      </c>
    </row>
    <row r="30">
      <c r="A30" s="14">
        <f>IF(_config!$C$55="","",_config!$C$55)</f>
        <v/>
      </c>
      <c r="B30" s="15">
        <f>IF(_config!$B$55="","",_config!$B$55)</f>
        <v/>
      </c>
      <c r="C30" s="16">
        <f>IF(_config!$D$55="","",_config!$D$55)</f>
        <v/>
      </c>
      <c r="D30" s="17">
        <f>IF(Raw_FDIC!N444="","",Raw_FDIC!N444)</f>
        <v/>
      </c>
      <c r="E30" s="17">
        <f>IF(Raw_FDIC!O444="","",Raw_FDIC!O444)</f>
        <v/>
      </c>
      <c r="F30" s="17">
        <f>IF(OR(Raw_FDIC!J444="",Raw_FDIC!D444=""),"",IF(Raw_FDIC!D444=0,"",Raw_FDIC!J444/Raw_FDIC!D444*100))</f>
        <v/>
      </c>
      <c r="G30" s="17">
        <f>IF(Raw_FDIC!P444="","",Raw_FDIC!P444)</f>
        <v/>
      </c>
      <c r="H30" s="17">
        <f>IF(Raw_FDIC!Q444="","",Raw_FDIC!Q444)</f>
        <v/>
      </c>
      <c r="I30" s="17">
        <f>IF(OR(Raw_FDIC!H444="",Raw_FDIC!G444="",Raw_FDIC!I444=""),"",IF(Raw_FDIC!G444+Raw_FDIC!I444=0,"",Raw_FDIC!H444/(Raw_FDIC!G444+Raw_FDIC!I444)*100))</f>
        <v/>
      </c>
    </row>
    <row r="31">
      <c r="A31" s="14">
        <f>IF(_config!$C$56="","",_config!$C$56)</f>
        <v/>
      </c>
      <c r="B31" s="15">
        <f>IF(_config!$B$56="","",_config!$B$56)</f>
        <v/>
      </c>
      <c r="C31" s="16">
        <f>IF(_config!$D$56="","",_config!$D$56)</f>
        <v/>
      </c>
      <c r="D31" s="17">
        <f>IF(Raw_FDIC!N464="","",Raw_FDIC!N464)</f>
        <v/>
      </c>
      <c r="E31" s="17">
        <f>IF(Raw_FDIC!O464="","",Raw_FDIC!O464)</f>
        <v/>
      </c>
      <c r="F31" s="17">
        <f>IF(OR(Raw_FDIC!J464="",Raw_FDIC!D464=""),"",IF(Raw_FDIC!D464=0,"",Raw_FDIC!J464/Raw_FDIC!D464*100))</f>
        <v/>
      </c>
      <c r="G31" s="17">
        <f>IF(Raw_FDIC!P464="","",Raw_FDIC!P464)</f>
        <v/>
      </c>
      <c r="H31" s="17">
        <f>IF(Raw_FDIC!Q464="","",Raw_FDIC!Q464)</f>
        <v/>
      </c>
      <c r="I31" s="17">
        <f>IF(OR(Raw_FDIC!H464="",Raw_FDIC!G464="",Raw_FDIC!I464=""),"",IF(Raw_FDIC!G464+Raw_FDIC!I464=0,"",Raw_FDIC!H464/(Raw_FDIC!G464+Raw_FDIC!I464)*100))</f>
        <v/>
      </c>
    </row>
    <row r="32">
      <c r="A32" s="14">
        <f>IF(_config!$C$57="","",_config!$C$57)</f>
        <v/>
      </c>
      <c r="B32" s="15">
        <f>IF(_config!$B$57="","",_config!$B$57)</f>
        <v/>
      </c>
      <c r="C32" s="16">
        <f>IF(_config!$D$57="","",_config!$D$57)</f>
        <v/>
      </c>
      <c r="D32" s="17">
        <f>IF(Raw_FDIC!N484="","",Raw_FDIC!N484)</f>
        <v/>
      </c>
      <c r="E32" s="17">
        <f>IF(Raw_FDIC!O484="","",Raw_FDIC!O484)</f>
        <v/>
      </c>
      <c r="F32" s="17">
        <f>IF(OR(Raw_FDIC!J484="",Raw_FDIC!D484=""),"",IF(Raw_FDIC!D484=0,"",Raw_FDIC!J484/Raw_FDIC!D484*100))</f>
        <v/>
      </c>
      <c r="G32" s="17">
        <f>IF(Raw_FDIC!P484="","",Raw_FDIC!P484)</f>
        <v/>
      </c>
      <c r="H32" s="17">
        <f>IF(Raw_FDIC!Q484="","",Raw_FDIC!Q484)</f>
        <v/>
      </c>
      <c r="I32" s="17">
        <f>IF(OR(Raw_FDIC!H484="",Raw_FDIC!G484="",Raw_FDIC!I484=""),"",IF(Raw_FDIC!G484+Raw_FDIC!I484=0,"",Raw_FDIC!H484/(Raw_FDIC!G484+Raw_FDIC!I484)*100))</f>
        <v/>
      </c>
    </row>
    <row r="33">
      <c r="A33" s="14">
        <f>IF(_config!$C$58="","",_config!$C$58)</f>
        <v/>
      </c>
      <c r="B33" s="15">
        <f>IF(_config!$B$58="","",_config!$B$58)</f>
        <v/>
      </c>
      <c r="C33" s="16">
        <f>IF(_config!$D$58="","",_config!$D$58)</f>
        <v/>
      </c>
      <c r="D33" s="17">
        <f>IF(Raw_FDIC!N504="","",Raw_FDIC!N504)</f>
        <v/>
      </c>
      <c r="E33" s="17">
        <f>IF(Raw_FDIC!O504="","",Raw_FDIC!O504)</f>
        <v/>
      </c>
      <c r="F33" s="17">
        <f>IF(OR(Raw_FDIC!J504="",Raw_FDIC!D504=""),"",IF(Raw_FDIC!D504=0,"",Raw_FDIC!J504/Raw_FDIC!D504*100))</f>
        <v/>
      </c>
      <c r="G33" s="17">
        <f>IF(Raw_FDIC!P504="","",Raw_FDIC!P504)</f>
        <v/>
      </c>
      <c r="H33" s="17">
        <f>IF(Raw_FDIC!Q504="","",Raw_FDIC!Q504)</f>
        <v/>
      </c>
      <c r="I33" s="17">
        <f>IF(OR(Raw_FDIC!H504="",Raw_FDIC!G504="",Raw_FDIC!I504=""),"",IF(Raw_FDIC!G504+Raw_FDIC!I504=0,"",Raw_FDIC!H504/(Raw_FDIC!G504+Raw_FDIC!I504)*100))</f>
        <v/>
      </c>
    </row>
    <row r="34">
      <c r="A34" s="14">
        <f>IF(_config!$C$59="","",_config!$C$59)</f>
        <v/>
      </c>
      <c r="B34" s="15">
        <f>IF(_config!$B$59="","",_config!$B$59)</f>
        <v/>
      </c>
      <c r="C34" s="16">
        <f>IF(_config!$D$59="","",_config!$D$59)</f>
        <v/>
      </c>
      <c r="D34" s="17">
        <f>IF(Raw_FDIC!N524="","",Raw_FDIC!N524)</f>
        <v/>
      </c>
      <c r="E34" s="17">
        <f>IF(Raw_FDIC!O524="","",Raw_FDIC!O524)</f>
        <v/>
      </c>
      <c r="F34" s="17">
        <f>IF(OR(Raw_FDIC!J524="",Raw_FDIC!D524=""),"",IF(Raw_FDIC!D524=0,"",Raw_FDIC!J524/Raw_FDIC!D524*100))</f>
        <v/>
      </c>
      <c r="G34" s="17">
        <f>IF(Raw_FDIC!P524="","",Raw_FDIC!P524)</f>
        <v/>
      </c>
      <c r="H34" s="17">
        <f>IF(Raw_FDIC!Q524="","",Raw_FDIC!Q524)</f>
        <v/>
      </c>
      <c r="I34" s="17">
        <f>IF(OR(Raw_FDIC!H524="",Raw_FDIC!G524="",Raw_FDIC!I524=""),"",IF(Raw_FDIC!G524+Raw_FDIC!I524=0,"",Raw_FDIC!H524/(Raw_FDIC!G524+Raw_FDIC!I524)*100))</f>
        <v/>
      </c>
    </row>
    <row r="35">
      <c r="A35" s="14">
        <f>IF(_config!$C$60="","",_config!$C$60)</f>
        <v/>
      </c>
      <c r="B35" s="15">
        <f>IF(_config!$B$60="","",_config!$B$60)</f>
        <v/>
      </c>
      <c r="C35" s="16">
        <f>IF(_config!$D$60="","",_config!$D$60)</f>
        <v/>
      </c>
      <c r="D35" s="17">
        <f>IF(Raw_FDIC!N544="","",Raw_FDIC!N544)</f>
        <v/>
      </c>
      <c r="E35" s="17">
        <f>IF(Raw_FDIC!O544="","",Raw_FDIC!O544)</f>
        <v/>
      </c>
      <c r="F35" s="17">
        <f>IF(OR(Raw_FDIC!J544="",Raw_FDIC!D544=""),"",IF(Raw_FDIC!D544=0,"",Raw_FDIC!J544/Raw_FDIC!D544*100))</f>
        <v/>
      </c>
      <c r="G35" s="17">
        <f>IF(Raw_FDIC!P544="","",Raw_FDIC!P544)</f>
        <v/>
      </c>
      <c r="H35" s="17">
        <f>IF(Raw_FDIC!Q544="","",Raw_FDIC!Q544)</f>
        <v/>
      </c>
      <c r="I35" s="17">
        <f>IF(OR(Raw_FDIC!H544="",Raw_FDIC!G544="",Raw_FDIC!I544=""),"",IF(Raw_FDIC!G544+Raw_FDIC!I544=0,"",Raw_FDIC!H544/(Raw_FDIC!G544+Raw_FDIC!I544)*100))</f>
        <v/>
      </c>
    </row>
    <row r="36">
      <c r="A36" s="14">
        <f>IF(_config!$C$61="","",_config!$C$61)</f>
        <v/>
      </c>
      <c r="B36" s="15">
        <f>IF(_config!$B$61="","",_config!$B$61)</f>
        <v/>
      </c>
      <c r="C36" s="16">
        <f>IF(_config!$D$61="","",_config!$D$61)</f>
        <v/>
      </c>
      <c r="D36" s="17">
        <f>IF(Raw_FDIC!N564="","",Raw_FDIC!N564)</f>
        <v/>
      </c>
      <c r="E36" s="17">
        <f>IF(Raw_FDIC!O564="","",Raw_FDIC!O564)</f>
        <v/>
      </c>
      <c r="F36" s="17">
        <f>IF(OR(Raw_FDIC!J564="",Raw_FDIC!D564=""),"",IF(Raw_FDIC!D564=0,"",Raw_FDIC!J564/Raw_FDIC!D564*100))</f>
        <v/>
      </c>
      <c r="G36" s="17">
        <f>IF(Raw_FDIC!P564="","",Raw_FDIC!P564)</f>
        <v/>
      </c>
      <c r="H36" s="17">
        <f>IF(Raw_FDIC!Q564="","",Raw_FDIC!Q564)</f>
        <v/>
      </c>
      <c r="I36" s="17">
        <f>IF(OR(Raw_FDIC!H564="",Raw_FDIC!G564="",Raw_FDIC!I564=""),"",IF(Raw_FDIC!G564+Raw_FDIC!I564=0,"",Raw_FDIC!H564/(Raw_FDIC!G564+Raw_FDIC!I564)*100))</f>
        <v/>
      </c>
    </row>
    <row r="37">
      <c r="A37" s="14">
        <f>IF(_config!$C$62="","",_config!$C$62)</f>
        <v/>
      </c>
      <c r="B37" s="15">
        <f>IF(_config!$B$62="","",_config!$B$62)</f>
        <v/>
      </c>
      <c r="C37" s="16">
        <f>IF(_config!$D$62="","",_config!$D$62)</f>
        <v/>
      </c>
      <c r="D37" s="17">
        <f>IF(Raw_FDIC!N584="","",Raw_FDIC!N584)</f>
        <v/>
      </c>
      <c r="E37" s="17">
        <f>IF(Raw_FDIC!O584="","",Raw_FDIC!O584)</f>
        <v/>
      </c>
      <c r="F37" s="17">
        <f>IF(OR(Raw_FDIC!J584="",Raw_FDIC!D584=""),"",IF(Raw_FDIC!D584=0,"",Raw_FDIC!J584/Raw_FDIC!D584*100))</f>
        <v/>
      </c>
      <c r="G37" s="17">
        <f>IF(Raw_FDIC!P584="","",Raw_FDIC!P584)</f>
        <v/>
      </c>
      <c r="H37" s="17">
        <f>IF(Raw_FDIC!Q584="","",Raw_FDIC!Q584)</f>
        <v/>
      </c>
      <c r="I37" s="17">
        <f>IF(OR(Raw_FDIC!H584="",Raw_FDIC!G584="",Raw_FDIC!I584=""),"",IF(Raw_FDIC!G584+Raw_FDIC!I584=0,"",Raw_FDIC!H584/(Raw_FDIC!G584+Raw_FDIC!I584)*100))</f>
        <v/>
      </c>
    </row>
    <row r="38">
      <c r="A38" s="14">
        <f>IF(_config!$C$63="","",_config!$C$63)</f>
        <v/>
      </c>
      <c r="B38" s="15">
        <f>IF(_config!$B$63="","",_config!$B$63)</f>
        <v/>
      </c>
      <c r="C38" s="16">
        <f>IF(_config!$D$63="","",_config!$D$63)</f>
        <v/>
      </c>
      <c r="D38" s="17">
        <f>IF(Raw_FDIC!N604="","",Raw_FDIC!N604)</f>
        <v/>
      </c>
      <c r="E38" s="17">
        <f>IF(Raw_FDIC!O604="","",Raw_FDIC!O604)</f>
        <v/>
      </c>
      <c r="F38" s="17">
        <f>IF(OR(Raw_FDIC!J604="",Raw_FDIC!D604=""),"",IF(Raw_FDIC!D604=0,"",Raw_FDIC!J604/Raw_FDIC!D604*100))</f>
        <v/>
      </c>
      <c r="G38" s="17">
        <f>IF(Raw_FDIC!P604="","",Raw_FDIC!P604)</f>
        <v/>
      </c>
      <c r="H38" s="17">
        <f>IF(Raw_FDIC!Q604="","",Raw_FDIC!Q604)</f>
        <v/>
      </c>
      <c r="I38" s="17">
        <f>IF(OR(Raw_FDIC!H604="",Raw_FDIC!G604="",Raw_FDIC!I604=""),"",IF(Raw_FDIC!G604+Raw_FDIC!I604=0,"",Raw_FDIC!H604/(Raw_FDIC!G604+Raw_FDIC!I604)*100))</f>
        <v/>
      </c>
    </row>
    <row r="39">
      <c r="A39" s="14">
        <f>IF(_config!$C$64="","",_config!$C$64)</f>
        <v/>
      </c>
      <c r="B39" s="15">
        <f>IF(_config!$B$64="","",_config!$B$64)</f>
        <v/>
      </c>
      <c r="C39" s="16">
        <f>IF(_config!$D$64="","",_config!$D$64)</f>
        <v/>
      </c>
      <c r="D39" s="17">
        <f>IF(Raw_FDIC!N624="","",Raw_FDIC!N624)</f>
        <v/>
      </c>
      <c r="E39" s="17">
        <f>IF(Raw_FDIC!O624="","",Raw_FDIC!O624)</f>
        <v/>
      </c>
      <c r="F39" s="17">
        <f>IF(OR(Raw_FDIC!J624="",Raw_FDIC!D624=""),"",IF(Raw_FDIC!D624=0,"",Raw_FDIC!J624/Raw_FDIC!D624*100))</f>
        <v/>
      </c>
      <c r="G39" s="17">
        <f>IF(Raw_FDIC!P624="","",Raw_FDIC!P624)</f>
        <v/>
      </c>
      <c r="H39" s="17">
        <f>IF(Raw_FDIC!Q624="","",Raw_FDIC!Q624)</f>
        <v/>
      </c>
      <c r="I39" s="17">
        <f>IF(OR(Raw_FDIC!H624="",Raw_FDIC!G624="",Raw_FDIC!I624=""),"",IF(Raw_FDIC!G624+Raw_FDIC!I624=0,"",Raw_FDIC!H624/(Raw_FDIC!G624+Raw_FDIC!I624)*100))</f>
        <v/>
      </c>
    </row>
    <row r="40">
      <c r="A40" s="14">
        <f>IF(_config!$C$65="","",_config!$C$65)</f>
        <v/>
      </c>
      <c r="B40" s="15">
        <f>IF(_config!$B$65="","",_config!$B$65)</f>
        <v/>
      </c>
      <c r="C40" s="16">
        <f>IF(_config!$D$65="","",_config!$D$65)</f>
        <v/>
      </c>
      <c r="D40" s="17">
        <f>IF(Raw_FDIC!N644="","",Raw_FDIC!N644)</f>
        <v/>
      </c>
      <c r="E40" s="17">
        <f>IF(Raw_FDIC!O644="","",Raw_FDIC!O644)</f>
        <v/>
      </c>
      <c r="F40" s="17">
        <f>IF(OR(Raw_FDIC!J644="",Raw_FDIC!D644=""),"",IF(Raw_FDIC!D644=0,"",Raw_FDIC!J644/Raw_FDIC!D644*100))</f>
        <v/>
      </c>
      <c r="G40" s="17">
        <f>IF(Raw_FDIC!P644="","",Raw_FDIC!P644)</f>
        <v/>
      </c>
      <c r="H40" s="17">
        <f>IF(Raw_FDIC!Q644="","",Raw_FDIC!Q644)</f>
        <v/>
      </c>
      <c r="I40" s="17">
        <f>IF(OR(Raw_FDIC!H644="",Raw_FDIC!G644="",Raw_FDIC!I644=""),"",IF(Raw_FDIC!G644+Raw_FDIC!I644=0,"",Raw_FDIC!H644/(Raw_FDIC!G644+Raw_FDIC!I644)*100))</f>
        <v/>
      </c>
    </row>
    <row r="41">
      <c r="A41" s="14">
        <f>IF(_config!$C$66="","",_config!$C$66)</f>
        <v/>
      </c>
      <c r="B41" s="15">
        <f>IF(_config!$B$66="","",_config!$B$66)</f>
        <v/>
      </c>
      <c r="C41" s="16">
        <f>IF(_config!$D$66="","",_config!$D$66)</f>
        <v/>
      </c>
      <c r="D41" s="17">
        <f>IF(Raw_FDIC!N664="","",Raw_FDIC!N664)</f>
        <v/>
      </c>
      <c r="E41" s="17">
        <f>IF(Raw_FDIC!O664="","",Raw_FDIC!O664)</f>
        <v/>
      </c>
      <c r="F41" s="17">
        <f>IF(OR(Raw_FDIC!J664="",Raw_FDIC!D664=""),"",IF(Raw_FDIC!D664=0,"",Raw_FDIC!J664/Raw_FDIC!D664*100))</f>
        <v/>
      </c>
      <c r="G41" s="17">
        <f>IF(Raw_FDIC!P664="","",Raw_FDIC!P664)</f>
        <v/>
      </c>
      <c r="H41" s="17">
        <f>IF(Raw_FDIC!Q664="","",Raw_FDIC!Q664)</f>
        <v/>
      </c>
      <c r="I41" s="17">
        <f>IF(OR(Raw_FDIC!H664="",Raw_FDIC!G664="",Raw_FDIC!I664=""),"",IF(Raw_FDIC!G664+Raw_FDIC!I664=0,"",Raw_FDIC!H664/(Raw_FDIC!G664+Raw_FDIC!I664)*100))</f>
        <v/>
      </c>
    </row>
    <row r="42">
      <c r="A42" s="14">
        <f>IF(_config!$C$67="","",_config!$C$67)</f>
        <v/>
      </c>
      <c r="B42" s="15">
        <f>IF(_config!$B$67="","",_config!$B$67)</f>
        <v/>
      </c>
      <c r="C42" s="16">
        <f>IF(_config!$D$67="","",_config!$D$67)</f>
        <v/>
      </c>
      <c r="D42" s="17">
        <f>IF(Raw_FDIC!N684="","",Raw_FDIC!N684)</f>
        <v/>
      </c>
      <c r="E42" s="17">
        <f>IF(Raw_FDIC!O684="","",Raw_FDIC!O684)</f>
        <v/>
      </c>
      <c r="F42" s="17">
        <f>IF(OR(Raw_FDIC!J684="",Raw_FDIC!D684=""),"",IF(Raw_FDIC!D684=0,"",Raw_FDIC!J684/Raw_FDIC!D684*100))</f>
        <v/>
      </c>
      <c r="G42" s="17">
        <f>IF(Raw_FDIC!P684="","",Raw_FDIC!P684)</f>
        <v/>
      </c>
      <c r="H42" s="17">
        <f>IF(Raw_FDIC!Q684="","",Raw_FDIC!Q684)</f>
        <v/>
      </c>
      <c r="I42" s="17">
        <f>IF(OR(Raw_FDIC!H684="",Raw_FDIC!G684="",Raw_FDIC!I684=""),"",IF(Raw_FDIC!G684+Raw_FDIC!I684=0,"",Raw_FDIC!H684/(Raw_FDIC!G684+Raw_FDIC!I684)*100))</f>
        <v/>
      </c>
    </row>
    <row r="43">
      <c r="A43" s="14">
        <f>IF(_config!$C$68="","",_config!$C$68)</f>
        <v/>
      </c>
      <c r="B43" s="15">
        <f>IF(_config!$B$68="","",_config!$B$68)</f>
        <v/>
      </c>
      <c r="C43" s="16">
        <f>IF(_config!$D$68="","",_config!$D$68)</f>
        <v/>
      </c>
      <c r="D43" s="17">
        <f>IF(Raw_FDIC!N704="","",Raw_FDIC!N704)</f>
        <v/>
      </c>
      <c r="E43" s="17">
        <f>IF(Raw_FDIC!O704="","",Raw_FDIC!O704)</f>
        <v/>
      </c>
      <c r="F43" s="17">
        <f>IF(OR(Raw_FDIC!J704="",Raw_FDIC!D704=""),"",IF(Raw_FDIC!D704=0,"",Raw_FDIC!J704/Raw_FDIC!D704*100))</f>
        <v/>
      </c>
      <c r="G43" s="17">
        <f>IF(Raw_FDIC!P704="","",Raw_FDIC!P704)</f>
        <v/>
      </c>
      <c r="H43" s="17">
        <f>IF(Raw_FDIC!Q704="","",Raw_FDIC!Q704)</f>
        <v/>
      </c>
      <c r="I43" s="17">
        <f>IF(OR(Raw_FDIC!H704="",Raw_FDIC!G704="",Raw_FDIC!I704=""),"",IF(Raw_FDIC!G704+Raw_FDIC!I704=0,"",Raw_FDIC!H704/(Raw_FDIC!G704+Raw_FDIC!I704)*100))</f>
        <v/>
      </c>
    </row>
    <row r="44">
      <c r="A44" s="14">
        <f>IF(_config!$C$69="","",_config!$C$69)</f>
        <v/>
      </c>
      <c r="B44" s="15">
        <f>IF(_config!$B$69="","",_config!$B$69)</f>
        <v/>
      </c>
      <c r="C44" s="16">
        <f>IF(_config!$D$69="","",_config!$D$69)</f>
        <v/>
      </c>
      <c r="D44" s="17">
        <f>IF(Raw_FDIC!N724="","",Raw_FDIC!N724)</f>
        <v/>
      </c>
      <c r="E44" s="17">
        <f>IF(Raw_FDIC!O724="","",Raw_FDIC!O724)</f>
        <v/>
      </c>
      <c r="F44" s="17">
        <f>IF(OR(Raw_FDIC!J724="",Raw_FDIC!D724=""),"",IF(Raw_FDIC!D724=0,"",Raw_FDIC!J724/Raw_FDIC!D724*100))</f>
        <v/>
      </c>
      <c r="G44" s="17">
        <f>IF(Raw_FDIC!P724="","",Raw_FDIC!P724)</f>
        <v/>
      </c>
      <c r="H44" s="17">
        <f>IF(Raw_FDIC!Q724="","",Raw_FDIC!Q724)</f>
        <v/>
      </c>
      <c r="I44" s="17">
        <f>IF(OR(Raw_FDIC!H724="",Raw_FDIC!G724="",Raw_FDIC!I724=""),"",IF(Raw_FDIC!G724+Raw_FDIC!I724=0,"",Raw_FDIC!H724/(Raw_FDIC!G724+Raw_FDIC!I724)*100))</f>
        <v/>
      </c>
    </row>
    <row r="45">
      <c r="A45" s="14">
        <f>IF(_config!$C$70="","",_config!$C$70)</f>
        <v/>
      </c>
      <c r="B45" s="15">
        <f>IF(_config!$B$70="","",_config!$B$70)</f>
        <v/>
      </c>
      <c r="C45" s="16">
        <f>IF(_config!$D$70="","",_config!$D$70)</f>
        <v/>
      </c>
      <c r="D45" s="17">
        <f>IF(Raw_FDIC!N744="","",Raw_FDIC!N744)</f>
        <v/>
      </c>
      <c r="E45" s="17">
        <f>IF(Raw_FDIC!O744="","",Raw_FDIC!O744)</f>
        <v/>
      </c>
      <c r="F45" s="17">
        <f>IF(OR(Raw_FDIC!J744="",Raw_FDIC!D744=""),"",IF(Raw_FDIC!D744=0,"",Raw_FDIC!J744/Raw_FDIC!D744*100))</f>
        <v/>
      </c>
      <c r="G45" s="17">
        <f>IF(Raw_FDIC!P744="","",Raw_FDIC!P744)</f>
        <v/>
      </c>
      <c r="H45" s="17">
        <f>IF(Raw_FDIC!Q744="","",Raw_FDIC!Q744)</f>
        <v/>
      </c>
      <c r="I45" s="17">
        <f>IF(OR(Raw_FDIC!H744="",Raw_FDIC!G744="",Raw_FDIC!I744=""),"",IF(Raw_FDIC!G744+Raw_FDIC!I744=0,"",Raw_FDIC!H744/(Raw_FDIC!G744+Raw_FDIC!I744)*100))</f>
        <v/>
      </c>
    </row>
    <row r="46">
      <c r="A46" s="14">
        <f>IF(_config!$C$71="","",_config!$C$71)</f>
        <v/>
      </c>
      <c r="B46" s="15">
        <f>IF(_config!$B$71="","",_config!$B$71)</f>
        <v/>
      </c>
      <c r="C46" s="16">
        <f>IF(_config!$D$71="","",_config!$D$71)</f>
        <v/>
      </c>
      <c r="D46" s="17">
        <f>IF(Raw_FDIC!N764="","",Raw_FDIC!N764)</f>
        <v/>
      </c>
      <c r="E46" s="17">
        <f>IF(Raw_FDIC!O764="","",Raw_FDIC!O764)</f>
        <v/>
      </c>
      <c r="F46" s="17">
        <f>IF(OR(Raw_FDIC!J764="",Raw_FDIC!D764=""),"",IF(Raw_FDIC!D764=0,"",Raw_FDIC!J764/Raw_FDIC!D764*100))</f>
        <v/>
      </c>
      <c r="G46" s="17">
        <f>IF(Raw_FDIC!P764="","",Raw_FDIC!P764)</f>
        <v/>
      </c>
      <c r="H46" s="17">
        <f>IF(Raw_FDIC!Q764="","",Raw_FDIC!Q764)</f>
        <v/>
      </c>
      <c r="I46" s="17">
        <f>IF(OR(Raw_FDIC!H764="",Raw_FDIC!G764="",Raw_FDIC!I764=""),"",IF(Raw_FDIC!G764+Raw_FDIC!I764=0,"",Raw_FDIC!H764/(Raw_FDIC!G764+Raw_FDIC!I764)*100))</f>
        <v/>
      </c>
    </row>
    <row r="47">
      <c r="A47" s="14">
        <f>IF(_config!$C$72="","",_config!$C$72)</f>
        <v/>
      </c>
      <c r="B47" s="15">
        <f>IF(_config!$B$72="","",_config!$B$72)</f>
        <v/>
      </c>
      <c r="C47" s="16">
        <f>IF(_config!$D$72="","",_config!$D$72)</f>
        <v/>
      </c>
      <c r="D47" s="17">
        <f>IF(Raw_FDIC!N784="","",Raw_FDIC!N784)</f>
        <v/>
      </c>
      <c r="E47" s="17">
        <f>IF(Raw_FDIC!O784="","",Raw_FDIC!O784)</f>
        <v/>
      </c>
      <c r="F47" s="17">
        <f>IF(OR(Raw_FDIC!J784="",Raw_FDIC!D784=""),"",IF(Raw_FDIC!D784=0,"",Raw_FDIC!J784/Raw_FDIC!D784*100))</f>
        <v/>
      </c>
      <c r="G47" s="17">
        <f>IF(Raw_FDIC!P784="","",Raw_FDIC!P784)</f>
        <v/>
      </c>
      <c r="H47" s="17">
        <f>IF(Raw_FDIC!Q784="","",Raw_FDIC!Q784)</f>
        <v/>
      </c>
      <c r="I47" s="17">
        <f>IF(OR(Raw_FDIC!H784="",Raw_FDIC!G784="",Raw_FDIC!I784=""),"",IF(Raw_FDIC!G784+Raw_FDIC!I784=0,"",Raw_FDIC!H784/(Raw_FDIC!G784+Raw_FDIC!I784)*100))</f>
        <v/>
      </c>
    </row>
    <row r="48">
      <c r="A48" s="18" t="inlineStr">
        <is>
          <t>PEER MEDIAN (landed banks; includes stale -- see _readme)</t>
        </is>
      </c>
      <c r="D48" s="19">
        <f>IF(COUNT(D8:D47)=0,"",MEDIAN(D8:D47))</f>
        <v/>
      </c>
      <c r="E48" s="19">
        <f>IF(COUNT(E8:E47)=0,"",MEDIAN(E8:E47))</f>
        <v/>
      </c>
      <c r="F48" s="19">
        <f>IF(COUNT(F8:F47)=0,"",MEDIAN(F8:F47))</f>
        <v/>
      </c>
      <c r="G48" s="19">
        <f>IF(COUNT(G8:G47)=0,"",MEDIAN(G8:G47))</f>
        <v/>
      </c>
      <c r="H48" s="19">
        <f>IF(COUNT(H8:H47)=0,"",MEDIAN(H8:H47))</f>
        <v/>
      </c>
      <c r="I48" s="19">
        <f>IF(COUNT(I8:I47)=0,"",MEDIAN(I8:I47))</f>
        <v/>
      </c>
    </row>
  </sheetData>
  <mergeCells count="11">
    <mergeCell ref="A2:I2"/>
    <mergeCell ref="D5:F5"/>
    <mergeCell ref="A5:C5"/>
    <mergeCell ref="G5:I5"/>
    <mergeCell ref="D4:F4"/>
    <mergeCell ref="A1:I1"/>
    <mergeCell ref="D3:F3"/>
    <mergeCell ref="A3:C3"/>
    <mergeCell ref="G3:I3"/>
    <mergeCell ref="G4:I4"/>
    <mergeCell ref="A4:C4"/>
  </mergeCells>
  <conditionalFormatting sqref="D8:D47">
    <cfRule type="expression" priority="1" dxfId="0" stopIfTrue="1">
      <formula>AND(ISNUMBER(D8),D8&gt;=_config!$C$15)</formula>
    </cfRule>
    <cfRule type="expression" priority="2" dxfId="1" stopIfTrue="1">
      <formula>AND(ISNUMBER(D8),D8&gt;=_config!$B$15)</formula>
    </cfRule>
    <cfRule type="colorScale" priority="3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E8:E47">
    <cfRule type="expression" priority="4" dxfId="0" stopIfTrue="1">
      <formula>AND(ISNUMBER(E8),E8&gt;=_config!$C$16)</formula>
    </cfRule>
    <cfRule type="expression" priority="5" dxfId="1" stopIfTrue="1">
      <formula>AND(ISNUMBER(E8),E8&gt;=_config!$B$16)</formula>
    </cfRule>
    <cfRule type="colorScale" priority="6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F8:F47">
    <cfRule type="expression" priority="7" dxfId="0" stopIfTrue="1">
      <formula>AND(ISNUMBER(F8),F8&gt;=_config!$C$17)</formula>
    </cfRule>
    <cfRule type="expression" priority="8" dxfId="1" stopIfTrue="1">
      <formula>AND(ISNUMBER(F8),F8&gt;=_config!$B$17)</formula>
    </cfRule>
    <cfRule type="colorScale" priority="9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G8:G47">
    <cfRule type="expression" priority="10" dxfId="0" stopIfTrue="1">
      <formula>AND(ISNUMBER(G8),G8&lt;=_config!$C$18)</formula>
    </cfRule>
    <cfRule type="expression" priority="11" dxfId="1" stopIfTrue="1">
      <formula>AND(ISNUMBER(G8),G8&lt;=_config!$B$18)</formula>
    </cfRule>
    <cfRule type="colorScale" priority="12">
      <colorScale>
        <cfvo type="min"/>
        <cfvo type="percentile" val="50"/>
        <cfvo type="max"/>
        <color rgb="00E0A6A6"/>
        <color rgb="00F4F1EC"/>
        <color rgb="00BBD3BD"/>
      </colorScale>
    </cfRule>
  </conditionalFormatting>
  <conditionalFormatting sqref="H8:H47">
    <cfRule type="expression" priority="13" dxfId="0" stopIfTrue="1">
      <formula>AND(ISNUMBER(H8),H8&lt;=_config!$C$19)</formula>
    </cfRule>
    <cfRule type="expression" priority="14" dxfId="1" stopIfTrue="1">
      <formula>AND(ISNUMBER(H8),H8&lt;=_config!$B$19)</formula>
    </cfRule>
    <cfRule type="colorScale" priority="15">
      <colorScale>
        <cfvo type="min"/>
        <cfvo type="percentile" val="50"/>
        <cfvo type="max"/>
        <color rgb="00E0A6A6"/>
        <color rgb="00F4F1EC"/>
        <color rgb="00BBD3BD"/>
      </colorScale>
    </cfRule>
  </conditionalFormatting>
  <conditionalFormatting sqref="I8:I47">
    <cfRule type="expression" priority="16" dxfId="0" stopIfTrue="1">
      <formula>AND(ISNUMBER(I8),I8&gt;=_config!$C$20)</formula>
    </cfRule>
    <cfRule type="expression" priority="17" dxfId="1" stopIfTrue="1">
      <formula>AND(ISNUMBER(I8),I8&gt;=_config!$B$20)</formula>
    </cfRule>
    <cfRule type="colorScale" priority="18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48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6" customWidth="1" min="1" max="1"/>
    <col width="9" customWidth="1" min="2" max="2"/>
    <col width="13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40" customWidth="1" min="12" max="12"/>
  </cols>
  <sheetData>
    <row r="1" ht="27.6" customHeight="1">
      <c r="A1" s="1" t="inlineStr">
        <is>
          <t>Capital &amp; Earnings Dashboard</t>
        </is>
      </c>
      <c r="L1" s="2" t="n"/>
    </row>
    <row r="2" ht="18.4" customHeight="1">
      <c r="A2" s="3" t="inlineStr">
        <is>
          <t>Tier 1 leverage (universal), total RBC (blank for CBLR electors -- null is not zero), equity/assets, quarterly ROA, NIM, efficiency. QBP Q1'26 industry reference: ROA 1.26%, NIM 3.31%.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L2" s="2" t="n"/>
    </row>
    <row r="3">
      <c r="A3" s="5" t="inlineStr">
        <is>
          <t>BANKS IN ALERT</t>
        </is>
      </c>
      <c r="B3" s="6" t="n"/>
      <c r="C3" s="6" t="n"/>
      <c r="D3" s="5" t="inlineStr">
        <is>
          <t>BANKS IN WATCH</t>
        </is>
      </c>
      <c r="E3" s="6" t="n"/>
      <c r="F3" s="6" t="n"/>
      <c r="G3" s="7" t="inlineStr">
        <is>
          <t>BANKS TRACKED</t>
        </is>
      </c>
      <c r="H3" s="8" t="n"/>
      <c r="I3" s="8" t="n"/>
      <c r="L3" s="2" t="n"/>
    </row>
    <row r="4" ht="26" customHeight="1">
      <c r="A4" s="9">
        <f>COUNTIF(Watchlist!$H$5:$H$44,"ALERT")</f>
        <v/>
      </c>
      <c r="D4" s="9">
        <f>COUNTIF(Watchlist!$H$5:$H$44,"WATCH")</f>
        <v/>
      </c>
      <c r="G4" s="9">
        <f>COUNTIF(Watchlist!$A$5:$A$44,"?*")</f>
        <v/>
      </c>
      <c r="L4" s="10" t="n"/>
    </row>
    <row r="5">
      <c r="A5" s="11" t="inlineStr">
        <is>
          <t>of 12 active</t>
        </is>
      </c>
      <c r="D5" s="11" t="inlineStr">
        <is>
          <t>elevated</t>
        </is>
      </c>
      <c r="G5" s="11" t="inlineStr">
        <is>
          <t>of 40 built slots</t>
        </is>
      </c>
    </row>
    <row r="6" ht="8" customHeight="1"/>
    <row r="7" ht="22" customHeight="1">
      <c r="A7" s="12" t="inlineStr">
        <is>
          <t>Bank</t>
        </is>
      </c>
      <c r="B7" s="12" t="inlineStr">
        <is>
          <t>CERT</t>
        </is>
      </c>
      <c r="C7" s="12" t="inlineStr">
        <is>
          <t>Group</t>
        </is>
      </c>
      <c r="D7" s="13" t="inlineStr">
        <is>
          <t>T1 Leverage</t>
        </is>
      </c>
      <c r="E7" s="13" t="inlineStr">
        <is>
          <t>Total RBC</t>
        </is>
      </c>
      <c r="F7" s="13" t="inlineStr">
        <is>
          <t>Equity/Assets</t>
        </is>
      </c>
      <c r="G7" s="13" t="inlineStr">
        <is>
          <t>ROA (q)</t>
        </is>
      </c>
      <c r="H7" s="13" t="inlineStr">
        <is>
          <t>NIM</t>
        </is>
      </c>
      <c r="I7" s="13" t="inlineStr">
        <is>
          <t>Efficiency</t>
        </is>
      </c>
    </row>
    <row r="8">
      <c r="A8" s="14">
        <f>IF(_config!$C$33="","",_config!$C$33)</f>
        <v/>
      </c>
      <c r="B8" s="15">
        <f>IF(_config!$B$33="","",_config!$B$33)</f>
        <v/>
      </c>
      <c r="C8" s="16">
        <f>IF(_config!$D$33="","",_config!$D$33)</f>
        <v/>
      </c>
      <c r="D8" s="17">
        <f>IF(Raw_FDIC!R4="","",Raw_FDIC!R4)</f>
        <v/>
      </c>
      <c r="E8" s="17">
        <f>IF(Raw_FDIC!S4="","",Raw_FDIC!S4)</f>
        <v/>
      </c>
      <c r="F8" s="17">
        <f>IF(Raw_FDIC!T4="","",Raw_FDIC!T4)</f>
        <v/>
      </c>
      <c r="G8" s="17">
        <f>IF(Raw_FDIC!U4="","",Raw_FDIC!U4)</f>
        <v/>
      </c>
      <c r="H8" s="17">
        <f>IF(Raw_FDIC!V4="","",Raw_FDIC!V4)</f>
        <v/>
      </c>
      <c r="I8" s="17">
        <f>IF(Raw_FDIC!W4="","",Raw_FDIC!W4)</f>
        <v/>
      </c>
    </row>
    <row r="9">
      <c r="A9" s="14">
        <f>IF(_config!$C$34="","",_config!$C$34)</f>
        <v/>
      </c>
      <c r="B9" s="15">
        <f>IF(_config!$B$34="","",_config!$B$34)</f>
        <v/>
      </c>
      <c r="C9" s="16">
        <f>IF(_config!$D$34="","",_config!$D$34)</f>
        <v/>
      </c>
      <c r="D9" s="17">
        <f>IF(Raw_FDIC!R24="","",Raw_FDIC!R24)</f>
        <v/>
      </c>
      <c r="E9" s="17">
        <f>IF(Raw_FDIC!S24="","",Raw_FDIC!S24)</f>
        <v/>
      </c>
      <c r="F9" s="17">
        <f>IF(Raw_FDIC!T24="","",Raw_FDIC!T24)</f>
        <v/>
      </c>
      <c r="G9" s="17">
        <f>IF(Raw_FDIC!U24="","",Raw_FDIC!U24)</f>
        <v/>
      </c>
      <c r="H9" s="17">
        <f>IF(Raw_FDIC!V24="","",Raw_FDIC!V24)</f>
        <v/>
      </c>
      <c r="I9" s="17">
        <f>IF(Raw_FDIC!W24="","",Raw_FDIC!W24)</f>
        <v/>
      </c>
    </row>
    <row r="10">
      <c r="A10" s="14">
        <f>IF(_config!$C$35="","",_config!$C$35)</f>
        <v/>
      </c>
      <c r="B10" s="15">
        <f>IF(_config!$B$35="","",_config!$B$35)</f>
        <v/>
      </c>
      <c r="C10" s="16">
        <f>IF(_config!$D$35="","",_config!$D$35)</f>
        <v/>
      </c>
      <c r="D10" s="17">
        <f>IF(Raw_FDIC!R44="","",Raw_FDIC!R44)</f>
        <v/>
      </c>
      <c r="E10" s="17">
        <f>IF(Raw_FDIC!S44="","",Raw_FDIC!S44)</f>
        <v/>
      </c>
      <c r="F10" s="17">
        <f>IF(Raw_FDIC!T44="","",Raw_FDIC!T44)</f>
        <v/>
      </c>
      <c r="G10" s="17">
        <f>IF(Raw_FDIC!U44="","",Raw_FDIC!U44)</f>
        <v/>
      </c>
      <c r="H10" s="17">
        <f>IF(Raw_FDIC!V44="","",Raw_FDIC!V44)</f>
        <v/>
      </c>
      <c r="I10" s="17">
        <f>IF(Raw_FDIC!W44="","",Raw_FDIC!W44)</f>
        <v/>
      </c>
    </row>
    <row r="11">
      <c r="A11" s="14">
        <f>IF(_config!$C$36="","",_config!$C$36)</f>
        <v/>
      </c>
      <c r="B11" s="15">
        <f>IF(_config!$B$36="","",_config!$B$36)</f>
        <v/>
      </c>
      <c r="C11" s="16">
        <f>IF(_config!$D$36="","",_config!$D$36)</f>
        <v/>
      </c>
      <c r="D11" s="17">
        <f>IF(Raw_FDIC!R64="","",Raw_FDIC!R64)</f>
        <v/>
      </c>
      <c r="E11" s="17">
        <f>IF(Raw_FDIC!S64="","",Raw_FDIC!S64)</f>
        <v/>
      </c>
      <c r="F11" s="17">
        <f>IF(Raw_FDIC!T64="","",Raw_FDIC!T64)</f>
        <v/>
      </c>
      <c r="G11" s="17">
        <f>IF(Raw_FDIC!U64="","",Raw_FDIC!U64)</f>
        <v/>
      </c>
      <c r="H11" s="17">
        <f>IF(Raw_FDIC!V64="","",Raw_FDIC!V64)</f>
        <v/>
      </c>
      <c r="I11" s="17">
        <f>IF(Raw_FDIC!W64="","",Raw_FDIC!W64)</f>
        <v/>
      </c>
    </row>
    <row r="12">
      <c r="A12" s="14">
        <f>IF(_config!$C$37="","",_config!$C$37)</f>
        <v/>
      </c>
      <c r="B12" s="15">
        <f>IF(_config!$B$37="","",_config!$B$37)</f>
        <v/>
      </c>
      <c r="C12" s="16">
        <f>IF(_config!$D$37="","",_config!$D$37)</f>
        <v/>
      </c>
      <c r="D12" s="17">
        <f>IF(Raw_FDIC!R84="","",Raw_FDIC!R84)</f>
        <v/>
      </c>
      <c r="E12" s="17">
        <f>IF(Raw_FDIC!S84="","",Raw_FDIC!S84)</f>
        <v/>
      </c>
      <c r="F12" s="17">
        <f>IF(Raw_FDIC!T84="","",Raw_FDIC!T84)</f>
        <v/>
      </c>
      <c r="G12" s="17">
        <f>IF(Raw_FDIC!U84="","",Raw_FDIC!U84)</f>
        <v/>
      </c>
      <c r="H12" s="17">
        <f>IF(Raw_FDIC!V84="","",Raw_FDIC!V84)</f>
        <v/>
      </c>
      <c r="I12" s="17">
        <f>IF(Raw_FDIC!W84="","",Raw_FDIC!W84)</f>
        <v/>
      </c>
    </row>
    <row r="13">
      <c r="A13" s="14">
        <f>IF(_config!$C$38="","",_config!$C$38)</f>
        <v/>
      </c>
      <c r="B13" s="15">
        <f>IF(_config!$B$38="","",_config!$B$38)</f>
        <v/>
      </c>
      <c r="C13" s="16">
        <f>IF(_config!$D$38="","",_config!$D$38)</f>
        <v/>
      </c>
      <c r="D13" s="17">
        <f>IF(Raw_FDIC!R104="","",Raw_FDIC!R104)</f>
        <v/>
      </c>
      <c r="E13" s="17">
        <f>IF(Raw_FDIC!S104="","",Raw_FDIC!S104)</f>
        <v/>
      </c>
      <c r="F13" s="17">
        <f>IF(Raw_FDIC!T104="","",Raw_FDIC!T104)</f>
        <v/>
      </c>
      <c r="G13" s="17">
        <f>IF(Raw_FDIC!U104="","",Raw_FDIC!U104)</f>
        <v/>
      </c>
      <c r="H13" s="17">
        <f>IF(Raw_FDIC!V104="","",Raw_FDIC!V104)</f>
        <v/>
      </c>
      <c r="I13" s="17">
        <f>IF(Raw_FDIC!W104="","",Raw_FDIC!W104)</f>
        <v/>
      </c>
    </row>
    <row r="14">
      <c r="A14" s="14">
        <f>IF(_config!$C$39="","",_config!$C$39)</f>
        <v/>
      </c>
      <c r="B14" s="15">
        <f>IF(_config!$B$39="","",_config!$B$39)</f>
        <v/>
      </c>
      <c r="C14" s="16">
        <f>IF(_config!$D$39="","",_config!$D$39)</f>
        <v/>
      </c>
      <c r="D14" s="17">
        <f>IF(Raw_FDIC!R124="","",Raw_FDIC!R124)</f>
        <v/>
      </c>
      <c r="E14" s="17">
        <f>IF(Raw_FDIC!S124="","",Raw_FDIC!S124)</f>
        <v/>
      </c>
      <c r="F14" s="17">
        <f>IF(Raw_FDIC!T124="","",Raw_FDIC!T124)</f>
        <v/>
      </c>
      <c r="G14" s="17">
        <f>IF(Raw_FDIC!U124="","",Raw_FDIC!U124)</f>
        <v/>
      </c>
      <c r="H14" s="17">
        <f>IF(Raw_FDIC!V124="","",Raw_FDIC!V124)</f>
        <v/>
      </c>
      <c r="I14" s="17">
        <f>IF(Raw_FDIC!W124="","",Raw_FDIC!W124)</f>
        <v/>
      </c>
    </row>
    <row r="15">
      <c r="A15" s="14">
        <f>IF(_config!$C$40="","",_config!$C$40)</f>
        <v/>
      </c>
      <c r="B15" s="15">
        <f>IF(_config!$B$40="","",_config!$B$40)</f>
        <v/>
      </c>
      <c r="C15" s="16">
        <f>IF(_config!$D$40="","",_config!$D$40)</f>
        <v/>
      </c>
      <c r="D15" s="17">
        <f>IF(Raw_FDIC!R144="","",Raw_FDIC!R144)</f>
        <v/>
      </c>
      <c r="E15" s="17">
        <f>IF(Raw_FDIC!S144="","",Raw_FDIC!S144)</f>
        <v/>
      </c>
      <c r="F15" s="17">
        <f>IF(Raw_FDIC!T144="","",Raw_FDIC!T144)</f>
        <v/>
      </c>
      <c r="G15" s="17">
        <f>IF(Raw_FDIC!U144="","",Raw_FDIC!U144)</f>
        <v/>
      </c>
      <c r="H15" s="17">
        <f>IF(Raw_FDIC!V144="","",Raw_FDIC!V144)</f>
        <v/>
      </c>
      <c r="I15" s="17">
        <f>IF(Raw_FDIC!W144="","",Raw_FDIC!W144)</f>
        <v/>
      </c>
    </row>
    <row r="16">
      <c r="A16" s="14">
        <f>IF(_config!$C$41="","",_config!$C$41)</f>
        <v/>
      </c>
      <c r="B16" s="15">
        <f>IF(_config!$B$41="","",_config!$B$41)</f>
        <v/>
      </c>
      <c r="C16" s="16">
        <f>IF(_config!$D$41="","",_config!$D$41)</f>
        <v/>
      </c>
      <c r="D16" s="17">
        <f>IF(Raw_FDIC!R164="","",Raw_FDIC!R164)</f>
        <v/>
      </c>
      <c r="E16" s="17">
        <f>IF(Raw_FDIC!S164="","",Raw_FDIC!S164)</f>
        <v/>
      </c>
      <c r="F16" s="17">
        <f>IF(Raw_FDIC!T164="","",Raw_FDIC!T164)</f>
        <v/>
      </c>
      <c r="G16" s="17">
        <f>IF(Raw_FDIC!U164="","",Raw_FDIC!U164)</f>
        <v/>
      </c>
      <c r="H16" s="17">
        <f>IF(Raw_FDIC!V164="","",Raw_FDIC!V164)</f>
        <v/>
      </c>
      <c r="I16" s="17">
        <f>IF(Raw_FDIC!W164="","",Raw_FDIC!W164)</f>
        <v/>
      </c>
    </row>
    <row r="17">
      <c r="A17" s="14">
        <f>IF(_config!$C$42="","",_config!$C$42)</f>
        <v/>
      </c>
      <c r="B17" s="15">
        <f>IF(_config!$B$42="","",_config!$B$42)</f>
        <v/>
      </c>
      <c r="C17" s="16">
        <f>IF(_config!$D$42="","",_config!$D$42)</f>
        <v/>
      </c>
      <c r="D17" s="17">
        <f>IF(Raw_FDIC!R184="","",Raw_FDIC!R184)</f>
        <v/>
      </c>
      <c r="E17" s="17">
        <f>IF(Raw_FDIC!S184="","",Raw_FDIC!S184)</f>
        <v/>
      </c>
      <c r="F17" s="17">
        <f>IF(Raw_FDIC!T184="","",Raw_FDIC!T184)</f>
        <v/>
      </c>
      <c r="G17" s="17">
        <f>IF(Raw_FDIC!U184="","",Raw_FDIC!U184)</f>
        <v/>
      </c>
      <c r="H17" s="17">
        <f>IF(Raw_FDIC!V184="","",Raw_FDIC!V184)</f>
        <v/>
      </c>
      <c r="I17" s="17">
        <f>IF(Raw_FDIC!W184="","",Raw_FDIC!W184)</f>
        <v/>
      </c>
    </row>
    <row r="18">
      <c r="A18" s="14">
        <f>IF(_config!$C$43="","",_config!$C$43)</f>
        <v/>
      </c>
      <c r="B18" s="15">
        <f>IF(_config!$B$43="","",_config!$B$43)</f>
        <v/>
      </c>
      <c r="C18" s="16">
        <f>IF(_config!$D$43="","",_config!$D$43)</f>
        <v/>
      </c>
      <c r="D18" s="17">
        <f>IF(Raw_FDIC!R204="","",Raw_FDIC!R204)</f>
        <v/>
      </c>
      <c r="E18" s="17">
        <f>IF(Raw_FDIC!S204="","",Raw_FDIC!S204)</f>
        <v/>
      </c>
      <c r="F18" s="17">
        <f>IF(Raw_FDIC!T204="","",Raw_FDIC!T204)</f>
        <v/>
      </c>
      <c r="G18" s="17">
        <f>IF(Raw_FDIC!U204="","",Raw_FDIC!U204)</f>
        <v/>
      </c>
      <c r="H18" s="17">
        <f>IF(Raw_FDIC!V204="","",Raw_FDIC!V204)</f>
        <v/>
      </c>
      <c r="I18" s="17">
        <f>IF(Raw_FDIC!W204="","",Raw_FDIC!W204)</f>
        <v/>
      </c>
    </row>
    <row r="19">
      <c r="A19" s="14">
        <f>IF(_config!$C$44="","",_config!$C$44)</f>
        <v/>
      </c>
      <c r="B19" s="15">
        <f>IF(_config!$B$44="","",_config!$B$44)</f>
        <v/>
      </c>
      <c r="C19" s="16">
        <f>IF(_config!$D$44="","",_config!$D$44)</f>
        <v/>
      </c>
      <c r="D19" s="17">
        <f>IF(Raw_FDIC!R224="","",Raw_FDIC!R224)</f>
        <v/>
      </c>
      <c r="E19" s="17">
        <f>IF(Raw_FDIC!S224="","",Raw_FDIC!S224)</f>
        <v/>
      </c>
      <c r="F19" s="17">
        <f>IF(Raw_FDIC!T224="","",Raw_FDIC!T224)</f>
        <v/>
      </c>
      <c r="G19" s="17">
        <f>IF(Raw_FDIC!U224="","",Raw_FDIC!U224)</f>
        <v/>
      </c>
      <c r="H19" s="17">
        <f>IF(Raw_FDIC!V224="","",Raw_FDIC!V224)</f>
        <v/>
      </c>
      <c r="I19" s="17">
        <f>IF(Raw_FDIC!W224="","",Raw_FDIC!W224)</f>
        <v/>
      </c>
    </row>
    <row r="20">
      <c r="A20" s="14">
        <f>IF(_config!$C$45="","",_config!$C$45)</f>
        <v/>
      </c>
      <c r="B20" s="15">
        <f>IF(_config!$B$45="","",_config!$B$45)</f>
        <v/>
      </c>
      <c r="C20" s="16">
        <f>IF(_config!$D$45="","",_config!$D$45)</f>
        <v/>
      </c>
      <c r="D20" s="17">
        <f>IF(Raw_FDIC!R244="","",Raw_FDIC!R244)</f>
        <v/>
      </c>
      <c r="E20" s="17">
        <f>IF(Raw_FDIC!S244="","",Raw_FDIC!S244)</f>
        <v/>
      </c>
      <c r="F20" s="17">
        <f>IF(Raw_FDIC!T244="","",Raw_FDIC!T244)</f>
        <v/>
      </c>
      <c r="G20" s="17">
        <f>IF(Raw_FDIC!U244="","",Raw_FDIC!U244)</f>
        <v/>
      </c>
      <c r="H20" s="17">
        <f>IF(Raw_FDIC!V244="","",Raw_FDIC!V244)</f>
        <v/>
      </c>
      <c r="I20" s="17">
        <f>IF(Raw_FDIC!W244="","",Raw_FDIC!W244)</f>
        <v/>
      </c>
    </row>
    <row r="21">
      <c r="A21" s="14">
        <f>IF(_config!$C$46="","",_config!$C$46)</f>
        <v/>
      </c>
      <c r="B21" s="15">
        <f>IF(_config!$B$46="","",_config!$B$46)</f>
        <v/>
      </c>
      <c r="C21" s="16">
        <f>IF(_config!$D$46="","",_config!$D$46)</f>
        <v/>
      </c>
      <c r="D21" s="17">
        <f>IF(Raw_FDIC!R264="","",Raw_FDIC!R264)</f>
        <v/>
      </c>
      <c r="E21" s="17">
        <f>IF(Raw_FDIC!S264="","",Raw_FDIC!S264)</f>
        <v/>
      </c>
      <c r="F21" s="17">
        <f>IF(Raw_FDIC!T264="","",Raw_FDIC!T264)</f>
        <v/>
      </c>
      <c r="G21" s="17">
        <f>IF(Raw_FDIC!U264="","",Raw_FDIC!U264)</f>
        <v/>
      </c>
      <c r="H21" s="17">
        <f>IF(Raw_FDIC!V264="","",Raw_FDIC!V264)</f>
        <v/>
      </c>
      <c r="I21" s="17">
        <f>IF(Raw_FDIC!W264="","",Raw_FDIC!W264)</f>
        <v/>
      </c>
    </row>
    <row r="22">
      <c r="A22" s="14">
        <f>IF(_config!$C$47="","",_config!$C$47)</f>
        <v/>
      </c>
      <c r="B22" s="15">
        <f>IF(_config!$B$47="","",_config!$B$47)</f>
        <v/>
      </c>
      <c r="C22" s="16">
        <f>IF(_config!$D$47="","",_config!$D$47)</f>
        <v/>
      </c>
      <c r="D22" s="17">
        <f>IF(Raw_FDIC!R284="","",Raw_FDIC!R284)</f>
        <v/>
      </c>
      <c r="E22" s="17">
        <f>IF(Raw_FDIC!S284="","",Raw_FDIC!S284)</f>
        <v/>
      </c>
      <c r="F22" s="17">
        <f>IF(Raw_FDIC!T284="","",Raw_FDIC!T284)</f>
        <v/>
      </c>
      <c r="G22" s="17">
        <f>IF(Raw_FDIC!U284="","",Raw_FDIC!U284)</f>
        <v/>
      </c>
      <c r="H22" s="17">
        <f>IF(Raw_FDIC!V284="","",Raw_FDIC!V284)</f>
        <v/>
      </c>
      <c r="I22" s="17">
        <f>IF(Raw_FDIC!W284="","",Raw_FDIC!W284)</f>
        <v/>
      </c>
    </row>
    <row r="23">
      <c r="A23" s="14">
        <f>IF(_config!$C$48="","",_config!$C$48)</f>
        <v/>
      </c>
      <c r="B23" s="15">
        <f>IF(_config!$B$48="","",_config!$B$48)</f>
        <v/>
      </c>
      <c r="C23" s="16">
        <f>IF(_config!$D$48="","",_config!$D$48)</f>
        <v/>
      </c>
      <c r="D23" s="17">
        <f>IF(Raw_FDIC!R304="","",Raw_FDIC!R304)</f>
        <v/>
      </c>
      <c r="E23" s="17">
        <f>IF(Raw_FDIC!S304="","",Raw_FDIC!S304)</f>
        <v/>
      </c>
      <c r="F23" s="17">
        <f>IF(Raw_FDIC!T304="","",Raw_FDIC!T304)</f>
        <v/>
      </c>
      <c r="G23" s="17">
        <f>IF(Raw_FDIC!U304="","",Raw_FDIC!U304)</f>
        <v/>
      </c>
      <c r="H23" s="17">
        <f>IF(Raw_FDIC!V304="","",Raw_FDIC!V304)</f>
        <v/>
      </c>
      <c r="I23" s="17">
        <f>IF(Raw_FDIC!W304="","",Raw_FDIC!W304)</f>
        <v/>
      </c>
    </row>
    <row r="24">
      <c r="A24" s="14">
        <f>IF(_config!$C$49="","",_config!$C$49)</f>
        <v/>
      </c>
      <c r="B24" s="15">
        <f>IF(_config!$B$49="","",_config!$B$49)</f>
        <v/>
      </c>
      <c r="C24" s="16">
        <f>IF(_config!$D$49="","",_config!$D$49)</f>
        <v/>
      </c>
      <c r="D24" s="17">
        <f>IF(Raw_FDIC!R324="","",Raw_FDIC!R324)</f>
        <v/>
      </c>
      <c r="E24" s="17">
        <f>IF(Raw_FDIC!S324="","",Raw_FDIC!S324)</f>
        <v/>
      </c>
      <c r="F24" s="17">
        <f>IF(Raw_FDIC!T324="","",Raw_FDIC!T324)</f>
        <v/>
      </c>
      <c r="G24" s="17">
        <f>IF(Raw_FDIC!U324="","",Raw_FDIC!U324)</f>
        <v/>
      </c>
      <c r="H24" s="17">
        <f>IF(Raw_FDIC!V324="","",Raw_FDIC!V324)</f>
        <v/>
      </c>
      <c r="I24" s="17">
        <f>IF(Raw_FDIC!W324="","",Raw_FDIC!W324)</f>
        <v/>
      </c>
    </row>
    <row r="25">
      <c r="A25" s="14">
        <f>IF(_config!$C$50="","",_config!$C$50)</f>
        <v/>
      </c>
      <c r="B25" s="15">
        <f>IF(_config!$B$50="","",_config!$B$50)</f>
        <v/>
      </c>
      <c r="C25" s="16">
        <f>IF(_config!$D$50="","",_config!$D$50)</f>
        <v/>
      </c>
      <c r="D25" s="17">
        <f>IF(Raw_FDIC!R344="","",Raw_FDIC!R344)</f>
        <v/>
      </c>
      <c r="E25" s="17">
        <f>IF(Raw_FDIC!S344="","",Raw_FDIC!S344)</f>
        <v/>
      </c>
      <c r="F25" s="17">
        <f>IF(Raw_FDIC!T344="","",Raw_FDIC!T344)</f>
        <v/>
      </c>
      <c r="G25" s="17">
        <f>IF(Raw_FDIC!U344="","",Raw_FDIC!U344)</f>
        <v/>
      </c>
      <c r="H25" s="17">
        <f>IF(Raw_FDIC!V344="","",Raw_FDIC!V344)</f>
        <v/>
      </c>
      <c r="I25" s="17">
        <f>IF(Raw_FDIC!W344="","",Raw_FDIC!W344)</f>
        <v/>
      </c>
    </row>
    <row r="26">
      <c r="A26" s="14">
        <f>IF(_config!$C$51="","",_config!$C$51)</f>
        <v/>
      </c>
      <c r="B26" s="15">
        <f>IF(_config!$B$51="","",_config!$B$51)</f>
        <v/>
      </c>
      <c r="C26" s="16">
        <f>IF(_config!$D$51="","",_config!$D$51)</f>
        <v/>
      </c>
      <c r="D26" s="17">
        <f>IF(Raw_FDIC!R364="","",Raw_FDIC!R364)</f>
        <v/>
      </c>
      <c r="E26" s="17">
        <f>IF(Raw_FDIC!S364="","",Raw_FDIC!S364)</f>
        <v/>
      </c>
      <c r="F26" s="17">
        <f>IF(Raw_FDIC!T364="","",Raw_FDIC!T364)</f>
        <v/>
      </c>
      <c r="G26" s="17">
        <f>IF(Raw_FDIC!U364="","",Raw_FDIC!U364)</f>
        <v/>
      </c>
      <c r="H26" s="17">
        <f>IF(Raw_FDIC!V364="","",Raw_FDIC!V364)</f>
        <v/>
      </c>
      <c r="I26" s="17">
        <f>IF(Raw_FDIC!W364="","",Raw_FDIC!W364)</f>
        <v/>
      </c>
    </row>
    <row r="27">
      <c r="A27" s="14">
        <f>IF(_config!$C$52="","",_config!$C$52)</f>
        <v/>
      </c>
      <c r="B27" s="15">
        <f>IF(_config!$B$52="","",_config!$B$52)</f>
        <v/>
      </c>
      <c r="C27" s="16">
        <f>IF(_config!$D$52="","",_config!$D$52)</f>
        <v/>
      </c>
      <c r="D27" s="17">
        <f>IF(Raw_FDIC!R384="","",Raw_FDIC!R384)</f>
        <v/>
      </c>
      <c r="E27" s="17">
        <f>IF(Raw_FDIC!S384="","",Raw_FDIC!S384)</f>
        <v/>
      </c>
      <c r="F27" s="17">
        <f>IF(Raw_FDIC!T384="","",Raw_FDIC!T384)</f>
        <v/>
      </c>
      <c r="G27" s="17">
        <f>IF(Raw_FDIC!U384="","",Raw_FDIC!U384)</f>
        <v/>
      </c>
      <c r="H27" s="17">
        <f>IF(Raw_FDIC!V384="","",Raw_FDIC!V384)</f>
        <v/>
      </c>
      <c r="I27" s="17">
        <f>IF(Raw_FDIC!W384="","",Raw_FDIC!W384)</f>
        <v/>
      </c>
    </row>
    <row r="28">
      <c r="A28" s="14">
        <f>IF(_config!$C$53="","",_config!$C$53)</f>
        <v/>
      </c>
      <c r="B28" s="15">
        <f>IF(_config!$B$53="","",_config!$B$53)</f>
        <v/>
      </c>
      <c r="C28" s="16">
        <f>IF(_config!$D$53="","",_config!$D$53)</f>
        <v/>
      </c>
      <c r="D28" s="17">
        <f>IF(Raw_FDIC!R404="","",Raw_FDIC!R404)</f>
        <v/>
      </c>
      <c r="E28" s="17">
        <f>IF(Raw_FDIC!S404="","",Raw_FDIC!S404)</f>
        <v/>
      </c>
      <c r="F28" s="17">
        <f>IF(Raw_FDIC!T404="","",Raw_FDIC!T404)</f>
        <v/>
      </c>
      <c r="G28" s="17">
        <f>IF(Raw_FDIC!U404="","",Raw_FDIC!U404)</f>
        <v/>
      </c>
      <c r="H28" s="17">
        <f>IF(Raw_FDIC!V404="","",Raw_FDIC!V404)</f>
        <v/>
      </c>
      <c r="I28" s="17">
        <f>IF(Raw_FDIC!W404="","",Raw_FDIC!W404)</f>
        <v/>
      </c>
    </row>
    <row r="29">
      <c r="A29" s="14">
        <f>IF(_config!$C$54="","",_config!$C$54)</f>
        <v/>
      </c>
      <c r="B29" s="15">
        <f>IF(_config!$B$54="","",_config!$B$54)</f>
        <v/>
      </c>
      <c r="C29" s="16">
        <f>IF(_config!$D$54="","",_config!$D$54)</f>
        <v/>
      </c>
      <c r="D29" s="17">
        <f>IF(Raw_FDIC!R424="","",Raw_FDIC!R424)</f>
        <v/>
      </c>
      <c r="E29" s="17">
        <f>IF(Raw_FDIC!S424="","",Raw_FDIC!S424)</f>
        <v/>
      </c>
      <c r="F29" s="17">
        <f>IF(Raw_FDIC!T424="","",Raw_FDIC!T424)</f>
        <v/>
      </c>
      <c r="G29" s="17">
        <f>IF(Raw_FDIC!U424="","",Raw_FDIC!U424)</f>
        <v/>
      </c>
      <c r="H29" s="17">
        <f>IF(Raw_FDIC!V424="","",Raw_FDIC!V424)</f>
        <v/>
      </c>
      <c r="I29" s="17">
        <f>IF(Raw_FDIC!W424="","",Raw_FDIC!W424)</f>
        <v/>
      </c>
    </row>
    <row r="30">
      <c r="A30" s="14">
        <f>IF(_config!$C$55="","",_config!$C$55)</f>
        <v/>
      </c>
      <c r="B30" s="15">
        <f>IF(_config!$B$55="","",_config!$B$55)</f>
        <v/>
      </c>
      <c r="C30" s="16">
        <f>IF(_config!$D$55="","",_config!$D$55)</f>
        <v/>
      </c>
      <c r="D30" s="17">
        <f>IF(Raw_FDIC!R444="","",Raw_FDIC!R444)</f>
        <v/>
      </c>
      <c r="E30" s="17">
        <f>IF(Raw_FDIC!S444="","",Raw_FDIC!S444)</f>
        <v/>
      </c>
      <c r="F30" s="17">
        <f>IF(Raw_FDIC!T444="","",Raw_FDIC!T444)</f>
        <v/>
      </c>
      <c r="G30" s="17">
        <f>IF(Raw_FDIC!U444="","",Raw_FDIC!U444)</f>
        <v/>
      </c>
      <c r="H30" s="17">
        <f>IF(Raw_FDIC!V444="","",Raw_FDIC!V444)</f>
        <v/>
      </c>
      <c r="I30" s="17">
        <f>IF(Raw_FDIC!W444="","",Raw_FDIC!W444)</f>
        <v/>
      </c>
    </row>
    <row r="31">
      <c r="A31" s="14">
        <f>IF(_config!$C$56="","",_config!$C$56)</f>
        <v/>
      </c>
      <c r="B31" s="15">
        <f>IF(_config!$B$56="","",_config!$B$56)</f>
        <v/>
      </c>
      <c r="C31" s="16">
        <f>IF(_config!$D$56="","",_config!$D$56)</f>
        <v/>
      </c>
      <c r="D31" s="17">
        <f>IF(Raw_FDIC!R464="","",Raw_FDIC!R464)</f>
        <v/>
      </c>
      <c r="E31" s="17">
        <f>IF(Raw_FDIC!S464="","",Raw_FDIC!S464)</f>
        <v/>
      </c>
      <c r="F31" s="17">
        <f>IF(Raw_FDIC!T464="","",Raw_FDIC!T464)</f>
        <v/>
      </c>
      <c r="G31" s="17">
        <f>IF(Raw_FDIC!U464="","",Raw_FDIC!U464)</f>
        <v/>
      </c>
      <c r="H31" s="17">
        <f>IF(Raw_FDIC!V464="","",Raw_FDIC!V464)</f>
        <v/>
      </c>
      <c r="I31" s="17">
        <f>IF(Raw_FDIC!W464="","",Raw_FDIC!W464)</f>
        <v/>
      </c>
    </row>
    <row r="32">
      <c r="A32" s="14">
        <f>IF(_config!$C$57="","",_config!$C$57)</f>
        <v/>
      </c>
      <c r="B32" s="15">
        <f>IF(_config!$B$57="","",_config!$B$57)</f>
        <v/>
      </c>
      <c r="C32" s="16">
        <f>IF(_config!$D$57="","",_config!$D$57)</f>
        <v/>
      </c>
      <c r="D32" s="17">
        <f>IF(Raw_FDIC!R484="","",Raw_FDIC!R484)</f>
        <v/>
      </c>
      <c r="E32" s="17">
        <f>IF(Raw_FDIC!S484="","",Raw_FDIC!S484)</f>
        <v/>
      </c>
      <c r="F32" s="17">
        <f>IF(Raw_FDIC!T484="","",Raw_FDIC!T484)</f>
        <v/>
      </c>
      <c r="G32" s="17">
        <f>IF(Raw_FDIC!U484="","",Raw_FDIC!U484)</f>
        <v/>
      </c>
      <c r="H32" s="17">
        <f>IF(Raw_FDIC!V484="","",Raw_FDIC!V484)</f>
        <v/>
      </c>
      <c r="I32" s="17">
        <f>IF(Raw_FDIC!W484="","",Raw_FDIC!W484)</f>
        <v/>
      </c>
    </row>
    <row r="33">
      <c r="A33" s="14">
        <f>IF(_config!$C$58="","",_config!$C$58)</f>
        <v/>
      </c>
      <c r="B33" s="15">
        <f>IF(_config!$B$58="","",_config!$B$58)</f>
        <v/>
      </c>
      <c r="C33" s="16">
        <f>IF(_config!$D$58="","",_config!$D$58)</f>
        <v/>
      </c>
      <c r="D33" s="17">
        <f>IF(Raw_FDIC!R504="","",Raw_FDIC!R504)</f>
        <v/>
      </c>
      <c r="E33" s="17">
        <f>IF(Raw_FDIC!S504="","",Raw_FDIC!S504)</f>
        <v/>
      </c>
      <c r="F33" s="17">
        <f>IF(Raw_FDIC!T504="","",Raw_FDIC!T504)</f>
        <v/>
      </c>
      <c r="G33" s="17">
        <f>IF(Raw_FDIC!U504="","",Raw_FDIC!U504)</f>
        <v/>
      </c>
      <c r="H33" s="17">
        <f>IF(Raw_FDIC!V504="","",Raw_FDIC!V504)</f>
        <v/>
      </c>
      <c r="I33" s="17">
        <f>IF(Raw_FDIC!W504="","",Raw_FDIC!W504)</f>
        <v/>
      </c>
    </row>
    <row r="34">
      <c r="A34" s="14">
        <f>IF(_config!$C$59="","",_config!$C$59)</f>
        <v/>
      </c>
      <c r="B34" s="15">
        <f>IF(_config!$B$59="","",_config!$B$59)</f>
        <v/>
      </c>
      <c r="C34" s="16">
        <f>IF(_config!$D$59="","",_config!$D$59)</f>
        <v/>
      </c>
      <c r="D34" s="17">
        <f>IF(Raw_FDIC!R524="","",Raw_FDIC!R524)</f>
        <v/>
      </c>
      <c r="E34" s="17">
        <f>IF(Raw_FDIC!S524="","",Raw_FDIC!S524)</f>
        <v/>
      </c>
      <c r="F34" s="17">
        <f>IF(Raw_FDIC!T524="","",Raw_FDIC!T524)</f>
        <v/>
      </c>
      <c r="G34" s="17">
        <f>IF(Raw_FDIC!U524="","",Raw_FDIC!U524)</f>
        <v/>
      </c>
      <c r="H34" s="17">
        <f>IF(Raw_FDIC!V524="","",Raw_FDIC!V524)</f>
        <v/>
      </c>
      <c r="I34" s="17">
        <f>IF(Raw_FDIC!W524="","",Raw_FDIC!W524)</f>
        <v/>
      </c>
    </row>
    <row r="35">
      <c r="A35" s="14">
        <f>IF(_config!$C$60="","",_config!$C$60)</f>
        <v/>
      </c>
      <c r="B35" s="15">
        <f>IF(_config!$B$60="","",_config!$B$60)</f>
        <v/>
      </c>
      <c r="C35" s="16">
        <f>IF(_config!$D$60="","",_config!$D$60)</f>
        <v/>
      </c>
      <c r="D35" s="17">
        <f>IF(Raw_FDIC!R544="","",Raw_FDIC!R544)</f>
        <v/>
      </c>
      <c r="E35" s="17">
        <f>IF(Raw_FDIC!S544="","",Raw_FDIC!S544)</f>
        <v/>
      </c>
      <c r="F35" s="17">
        <f>IF(Raw_FDIC!T544="","",Raw_FDIC!T544)</f>
        <v/>
      </c>
      <c r="G35" s="17">
        <f>IF(Raw_FDIC!U544="","",Raw_FDIC!U544)</f>
        <v/>
      </c>
      <c r="H35" s="17">
        <f>IF(Raw_FDIC!V544="","",Raw_FDIC!V544)</f>
        <v/>
      </c>
      <c r="I35" s="17">
        <f>IF(Raw_FDIC!W544="","",Raw_FDIC!W544)</f>
        <v/>
      </c>
    </row>
    <row r="36">
      <c r="A36" s="14">
        <f>IF(_config!$C$61="","",_config!$C$61)</f>
        <v/>
      </c>
      <c r="B36" s="15">
        <f>IF(_config!$B$61="","",_config!$B$61)</f>
        <v/>
      </c>
      <c r="C36" s="16">
        <f>IF(_config!$D$61="","",_config!$D$61)</f>
        <v/>
      </c>
      <c r="D36" s="17">
        <f>IF(Raw_FDIC!R564="","",Raw_FDIC!R564)</f>
        <v/>
      </c>
      <c r="E36" s="17">
        <f>IF(Raw_FDIC!S564="","",Raw_FDIC!S564)</f>
        <v/>
      </c>
      <c r="F36" s="17">
        <f>IF(Raw_FDIC!T564="","",Raw_FDIC!T564)</f>
        <v/>
      </c>
      <c r="G36" s="17">
        <f>IF(Raw_FDIC!U564="","",Raw_FDIC!U564)</f>
        <v/>
      </c>
      <c r="H36" s="17">
        <f>IF(Raw_FDIC!V564="","",Raw_FDIC!V564)</f>
        <v/>
      </c>
      <c r="I36" s="17">
        <f>IF(Raw_FDIC!W564="","",Raw_FDIC!W564)</f>
        <v/>
      </c>
    </row>
    <row r="37">
      <c r="A37" s="14">
        <f>IF(_config!$C$62="","",_config!$C$62)</f>
        <v/>
      </c>
      <c r="B37" s="15">
        <f>IF(_config!$B$62="","",_config!$B$62)</f>
        <v/>
      </c>
      <c r="C37" s="16">
        <f>IF(_config!$D$62="","",_config!$D$62)</f>
        <v/>
      </c>
      <c r="D37" s="17">
        <f>IF(Raw_FDIC!R584="","",Raw_FDIC!R584)</f>
        <v/>
      </c>
      <c r="E37" s="17">
        <f>IF(Raw_FDIC!S584="","",Raw_FDIC!S584)</f>
        <v/>
      </c>
      <c r="F37" s="17">
        <f>IF(Raw_FDIC!T584="","",Raw_FDIC!T584)</f>
        <v/>
      </c>
      <c r="G37" s="17">
        <f>IF(Raw_FDIC!U584="","",Raw_FDIC!U584)</f>
        <v/>
      </c>
      <c r="H37" s="17">
        <f>IF(Raw_FDIC!V584="","",Raw_FDIC!V584)</f>
        <v/>
      </c>
      <c r="I37" s="17">
        <f>IF(Raw_FDIC!W584="","",Raw_FDIC!W584)</f>
        <v/>
      </c>
    </row>
    <row r="38">
      <c r="A38" s="14">
        <f>IF(_config!$C$63="","",_config!$C$63)</f>
        <v/>
      </c>
      <c r="B38" s="15">
        <f>IF(_config!$B$63="","",_config!$B$63)</f>
        <v/>
      </c>
      <c r="C38" s="16">
        <f>IF(_config!$D$63="","",_config!$D$63)</f>
        <v/>
      </c>
      <c r="D38" s="17">
        <f>IF(Raw_FDIC!R604="","",Raw_FDIC!R604)</f>
        <v/>
      </c>
      <c r="E38" s="17">
        <f>IF(Raw_FDIC!S604="","",Raw_FDIC!S604)</f>
        <v/>
      </c>
      <c r="F38" s="17">
        <f>IF(Raw_FDIC!T604="","",Raw_FDIC!T604)</f>
        <v/>
      </c>
      <c r="G38" s="17">
        <f>IF(Raw_FDIC!U604="","",Raw_FDIC!U604)</f>
        <v/>
      </c>
      <c r="H38" s="17">
        <f>IF(Raw_FDIC!V604="","",Raw_FDIC!V604)</f>
        <v/>
      </c>
      <c r="I38" s="17">
        <f>IF(Raw_FDIC!W604="","",Raw_FDIC!W604)</f>
        <v/>
      </c>
    </row>
    <row r="39">
      <c r="A39" s="14">
        <f>IF(_config!$C$64="","",_config!$C$64)</f>
        <v/>
      </c>
      <c r="B39" s="15">
        <f>IF(_config!$B$64="","",_config!$B$64)</f>
        <v/>
      </c>
      <c r="C39" s="16">
        <f>IF(_config!$D$64="","",_config!$D$64)</f>
        <v/>
      </c>
      <c r="D39" s="17">
        <f>IF(Raw_FDIC!R624="","",Raw_FDIC!R624)</f>
        <v/>
      </c>
      <c r="E39" s="17">
        <f>IF(Raw_FDIC!S624="","",Raw_FDIC!S624)</f>
        <v/>
      </c>
      <c r="F39" s="17">
        <f>IF(Raw_FDIC!T624="","",Raw_FDIC!T624)</f>
        <v/>
      </c>
      <c r="G39" s="17">
        <f>IF(Raw_FDIC!U624="","",Raw_FDIC!U624)</f>
        <v/>
      </c>
      <c r="H39" s="17">
        <f>IF(Raw_FDIC!V624="","",Raw_FDIC!V624)</f>
        <v/>
      </c>
      <c r="I39" s="17">
        <f>IF(Raw_FDIC!W624="","",Raw_FDIC!W624)</f>
        <v/>
      </c>
    </row>
    <row r="40">
      <c r="A40" s="14">
        <f>IF(_config!$C$65="","",_config!$C$65)</f>
        <v/>
      </c>
      <c r="B40" s="15">
        <f>IF(_config!$B$65="","",_config!$B$65)</f>
        <v/>
      </c>
      <c r="C40" s="16">
        <f>IF(_config!$D$65="","",_config!$D$65)</f>
        <v/>
      </c>
      <c r="D40" s="17">
        <f>IF(Raw_FDIC!R644="","",Raw_FDIC!R644)</f>
        <v/>
      </c>
      <c r="E40" s="17">
        <f>IF(Raw_FDIC!S644="","",Raw_FDIC!S644)</f>
        <v/>
      </c>
      <c r="F40" s="17">
        <f>IF(Raw_FDIC!T644="","",Raw_FDIC!T644)</f>
        <v/>
      </c>
      <c r="G40" s="17">
        <f>IF(Raw_FDIC!U644="","",Raw_FDIC!U644)</f>
        <v/>
      </c>
      <c r="H40" s="17">
        <f>IF(Raw_FDIC!V644="","",Raw_FDIC!V644)</f>
        <v/>
      </c>
      <c r="I40" s="17">
        <f>IF(Raw_FDIC!W644="","",Raw_FDIC!W644)</f>
        <v/>
      </c>
    </row>
    <row r="41">
      <c r="A41" s="14">
        <f>IF(_config!$C$66="","",_config!$C$66)</f>
        <v/>
      </c>
      <c r="B41" s="15">
        <f>IF(_config!$B$66="","",_config!$B$66)</f>
        <v/>
      </c>
      <c r="C41" s="16">
        <f>IF(_config!$D$66="","",_config!$D$66)</f>
        <v/>
      </c>
      <c r="D41" s="17">
        <f>IF(Raw_FDIC!R664="","",Raw_FDIC!R664)</f>
        <v/>
      </c>
      <c r="E41" s="17">
        <f>IF(Raw_FDIC!S664="","",Raw_FDIC!S664)</f>
        <v/>
      </c>
      <c r="F41" s="17">
        <f>IF(Raw_FDIC!T664="","",Raw_FDIC!T664)</f>
        <v/>
      </c>
      <c r="G41" s="17">
        <f>IF(Raw_FDIC!U664="","",Raw_FDIC!U664)</f>
        <v/>
      </c>
      <c r="H41" s="17">
        <f>IF(Raw_FDIC!V664="","",Raw_FDIC!V664)</f>
        <v/>
      </c>
      <c r="I41" s="17">
        <f>IF(Raw_FDIC!W664="","",Raw_FDIC!W664)</f>
        <v/>
      </c>
    </row>
    <row r="42">
      <c r="A42" s="14">
        <f>IF(_config!$C$67="","",_config!$C$67)</f>
        <v/>
      </c>
      <c r="B42" s="15">
        <f>IF(_config!$B$67="","",_config!$B$67)</f>
        <v/>
      </c>
      <c r="C42" s="16">
        <f>IF(_config!$D$67="","",_config!$D$67)</f>
        <v/>
      </c>
      <c r="D42" s="17">
        <f>IF(Raw_FDIC!R684="","",Raw_FDIC!R684)</f>
        <v/>
      </c>
      <c r="E42" s="17">
        <f>IF(Raw_FDIC!S684="","",Raw_FDIC!S684)</f>
        <v/>
      </c>
      <c r="F42" s="17">
        <f>IF(Raw_FDIC!T684="","",Raw_FDIC!T684)</f>
        <v/>
      </c>
      <c r="G42" s="17">
        <f>IF(Raw_FDIC!U684="","",Raw_FDIC!U684)</f>
        <v/>
      </c>
      <c r="H42" s="17">
        <f>IF(Raw_FDIC!V684="","",Raw_FDIC!V684)</f>
        <v/>
      </c>
      <c r="I42" s="17">
        <f>IF(Raw_FDIC!W684="","",Raw_FDIC!W684)</f>
        <v/>
      </c>
    </row>
    <row r="43">
      <c r="A43" s="14">
        <f>IF(_config!$C$68="","",_config!$C$68)</f>
        <v/>
      </c>
      <c r="B43" s="15">
        <f>IF(_config!$B$68="","",_config!$B$68)</f>
        <v/>
      </c>
      <c r="C43" s="16">
        <f>IF(_config!$D$68="","",_config!$D$68)</f>
        <v/>
      </c>
      <c r="D43" s="17">
        <f>IF(Raw_FDIC!R704="","",Raw_FDIC!R704)</f>
        <v/>
      </c>
      <c r="E43" s="17">
        <f>IF(Raw_FDIC!S704="","",Raw_FDIC!S704)</f>
        <v/>
      </c>
      <c r="F43" s="17">
        <f>IF(Raw_FDIC!T704="","",Raw_FDIC!T704)</f>
        <v/>
      </c>
      <c r="G43" s="17">
        <f>IF(Raw_FDIC!U704="","",Raw_FDIC!U704)</f>
        <v/>
      </c>
      <c r="H43" s="17">
        <f>IF(Raw_FDIC!V704="","",Raw_FDIC!V704)</f>
        <v/>
      </c>
      <c r="I43" s="17">
        <f>IF(Raw_FDIC!W704="","",Raw_FDIC!W704)</f>
        <v/>
      </c>
    </row>
    <row r="44">
      <c r="A44" s="14">
        <f>IF(_config!$C$69="","",_config!$C$69)</f>
        <v/>
      </c>
      <c r="B44" s="15">
        <f>IF(_config!$B$69="","",_config!$B$69)</f>
        <v/>
      </c>
      <c r="C44" s="16">
        <f>IF(_config!$D$69="","",_config!$D$69)</f>
        <v/>
      </c>
      <c r="D44" s="17">
        <f>IF(Raw_FDIC!R724="","",Raw_FDIC!R724)</f>
        <v/>
      </c>
      <c r="E44" s="17">
        <f>IF(Raw_FDIC!S724="","",Raw_FDIC!S724)</f>
        <v/>
      </c>
      <c r="F44" s="17">
        <f>IF(Raw_FDIC!T724="","",Raw_FDIC!T724)</f>
        <v/>
      </c>
      <c r="G44" s="17">
        <f>IF(Raw_FDIC!U724="","",Raw_FDIC!U724)</f>
        <v/>
      </c>
      <c r="H44" s="17">
        <f>IF(Raw_FDIC!V724="","",Raw_FDIC!V724)</f>
        <v/>
      </c>
      <c r="I44" s="17">
        <f>IF(Raw_FDIC!W724="","",Raw_FDIC!W724)</f>
        <v/>
      </c>
    </row>
    <row r="45">
      <c r="A45" s="14">
        <f>IF(_config!$C$70="","",_config!$C$70)</f>
        <v/>
      </c>
      <c r="B45" s="15">
        <f>IF(_config!$B$70="","",_config!$B$70)</f>
        <v/>
      </c>
      <c r="C45" s="16">
        <f>IF(_config!$D$70="","",_config!$D$70)</f>
        <v/>
      </c>
      <c r="D45" s="17">
        <f>IF(Raw_FDIC!R744="","",Raw_FDIC!R744)</f>
        <v/>
      </c>
      <c r="E45" s="17">
        <f>IF(Raw_FDIC!S744="","",Raw_FDIC!S744)</f>
        <v/>
      </c>
      <c r="F45" s="17">
        <f>IF(Raw_FDIC!T744="","",Raw_FDIC!T744)</f>
        <v/>
      </c>
      <c r="G45" s="17">
        <f>IF(Raw_FDIC!U744="","",Raw_FDIC!U744)</f>
        <v/>
      </c>
      <c r="H45" s="17">
        <f>IF(Raw_FDIC!V744="","",Raw_FDIC!V744)</f>
        <v/>
      </c>
      <c r="I45" s="17">
        <f>IF(Raw_FDIC!W744="","",Raw_FDIC!W744)</f>
        <v/>
      </c>
    </row>
    <row r="46">
      <c r="A46" s="14">
        <f>IF(_config!$C$71="","",_config!$C$71)</f>
        <v/>
      </c>
      <c r="B46" s="15">
        <f>IF(_config!$B$71="","",_config!$B$71)</f>
        <v/>
      </c>
      <c r="C46" s="16">
        <f>IF(_config!$D$71="","",_config!$D$71)</f>
        <v/>
      </c>
      <c r="D46" s="17">
        <f>IF(Raw_FDIC!R764="","",Raw_FDIC!R764)</f>
        <v/>
      </c>
      <c r="E46" s="17">
        <f>IF(Raw_FDIC!S764="","",Raw_FDIC!S764)</f>
        <v/>
      </c>
      <c r="F46" s="17">
        <f>IF(Raw_FDIC!T764="","",Raw_FDIC!T764)</f>
        <v/>
      </c>
      <c r="G46" s="17">
        <f>IF(Raw_FDIC!U764="","",Raw_FDIC!U764)</f>
        <v/>
      </c>
      <c r="H46" s="17">
        <f>IF(Raw_FDIC!V764="","",Raw_FDIC!V764)</f>
        <v/>
      </c>
      <c r="I46" s="17">
        <f>IF(Raw_FDIC!W764="","",Raw_FDIC!W764)</f>
        <v/>
      </c>
    </row>
    <row r="47">
      <c r="A47" s="14">
        <f>IF(_config!$C$72="","",_config!$C$72)</f>
        <v/>
      </c>
      <c r="B47" s="15">
        <f>IF(_config!$B$72="","",_config!$B$72)</f>
        <v/>
      </c>
      <c r="C47" s="16">
        <f>IF(_config!$D$72="","",_config!$D$72)</f>
        <v/>
      </c>
      <c r="D47" s="17">
        <f>IF(Raw_FDIC!R784="","",Raw_FDIC!R784)</f>
        <v/>
      </c>
      <c r="E47" s="17">
        <f>IF(Raw_FDIC!S784="","",Raw_FDIC!S784)</f>
        <v/>
      </c>
      <c r="F47" s="17">
        <f>IF(Raw_FDIC!T784="","",Raw_FDIC!T784)</f>
        <v/>
      </c>
      <c r="G47" s="17">
        <f>IF(Raw_FDIC!U784="","",Raw_FDIC!U784)</f>
        <v/>
      </c>
      <c r="H47" s="17">
        <f>IF(Raw_FDIC!V784="","",Raw_FDIC!V784)</f>
        <v/>
      </c>
      <c r="I47" s="17">
        <f>IF(Raw_FDIC!W784="","",Raw_FDIC!W784)</f>
        <v/>
      </c>
    </row>
    <row r="48">
      <c r="A48" s="18" t="inlineStr">
        <is>
          <t>PEER MEDIAN (landed banks; includes stale -- see _readme)</t>
        </is>
      </c>
      <c r="D48" s="19">
        <f>IF(COUNT(D8:D47)=0,"",MEDIAN(D8:D47))</f>
        <v/>
      </c>
      <c r="E48" s="19">
        <f>IF(COUNT(E8:E47)=0,"",MEDIAN(E8:E47))</f>
        <v/>
      </c>
      <c r="F48" s="19">
        <f>IF(COUNT(F8:F47)=0,"",MEDIAN(F8:F47))</f>
        <v/>
      </c>
      <c r="G48" s="19">
        <f>IF(COUNT(G8:G47)=0,"",MEDIAN(G8:G47))</f>
        <v/>
      </c>
      <c r="H48" s="19">
        <f>IF(COUNT(H8:H47)=0,"",MEDIAN(H8:H47))</f>
        <v/>
      </c>
      <c r="I48" s="19">
        <f>IF(COUNT(I8:I47)=0,"",MEDIAN(I8:I47))</f>
        <v/>
      </c>
    </row>
  </sheetData>
  <mergeCells count="11">
    <mergeCell ref="A2:I2"/>
    <mergeCell ref="D5:F5"/>
    <mergeCell ref="A5:C5"/>
    <mergeCell ref="G5:I5"/>
    <mergeCell ref="D4:F4"/>
    <mergeCell ref="A1:I1"/>
    <mergeCell ref="D3:F3"/>
    <mergeCell ref="A3:C3"/>
    <mergeCell ref="G3:I3"/>
    <mergeCell ref="G4:I4"/>
    <mergeCell ref="A4:C4"/>
  </mergeCells>
  <conditionalFormatting sqref="D8:D47">
    <cfRule type="expression" priority="1" dxfId="0" stopIfTrue="1">
      <formula>AND(ISNUMBER(D8),D8&lt;=_config!$C$21)</formula>
    </cfRule>
    <cfRule type="expression" priority="2" dxfId="1" stopIfTrue="1">
      <formula>AND(ISNUMBER(D8),D8&lt;=_config!$B$21)</formula>
    </cfRule>
    <cfRule type="colorScale" priority="3">
      <colorScale>
        <cfvo type="min"/>
        <cfvo type="percentile" val="50"/>
        <cfvo type="max"/>
        <color rgb="00E0A6A6"/>
        <color rgb="00F4F1EC"/>
        <color rgb="00BBD3BD"/>
      </colorScale>
    </cfRule>
  </conditionalFormatting>
  <conditionalFormatting sqref="E8:E47">
    <cfRule type="expression" priority="4" dxfId="0" stopIfTrue="1">
      <formula>AND(ISNUMBER(E8),E8&lt;=_config!$C$22)</formula>
    </cfRule>
    <cfRule type="expression" priority="5" dxfId="1" stopIfTrue="1">
      <formula>AND(ISNUMBER(E8),E8&lt;=_config!$B$22)</formula>
    </cfRule>
    <cfRule type="colorScale" priority="6">
      <colorScale>
        <cfvo type="min"/>
        <cfvo type="percentile" val="50"/>
        <cfvo type="max"/>
        <color rgb="00E0A6A6"/>
        <color rgb="00F4F1EC"/>
        <color rgb="00BBD3BD"/>
      </colorScale>
    </cfRule>
  </conditionalFormatting>
  <conditionalFormatting sqref="F8:F47">
    <cfRule type="expression" priority="7" dxfId="0" stopIfTrue="1">
      <formula>AND(ISNUMBER(F8),F8&lt;=_config!$C$23)</formula>
    </cfRule>
    <cfRule type="expression" priority="8" dxfId="1" stopIfTrue="1">
      <formula>AND(ISNUMBER(F8),F8&lt;=_config!$B$23)</formula>
    </cfRule>
    <cfRule type="colorScale" priority="9">
      <colorScale>
        <cfvo type="min"/>
        <cfvo type="percentile" val="50"/>
        <cfvo type="max"/>
        <color rgb="00E0A6A6"/>
        <color rgb="00F4F1EC"/>
        <color rgb="00BBD3BD"/>
      </colorScale>
    </cfRule>
  </conditionalFormatting>
  <conditionalFormatting sqref="G8:G47">
    <cfRule type="expression" priority="10" dxfId="0" stopIfTrue="1">
      <formula>AND(ISNUMBER(G8),G8&lt;=_config!$C$24)</formula>
    </cfRule>
    <cfRule type="expression" priority="11" dxfId="1" stopIfTrue="1">
      <formula>AND(ISNUMBER(G8),G8&lt;=_config!$B$24)</formula>
    </cfRule>
    <cfRule type="colorScale" priority="12">
      <colorScale>
        <cfvo type="min"/>
        <cfvo type="percentile" val="50"/>
        <cfvo type="max"/>
        <color rgb="00E0A6A6"/>
        <color rgb="00F4F1EC"/>
        <color rgb="00BBD3BD"/>
      </colorScale>
    </cfRule>
  </conditionalFormatting>
  <conditionalFormatting sqref="H8:H47">
    <cfRule type="expression" priority="13" dxfId="0" stopIfTrue="1">
      <formula>AND(ISNUMBER(H8),H8&lt;=_config!$C$25)</formula>
    </cfRule>
    <cfRule type="expression" priority="14" dxfId="1" stopIfTrue="1">
      <formula>AND(ISNUMBER(H8),H8&lt;=_config!$B$25)</formula>
    </cfRule>
    <cfRule type="colorScale" priority="15">
      <colorScale>
        <cfvo type="min"/>
        <cfvo type="percentile" val="50"/>
        <cfvo type="max"/>
        <color rgb="00E0A6A6"/>
        <color rgb="00F4F1EC"/>
        <color rgb="00BBD3BD"/>
      </colorScale>
    </cfRule>
  </conditionalFormatting>
  <conditionalFormatting sqref="I8:I47">
    <cfRule type="expression" priority="16" dxfId="0" stopIfTrue="1">
      <formula>AND(ISNUMBER(I8),I8&gt;=_config!$C$26)</formula>
    </cfRule>
    <cfRule type="expression" priority="17" dxfId="1" stopIfTrue="1">
      <formula>AND(ISNUMBER(I8),I8&gt;=_config!$B$26)</formula>
    </cfRule>
    <cfRule type="colorScale" priority="18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48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6" customWidth="1" min="1" max="1"/>
    <col width="9" customWidth="1" min="2" max="2"/>
    <col width="13" customWidth="1" min="3" max="3"/>
    <col width="12" customWidth="1" min="4" max="4"/>
    <col width="12" customWidth="1" min="5" max="5"/>
    <col width="12" customWidth="1" min="6" max="6"/>
    <col width="40" customWidth="1" min="12" max="12"/>
  </cols>
  <sheetData>
    <row r="1" ht="27.6" customHeight="1">
      <c r="A1" s="1" t="inlineStr">
        <is>
          <t>Funding &amp; Concentration Dashboard</t>
        </is>
      </c>
      <c r="L1" s="2" t="n"/>
    </row>
    <row r="2" ht="18.4" customHeight="1">
      <c r="A2" s="3" t="inlineStr">
        <is>
          <t>Loans/deposits, brokered-deposit share (FDI Act s29 salience), CRE concentration vs the 2006 interagency 300% screen -- PROXY denominator EQ+LNATRES until the tier-1 dollar field is verified.</t>
        </is>
      </c>
      <c r="B2" s="4" t="n"/>
      <c r="C2" s="4" t="n"/>
      <c r="D2" s="4" t="n"/>
      <c r="E2" s="4" t="n"/>
      <c r="F2" s="4" t="n"/>
      <c r="L2" s="2" t="n"/>
    </row>
    <row r="3">
      <c r="A3" s="5" t="inlineStr">
        <is>
          <t>BANKS IN ALERT</t>
        </is>
      </c>
      <c r="B3" s="6" t="n"/>
      <c r="C3" s="6" t="n"/>
      <c r="D3" s="5" t="inlineStr">
        <is>
          <t>BANKS IN WATCH</t>
        </is>
      </c>
      <c r="E3" s="6" t="n"/>
      <c r="F3" s="6" t="n"/>
      <c r="G3" s="7" t="inlineStr">
        <is>
          <t>BANKS TRACKED</t>
        </is>
      </c>
      <c r="H3" s="8" t="n"/>
      <c r="I3" s="8" t="n"/>
      <c r="L3" s="2" t="n"/>
    </row>
    <row r="4" ht="26" customHeight="1">
      <c r="A4" s="9">
        <f>COUNTIF(Watchlist!$H$5:$H$44,"ALERT")</f>
        <v/>
      </c>
      <c r="D4" s="9">
        <f>COUNTIF(Watchlist!$H$5:$H$44,"WATCH")</f>
        <v/>
      </c>
      <c r="G4" s="9">
        <f>COUNTIF(Watchlist!$A$5:$A$44,"?*")</f>
        <v/>
      </c>
      <c r="L4" s="10" t="n"/>
    </row>
    <row r="5">
      <c r="A5" s="11" t="inlineStr">
        <is>
          <t>of 12 active</t>
        </is>
      </c>
      <c r="D5" s="11" t="inlineStr">
        <is>
          <t>elevated</t>
        </is>
      </c>
      <c r="G5" s="11" t="inlineStr">
        <is>
          <t>of 40 built slots</t>
        </is>
      </c>
    </row>
    <row r="6" ht="8" customHeight="1"/>
    <row r="7" ht="22" customHeight="1">
      <c r="A7" s="12" t="inlineStr">
        <is>
          <t>Bank</t>
        </is>
      </c>
      <c r="B7" s="12" t="inlineStr">
        <is>
          <t>CERT</t>
        </is>
      </c>
      <c r="C7" s="12" t="inlineStr">
        <is>
          <t>Group</t>
        </is>
      </c>
      <c r="D7" s="13" t="inlineStr">
        <is>
          <t>Loans/Dep %</t>
        </is>
      </c>
      <c r="E7" s="13" t="inlineStr">
        <is>
          <t>Brokered %</t>
        </is>
      </c>
      <c r="F7" s="13" t="inlineStr">
        <is>
          <t>CRE Conc %</t>
        </is>
      </c>
    </row>
    <row r="8">
      <c r="A8" s="14">
        <f>IF(_config!$C$33="","",_config!$C$33)</f>
        <v/>
      </c>
      <c r="B8" s="15">
        <f>IF(_config!$B$33="","",_config!$B$33)</f>
        <v/>
      </c>
      <c r="C8" s="16">
        <f>IF(_config!$D$33="","",_config!$D$33)</f>
        <v/>
      </c>
      <c r="D8" s="17">
        <f>IF(OR(Raw_FDIC!E4="",Raw_FDIC!C4=""),"",IF(Raw_FDIC!C4=0,"",Raw_FDIC!E4/Raw_FDIC!C4*100))</f>
        <v/>
      </c>
      <c r="E8" s="17">
        <f>IF(OR(Raw_FDIC!F4="",Raw_FDIC!C4=""),"",IF(Raw_FDIC!C4=0,"",Raw_FDIC!F4/Raw_FDIC!C4*100))</f>
        <v/>
      </c>
      <c r="F8" s="17">
        <f>IF(OR(Raw_FDIC!K4="",Raw_FDIC!L4="",Raw_FDIC!M4="",Raw_FDIC!G4="",Raw_FDIC!I4=""),"",IF(Raw_FDIC!G4+Raw_FDIC!I4=0,"",(Raw_FDIC!K4+Raw_FDIC!L4+Raw_FDIC!M4)/(Raw_FDIC!G4+Raw_FDIC!I4)*100))</f>
        <v/>
      </c>
    </row>
    <row r="9">
      <c r="A9" s="14">
        <f>IF(_config!$C$34="","",_config!$C$34)</f>
        <v/>
      </c>
      <c r="B9" s="15">
        <f>IF(_config!$B$34="","",_config!$B$34)</f>
        <v/>
      </c>
      <c r="C9" s="16">
        <f>IF(_config!$D$34="","",_config!$D$34)</f>
        <v/>
      </c>
      <c r="D9" s="17">
        <f>IF(OR(Raw_FDIC!E24="",Raw_FDIC!C24=""),"",IF(Raw_FDIC!C24=0,"",Raw_FDIC!E24/Raw_FDIC!C24*100))</f>
        <v/>
      </c>
      <c r="E9" s="17">
        <f>IF(OR(Raw_FDIC!F24="",Raw_FDIC!C24=""),"",IF(Raw_FDIC!C24=0,"",Raw_FDIC!F24/Raw_FDIC!C24*100))</f>
        <v/>
      </c>
      <c r="F9" s="17">
        <f>IF(OR(Raw_FDIC!K24="",Raw_FDIC!L24="",Raw_FDIC!M24="",Raw_FDIC!G24="",Raw_FDIC!I24=""),"",IF(Raw_FDIC!G24+Raw_FDIC!I24=0,"",(Raw_FDIC!K24+Raw_FDIC!L24+Raw_FDIC!M24)/(Raw_FDIC!G24+Raw_FDIC!I24)*100))</f>
        <v/>
      </c>
    </row>
    <row r="10">
      <c r="A10" s="14">
        <f>IF(_config!$C$35="","",_config!$C$35)</f>
        <v/>
      </c>
      <c r="B10" s="15">
        <f>IF(_config!$B$35="","",_config!$B$35)</f>
        <v/>
      </c>
      <c r="C10" s="16">
        <f>IF(_config!$D$35="","",_config!$D$35)</f>
        <v/>
      </c>
      <c r="D10" s="17">
        <f>IF(OR(Raw_FDIC!E44="",Raw_FDIC!C44=""),"",IF(Raw_FDIC!C44=0,"",Raw_FDIC!E44/Raw_FDIC!C44*100))</f>
        <v/>
      </c>
      <c r="E10" s="17">
        <f>IF(OR(Raw_FDIC!F44="",Raw_FDIC!C44=""),"",IF(Raw_FDIC!C44=0,"",Raw_FDIC!F44/Raw_FDIC!C44*100))</f>
        <v/>
      </c>
      <c r="F10" s="17">
        <f>IF(OR(Raw_FDIC!K44="",Raw_FDIC!L44="",Raw_FDIC!M44="",Raw_FDIC!G44="",Raw_FDIC!I44=""),"",IF(Raw_FDIC!G44+Raw_FDIC!I44=0,"",(Raw_FDIC!K44+Raw_FDIC!L44+Raw_FDIC!M44)/(Raw_FDIC!G44+Raw_FDIC!I44)*100))</f>
        <v/>
      </c>
    </row>
    <row r="11">
      <c r="A11" s="14">
        <f>IF(_config!$C$36="","",_config!$C$36)</f>
        <v/>
      </c>
      <c r="B11" s="15">
        <f>IF(_config!$B$36="","",_config!$B$36)</f>
        <v/>
      </c>
      <c r="C11" s="16">
        <f>IF(_config!$D$36="","",_config!$D$36)</f>
        <v/>
      </c>
      <c r="D11" s="17">
        <f>IF(OR(Raw_FDIC!E64="",Raw_FDIC!C64=""),"",IF(Raw_FDIC!C64=0,"",Raw_FDIC!E64/Raw_FDIC!C64*100))</f>
        <v/>
      </c>
      <c r="E11" s="17">
        <f>IF(OR(Raw_FDIC!F64="",Raw_FDIC!C64=""),"",IF(Raw_FDIC!C64=0,"",Raw_FDIC!F64/Raw_FDIC!C64*100))</f>
        <v/>
      </c>
      <c r="F11" s="17">
        <f>IF(OR(Raw_FDIC!K64="",Raw_FDIC!L64="",Raw_FDIC!M64="",Raw_FDIC!G64="",Raw_FDIC!I64=""),"",IF(Raw_FDIC!G64+Raw_FDIC!I64=0,"",(Raw_FDIC!K64+Raw_FDIC!L64+Raw_FDIC!M64)/(Raw_FDIC!G64+Raw_FDIC!I64)*100))</f>
        <v/>
      </c>
    </row>
    <row r="12">
      <c r="A12" s="14">
        <f>IF(_config!$C$37="","",_config!$C$37)</f>
        <v/>
      </c>
      <c r="B12" s="15">
        <f>IF(_config!$B$37="","",_config!$B$37)</f>
        <v/>
      </c>
      <c r="C12" s="16">
        <f>IF(_config!$D$37="","",_config!$D$37)</f>
        <v/>
      </c>
      <c r="D12" s="17">
        <f>IF(OR(Raw_FDIC!E84="",Raw_FDIC!C84=""),"",IF(Raw_FDIC!C84=0,"",Raw_FDIC!E84/Raw_FDIC!C84*100))</f>
        <v/>
      </c>
      <c r="E12" s="17">
        <f>IF(OR(Raw_FDIC!F84="",Raw_FDIC!C84=""),"",IF(Raw_FDIC!C84=0,"",Raw_FDIC!F84/Raw_FDIC!C84*100))</f>
        <v/>
      </c>
      <c r="F12" s="17">
        <f>IF(OR(Raw_FDIC!K84="",Raw_FDIC!L84="",Raw_FDIC!M84="",Raw_FDIC!G84="",Raw_FDIC!I84=""),"",IF(Raw_FDIC!G84+Raw_FDIC!I84=0,"",(Raw_FDIC!K84+Raw_FDIC!L84+Raw_FDIC!M84)/(Raw_FDIC!G84+Raw_FDIC!I84)*100))</f>
        <v/>
      </c>
    </row>
    <row r="13">
      <c r="A13" s="14">
        <f>IF(_config!$C$38="","",_config!$C$38)</f>
        <v/>
      </c>
      <c r="B13" s="15">
        <f>IF(_config!$B$38="","",_config!$B$38)</f>
        <v/>
      </c>
      <c r="C13" s="16">
        <f>IF(_config!$D$38="","",_config!$D$38)</f>
        <v/>
      </c>
      <c r="D13" s="17">
        <f>IF(OR(Raw_FDIC!E104="",Raw_FDIC!C104=""),"",IF(Raw_FDIC!C104=0,"",Raw_FDIC!E104/Raw_FDIC!C104*100))</f>
        <v/>
      </c>
      <c r="E13" s="17">
        <f>IF(OR(Raw_FDIC!F104="",Raw_FDIC!C104=""),"",IF(Raw_FDIC!C104=0,"",Raw_FDIC!F104/Raw_FDIC!C104*100))</f>
        <v/>
      </c>
      <c r="F13" s="17">
        <f>IF(OR(Raw_FDIC!K104="",Raw_FDIC!L104="",Raw_FDIC!M104="",Raw_FDIC!G104="",Raw_FDIC!I104=""),"",IF(Raw_FDIC!G104+Raw_FDIC!I104=0,"",(Raw_FDIC!K104+Raw_FDIC!L104+Raw_FDIC!M104)/(Raw_FDIC!G104+Raw_FDIC!I104)*100))</f>
        <v/>
      </c>
    </row>
    <row r="14">
      <c r="A14" s="14">
        <f>IF(_config!$C$39="","",_config!$C$39)</f>
        <v/>
      </c>
      <c r="B14" s="15">
        <f>IF(_config!$B$39="","",_config!$B$39)</f>
        <v/>
      </c>
      <c r="C14" s="16">
        <f>IF(_config!$D$39="","",_config!$D$39)</f>
        <v/>
      </c>
      <c r="D14" s="17">
        <f>IF(OR(Raw_FDIC!E124="",Raw_FDIC!C124=""),"",IF(Raw_FDIC!C124=0,"",Raw_FDIC!E124/Raw_FDIC!C124*100))</f>
        <v/>
      </c>
      <c r="E14" s="17">
        <f>IF(OR(Raw_FDIC!F124="",Raw_FDIC!C124=""),"",IF(Raw_FDIC!C124=0,"",Raw_FDIC!F124/Raw_FDIC!C124*100))</f>
        <v/>
      </c>
      <c r="F14" s="17">
        <f>IF(OR(Raw_FDIC!K124="",Raw_FDIC!L124="",Raw_FDIC!M124="",Raw_FDIC!G124="",Raw_FDIC!I124=""),"",IF(Raw_FDIC!G124+Raw_FDIC!I124=0,"",(Raw_FDIC!K124+Raw_FDIC!L124+Raw_FDIC!M124)/(Raw_FDIC!G124+Raw_FDIC!I124)*100))</f>
        <v/>
      </c>
    </row>
    <row r="15">
      <c r="A15" s="14">
        <f>IF(_config!$C$40="","",_config!$C$40)</f>
        <v/>
      </c>
      <c r="B15" s="15">
        <f>IF(_config!$B$40="","",_config!$B$40)</f>
        <v/>
      </c>
      <c r="C15" s="16">
        <f>IF(_config!$D$40="","",_config!$D$40)</f>
        <v/>
      </c>
      <c r="D15" s="17">
        <f>IF(OR(Raw_FDIC!E144="",Raw_FDIC!C144=""),"",IF(Raw_FDIC!C144=0,"",Raw_FDIC!E144/Raw_FDIC!C144*100))</f>
        <v/>
      </c>
      <c r="E15" s="17">
        <f>IF(OR(Raw_FDIC!F144="",Raw_FDIC!C144=""),"",IF(Raw_FDIC!C144=0,"",Raw_FDIC!F144/Raw_FDIC!C144*100))</f>
        <v/>
      </c>
      <c r="F15" s="17">
        <f>IF(OR(Raw_FDIC!K144="",Raw_FDIC!L144="",Raw_FDIC!M144="",Raw_FDIC!G144="",Raw_FDIC!I144=""),"",IF(Raw_FDIC!G144+Raw_FDIC!I144=0,"",(Raw_FDIC!K144+Raw_FDIC!L144+Raw_FDIC!M144)/(Raw_FDIC!G144+Raw_FDIC!I144)*100))</f>
        <v/>
      </c>
    </row>
    <row r="16">
      <c r="A16" s="14">
        <f>IF(_config!$C$41="","",_config!$C$41)</f>
        <v/>
      </c>
      <c r="B16" s="15">
        <f>IF(_config!$B$41="","",_config!$B$41)</f>
        <v/>
      </c>
      <c r="C16" s="16">
        <f>IF(_config!$D$41="","",_config!$D$41)</f>
        <v/>
      </c>
      <c r="D16" s="17">
        <f>IF(OR(Raw_FDIC!E164="",Raw_FDIC!C164=""),"",IF(Raw_FDIC!C164=0,"",Raw_FDIC!E164/Raw_FDIC!C164*100))</f>
        <v/>
      </c>
      <c r="E16" s="17">
        <f>IF(OR(Raw_FDIC!F164="",Raw_FDIC!C164=""),"",IF(Raw_FDIC!C164=0,"",Raw_FDIC!F164/Raw_FDIC!C164*100))</f>
        <v/>
      </c>
      <c r="F16" s="17">
        <f>IF(OR(Raw_FDIC!K164="",Raw_FDIC!L164="",Raw_FDIC!M164="",Raw_FDIC!G164="",Raw_FDIC!I164=""),"",IF(Raw_FDIC!G164+Raw_FDIC!I164=0,"",(Raw_FDIC!K164+Raw_FDIC!L164+Raw_FDIC!M164)/(Raw_FDIC!G164+Raw_FDIC!I164)*100))</f>
        <v/>
      </c>
    </row>
    <row r="17">
      <c r="A17" s="14">
        <f>IF(_config!$C$42="","",_config!$C$42)</f>
        <v/>
      </c>
      <c r="B17" s="15">
        <f>IF(_config!$B$42="","",_config!$B$42)</f>
        <v/>
      </c>
      <c r="C17" s="16">
        <f>IF(_config!$D$42="","",_config!$D$42)</f>
        <v/>
      </c>
      <c r="D17" s="17">
        <f>IF(OR(Raw_FDIC!E184="",Raw_FDIC!C184=""),"",IF(Raw_FDIC!C184=0,"",Raw_FDIC!E184/Raw_FDIC!C184*100))</f>
        <v/>
      </c>
      <c r="E17" s="17">
        <f>IF(OR(Raw_FDIC!F184="",Raw_FDIC!C184=""),"",IF(Raw_FDIC!C184=0,"",Raw_FDIC!F184/Raw_FDIC!C184*100))</f>
        <v/>
      </c>
      <c r="F17" s="17">
        <f>IF(OR(Raw_FDIC!K184="",Raw_FDIC!L184="",Raw_FDIC!M184="",Raw_FDIC!G184="",Raw_FDIC!I184=""),"",IF(Raw_FDIC!G184+Raw_FDIC!I184=0,"",(Raw_FDIC!K184+Raw_FDIC!L184+Raw_FDIC!M184)/(Raw_FDIC!G184+Raw_FDIC!I184)*100))</f>
        <v/>
      </c>
    </row>
    <row r="18">
      <c r="A18" s="14">
        <f>IF(_config!$C$43="","",_config!$C$43)</f>
        <v/>
      </c>
      <c r="B18" s="15">
        <f>IF(_config!$B$43="","",_config!$B$43)</f>
        <v/>
      </c>
      <c r="C18" s="16">
        <f>IF(_config!$D$43="","",_config!$D$43)</f>
        <v/>
      </c>
      <c r="D18" s="17">
        <f>IF(OR(Raw_FDIC!E204="",Raw_FDIC!C204=""),"",IF(Raw_FDIC!C204=0,"",Raw_FDIC!E204/Raw_FDIC!C204*100))</f>
        <v/>
      </c>
      <c r="E18" s="17">
        <f>IF(OR(Raw_FDIC!F204="",Raw_FDIC!C204=""),"",IF(Raw_FDIC!C204=0,"",Raw_FDIC!F204/Raw_FDIC!C204*100))</f>
        <v/>
      </c>
      <c r="F18" s="17">
        <f>IF(OR(Raw_FDIC!K204="",Raw_FDIC!L204="",Raw_FDIC!M204="",Raw_FDIC!G204="",Raw_FDIC!I204=""),"",IF(Raw_FDIC!G204+Raw_FDIC!I204=0,"",(Raw_FDIC!K204+Raw_FDIC!L204+Raw_FDIC!M204)/(Raw_FDIC!G204+Raw_FDIC!I204)*100))</f>
        <v/>
      </c>
    </row>
    <row r="19">
      <c r="A19" s="14">
        <f>IF(_config!$C$44="","",_config!$C$44)</f>
        <v/>
      </c>
      <c r="B19" s="15">
        <f>IF(_config!$B$44="","",_config!$B$44)</f>
        <v/>
      </c>
      <c r="C19" s="16">
        <f>IF(_config!$D$44="","",_config!$D$44)</f>
        <v/>
      </c>
      <c r="D19" s="17">
        <f>IF(OR(Raw_FDIC!E224="",Raw_FDIC!C224=""),"",IF(Raw_FDIC!C224=0,"",Raw_FDIC!E224/Raw_FDIC!C224*100))</f>
        <v/>
      </c>
      <c r="E19" s="17">
        <f>IF(OR(Raw_FDIC!F224="",Raw_FDIC!C224=""),"",IF(Raw_FDIC!C224=0,"",Raw_FDIC!F224/Raw_FDIC!C224*100))</f>
        <v/>
      </c>
      <c r="F19" s="17">
        <f>IF(OR(Raw_FDIC!K224="",Raw_FDIC!L224="",Raw_FDIC!M224="",Raw_FDIC!G224="",Raw_FDIC!I224=""),"",IF(Raw_FDIC!G224+Raw_FDIC!I224=0,"",(Raw_FDIC!K224+Raw_FDIC!L224+Raw_FDIC!M224)/(Raw_FDIC!G224+Raw_FDIC!I224)*100))</f>
        <v/>
      </c>
    </row>
    <row r="20">
      <c r="A20" s="14">
        <f>IF(_config!$C$45="","",_config!$C$45)</f>
        <v/>
      </c>
      <c r="B20" s="15">
        <f>IF(_config!$B$45="","",_config!$B$45)</f>
        <v/>
      </c>
      <c r="C20" s="16">
        <f>IF(_config!$D$45="","",_config!$D$45)</f>
        <v/>
      </c>
      <c r="D20" s="17">
        <f>IF(OR(Raw_FDIC!E244="",Raw_FDIC!C244=""),"",IF(Raw_FDIC!C244=0,"",Raw_FDIC!E244/Raw_FDIC!C244*100))</f>
        <v/>
      </c>
      <c r="E20" s="17">
        <f>IF(OR(Raw_FDIC!F244="",Raw_FDIC!C244=""),"",IF(Raw_FDIC!C244=0,"",Raw_FDIC!F244/Raw_FDIC!C244*100))</f>
        <v/>
      </c>
      <c r="F20" s="17">
        <f>IF(OR(Raw_FDIC!K244="",Raw_FDIC!L244="",Raw_FDIC!M244="",Raw_FDIC!G244="",Raw_FDIC!I244=""),"",IF(Raw_FDIC!G244+Raw_FDIC!I244=0,"",(Raw_FDIC!K244+Raw_FDIC!L244+Raw_FDIC!M244)/(Raw_FDIC!G244+Raw_FDIC!I244)*100))</f>
        <v/>
      </c>
    </row>
    <row r="21">
      <c r="A21" s="14">
        <f>IF(_config!$C$46="","",_config!$C$46)</f>
        <v/>
      </c>
      <c r="B21" s="15">
        <f>IF(_config!$B$46="","",_config!$B$46)</f>
        <v/>
      </c>
      <c r="C21" s="16">
        <f>IF(_config!$D$46="","",_config!$D$46)</f>
        <v/>
      </c>
      <c r="D21" s="17">
        <f>IF(OR(Raw_FDIC!E264="",Raw_FDIC!C264=""),"",IF(Raw_FDIC!C264=0,"",Raw_FDIC!E264/Raw_FDIC!C264*100))</f>
        <v/>
      </c>
      <c r="E21" s="17">
        <f>IF(OR(Raw_FDIC!F264="",Raw_FDIC!C264=""),"",IF(Raw_FDIC!C264=0,"",Raw_FDIC!F264/Raw_FDIC!C264*100))</f>
        <v/>
      </c>
      <c r="F21" s="17">
        <f>IF(OR(Raw_FDIC!K264="",Raw_FDIC!L264="",Raw_FDIC!M264="",Raw_FDIC!G264="",Raw_FDIC!I264=""),"",IF(Raw_FDIC!G264+Raw_FDIC!I264=0,"",(Raw_FDIC!K264+Raw_FDIC!L264+Raw_FDIC!M264)/(Raw_FDIC!G264+Raw_FDIC!I264)*100))</f>
        <v/>
      </c>
    </row>
    <row r="22">
      <c r="A22" s="14">
        <f>IF(_config!$C$47="","",_config!$C$47)</f>
        <v/>
      </c>
      <c r="B22" s="15">
        <f>IF(_config!$B$47="","",_config!$B$47)</f>
        <v/>
      </c>
      <c r="C22" s="16">
        <f>IF(_config!$D$47="","",_config!$D$47)</f>
        <v/>
      </c>
      <c r="D22" s="17">
        <f>IF(OR(Raw_FDIC!E284="",Raw_FDIC!C284=""),"",IF(Raw_FDIC!C284=0,"",Raw_FDIC!E284/Raw_FDIC!C284*100))</f>
        <v/>
      </c>
      <c r="E22" s="17">
        <f>IF(OR(Raw_FDIC!F284="",Raw_FDIC!C284=""),"",IF(Raw_FDIC!C284=0,"",Raw_FDIC!F284/Raw_FDIC!C284*100))</f>
        <v/>
      </c>
      <c r="F22" s="17">
        <f>IF(OR(Raw_FDIC!K284="",Raw_FDIC!L284="",Raw_FDIC!M284="",Raw_FDIC!G284="",Raw_FDIC!I284=""),"",IF(Raw_FDIC!G284+Raw_FDIC!I284=0,"",(Raw_FDIC!K284+Raw_FDIC!L284+Raw_FDIC!M284)/(Raw_FDIC!G284+Raw_FDIC!I284)*100))</f>
        <v/>
      </c>
    </row>
    <row r="23">
      <c r="A23" s="14">
        <f>IF(_config!$C$48="","",_config!$C$48)</f>
        <v/>
      </c>
      <c r="B23" s="15">
        <f>IF(_config!$B$48="","",_config!$B$48)</f>
        <v/>
      </c>
      <c r="C23" s="16">
        <f>IF(_config!$D$48="","",_config!$D$48)</f>
        <v/>
      </c>
      <c r="D23" s="17">
        <f>IF(OR(Raw_FDIC!E304="",Raw_FDIC!C304=""),"",IF(Raw_FDIC!C304=0,"",Raw_FDIC!E304/Raw_FDIC!C304*100))</f>
        <v/>
      </c>
      <c r="E23" s="17">
        <f>IF(OR(Raw_FDIC!F304="",Raw_FDIC!C304=""),"",IF(Raw_FDIC!C304=0,"",Raw_FDIC!F304/Raw_FDIC!C304*100))</f>
        <v/>
      </c>
      <c r="F23" s="17">
        <f>IF(OR(Raw_FDIC!K304="",Raw_FDIC!L304="",Raw_FDIC!M304="",Raw_FDIC!G304="",Raw_FDIC!I304=""),"",IF(Raw_FDIC!G304+Raw_FDIC!I304=0,"",(Raw_FDIC!K304+Raw_FDIC!L304+Raw_FDIC!M304)/(Raw_FDIC!G304+Raw_FDIC!I304)*100))</f>
        <v/>
      </c>
    </row>
    <row r="24">
      <c r="A24" s="14">
        <f>IF(_config!$C$49="","",_config!$C$49)</f>
        <v/>
      </c>
      <c r="B24" s="15">
        <f>IF(_config!$B$49="","",_config!$B$49)</f>
        <v/>
      </c>
      <c r="C24" s="16">
        <f>IF(_config!$D$49="","",_config!$D$49)</f>
        <v/>
      </c>
      <c r="D24" s="17">
        <f>IF(OR(Raw_FDIC!E324="",Raw_FDIC!C324=""),"",IF(Raw_FDIC!C324=0,"",Raw_FDIC!E324/Raw_FDIC!C324*100))</f>
        <v/>
      </c>
      <c r="E24" s="17">
        <f>IF(OR(Raw_FDIC!F324="",Raw_FDIC!C324=""),"",IF(Raw_FDIC!C324=0,"",Raw_FDIC!F324/Raw_FDIC!C324*100))</f>
        <v/>
      </c>
      <c r="F24" s="17">
        <f>IF(OR(Raw_FDIC!K324="",Raw_FDIC!L324="",Raw_FDIC!M324="",Raw_FDIC!G324="",Raw_FDIC!I324=""),"",IF(Raw_FDIC!G324+Raw_FDIC!I324=0,"",(Raw_FDIC!K324+Raw_FDIC!L324+Raw_FDIC!M324)/(Raw_FDIC!G324+Raw_FDIC!I324)*100))</f>
        <v/>
      </c>
    </row>
    <row r="25">
      <c r="A25" s="14">
        <f>IF(_config!$C$50="","",_config!$C$50)</f>
        <v/>
      </c>
      <c r="B25" s="15">
        <f>IF(_config!$B$50="","",_config!$B$50)</f>
        <v/>
      </c>
      <c r="C25" s="16">
        <f>IF(_config!$D$50="","",_config!$D$50)</f>
        <v/>
      </c>
      <c r="D25" s="17">
        <f>IF(OR(Raw_FDIC!E344="",Raw_FDIC!C344=""),"",IF(Raw_FDIC!C344=0,"",Raw_FDIC!E344/Raw_FDIC!C344*100))</f>
        <v/>
      </c>
      <c r="E25" s="17">
        <f>IF(OR(Raw_FDIC!F344="",Raw_FDIC!C344=""),"",IF(Raw_FDIC!C344=0,"",Raw_FDIC!F344/Raw_FDIC!C344*100))</f>
        <v/>
      </c>
      <c r="F25" s="17">
        <f>IF(OR(Raw_FDIC!K344="",Raw_FDIC!L344="",Raw_FDIC!M344="",Raw_FDIC!G344="",Raw_FDIC!I344=""),"",IF(Raw_FDIC!G344+Raw_FDIC!I344=0,"",(Raw_FDIC!K344+Raw_FDIC!L344+Raw_FDIC!M344)/(Raw_FDIC!G344+Raw_FDIC!I344)*100))</f>
        <v/>
      </c>
    </row>
    <row r="26">
      <c r="A26" s="14">
        <f>IF(_config!$C$51="","",_config!$C$51)</f>
        <v/>
      </c>
      <c r="B26" s="15">
        <f>IF(_config!$B$51="","",_config!$B$51)</f>
        <v/>
      </c>
      <c r="C26" s="16">
        <f>IF(_config!$D$51="","",_config!$D$51)</f>
        <v/>
      </c>
      <c r="D26" s="17">
        <f>IF(OR(Raw_FDIC!E364="",Raw_FDIC!C364=""),"",IF(Raw_FDIC!C364=0,"",Raw_FDIC!E364/Raw_FDIC!C364*100))</f>
        <v/>
      </c>
      <c r="E26" s="17">
        <f>IF(OR(Raw_FDIC!F364="",Raw_FDIC!C364=""),"",IF(Raw_FDIC!C364=0,"",Raw_FDIC!F364/Raw_FDIC!C364*100))</f>
        <v/>
      </c>
      <c r="F26" s="17">
        <f>IF(OR(Raw_FDIC!K364="",Raw_FDIC!L364="",Raw_FDIC!M364="",Raw_FDIC!G364="",Raw_FDIC!I364=""),"",IF(Raw_FDIC!G364+Raw_FDIC!I364=0,"",(Raw_FDIC!K364+Raw_FDIC!L364+Raw_FDIC!M364)/(Raw_FDIC!G364+Raw_FDIC!I364)*100))</f>
        <v/>
      </c>
    </row>
    <row r="27">
      <c r="A27" s="14">
        <f>IF(_config!$C$52="","",_config!$C$52)</f>
        <v/>
      </c>
      <c r="B27" s="15">
        <f>IF(_config!$B$52="","",_config!$B$52)</f>
        <v/>
      </c>
      <c r="C27" s="16">
        <f>IF(_config!$D$52="","",_config!$D$52)</f>
        <v/>
      </c>
      <c r="D27" s="17">
        <f>IF(OR(Raw_FDIC!E384="",Raw_FDIC!C384=""),"",IF(Raw_FDIC!C384=0,"",Raw_FDIC!E384/Raw_FDIC!C384*100))</f>
        <v/>
      </c>
      <c r="E27" s="17">
        <f>IF(OR(Raw_FDIC!F384="",Raw_FDIC!C384=""),"",IF(Raw_FDIC!C384=0,"",Raw_FDIC!F384/Raw_FDIC!C384*100))</f>
        <v/>
      </c>
      <c r="F27" s="17">
        <f>IF(OR(Raw_FDIC!K384="",Raw_FDIC!L384="",Raw_FDIC!M384="",Raw_FDIC!G384="",Raw_FDIC!I384=""),"",IF(Raw_FDIC!G384+Raw_FDIC!I384=0,"",(Raw_FDIC!K384+Raw_FDIC!L384+Raw_FDIC!M384)/(Raw_FDIC!G384+Raw_FDIC!I384)*100))</f>
        <v/>
      </c>
    </row>
    <row r="28">
      <c r="A28" s="14">
        <f>IF(_config!$C$53="","",_config!$C$53)</f>
        <v/>
      </c>
      <c r="B28" s="15">
        <f>IF(_config!$B$53="","",_config!$B$53)</f>
        <v/>
      </c>
      <c r="C28" s="16">
        <f>IF(_config!$D$53="","",_config!$D$53)</f>
        <v/>
      </c>
      <c r="D28" s="17">
        <f>IF(OR(Raw_FDIC!E404="",Raw_FDIC!C404=""),"",IF(Raw_FDIC!C404=0,"",Raw_FDIC!E404/Raw_FDIC!C404*100))</f>
        <v/>
      </c>
      <c r="E28" s="17">
        <f>IF(OR(Raw_FDIC!F404="",Raw_FDIC!C404=""),"",IF(Raw_FDIC!C404=0,"",Raw_FDIC!F404/Raw_FDIC!C404*100))</f>
        <v/>
      </c>
      <c r="F28" s="17">
        <f>IF(OR(Raw_FDIC!K404="",Raw_FDIC!L404="",Raw_FDIC!M404="",Raw_FDIC!G404="",Raw_FDIC!I404=""),"",IF(Raw_FDIC!G404+Raw_FDIC!I404=0,"",(Raw_FDIC!K404+Raw_FDIC!L404+Raw_FDIC!M404)/(Raw_FDIC!G404+Raw_FDIC!I404)*100))</f>
        <v/>
      </c>
    </row>
    <row r="29">
      <c r="A29" s="14">
        <f>IF(_config!$C$54="","",_config!$C$54)</f>
        <v/>
      </c>
      <c r="B29" s="15">
        <f>IF(_config!$B$54="","",_config!$B$54)</f>
        <v/>
      </c>
      <c r="C29" s="16">
        <f>IF(_config!$D$54="","",_config!$D$54)</f>
        <v/>
      </c>
      <c r="D29" s="17">
        <f>IF(OR(Raw_FDIC!E424="",Raw_FDIC!C424=""),"",IF(Raw_FDIC!C424=0,"",Raw_FDIC!E424/Raw_FDIC!C424*100))</f>
        <v/>
      </c>
      <c r="E29" s="17">
        <f>IF(OR(Raw_FDIC!F424="",Raw_FDIC!C424=""),"",IF(Raw_FDIC!C424=0,"",Raw_FDIC!F424/Raw_FDIC!C424*100))</f>
        <v/>
      </c>
      <c r="F29" s="17">
        <f>IF(OR(Raw_FDIC!K424="",Raw_FDIC!L424="",Raw_FDIC!M424="",Raw_FDIC!G424="",Raw_FDIC!I424=""),"",IF(Raw_FDIC!G424+Raw_FDIC!I424=0,"",(Raw_FDIC!K424+Raw_FDIC!L424+Raw_FDIC!M424)/(Raw_FDIC!G424+Raw_FDIC!I424)*100))</f>
        <v/>
      </c>
    </row>
    <row r="30">
      <c r="A30" s="14">
        <f>IF(_config!$C$55="","",_config!$C$55)</f>
        <v/>
      </c>
      <c r="B30" s="15">
        <f>IF(_config!$B$55="","",_config!$B$55)</f>
        <v/>
      </c>
      <c r="C30" s="16">
        <f>IF(_config!$D$55="","",_config!$D$55)</f>
        <v/>
      </c>
      <c r="D30" s="17">
        <f>IF(OR(Raw_FDIC!E444="",Raw_FDIC!C444=""),"",IF(Raw_FDIC!C444=0,"",Raw_FDIC!E444/Raw_FDIC!C444*100))</f>
        <v/>
      </c>
      <c r="E30" s="17">
        <f>IF(OR(Raw_FDIC!F444="",Raw_FDIC!C444=""),"",IF(Raw_FDIC!C444=0,"",Raw_FDIC!F444/Raw_FDIC!C444*100))</f>
        <v/>
      </c>
      <c r="F30" s="17">
        <f>IF(OR(Raw_FDIC!K444="",Raw_FDIC!L444="",Raw_FDIC!M444="",Raw_FDIC!G444="",Raw_FDIC!I444=""),"",IF(Raw_FDIC!G444+Raw_FDIC!I444=0,"",(Raw_FDIC!K444+Raw_FDIC!L444+Raw_FDIC!M444)/(Raw_FDIC!G444+Raw_FDIC!I444)*100))</f>
        <v/>
      </c>
    </row>
    <row r="31">
      <c r="A31" s="14">
        <f>IF(_config!$C$56="","",_config!$C$56)</f>
        <v/>
      </c>
      <c r="B31" s="15">
        <f>IF(_config!$B$56="","",_config!$B$56)</f>
        <v/>
      </c>
      <c r="C31" s="16">
        <f>IF(_config!$D$56="","",_config!$D$56)</f>
        <v/>
      </c>
      <c r="D31" s="17">
        <f>IF(OR(Raw_FDIC!E464="",Raw_FDIC!C464=""),"",IF(Raw_FDIC!C464=0,"",Raw_FDIC!E464/Raw_FDIC!C464*100))</f>
        <v/>
      </c>
      <c r="E31" s="17">
        <f>IF(OR(Raw_FDIC!F464="",Raw_FDIC!C464=""),"",IF(Raw_FDIC!C464=0,"",Raw_FDIC!F464/Raw_FDIC!C464*100))</f>
        <v/>
      </c>
      <c r="F31" s="17">
        <f>IF(OR(Raw_FDIC!K464="",Raw_FDIC!L464="",Raw_FDIC!M464="",Raw_FDIC!G464="",Raw_FDIC!I464=""),"",IF(Raw_FDIC!G464+Raw_FDIC!I464=0,"",(Raw_FDIC!K464+Raw_FDIC!L464+Raw_FDIC!M464)/(Raw_FDIC!G464+Raw_FDIC!I464)*100))</f>
        <v/>
      </c>
    </row>
    <row r="32">
      <c r="A32" s="14">
        <f>IF(_config!$C$57="","",_config!$C$57)</f>
        <v/>
      </c>
      <c r="B32" s="15">
        <f>IF(_config!$B$57="","",_config!$B$57)</f>
        <v/>
      </c>
      <c r="C32" s="16">
        <f>IF(_config!$D$57="","",_config!$D$57)</f>
        <v/>
      </c>
      <c r="D32" s="17">
        <f>IF(OR(Raw_FDIC!E484="",Raw_FDIC!C484=""),"",IF(Raw_FDIC!C484=0,"",Raw_FDIC!E484/Raw_FDIC!C484*100))</f>
        <v/>
      </c>
      <c r="E32" s="17">
        <f>IF(OR(Raw_FDIC!F484="",Raw_FDIC!C484=""),"",IF(Raw_FDIC!C484=0,"",Raw_FDIC!F484/Raw_FDIC!C484*100))</f>
        <v/>
      </c>
      <c r="F32" s="17">
        <f>IF(OR(Raw_FDIC!K484="",Raw_FDIC!L484="",Raw_FDIC!M484="",Raw_FDIC!G484="",Raw_FDIC!I484=""),"",IF(Raw_FDIC!G484+Raw_FDIC!I484=0,"",(Raw_FDIC!K484+Raw_FDIC!L484+Raw_FDIC!M484)/(Raw_FDIC!G484+Raw_FDIC!I484)*100))</f>
        <v/>
      </c>
    </row>
    <row r="33">
      <c r="A33" s="14">
        <f>IF(_config!$C$58="","",_config!$C$58)</f>
        <v/>
      </c>
      <c r="B33" s="15">
        <f>IF(_config!$B$58="","",_config!$B$58)</f>
        <v/>
      </c>
      <c r="C33" s="16">
        <f>IF(_config!$D$58="","",_config!$D$58)</f>
        <v/>
      </c>
      <c r="D33" s="17">
        <f>IF(OR(Raw_FDIC!E504="",Raw_FDIC!C504=""),"",IF(Raw_FDIC!C504=0,"",Raw_FDIC!E504/Raw_FDIC!C504*100))</f>
        <v/>
      </c>
      <c r="E33" s="17">
        <f>IF(OR(Raw_FDIC!F504="",Raw_FDIC!C504=""),"",IF(Raw_FDIC!C504=0,"",Raw_FDIC!F504/Raw_FDIC!C504*100))</f>
        <v/>
      </c>
      <c r="F33" s="17">
        <f>IF(OR(Raw_FDIC!K504="",Raw_FDIC!L504="",Raw_FDIC!M504="",Raw_FDIC!G504="",Raw_FDIC!I504=""),"",IF(Raw_FDIC!G504+Raw_FDIC!I504=0,"",(Raw_FDIC!K504+Raw_FDIC!L504+Raw_FDIC!M504)/(Raw_FDIC!G504+Raw_FDIC!I504)*100))</f>
        <v/>
      </c>
    </row>
    <row r="34">
      <c r="A34" s="14">
        <f>IF(_config!$C$59="","",_config!$C$59)</f>
        <v/>
      </c>
      <c r="B34" s="15">
        <f>IF(_config!$B$59="","",_config!$B$59)</f>
        <v/>
      </c>
      <c r="C34" s="16">
        <f>IF(_config!$D$59="","",_config!$D$59)</f>
        <v/>
      </c>
      <c r="D34" s="17">
        <f>IF(OR(Raw_FDIC!E524="",Raw_FDIC!C524=""),"",IF(Raw_FDIC!C524=0,"",Raw_FDIC!E524/Raw_FDIC!C524*100))</f>
        <v/>
      </c>
      <c r="E34" s="17">
        <f>IF(OR(Raw_FDIC!F524="",Raw_FDIC!C524=""),"",IF(Raw_FDIC!C524=0,"",Raw_FDIC!F524/Raw_FDIC!C524*100))</f>
        <v/>
      </c>
      <c r="F34" s="17">
        <f>IF(OR(Raw_FDIC!K524="",Raw_FDIC!L524="",Raw_FDIC!M524="",Raw_FDIC!G524="",Raw_FDIC!I524=""),"",IF(Raw_FDIC!G524+Raw_FDIC!I524=0,"",(Raw_FDIC!K524+Raw_FDIC!L524+Raw_FDIC!M524)/(Raw_FDIC!G524+Raw_FDIC!I524)*100))</f>
        <v/>
      </c>
    </row>
    <row r="35">
      <c r="A35" s="14">
        <f>IF(_config!$C$60="","",_config!$C$60)</f>
        <v/>
      </c>
      <c r="B35" s="15">
        <f>IF(_config!$B$60="","",_config!$B$60)</f>
        <v/>
      </c>
      <c r="C35" s="16">
        <f>IF(_config!$D$60="","",_config!$D$60)</f>
        <v/>
      </c>
      <c r="D35" s="17">
        <f>IF(OR(Raw_FDIC!E544="",Raw_FDIC!C544=""),"",IF(Raw_FDIC!C544=0,"",Raw_FDIC!E544/Raw_FDIC!C544*100))</f>
        <v/>
      </c>
      <c r="E35" s="17">
        <f>IF(OR(Raw_FDIC!F544="",Raw_FDIC!C544=""),"",IF(Raw_FDIC!C544=0,"",Raw_FDIC!F544/Raw_FDIC!C544*100))</f>
        <v/>
      </c>
      <c r="F35" s="17">
        <f>IF(OR(Raw_FDIC!K544="",Raw_FDIC!L544="",Raw_FDIC!M544="",Raw_FDIC!G544="",Raw_FDIC!I544=""),"",IF(Raw_FDIC!G544+Raw_FDIC!I544=0,"",(Raw_FDIC!K544+Raw_FDIC!L544+Raw_FDIC!M544)/(Raw_FDIC!G544+Raw_FDIC!I544)*100))</f>
        <v/>
      </c>
    </row>
    <row r="36">
      <c r="A36" s="14">
        <f>IF(_config!$C$61="","",_config!$C$61)</f>
        <v/>
      </c>
      <c r="B36" s="15">
        <f>IF(_config!$B$61="","",_config!$B$61)</f>
        <v/>
      </c>
      <c r="C36" s="16">
        <f>IF(_config!$D$61="","",_config!$D$61)</f>
        <v/>
      </c>
      <c r="D36" s="17">
        <f>IF(OR(Raw_FDIC!E564="",Raw_FDIC!C564=""),"",IF(Raw_FDIC!C564=0,"",Raw_FDIC!E564/Raw_FDIC!C564*100))</f>
        <v/>
      </c>
      <c r="E36" s="17">
        <f>IF(OR(Raw_FDIC!F564="",Raw_FDIC!C564=""),"",IF(Raw_FDIC!C564=0,"",Raw_FDIC!F564/Raw_FDIC!C564*100))</f>
        <v/>
      </c>
      <c r="F36" s="17">
        <f>IF(OR(Raw_FDIC!K564="",Raw_FDIC!L564="",Raw_FDIC!M564="",Raw_FDIC!G564="",Raw_FDIC!I564=""),"",IF(Raw_FDIC!G564+Raw_FDIC!I564=0,"",(Raw_FDIC!K564+Raw_FDIC!L564+Raw_FDIC!M564)/(Raw_FDIC!G564+Raw_FDIC!I564)*100))</f>
        <v/>
      </c>
    </row>
    <row r="37">
      <c r="A37" s="14">
        <f>IF(_config!$C$62="","",_config!$C$62)</f>
        <v/>
      </c>
      <c r="B37" s="15">
        <f>IF(_config!$B$62="","",_config!$B$62)</f>
        <v/>
      </c>
      <c r="C37" s="16">
        <f>IF(_config!$D$62="","",_config!$D$62)</f>
        <v/>
      </c>
      <c r="D37" s="17">
        <f>IF(OR(Raw_FDIC!E584="",Raw_FDIC!C584=""),"",IF(Raw_FDIC!C584=0,"",Raw_FDIC!E584/Raw_FDIC!C584*100))</f>
        <v/>
      </c>
      <c r="E37" s="17">
        <f>IF(OR(Raw_FDIC!F584="",Raw_FDIC!C584=""),"",IF(Raw_FDIC!C584=0,"",Raw_FDIC!F584/Raw_FDIC!C584*100))</f>
        <v/>
      </c>
      <c r="F37" s="17">
        <f>IF(OR(Raw_FDIC!K584="",Raw_FDIC!L584="",Raw_FDIC!M584="",Raw_FDIC!G584="",Raw_FDIC!I584=""),"",IF(Raw_FDIC!G584+Raw_FDIC!I584=0,"",(Raw_FDIC!K584+Raw_FDIC!L584+Raw_FDIC!M584)/(Raw_FDIC!G584+Raw_FDIC!I584)*100))</f>
        <v/>
      </c>
    </row>
    <row r="38">
      <c r="A38" s="14">
        <f>IF(_config!$C$63="","",_config!$C$63)</f>
        <v/>
      </c>
      <c r="B38" s="15">
        <f>IF(_config!$B$63="","",_config!$B$63)</f>
        <v/>
      </c>
      <c r="C38" s="16">
        <f>IF(_config!$D$63="","",_config!$D$63)</f>
        <v/>
      </c>
      <c r="D38" s="17">
        <f>IF(OR(Raw_FDIC!E604="",Raw_FDIC!C604=""),"",IF(Raw_FDIC!C604=0,"",Raw_FDIC!E604/Raw_FDIC!C604*100))</f>
        <v/>
      </c>
      <c r="E38" s="17">
        <f>IF(OR(Raw_FDIC!F604="",Raw_FDIC!C604=""),"",IF(Raw_FDIC!C604=0,"",Raw_FDIC!F604/Raw_FDIC!C604*100))</f>
        <v/>
      </c>
      <c r="F38" s="17">
        <f>IF(OR(Raw_FDIC!K604="",Raw_FDIC!L604="",Raw_FDIC!M604="",Raw_FDIC!G604="",Raw_FDIC!I604=""),"",IF(Raw_FDIC!G604+Raw_FDIC!I604=0,"",(Raw_FDIC!K604+Raw_FDIC!L604+Raw_FDIC!M604)/(Raw_FDIC!G604+Raw_FDIC!I604)*100))</f>
        <v/>
      </c>
    </row>
    <row r="39">
      <c r="A39" s="14">
        <f>IF(_config!$C$64="","",_config!$C$64)</f>
        <v/>
      </c>
      <c r="B39" s="15">
        <f>IF(_config!$B$64="","",_config!$B$64)</f>
        <v/>
      </c>
      <c r="C39" s="16">
        <f>IF(_config!$D$64="","",_config!$D$64)</f>
        <v/>
      </c>
      <c r="D39" s="17">
        <f>IF(OR(Raw_FDIC!E624="",Raw_FDIC!C624=""),"",IF(Raw_FDIC!C624=0,"",Raw_FDIC!E624/Raw_FDIC!C624*100))</f>
        <v/>
      </c>
      <c r="E39" s="17">
        <f>IF(OR(Raw_FDIC!F624="",Raw_FDIC!C624=""),"",IF(Raw_FDIC!C624=0,"",Raw_FDIC!F624/Raw_FDIC!C624*100))</f>
        <v/>
      </c>
      <c r="F39" s="17">
        <f>IF(OR(Raw_FDIC!K624="",Raw_FDIC!L624="",Raw_FDIC!M624="",Raw_FDIC!G624="",Raw_FDIC!I624=""),"",IF(Raw_FDIC!G624+Raw_FDIC!I624=0,"",(Raw_FDIC!K624+Raw_FDIC!L624+Raw_FDIC!M624)/(Raw_FDIC!G624+Raw_FDIC!I624)*100))</f>
        <v/>
      </c>
    </row>
    <row r="40">
      <c r="A40" s="14">
        <f>IF(_config!$C$65="","",_config!$C$65)</f>
        <v/>
      </c>
      <c r="B40" s="15">
        <f>IF(_config!$B$65="","",_config!$B$65)</f>
        <v/>
      </c>
      <c r="C40" s="16">
        <f>IF(_config!$D$65="","",_config!$D$65)</f>
        <v/>
      </c>
      <c r="D40" s="17">
        <f>IF(OR(Raw_FDIC!E644="",Raw_FDIC!C644=""),"",IF(Raw_FDIC!C644=0,"",Raw_FDIC!E644/Raw_FDIC!C644*100))</f>
        <v/>
      </c>
      <c r="E40" s="17">
        <f>IF(OR(Raw_FDIC!F644="",Raw_FDIC!C644=""),"",IF(Raw_FDIC!C644=0,"",Raw_FDIC!F644/Raw_FDIC!C644*100))</f>
        <v/>
      </c>
      <c r="F40" s="17">
        <f>IF(OR(Raw_FDIC!K644="",Raw_FDIC!L644="",Raw_FDIC!M644="",Raw_FDIC!G644="",Raw_FDIC!I644=""),"",IF(Raw_FDIC!G644+Raw_FDIC!I644=0,"",(Raw_FDIC!K644+Raw_FDIC!L644+Raw_FDIC!M644)/(Raw_FDIC!G644+Raw_FDIC!I644)*100))</f>
        <v/>
      </c>
    </row>
    <row r="41">
      <c r="A41" s="14">
        <f>IF(_config!$C$66="","",_config!$C$66)</f>
        <v/>
      </c>
      <c r="B41" s="15">
        <f>IF(_config!$B$66="","",_config!$B$66)</f>
        <v/>
      </c>
      <c r="C41" s="16">
        <f>IF(_config!$D$66="","",_config!$D$66)</f>
        <v/>
      </c>
      <c r="D41" s="17">
        <f>IF(OR(Raw_FDIC!E664="",Raw_FDIC!C664=""),"",IF(Raw_FDIC!C664=0,"",Raw_FDIC!E664/Raw_FDIC!C664*100))</f>
        <v/>
      </c>
      <c r="E41" s="17">
        <f>IF(OR(Raw_FDIC!F664="",Raw_FDIC!C664=""),"",IF(Raw_FDIC!C664=0,"",Raw_FDIC!F664/Raw_FDIC!C664*100))</f>
        <v/>
      </c>
      <c r="F41" s="17">
        <f>IF(OR(Raw_FDIC!K664="",Raw_FDIC!L664="",Raw_FDIC!M664="",Raw_FDIC!G664="",Raw_FDIC!I664=""),"",IF(Raw_FDIC!G664+Raw_FDIC!I664=0,"",(Raw_FDIC!K664+Raw_FDIC!L664+Raw_FDIC!M664)/(Raw_FDIC!G664+Raw_FDIC!I664)*100))</f>
        <v/>
      </c>
    </row>
    <row r="42">
      <c r="A42" s="14">
        <f>IF(_config!$C$67="","",_config!$C$67)</f>
        <v/>
      </c>
      <c r="B42" s="15">
        <f>IF(_config!$B$67="","",_config!$B$67)</f>
        <v/>
      </c>
      <c r="C42" s="16">
        <f>IF(_config!$D$67="","",_config!$D$67)</f>
        <v/>
      </c>
      <c r="D42" s="17">
        <f>IF(OR(Raw_FDIC!E684="",Raw_FDIC!C684=""),"",IF(Raw_FDIC!C684=0,"",Raw_FDIC!E684/Raw_FDIC!C684*100))</f>
        <v/>
      </c>
      <c r="E42" s="17">
        <f>IF(OR(Raw_FDIC!F684="",Raw_FDIC!C684=""),"",IF(Raw_FDIC!C684=0,"",Raw_FDIC!F684/Raw_FDIC!C684*100))</f>
        <v/>
      </c>
      <c r="F42" s="17">
        <f>IF(OR(Raw_FDIC!K684="",Raw_FDIC!L684="",Raw_FDIC!M684="",Raw_FDIC!G684="",Raw_FDIC!I684=""),"",IF(Raw_FDIC!G684+Raw_FDIC!I684=0,"",(Raw_FDIC!K684+Raw_FDIC!L684+Raw_FDIC!M684)/(Raw_FDIC!G684+Raw_FDIC!I684)*100))</f>
        <v/>
      </c>
    </row>
    <row r="43">
      <c r="A43" s="14">
        <f>IF(_config!$C$68="","",_config!$C$68)</f>
        <v/>
      </c>
      <c r="B43" s="15">
        <f>IF(_config!$B$68="","",_config!$B$68)</f>
        <v/>
      </c>
      <c r="C43" s="16">
        <f>IF(_config!$D$68="","",_config!$D$68)</f>
        <v/>
      </c>
      <c r="D43" s="17">
        <f>IF(OR(Raw_FDIC!E704="",Raw_FDIC!C704=""),"",IF(Raw_FDIC!C704=0,"",Raw_FDIC!E704/Raw_FDIC!C704*100))</f>
        <v/>
      </c>
      <c r="E43" s="17">
        <f>IF(OR(Raw_FDIC!F704="",Raw_FDIC!C704=""),"",IF(Raw_FDIC!C704=0,"",Raw_FDIC!F704/Raw_FDIC!C704*100))</f>
        <v/>
      </c>
      <c r="F43" s="17">
        <f>IF(OR(Raw_FDIC!K704="",Raw_FDIC!L704="",Raw_FDIC!M704="",Raw_FDIC!G704="",Raw_FDIC!I704=""),"",IF(Raw_FDIC!G704+Raw_FDIC!I704=0,"",(Raw_FDIC!K704+Raw_FDIC!L704+Raw_FDIC!M704)/(Raw_FDIC!G704+Raw_FDIC!I704)*100))</f>
        <v/>
      </c>
    </row>
    <row r="44">
      <c r="A44" s="14">
        <f>IF(_config!$C$69="","",_config!$C$69)</f>
        <v/>
      </c>
      <c r="B44" s="15">
        <f>IF(_config!$B$69="","",_config!$B$69)</f>
        <v/>
      </c>
      <c r="C44" s="16">
        <f>IF(_config!$D$69="","",_config!$D$69)</f>
        <v/>
      </c>
      <c r="D44" s="17">
        <f>IF(OR(Raw_FDIC!E724="",Raw_FDIC!C724=""),"",IF(Raw_FDIC!C724=0,"",Raw_FDIC!E724/Raw_FDIC!C724*100))</f>
        <v/>
      </c>
      <c r="E44" s="17">
        <f>IF(OR(Raw_FDIC!F724="",Raw_FDIC!C724=""),"",IF(Raw_FDIC!C724=0,"",Raw_FDIC!F724/Raw_FDIC!C724*100))</f>
        <v/>
      </c>
      <c r="F44" s="17">
        <f>IF(OR(Raw_FDIC!K724="",Raw_FDIC!L724="",Raw_FDIC!M724="",Raw_FDIC!G724="",Raw_FDIC!I724=""),"",IF(Raw_FDIC!G724+Raw_FDIC!I724=0,"",(Raw_FDIC!K724+Raw_FDIC!L724+Raw_FDIC!M724)/(Raw_FDIC!G724+Raw_FDIC!I724)*100))</f>
        <v/>
      </c>
    </row>
    <row r="45">
      <c r="A45" s="14">
        <f>IF(_config!$C$70="","",_config!$C$70)</f>
        <v/>
      </c>
      <c r="B45" s="15">
        <f>IF(_config!$B$70="","",_config!$B$70)</f>
        <v/>
      </c>
      <c r="C45" s="16">
        <f>IF(_config!$D$70="","",_config!$D$70)</f>
        <v/>
      </c>
      <c r="D45" s="17">
        <f>IF(OR(Raw_FDIC!E744="",Raw_FDIC!C744=""),"",IF(Raw_FDIC!C744=0,"",Raw_FDIC!E744/Raw_FDIC!C744*100))</f>
        <v/>
      </c>
      <c r="E45" s="17">
        <f>IF(OR(Raw_FDIC!F744="",Raw_FDIC!C744=""),"",IF(Raw_FDIC!C744=0,"",Raw_FDIC!F744/Raw_FDIC!C744*100))</f>
        <v/>
      </c>
      <c r="F45" s="17">
        <f>IF(OR(Raw_FDIC!K744="",Raw_FDIC!L744="",Raw_FDIC!M744="",Raw_FDIC!G744="",Raw_FDIC!I744=""),"",IF(Raw_FDIC!G744+Raw_FDIC!I744=0,"",(Raw_FDIC!K744+Raw_FDIC!L744+Raw_FDIC!M744)/(Raw_FDIC!G744+Raw_FDIC!I744)*100))</f>
        <v/>
      </c>
    </row>
    <row r="46">
      <c r="A46" s="14">
        <f>IF(_config!$C$71="","",_config!$C$71)</f>
        <v/>
      </c>
      <c r="B46" s="15">
        <f>IF(_config!$B$71="","",_config!$B$71)</f>
        <v/>
      </c>
      <c r="C46" s="16">
        <f>IF(_config!$D$71="","",_config!$D$71)</f>
        <v/>
      </c>
      <c r="D46" s="17">
        <f>IF(OR(Raw_FDIC!E764="",Raw_FDIC!C764=""),"",IF(Raw_FDIC!C764=0,"",Raw_FDIC!E764/Raw_FDIC!C764*100))</f>
        <v/>
      </c>
      <c r="E46" s="17">
        <f>IF(OR(Raw_FDIC!F764="",Raw_FDIC!C764=""),"",IF(Raw_FDIC!C764=0,"",Raw_FDIC!F764/Raw_FDIC!C764*100))</f>
        <v/>
      </c>
      <c r="F46" s="17">
        <f>IF(OR(Raw_FDIC!K764="",Raw_FDIC!L764="",Raw_FDIC!M764="",Raw_FDIC!G764="",Raw_FDIC!I764=""),"",IF(Raw_FDIC!G764+Raw_FDIC!I764=0,"",(Raw_FDIC!K764+Raw_FDIC!L764+Raw_FDIC!M764)/(Raw_FDIC!G764+Raw_FDIC!I764)*100))</f>
        <v/>
      </c>
    </row>
    <row r="47">
      <c r="A47" s="14">
        <f>IF(_config!$C$72="","",_config!$C$72)</f>
        <v/>
      </c>
      <c r="B47" s="15">
        <f>IF(_config!$B$72="","",_config!$B$72)</f>
        <v/>
      </c>
      <c r="C47" s="16">
        <f>IF(_config!$D$72="","",_config!$D$72)</f>
        <v/>
      </c>
      <c r="D47" s="17">
        <f>IF(OR(Raw_FDIC!E784="",Raw_FDIC!C784=""),"",IF(Raw_FDIC!C784=0,"",Raw_FDIC!E784/Raw_FDIC!C784*100))</f>
        <v/>
      </c>
      <c r="E47" s="17">
        <f>IF(OR(Raw_FDIC!F784="",Raw_FDIC!C784=""),"",IF(Raw_FDIC!C784=0,"",Raw_FDIC!F784/Raw_FDIC!C784*100))</f>
        <v/>
      </c>
      <c r="F47" s="17">
        <f>IF(OR(Raw_FDIC!K784="",Raw_FDIC!L784="",Raw_FDIC!M784="",Raw_FDIC!G784="",Raw_FDIC!I784=""),"",IF(Raw_FDIC!G784+Raw_FDIC!I784=0,"",(Raw_FDIC!K784+Raw_FDIC!L784+Raw_FDIC!M784)/(Raw_FDIC!G784+Raw_FDIC!I784)*100))</f>
        <v/>
      </c>
    </row>
    <row r="48">
      <c r="A48" s="18" t="inlineStr">
        <is>
          <t>PEER MEDIAN (landed banks; includes stale -- see _readme)</t>
        </is>
      </c>
      <c r="D48" s="19">
        <f>IF(COUNT(D8:D47)=0,"",MEDIAN(D8:D47))</f>
        <v/>
      </c>
      <c r="E48" s="19">
        <f>IF(COUNT(E8:E47)=0,"",MEDIAN(E8:E47))</f>
        <v/>
      </c>
      <c r="F48" s="19">
        <f>IF(COUNT(F8:F47)=0,"",MEDIAN(F8:F47))</f>
        <v/>
      </c>
    </row>
  </sheetData>
  <mergeCells count="11">
    <mergeCell ref="A2:F2"/>
    <mergeCell ref="D5:F5"/>
    <mergeCell ref="A5:C5"/>
    <mergeCell ref="G5:I5"/>
    <mergeCell ref="A1:F1"/>
    <mergeCell ref="D4:F4"/>
    <mergeCell ref="D3:F3"/>
    <mergeCell ref="A3:C3"/>
    <mergeCell ref="G3:I3"/>
    <mergeCell ref="G4:I4"/>
    <mergeCell ref="A4:C4"/>
  </mergeCells>
  <conditionalFormatting sqref="D8:D47">
    <cfRule type="expression" priority="1" dxfId="0" stopIfTrue="1">
      <formula>AND(ISNUMBER(D8),D8&gt;=_config!$C$27)</formula>
    </cfRule>
    <cfRule type="expression" priority="2" dxfId="1" stopIfTrue="1">
      <formula>AND(ISNUMBER(D8),D8&gt;=_config!$B$27)</formula>
    </cfRule>
    <cfRule type="colorScale" priority="3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E8:E47">
    <cfRule type="expression" priority="4" dxfId="0" stopIfTrue="1">
      <formula>AND(ISNUMBER(E8),E8&gt;=_config!$C$28)</formula>
    </cfRule>
    <cfRule type="expression" priority="5" dxfId="1" stopIfTrue="1">
      <formula>AND(ISNUMBER(E8),E8&gt;=_config!$B$28)</formula>
    </cfRule>
    <cfRule type="colorScale" priority="6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F8:F47">
    <cfRule type="expression" priority="7" dxfId="0" stopIfTrue="1">
      <formula>AND(ISNUMBER(F8),F8&gt;=_config!$C$29)</formula>
    </cfRule>
    <cfRule type="expression" priority="8" dxfId="1" stopIfTrue="1">
      <formula>AND(ISNUMBER(F8),F8&gt;=_config!$B$29)</formula>
    </cfRule>
    <cfRule type="colorScale" priority="9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Z4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6" customWidth="1" min="1" max="1"/>
    <col width="9" customWidth="1" min="2" max="2"/>
    <col width="13" customWidth="1" min="3" max="3"/>
    <col width="10" customWidth="1" min="4" max="4"/>
    <col width="11" customWidth="1" min="5" max="5"/>
    <col width="11" customWidth="1" min="6" max="6"/>
    <col width="7" customWidth="1" min="7" max="7"/>
    <col width="34" customWidth="1" min="8" max="8"/>
    <col width="9" customWidth="1" min="10" max="10"/>
    <col width="9" customWidth="1" min="11" max="11"/>
    <col width="9" customWidth="1" min="12" max="12"/>
    <col width="9" customWidth="1" min="13" max="13"/>
    <col width="9" customWidth="1" min="14" max="14"/>
    <col width="9" customWidth="1" min="15" max="15"/>
    <col width="9" customWidth="1" min="16" max="16"/>
    <col width="9" customWidth="1" min="17" max="17"/>
    <col width="9" customWidth="1" min="18" max="18"/>
    <col width="9" customWidth="1" min="19" max="19"/>
    <col width="9" customWidth="1" min="20" max="20"/>
    <col width="9" customWidth="1" min="21" max="21"/>
    <col width="9" customWidth="1" min="22" max="22"/>
    <col width="9" customWidth="1" min="23" max="23"/>
    <col width="9" customWidth="1" min="24" max="24"/>
  </cols>
  <sheetData>
    <row r="1" ht="27.6" customHeight="1">
      <c r="A1" s="1" t="inlineStr">
        <is>
          <t>Watchlist -- Ranked Peer / Counterparty Banks</t>
        </is>
      </c>
    </row>
    <row r="2" ht="18.4" customHeight="1">
      <c r="A2" s="3" t="inlineStr">
        <is>
          <t>Ranked by (ALERT flag count, Texas ratio) descending. Flag counts aggregate all 15 metric statuses (helper columns J-X); STALE banks are surfaced by the runner's status line and digest, not here (v1).</t>
        </is>
      </c>
      <c r="B2" s="4" t="n"/>
      <c r="C2" s="4" t="n"/>
      <c r="D2" s="4" t="n"/>
      <c r="E2" s="4" t="n"/>
      <c r="F2" s="4" t="n"/>
      <c r="G2" s="4" t="n"/>
      <c r="H2" s="4" t="n"/>
    </row>
    <row r="3" ht="42" customHeight="1">
      <c r="A3" s="20" t="inlineStr">
        <is>
          <t>ENTITY RULE. This lane admits ONLY rows carrying a genuine FDIC certificate join key (cert:NNN from the [PEERS] cert cell, Class A) -- the default-deny validator refuses anything else BY NAME: aggregates, holding companies and name-only rows cannot be monitored as counterparties. Blank/malformed CERT shows REFUSED here; find CERTs with: python runner.py --lookup "&lt;bank name&gt;". RSSD/holding-company promotion is a spec change, not a config edit.</t>
        </is>
      </c>
    </row>
    <row r="4" ht="22" customHeight="1">
      <c r="A4" s="12" t="inlineStr">
        <is>
          <t>Bank</t>
        </is>
      </c>
      <c r="B4" s="12" t="inlineStr">
        <is>
          <t>CERT</t>
        </is>
      </c>
      <c r="C4" s="12" t="inlineStr">
        <is>
          <t>Group</t>
        </is>
      </c>
      <c r="D4" s="13" t="inlineStr">
        <is>
          <t>Texas</t>
        </is>
      </c>
      <c r="E4" s="13" t="inlineStr">
        <is>
          <t>ALERT flags</t>
        </is>
      </c>
      <c r="F4" s="13" t="inlineStr">
        <is>
          <t>WATCH flags</t>
        </is>
      </c>
      <c r="G4" s="21" t="inlineStr">
        <is>
          <t>Rank</t>
        </is>
      </c>
      <c r="H4" s="21" t="inlineStr">
        <is>
          <t>Status</t>
        </is>
      </c>
      <c r="J4" s="22" t="inlineStr">
        <is>
          <t>NCLNLSR</t>
        </is>
      </c>
      <c r="K4" s="22" t="inlineStr">
        <is>
          <t>NTLNLSQR</t>
        </is>
      </c>
      <c r="L4" s="22" t="inlineStr">
        <is>
          <t>PD3089R</t>
        </is>
      </c>
      <c r="M4" s="22" t="inlineStr">
        <is>
          <t>LNATRESR</t>
        </is>
      </c>
      <c r="N4" s="22" t="inlineStr">
        <is>
          <t>LNRESNCR</t>
        </is>
      </c>
      <c r="O4" s="22" t="inlineStr">
        <is>
          <t>TEXAS</t>
        </is>
      </c>
      <c r="P4" s="22" t="inlineStr">
        <is>
          <t>RBC1AAJ</t>
        </is>
      </c>
      <c r="Q4" s="22" t="inlineStr">
        <is>
          <t>RBCRWAJ</t>
        </is>
      </c>
      <c r="R4" s="22" t="inlineStr">
        <is>
          <t>EQV</t>
        </is>
      </c>
      <c r="S4" s="22" t="inlineStr">
        <is>
          <t>ROAQ</t>
        </is>
      </c>
      <c r="T4" s="22" t="inlineStr">
        <is>
          <t>NIMY</t>
        </is>
      </c>
      <c r="U4" s="22" t="inlineStr">
        <is>
          <t>EEFFR</t>
        </is>
      </c>
      <c r="V4" s="22" t="inlineStr">
        <is>
          <t>LNDEPR</t>
        </is>
      </c>
      <c r="W4" s="22" t="inlineStr">
        <is>
          <t>BRODEPR</t>
        </is>
      </c>
      <c r="X4" s="22" t="inlineStr">
        <is>
          <t>CRECONR</t>
        </is>
      </c>
      <c r="Z4" s="22" t="inlineStr">
        <is>
          <t>rank score</t>
        </is>
      </c>
    </row>
    <row r="5">
      <c r="A5" s="14">
        <f>IF(_config!$C$33="","",_config!$C$33)</f>
        <v/>
      </c>
      <c r="B5" s="23">
        <f>IF(_config!$B$33="","",_config!$B$33)</f>
        <v/>
      </c>
      <c r="C5" s="16">
        <f>IF(_config!$D$33="","",_config!$D$33)</f>
        <v/>
      </c>
      <c r="D5" s="24">
        <f>IF(Dashboard_AssetQuality!I8="","",Dashboard_AssetQuality!I8)</f>
        <v/>
      </c>
      <c r="E5" s="25">
        <f>IF($A5="","",COUNTIF($J5:$X5,"ALERT"))</f>
        <v/>
      </c>
      <c r="F5" s="25">
        <f>IF($A5="","",COUNTIF($J5:$X5,"WATCH"))</f>
        <v/>
      </c>
      <c r="G5" s="25">
        <f>IF($Z5="","",RANK($Z5,$Z$5:$Z$44))</f>
        <v/>
      </c>
      <c r="H5" s="25">
        <f>IF(_config!$C$33="","",IF(NOT(ISNUMBER(_config!$B$33)),"REFUSED: blank/invalid CERT -- run --lookup",IF(UPPER(_config!$E$33&amp;"")&lt;&gt;"TRUE","OFF",IF($E5&gt;0,"ALERT",IF($F5&gt;0,"WATCH","OK")))))</f>
        <v/>
      </c>
      <c r="J5" s="26">
        <f>IF(NOT(ISNUMBER(Dashboard_AssetQuality!D8)),"",IF(Dashboard_AssetQuality!D8&gt;=_config!$C$15,"ALERT",IF(Dashboard_AssetQuality!D8&gt;=_config!$B$15,"WATCH","OK")))</f>
        <v/>
      </c>
      <c r="K5" s="26">
        <f>IF(NOT(ISNUMBER(Dashboard_AssetQuality!E8)),"",IF(Dashboard_AssetQuality!E8&gt;=_config!$C$16,"ALERT",IF(Dashboard_AssetQuality!E8&gt;=_config!$B$16,"WATCH","OK")))</f>
        <v/>
      </c>
      <c r="L5" s="26">
        <f>IF(NOT(ISNUMBER(Dashboard_AssetQuality!F8)),"",IF(Dashboard_AssetQuality!F8&gt;=_config!$C$17,"ALERT",IF(Dashboard_AssetQuality!F8&gt;=_config!$B$17,"WATCH","OK")))</f>
        <v/>
      </c>
      <c r="M5" s="26">
        <f>IF(NOT(ISNUMBER(Dashboard_AssetQuality!G8)),"",IF(Dashboard_AssetQuality!G8&lt;=_config!$C$18,"ALERT",IF(Dashboard_AssetQuality!G8&lt;=_config!$B$18,"WATCH","OK")))</f>
        <v/>
      </c>
      <c r="N5" s="26">
        <f>IF(NOT(ISNUMBER(Dashboard_AssetQuality!H8)),"",IF(Dashboard_AssetQuality!H8&lt;=_config!$C$19,"ALERT",IF(Dashboard_AssetQuality!H8&lt;=_config!$B$19,"WATCH","OK")))</f>
        <v/>
      </c>
      <c r="O5" s="26">
        <f>IF(NOT(ISNUMBER(Dashboard_AssetQuality!I8)),"",IF(Dashboard_AssetQuality!I8&gt;=_config!$C$20,"ALERT",IF(Dashboard_AssetQuality!I8&gt;=_config!$B$20,"WATCH","OK")))</f>
        <v/>
      </c>
      <c r="P5" s="26">
        <f>IF(NOT(ISNUMBER(Dashboard_Capital_Earnings!D8)),"",IF(Dashboard_Capital_Earnings!D8&lt;=_config!$C$21,"ALERT",IF(Dashboard_Capital_Earnings!D8&lt;=_config!$B$21,"WATCH","OK")))</f>
        <v/>
      </c>
      <c r="Q5" s="26">
        <f>IF(NOT(ISNUMBER(Dashboard_Capital_Earnings!E8)),"",IF(Dashboard_Capital_Earnings!E8&lt;=_config!$C$22,"ALERT",IF(Dashboard_Capital_Earnings!E8&lt;=_config!$B$22,"WATCH","OK")))</f>
        <v/>
      </c>
      <c r="R5" s="26">
        <f>IF(NOT(ISNUMBER(Dashboard_Capital_Earnings!F8)),"",IF(Dashboard_Capital_Earnings!F8&lt;=_config!$C$23,"ALERT",IF(Dashboard_Capital_Earnings!F8&lt;=_config!$B$23,"WATCH","OK")))</f>
        <v/>
      </c>
      <c r="S5" s="26">
        <f>IF(NOT(ISNUMBER(Dashboard_Capital_Earnings!G8)),"",IF(Dashboard_Capital_Earnings!G8&lt;=_config!$C$24,"ALERT",IF(Dashboard_Capital_Earnings!G8&lt;=_config!$B$24,"WATCH","OK")))</f>
        <v/>
      </c>
      <c r="T5" s="26">
        <f>IF(NOT(ISNUMBER(Dashboard_Capital_Earnings!H8)),"",IF(Dashboard_Capital_Earnings!H8&lt;=_config!$C$25,"ALERT",IF(Dashboard_Capital_Earnings!H8&lt;=_config!$B$25,"WATCH","OK")))</f>
        <v/>
      </c>
      <c r="U5" s="26">
        <f>IF(NOT(ISNUMBER(Dashboard_Capital_Earnings!I8)),"",IF(Dashboard_Capital_Earnings!I8&gt;=_config!$C$26,"ALERT",IF(Dashboard_Capital_Earnings!I8&gt;=_config!$B$26,"WATCH","OK")))</f>
        <v/>
      </c>
      <c r="V5" s="26">
        <f>IF(NOT(ISNUMBER(Dashboard_Funding_Concentration!D8)),"",IF(Dashboard_Funding_Concentration!D8&gt;=_config!$C$27,"ALERT",IF(Dashboard_Funding_Concentration!D8&gt;=_config!$B$27,"WATCH","OK")))</f>
        <v/>
      </c>
      <c r="W5" s="26">
        <f>IF(NOT(ISNUMBER(Dashboard_Funding_Concentration!E8)),"",IF(Dashboard_Funding_Concentration!E8&gt;=_config!$C$28,"ALERT",IF(Dashboard_Funding_Concentration!E8&gt;=_config!$B$28,"WATCH","OK")))</f>
        <v/>
      </c>
      <c r="X5" s="26">
        <f>IF(NOT(ISNUMBER(Dashboard_Funding_Concentration!F8)),"",IF(Dashboard_Funding_Concentration!F8&gt;=_config!$C$29,"ALERT",IF(Dashboard_Funding_Concentration!F8&gt;=_config!$B$29,"WATCH","OK")))</f>
        <v/>
      </c>
      <c r="Z5" s="26">
        <f>IF(NOT(ISNUMBER($E5)),"",$E5*10000+IF(ISNUMBER($D5),$D5,0))</f>
        <v/>
      </c>
    </row>
    <row r="6">
      <c r="A6" s="14">
        <f>IF(_config!$C$34="","",_config!$C$34)</f>
        <v/>
      </c>
      <c r="B6" s="23">
        <f>IF(_config!$B$34="","",_config!$B$34)</f>
        <v/>
      </c>
      <c r="C6" s="16">
        <f>IF(_config!$D$34="","",_config!$D$34)</f>
        <v/>
      </c>
      <c r="D6" s="24">
        <f>IF(Dashboard_AssetQuality!I9="","",Dashboard_AssetQuality!I9)</f>
        <v/>
      </c>
      <c r="E6" s="25">
        <f>IF($A6="","",COUNTIF($J6:$X6,"ALERT"))</f>
        <v/>
      </c>
      <c r="F6" s="25">
        <f>IF($A6="","",COUNTIF($J6:$X6,"WATCH"))</f>
        <v/>
      </c>
      <c r="G6" s="25">
        <f>IF($Z6="","",RANK($Z6,$Z$5:$Z$44))</f>
        <v/>
      </c>
      <c r="H6" s="25">
        <f>IF(_config!$C$34="","",IF(NOT(ISNUMBER(_config!$B$34)),"REFUSED: blank/invalid CERT -- run --lookup",IF(UPPER(_config!$E$34&amp;"")&lt;&gt;"TRUE","OFF",IF($E6&gt;0,"ALERT",IF($F6&gt;0,"WATCH","OK")))))</f>
        <v/>
      </c>
      <c r="J6" s="26">
        <f>IF(NOT(ISNUMBER(Dashboard_AssetQuality!D9)),"",IF(Dashboard_AssetQuality!D9&gt;=_config!$C$15,"ALERT",IF(Dashboard_AssetQuality!D9&gt;=_config!$B$15,"WATCH","OK")))</f>
        <v/>
      </c>
      <c r="K6" s="26">
        <f>IF(NOT(ISNUMBER(Dashboard_AssetQuality!E9)),"",IF(Dashboard_AssetQuality!E9&gt;=_config!$C$16,"ALERT",IF(Dashboard_AssetQuality!E9&gt;=_config!$B$16,"WATCH","OK")))</f>
        <v/>
      </c>
      <c r="L6" s="26">
        <f>IF(NOT(ISNUMBER(Dashboard_AssetQuality!F9)),"",IF(Dashboard_AssetQuality!F9&gt;=_config!$C$17,"ALERT",IF(Dashboard_AssetQuality!F9&gt;=_config!$B$17,"WATCH","OK")))</f>
        <v/>
      </c>
      <c r="M6" s="26">
        <f>IF(NOT(ISNUMBER(Dashboard_AssetQuality!G9)),"",IF(Dashboard_AssetQuality!G9&lt;=_config!$C$18,"ALERT",IF(Dashboard_AssetQuality!G9&lt;=_config!$B$18,"WATCH","OK")))</f>
        <v/>
      </c>
      <c r="N6" s="26">
        <f>IF(NOT(ISNUMBER(Dashboard_AssetQuality!H9)),"",IF(Dashboard_AssetQuality!H9&lt;=_config!$C$19,"ALERT",IF(Dashboard_AssetQuality!H9&lt;=_config!$B$19,"WATCH","OK")))</f>
        <v/>
      </c>
      <c r="O6" s="26">
        <f>IF(NOT(ISNUMBER(Dashboard_AssetQuality!I9)),"",IF(Dashboard_AssetQuality!I9&gt;=_config!$C$20,"ALERT",IF(Dashboard_AssetQuality!I9&gt;=_config!$B$20,"WATCH","OK")))</f>
        <v/>
      </c>
      <c r="P6" s="26">
        <f>IF(NOT(ISNUMBER(Dashboard_Capital_Earnings!D9)),"",IF(Dashboard_Capital_Earnings!D9&lt;=_config!$C$21,"ALERT",IF(Dashboard_Capital_Earnings!D9&lt;=_config!$B$21,"WATCH","OK")))</f>
        <v/>
      </c>
      <c r="Q6" s="26">
        <f>IF(NOT(ISNUMBER(Dashboard_Capital_Earnings!E9)),"",IF(Dashboard_Capital_Earnings!E9&lt;=_config!$C$22,"ALERT",IF(Dashboard_Capital_Earnings!E9&lt;=_config!$B$22,"WATCH","OK")))</f>
        <v/>
      </c>
      <c r="R6" s="26">
        <f>IF(NOT(ISNUMBER(Dashboard_Capital_Earnings!F9)),"",IF(Dashboard_Capital_Earnings!F9&lt;=_config!$C$23,"ALERT",IF(Dashboard_Capital_Earnings!F9&lt;=_config!$B$23,"WATCH","OK")))</f>
        <v/>
      </c>
      <c r="S6" s="26">
        <f>IF(NOT(ISNUMBER(Dashboard_Capital_Earnings!G9)),"",IF(Dashboard_Capital_Earnings!G9&lt;=_config!$C$24,"ALERT",IF(Dashboard_Capital_Earnings!G9&lt;=_config!$B$24,"WATCH","OK")))</f>
        <v/>
      </c>
      <c r="T6" s="26">
        <f>IF(NOT(ISNUMBER(Dashboard_Capital_Earnings!H9)),"",IF(Dashboard_Capital_Earnings!H9&lt;=_config!$C$25,"ALERT",IF(Dashboard_Capital_Earnings!H9&lt;=_config!$B$25,"WATCH","OK")))</f>
        <v/>
      </c>
      <c r="U6" s="26">
        <f>IF(NOT(ISNUMBER(Dashboard_Capital_Earnings!I9)),"",IF(Dashboard_Capital_Earnings!I9&gt;=_config!$C$26,"ALERT",IF(Dashboard_Capital_Earnings!I9&gt;=_config!$B$26,"WATCH","OK")))</f>
        <v/>
      </c>
      <c r="V6" s="26">
        <f>IF(NOT(ISNUMBER(Dashboard_Funding_Concentration!D9)),"",IF(Dashboard_Funding_Concentration!D9&gt;=_config!$C$27,"ALERT",IF(Dashboard_Funding_Concentration!D9&gt;=_config!$B$27,"WATCH","OK")))</f>
        <v/>
      </c>
      <c r="W6" s="26">
        <f>IF(NOT(ISNUMBER(Dashboard_Funding_Concentration!E9)),"",IF(Dashboard_Funding_Concentration!E9&gt;=_config!$C$28,"ALERT",IF(Dashboard_Funding_Concentration!E9&gt;=_config!$B$28,"WATCH","OK")))</f>
        <v/>
      </c>
      <c r="X6" s="26">
        <f>IF(NOT(ISNUMBER(Dashboard_Funding_Concentration!F9)),"",IF(Dashboard_Funding_Concentration!F9&gt;=_config!$C$29,"ALERT",IF(Dashboard_Funding_Concentration!F9&gt;=_config!$B$29,"WATCH","OK")))</f>
        <v/>
      </c>
      <c r="Z6" s="26">
        <f>IF(NOT(ISNUMBER($E6)),"",$E6*10000+IF(ISNUMBER($D6),$D6,0))</f>
        <v/>
      </c>
    </row>
    <row r="7">
      <c r="A7" s="14">
        <f>IF(_config!$C$35="","",_config!$C$35)</f>
        <v/>
      </c>
      <c r="B7" s="23">
        <f>IF(_config!$B$35="","",_config!$B$35)</f>
        <v/>
      </c>
      <c r="C7" s="16">
        <f>IF(_config!$D$35="","",_config!$D$35)</f>
        <v/>
      </c>
      <c r="D7" s="24">
        <f>IF(Dashboard_AssetQuality!I10="","",Dashboard_AssetQuality!I10)</f>
        <v/>
      </c>
      <c r="E7" s="25">
        <f>IF($A7="","",COUNTIF($J7:$X7,"ALERT"))</f>
        <v/>
      </c>
      <c r="F7" s="25">
        <f>IF($A7="","",COUNTIF($J7:$X7,"WATCH"))</f>
        <v/>
      </c>
      <c r="G7" s="25">
        <f>IF($Z7="","",RANK($Z7,$Z$5:$Z$44))</f>
        <v/>
      </c>
      <c r="H7" s="25">
        <f>IF(_config!$C$35="","",IF(NOT(ISNUMBER(_config!$B$35)),"REFUSED: blank/invalid CERT -- run --lookup",IF(UPPER(_config!$E$35&amp;"")&lt;&gt;"TRUE","OFF",IF($E7&gt;0,"ALERT",IF($F7&gt;0,"WATCH","OK")))))</f>
        <v/>
      </c>
      <c r="J7" s="26">
        <f>IF(NOT(ISNUMBER(Dashboard_AssetQuality!D10)),"",IF(Dashboard_AssetQuality!D10&gt;=_config!$C$15,"ALERT",IF(Dashboard_AssetQuality!D10&gt;=_config!$B$15,"WATCH","OK")))</f>
        <v/>
      </c>
      <c r="K7" s="26">
        <f>IF(NOT(ISNUMBER(Dashboard_AssetQuality!E10)),"",IF(Dashboard_AssetQuality!E10&gt;=_config!$C$16,"ALERT",IF(Dashboard_AssetQuality!E10&gt;=_config!$B$16,"WATCH","OK")))</f>
        <v/>
      </c>
      <c r="L7" s="26">
        <f>IF(NOT(ISNUMBER(Dashboard_AssetQuality!F10)),"",IF(Dashboard_AssetQuality!F10&gt;=_config!$C$17,"ALERT",IF(Dashboard_AssetQuality!F10&gt;=_config!$B$17,"WATCH","OK")))</f>
        <v/>
      </c>
      <c r="M7" s="26">
        <f>IF(NOT(ISNUMBER(Dashboard_AssetQuality!G10)),"",IF(Dashboard_AssetQuality!G10&lt;=_config!$C$18,"ALERT",IF(Dashboard_AssetQuality!G10&lt;=_config!$B$18,"WATCH","OK")))</f>
        <v/>
      </c>
      <c r="N7" s="26">
        <f>IF(NOT(ISNUMBER(Dashboard_AssetQuality!H10)),"",IF(Dashboard_AssetQuality!H10&lt;=_config!$C$19,"ALERT",IF(Dashboard_AssetQuality!H10&lt;=_config!$B$19,"WATCH","OK")))</f>
        <v/>
      </c>
      <c r="O7" s="26">
        <f>IF(NOT(ISNUMBER(Dashboard_AssetQuality!I10)),"",IF(Dashboard_AssetQuality!I10&gt;=_config!$C$20,"ALERT",IF(Dashboard_AssetQuality!I10&gt;=_config!$B$20,"WATCH","OK")))</f>
        <v/>
      </c>
      <c r="P7" s="26">
        <f>IF(NOT(ISNUMBER(Dashboard_Capital_Earnings!D10)),"",IF(Dashboard_Capital_Earnings!D10&lt;=_config!$C$21,"ALERT",IF(Dashboard_Capital_Earnings!D10&lt;=_config!$B$21,"WATCH","OK")))</f>
        <v/>
      </c>
      <c r="Q7" s="26">
        <f>IF(NOT(ISNUMBER(Dashboard_Capital_Earnings!E10)),"",IF(Dashboard_Capital_Earnings!E10&lt;=_config!$C$22,"ALERT",IF(Dashboard_Capital_Earnings!E10&lt;=_config!$B$22,"WATCH","OK")))</f>
        <v/>
      </c>
      <c r="R7" s="26">
        <f>IF(NOT(ISNUMBER(Dashboard_Capital_Earnings!F10)),"",IF(Dashboard_Capital_Earnings!F10&lt;=_config!$C$23,"ALERT",IF(Dashboard_Capital_Earnings!F10&lt;=_config!$B$23,"WATCH","OK")))</f>
        <v/>
      </c>
      <c r="S7" s="26">
        <f>IF(NOT(ISNUMBER(Dashboard_Capital_Earnings!G10)),"",IF(Dashboard_Capital_Earnings!G10&lt;=_config!$C$24,"ALERT",IF(Dashboard_Capital_Earnings!G10&lt;=_config!$B$24,"WATCH","OK")))</f>
        <v/>
      </c>
      <c r="T7" s="26">
        <f>IF(NOT(ISNUMBER(Dashboard_Capital_Earnings!H10)),"",IF(Dashboard_Capital_Earnings!H10&lt;=_config!$C$25,"ALERT",IF(Dashboard_Capital_Earnings!H10&lt;=_config!$B$25,"WATCH","OK")))</f>
        <v/>
      </c>
      <c r="U7" s="26">
        <f>IF(NOT(ISNUMBER(Dashboard_Capital_Earnings!I10)),"",IF(Dashboard_Capital_Earnings!I10&gt;=_config!$C$26,"ALERT",IF(Dashboard_Capital_Earnings!I10&gt;=_config!$B$26,"WATCH","OK")))</f>
        <v/>
      </c>
      <c r="V7" s="26">
        <f>IF(NOT(ISNUMBER(Dashboard_Funding_Concentration!D10)),"",IF(Dashboard_Funding_Concentration!D10&gt;=_config!$C$27,"ALERT",IF(Dashboard_Funding_Concentration!D10&gt;=_config!$B$27,"WATCH","OK")))</f>
        <v/>
      </c>
      <c r="W7" s="26">
        <f>IF(NOT(ISNUMBER(Dashboard_Funding_Concentration!E10)),"",IF(Dashboard_Funding_Concentration!E10&gt;=_config!$C$28,"ALERT",IF(Dashboard_Funding_Concentration!E10&gt;=_config!$B$28,"WATCH","OK")))</f>
        <v/>
      </c>
      <c r="X7" s="26">
        <f>IF(NOT(ISNUMBER(Dashboard_Funding_Concentration!F10)),"",IF(Dashboard_Funding_Concentration!F10&gt;=_config!$C$29,"ALERT",IF(Dashboard_Funding_Concentration!F10&gt;=_config!$B$29,"WATCH","OK")))</f>
        <v/>
      </c>
      <c r="Z7" s="26">
        <f>IF(NOT(ISNUMBER($E7)),"",$E7*10000+IF(ISNUMBER($D7),$D7,0))</f>
        <v/>
      </c>
    </row>
    <row r="8">
      <c r="A8" s="14">
        <f>IF(_config!$C$36="","",_config!$C$36)</f>
        <v/>
      </c>
      <c r="B8" s="23">
        <f>IF(_config!$B$36="","",_config!$B$36)</f>
        <v/>
      </c>
      <c r="C8" s="16">
        <f>IF(_config!$D$36="","",_config!$D$36)</f>
        <v/>
      </c>
      <c r="D8" s="24">
        <f>IF(Dashboard_AssetQuality!I11="","",Dashboard_AssetQuality!I11)</f>
        <v/>
      </c>
      <c r="E8" s="25">
        <f>IF($A8="","",COUNTIF($J8:$X8,"ALERT"))</f>
        <v/>
      </c>
      <c r="F8" s="25">
        <f>IF($A8="","",COUNTIF($J8:$X8,"WATCH"))</f>
        <v/>
      </c>
      <c r="G8" s="25">
        <f>IF($Z8="","",RANK($Z8,$Z$5:$Z$44))</f>
        <v/>
      </c>
      <c r="H8" s="25">
        <f>IF(_config!$C$36="","",IF(NOT(ISNUMBER(_config!$B$36)),"REFUSED: blank/invalid CERT -- run --lookup",IF(UPPER(_config!$E$36&amp;"")&lt;&gt;"TRUE","OFF",IF($E8&gt;0,"ALERT",IF($F8&gt;0,"WATCH","OK")))))</f>
        <v/>
      </c>
      <c r="J8" s="26">
        <f>IF(NOT(ISNUMBER(Dashboard_AssetQuality!D11)),"",IF(Dashboard_AssetQuality!D11&gt;=_config!$C$15,"ALERT",IF(Dashboard_AssetQuality!D11&gt;=_config!$B$15,"WATCH","OK")))</f>
        <v/>
      </c>
      <c r="K8" s="26">
        <f>IF(NOT(ISNUMBER(Dashboard_AssetQuality!E11)),"",IF(Dashboard_AssetQuality!E11&gt;=_config!$C$16,"ALERT",IF(Dashboard_AssetQuality!E11&gt;=_config!$B$16,"WATCH","OK")))</f>
        <v/>
      </c>
      <c r="L8" s="26">
        <f>IF(NOT(ISNUMBER(Dashboard_AssetQuality!F11)),"",IF(Dashboard_AssetQuality!F11&gt;=_config!$C$17,"ALERT",IF(Dashboard_AssetQuality!F11&gt;=_config!$B$17,"WATCH","OK")))</f>
        <v/>
      </c>
      <c r="M8" s="26">
        <f>IF(NOT(ISNUMBER(Dashboard_AssetQuality!G11)),"",IF(Dashboard_AssetQuality!G11&lt;=_config!$C$18,"ALERT",IF(Dashboard_AssetQuality!G11&lt;=_config!$B$18,"WATCH","OK")))</f>
        <v/>
      </c>
      <c r="N8" s="26">
        <f>IF(NOT(ISNUMBER(Dashboard_AssetQuality!H11)),"",IF(Dashboard_AssetQuality!H11&lt;=_config!$C$19,"ALERT",IF(Dashboard_AssetQuality!H11&lt;=_config!$B$19,"WATCH","OK")))</f>
        <v/>
      </c>
      <c r="O8" s="26">
        <f>IF(NOT(ISNUMBER(Dashboard_AssetQuality!I11)),"",IF(Dashboard_AssetQuality!I11&gt;=_config!$C$20,"ALERT",IF(Dashboard_AssetQuality!I11&gt;=_config!$B$20,"WATCH","OK")))</f>
        <v/>
      </c>
      <c r="P8" s="26">
        <f>IF(NOT(ISNUMBER(Dashboard_Capital_Earnings!D11)),"",IF(Dashboard_Capital_Earnings!D11&lt;=_config!$C$21,"ALERT",IF(Dashboard_Capital_Earnings!D11&lt;=_config!$B$21,"WATCH","OK")))</f>
        <v/>
      </c>
      <c r="Q8" s="26">
        <f>IF(NOT(ISNUMBER(Dashboard_Capital_Earnings!E11)),"",IF(Dashboard_Capital_Earnings!E11&lt;=_config!$C$22,"ALERT",IF(Dashboard_Capital_Earnings!E11&lt;=_config!$B$22,"WATCH","OK")))</f>
        <v/>
      </c>
      <c r="R8" s="26">
        <f>IF(NOT(ISNUMBER(Dashboard_Capital_Earnings!F11)),"",IF(Dashboard_Capital_Earnings!F11&lt;=_config!$C$23,"ALERT",IF(Dashboard_Capital_Earnings!F11&lt;=_config!$B$23,"WATCH","OK")))</f>
        <v/>
      </c>
      <c r="S8" s="26">
        <f>IF(NOT(ISNUMBER(Dashboard_Capital_Earnings!G11)),"",IF(Dashboard_Capital_Earnings!G11&lt;=_config!$C$24,"ALERT",IF(Dashboard_Capital_Earnings!G11&lt;=_config!$B$24,"WATCH","OK")))</f>
        <v/>
      </c>
      <c r="T8" s="26">
        <f>IF(NOT(ISNUMBER(Dashboard_Capital_Earnings!H11)),"",IF(Dashboard_Capital_Earnings!H11&lt;=_config!$C$25,"ALERT",IF(Dashboard_Capital_Earnings!H11&lt;=_config!$B$25,"WATCH","OK")))</f>
        <v/>
      </c>
      <c r="U8" s="26">
        <f>IF(NOT(ISNUMBER(Dashboard_Capital_Earnings!I11)),"",IF(Dashboard_Capital_Earnings!I11&gt;=_config!$C$26,"ALERT",IF(Dashboard_Capital_Earnings!I11&gt;=_config!$B$26,"WATCH","OK")))</f>
        <v/>
      </c>
      <c r="V8" s="26">
        <f>IF(NOT(ISNUMBER(Dashboard_Funding_Concentration!D11)),"",IF(Dashboard_Funding_Concentration!D11&gt;=_config!$C$27,"ALERT",IF(Dashboard_Funding_Concentration!D11&gt;=_config!$B$27,"WATCH","OK")))</f>
        <v/>
      </c>
      <c r="W8" s="26">
        <f>IF(NOT(ISNUMBER(Dashboard_Funding_Concentration!E11)),"",IF(Dashboard_Funding_Concentration!E11&gt;=_config!$C$28,"ALERT",IF(Dashboard_Funding_Concentration!E11&gt;=_config!$B$28,"WATCH","OK")))</f>
        <v/>
      </c>
      <c r="X8" s="26">
        <f>IF(NOT(ISNUMBER(Dashboard_Funding_Concentration!F11)),"",IF(Dashboard_Funding_Concentration!F11&gt;=_config!$C$29,"ALERT",IF(Dashboard_Funding_Concentration!F11&gt;=_config!$B$29,"WATCH","OK")))</f>
        <v/>
      </c>
      <c r="Z8" s="26">
        <f>IF(NOT(ISNUMBER($E8)),"",$E8*10000+IF(ISNUMBER($D8),$D8,0))</f>
        <v/>
      </c>
    </row>
    <row r="9">
      <c r="A9" s="14">
        <f>IF(_config!$C$37="","",_config!$C$37)</f>
        <v/>
      </c>
      <c r="B9" s="23">
        <f>IF(_config!$B$37="","",_config!$B$37)</f>
        <v/>
      </c>
      <c r="C9" s="16">
        <f>IF(_config!$D$37="","",_config!$D$37)</f>
        <v/>
      </c>
      <c r="D9" s="24">
        <f>IF(Dashboard_AssetQuality!I12="","",Dashboard_AssetQuality!I12)</f>
        <v/>
      </c>
      <c r="E9" s="25">
        <f>IF($A9="","",COUNTIF($J9:$X9,"ALERT"))</f>
        <v/>
      </c>
      <c r="F9" s="25">
        <f>IF($A9="","",COUNTIF($J9:$X9,"WATCH"))</f>
        <v/>
      </c>
      <c r="G9" s="25">
        <f>IF($Z9="","",RANK($Z9,$Z$5:$Z$44))</f>
        <v/>
      </c>
      <c r="H9" s="25">
        <f>IF(_config!$C$37="","",IF(NOT(ISNUMBER(_config!$B$37)),"REFUSED: blank/invalid CERT -- run --lookup",IF(UPPER(_config!$E$37&amp;"")&lt;&gt;"TRUE","OFF",IF($E9&gt;0,"ALERT",IF($F9&gt;0,"WATCH","OK")))))</f>
        <v/>
      </c>
      <c r="J9" s="26">
        <f>IF(NOT(ISNUMBER(Dashboard_AssetQuality!D12)),"",IF(Dashboard_AssetQuality!D12&gt;=_config!$C$15,"ALERT",IF(Dashboard_AssetQuality!D12&gt;=_config!$B$15,"WATCH","OK")))</f>
        <v/>
      </c>
      <c r="K9" s="26">
        <f>IF(NOT(ISNUMBER(Dashboard_AssetQuality!E12)),"",IF(Dashboard_AssetQuality!E12&gt;=_config!$C$16,"ALERT",IF(Dashboard_AssetQuality!E12&gt;=_config!$B$16,"WATCH","OK")))</f>
        <v/>
      </c>
      <c r="L9" s="26">
        <f>IF(NOT(ISNUMBER(Dashboard_AssetQuality!F12)),"",IF(Dashboard_AssetQuality!F12&gt;=_config!$C$17,"ALERT",IF(Dashboard_AssetQuality!F12&gt;=_config!$B$17,"WATCH","OK")))</f>
        <v/>
      </c>
      <c r="M9" s="26">
        <f>IF(NOT(ISNUMBER(Dashboard_AssetQuality!G12)),"",IF(Dashboard_AssetQuality!G12&lt;=_config!$C$18,"ALERT",IF(Dashboard_AssetQuality!G12&lt;=_config!$B$18,"WATCH","OK")))</f>
        <v/>
      </c>
      <c r="N9" s="26">
        <f>IF(NOT(ISNUMBER(Dashboard_AssetQuality!H12)),"",IF(Dashboard_AssetQuality!H12&lt;=_config!$C$19,"ALERT",IF(Dashboard_AssetQuality!H12&lt;=_config!$B$19,"WATCH","OK")))</f>
        <v/>
      </c>
      <c r="O9" s="26">
        <f>IF(NOT(ISNUMBER(Dashboard_AssetQuality!I12)),"",IF(Dashboard_AssetQuality!I12&gt;=_config!$C$20,"ALERT",IF(Dashboard_AssetQuality!I12&gt;=_config!$B$20,"WATCH","OK")))</f>
        <v/>
      </c>
      <c r="P9" s="26">
        <f>IF(NOT(ISNUMBER(Dashboard_Capital_Earnings!D12)),"",IF(Dashboard_Capital_Earnings!D12&lt;=_config!$C$21,"ALERT",IF(Dashboard_Capital_Earnings!D12&lt;=_config!$B$21,"WATCH","OK")))</f>
        <v/>
      </c>
      <c r="Q9" s="26">
        <f>IF(NOT(ISNUMBER(Dashboard_Capital_Earnings!E12)),"",IF(Dashboard_Capital_Earnings!E12&lt;=_config!$C$22,"ALERT",IF(Dashboard_Capital_Earnings!E12&lt;=_config!$B$22,"WATCH","OK")))</f>
        <v/>
      </c>
      <c r="R9" s="26">
        <f>IF(NOT(ISNUMBER(Dashboard_Capital_Earnings!F12)),"",IF(Dashboard_Capital_Earnings!F12&lt;=_config!$C$23,"ALERT",IF(Dashboard_Capital_Earnings!F12&lt;=_config!$B$23,"WATCH","OK")))</f>
        <v/>
      </c>
      <c r="S9" s="26">
        <f>IF(NOT(ISNUMBER(Dashboard_Capital_Earnings!G12)),"",IF(Dashboard_Capital_Earnings!G12&lt;=_config!$C$24,"ALERT",IF(Dashboard_Capital_Earnings!G12&lt;=_config!$B$24,"WATCH","OK")))</f>
        <v/>
      </c>
      <c r="T9" s="26">
        <f>IF(NOT(ISNUMBER(Dashboard_Capital_Earnings!H12)),"",IF(Dashboard_Capital_Earnings!H12&lt;=_config!$C$25,"ALERT",IF(Dashboard_Capital_Earnings!H12&lt;=_config!$B$25,"WATCH","OK")))</f>
        <v/>
      </c>
      <c r="U9" s="26">
        <f>IF(NOT(ISNUMBER(Dashboard_Capital_Earnings!I12)),"",IF(Dashboard_Capital_Earnings!I12&gt;=_config!$C$26,"ALERT",IF(Dashboard_Capital_Earnings!I12&gt;=_config!$B$26,"WATCH","OK")))</f>
        <v/>
      </c>
      <c r="V9" s="26">
        <f>IF(NOT(ISNUMBER(Dashboard_Funding_Concentration!D12)),"",IF(Dashboard_Funding_Concentration!D12&gt;=_config!$C$27,"ALERT",IF(Dashboard_Funding_Concentration!D12&gt;=_config!$B$27,"WATCH","OK")))</f>
        <v/>
      </c>
      <c r="W9" s="26">
        <f>IF(NOT(ISNUMBER(Dashboard_Funding_Concentration!E12)),"",IF(Dashboard_Funding_Concentration!E12&gt;=_config!$C$28,"ALERT",IF(Dashboard_Funding_Concentration!E12&gt;=_config!$B$28,"WATCH","OK")))</f>
        <v/>
      </c>
      <c r="X9" s="26">
        <f>IF(NOT(ISNUMBER(Dashboard_Funding_Concentration!F12)),"",IF(Dashboard_Funding_Concentration!F12&gt;=_config!$C$29,"ALERT",IF(Dashboard_Funding_Concentration!F12&gt;=_config!$B$29,"WATCH","OK")))</f>
        <v/>
      </c>
      <c r="Z9" s="26">
        <f>IF(NOT(ISNUMBER($E9)),"",$E9*10000+IF(ISNUMBER($D9),$D9,0))</f>
        <v/>
      </c>
    </row>
    <row r="10">
      <c r="A10" s="14">
        <f>IF(_config!$C$38="","",_config!$C$38)</f>
        <v/>
      </c>
      <c r="B10" s="23">
        <f>IF(_config!$B$38="","",_config!$B$38)</f>
        <v/>
      </c>
      <c r="C10" s="16">
        <f>IF(_config!$D$38="","",_config!$D$38)</f>
        <v/>
      </c>
      <c r="D10" s="24">
        <f>IF(Dashboard_AssetQuality!I13="","",Dashboard_AssetQuality!I13)</f>
        <v/>
      </c>
      <c r="E10" s="25">
        <f>IF($A10="","",COUNTIF($J10:$X10,"ALERT"))</f>
        <v/>
      </c>
      <c r="F10" s="25">
        <f>IF($A10="","",COUNTIF($J10:$X10,"WATCH"))</f>
        <v/>
      </c>
      <c r="G10" s="25">
        <f>IF($Z10="","",RANK($Z10,$Z$5:$Z$44))</f>
        <v/>
      </c>
      <c r="H10" s="25">
        <f>IF(_config!$C$38="","",IF(NOT(ISNUMBER(_config!$B$38)),"REFUSED: blank/invalid CERT -- run --lookup",IF(UPPER(_config!$E$38&amp;"")&lt;&gt;"TRUE","OFF",IF($E10&gt;0,"ALERT",IF($F10&gt;0,"WATCH","OK")))))</f>
        <v/>
      </c>
      <c r="J10" s="26">
        <f>IF(NOT(ISNUMBER(Dashboard_AssetQuality!D13)),"",IF(Dashboard_AssetQuality!D13&gt;=_config!$C$15,"ALERT",IF(Dashboard_AssetQuality!D13&gt;=_config!$B$15,"WATCH","OK")))</f>
        <v/>
      </c>
      <c r="K10" s="26">
        <f>IF(NOT(ISNUMBER(Dashboard_AssetQuality!E13)),"",IF(Dashboard_AssetQuality!E13&gt;=_config!$C$16,"ALERT",IF(Dashboard_AssetQuality!E13&gt;=_config!$B$16,"WATCH","OK")))</f>
        <v/>
      </c>
      <c r="L10" s="26">
        <f>IF(NOT(ISNUMBER(Dashboard_AssetQuality!F13)),"",IF(Dashboard_AssetQuality!F13&gt;=_config!$C$17,"ALERT",IF(Dashboard_AssetQuality!F13&gt;=_config!$B$17,"WATCH","OK")))</f>
        <v/>
      </c>
      <c r="M10" s="26">
        <f>IF(NOT(ISNUMBER(Dashboard_AssetQuality!G13)),"",IF(Dashboard_AssetQuality!G13&lt;=_config!$C$18,"ALERT",IF(Dashboard_AssetQuality!G13&lt;=_config!$B$18,"WATCH","OK")))</f>
        <v/>
      </c>
      <c r="N10" s="26">
        <f>IF(NOT(ISNUMBER(Dashboard_AssetQuality!H13)),"",IF(Dashboard_AssetQuality!H13&lt;=_config!$C$19,"ALERT",IF(Dashboard_AssetQuality!H13&lt;=_config!$B$19,"WATCH","OK")))</f>
        <v/>
      </c>
      <c r="O10" s="26">
        <f>IF(NOT(ISNUMBER(Dashboard_AssetQuality!I13)),"",IF(Dashboard_AssetQuality!I13&gt;=_config!$C$20,"ALERT",IF(Dashboard_AssetQuality!I13&gt;=_config!$B$20,"WATCH","OK")))</f>
        <v/>
      </c>
      <c r="P10" s="26">
        <f>IF(NOT(ISNUMBER(Dashboard_Capital_Earnings!D13)),"",IF(Dashboard_Capital_Earnings!D13&lt;=_config!$C$21,"ALERT",IF(Dashboard_Capital_Earnings!D13&lt;=_config!$B$21,"WATCH","OK")))</f>
        <v/>
      </c>
      <c r="Q10" s="26">
        <f>IF(NOT(ISNUMBER(Dashboard_Capital_Earnings!E13)),"",IF(Dashboard_Capital_Earnings!E13&lt;=_config!$C$22,"ALERT",IF(Dashboard_Capital_Earnings!E13&lt;=_config!$B$22,"WATCH","OK")))</f>
        <v/>
      </c>
      <c r="R10" s="26">
        <f>IF(NOT(ISNUMBER(Dashboard_Capital_Earnings!F13)),"",IF(Dashboard_Capital_Earnings!F13&lt;=_config!$C$23,"ALERT",IF(Dashboard_Capital_Earnings!F13&lt;=_config!$B$23,"WATCH","OK")))</f>
        <v/>
      </c>
      <c r="S10" s="26">
        <f>IF(NOT(ISNUMBER(Dashboard_Capital_Earnings!G13)),"",IF(Dashboard_Capital_Earnings!G13&lt;=_config!$C$24,"ALERT",IF(Dashboard_Capital_Earnings!G13&lt;=_config!$B$24,"WATCH","OK")))</f>
        <v/>
      </c>
      <c r="T10" s="26">
        <f>IF(NOT(ISNUMBER(Dashboard_Capital_Earnings!H13)),"",IF(Dashboard_Capital_Earnings!H13&lt;=_config!$C$25,"ALERT",IF(Dashboard_Capital_Earnings!H13&lt;=_config!$B$25,"WATCH","OK")))</f>
        <v/>
      </c>
      <c r="U10" s="26">
        <f>IF(NOT(ISNUMBER(Dashboard_Capital_Earnings!I13)),"",IF(Dashboard_Capital_Earnings!I13&gt;=_config!$C$26,"ALERT",IF(Dashboard_Capital_Earnings!I13&gt;=_config!$B$26,"WATCH","OK")))</f>
        <v/>
      </c>
      <c r="V10" s="26">
        <f>IF(NOT(ISNUMBER(Dashboard_Funding_Concentration!D13)),"",IF(Dashboard_Funding_Concentration!D13&gt;=_config!$C$27,"ALERT",IF(Dashboard_Funding_Concentration!D13&gt;=_config!$B$27,"WATCH","OK")))</f>
        <v/>
      </c>
      <c r="W10" s="26">
        <f>IF(NOT(ISNUMBER(Dashboard_Funding_Concentration!E13)),"",IF(Dashboard_Funding_Concentration!E13&gt;=_config!$C$28,"ALERT",IF(Dashboard_Funding_Concentration!E13&gt;=_config!$B$28,"WATCH","OK")))</f>
        <v/>
      </c>
      <c r="X10" s="26">
        <f>IF(NOT(ISNUMBER(Dashboard_Funding_Concentration!F13)),"",IF(Dashboard_Funding_Concentration!F13&gt;=_config!$C$29,"ALERT",IF(Dashboard_Funding_Concentration!F13&gt;=_config!$B$29,"WATCH","OK")))</f>
        <v/>
      </c>
      <c r="Z10" s="26">
        <f>IF(NOT(ISNUMBER($E10)),"",$E10*10000+IF(ISNUMBER($D10),$D10,0))</f>
        <v/>
      </c>
    </row>
    <row r="11">
      <c r="A11" s="14">
        <f>IF(_config!$C$39="","",_config!$C$39)</f>
        <v/>
      </c>
      <c r="B11" s="23">
        <f>IF(_config!$B$39="","",_config!$B$39)</f>
        <v/>
      </c>
      <c r="C11" s="16">
        <f>IF(_config!$D$39="","",_config!$D$39)</f>
        <v/>
      </c>
      <c r="D11" s="24">
        <f>IF(Dashboard_AssetQuality!I14="","",Dashboard_AssetQuality!I14)</f>
        <v/>
      </c>
      <c r="E11" s="25">
        <f>IF($A11="","",COUNTIF($J11:$X11,"ALERT"))</f>
        <v/>
      </c>
      <c r="F11" s="25">
        <f>IF($A11="","",COUNTIF($J11:$X11,"WATCH"))</f>
        <v/>
      </c>
      <c r="G11" s="25">
        <f>IF($Z11="","",RANK($Z11,$Z$5:$Z$44))</f>
        <v/>
      </c>
      <c r="H11" s="25">
        <f>IF(_config!$C$39="","",IF(NOT(ISNUMBER(_config!$B$39)),"REFUSED: blank/invalid CERT -- run --lookup",IF(UPPER(_config!$E$39&amp;"")&lt;&gt;"TRUE","OFF",IF($E11&gt;0,"ALERT",IF($F11&gt;0,"WATCH","OK")))))</f>
        <v/>
      </c>
      <c r="J11" s="26">
        <f>IF(NOT(ISNUMBER(Dashboard_AssetQuality!D14)),"",IF(Dashboard_AssetQuality!D14&gt;=_config!$C$15,"ALERT",IF(Dashboard_AssetQuality!D14&gt;=_config!$B$15,"WATCH","OK")))</f>
        <v/>
      </c>
      <c r="K11" s="26">
        <f>IF(NOT(ISNUMBER(Dashboard_AssetQuality!E14)),"",IF(Dashboard_AssetQuality!E14&gt;=_config!$C$16,"ALERT",IF(Dashboard_AssetQuality!E14&gt;=_config!$B$16,"WATCH","OK")))</f>
        <v/>
      </c>
      <c r="L11" s="26">
        <f>IF(NOT(ISNUMBER(Dashboard_AssetQuality!F14)),"",IF(Dashboard_AssetQuality!F14&gt;=_config!$C$17,"ALERT",IF(Dashboard_AssetQuality!F14&gt;=_config!$B$17,"WATCH","OK")))</f>
        <v/>
      </c>
      <c r="M11" s="26">
        <f>IF(NOT(ISNUMBER(Dashboard_AssetQuality!G14)),"",IF(Dashboard_AssetQuality!G14&lt;=_config!$C$18,"ALERT",IF(Dashboard_AssetQuality!G14&lt;=_config!$B$18,"WATCH","OK")))</f>
        <v/>
      </c>
      <c r="N11" s="26">
        <f>IF(NOT(ISNUMBER(Dashboard_AssetQuality!H14)),"",IF(Dashboard_AssetQuality!H14&lt;=_config!$C$19,"ALERT",IF(Dashboard_AssetQuality!H14&lt;=_config!$B$19,"WATCH","OK")))</f>
        <v/>
      </c>
      <c r="O11" s="26">
        <f>IF(NOT(ISNUMBER(Dashboard_AssetQuality!I14)),"",IF(Dashboard_AssetQuality!I14&gt;=_config!$C$20,"ALERT",IF(Dashboard_AssetQuality!I14&gt;=_config!$B$20,"WATCH","OK")))</f>
        <v/>
      </c>
      <c r="P11" s="26">
        <f>IF(NOT(ISNUMBER(Dashboard_Capital_Earnings!D14)),"",IF(Dashboard_Capital_Earnings!D14&lt;=_config!$C$21,"ALERT",IF(Dashboard_Capital_Earnings!D14&lt;=_config!$B$21,"WATCH","OK")))</f>
        <v/>
      </c>
      <c r="Q11" s="26">
        <f>IF(NOT(ISNUMBER(Dashboard_Capital_Earnings!E14)),"",IF(Dashboard_Capital_Earnings!E14&lt;=_config!$C$22,"ALERT",IF(Dashboard_Capital_Earnings!E14&lt;=_config!$B$22,"WATCH","OK")))</f>
        <v/>
      </c>
      <c r="R11" s="26">
        <f>IF(NOT(ISNUMBER(Dashboard_Capital_Earnings!F14)),"",IF(Dashboard_Capital_Earnings!F14&lt;=_config!$C$23,"ALERT",IF(Dashboard_Capital_Earnings!F14&lt;=_config!$B$23,"WATCH","OK")))</f>
        <v/>
      </c>
      <c r="S11" s="26">
        <f>IF(NOT(ISNUMBER(Dashboard_Capital_Earnings!G14)),"",IF(Dashboard_Capital_Earnings!G14&lt;=_config!$C$24,"ALERT",IF(Dashboard_Capital_Earnings!G14&lt;=_config!$B$24,"WATCH","OK")))</f>
        <v/>
      </c>
      <c r="T11" s="26">
        <f>IF(NOT(ISNUMBER(Dashboard_Capital_Earnings!H14)),"",IF(Dashboard_Capital_Earnings!H14&lt;=_config!$C$25,"ALERT",IF(Dashboard_Capital_Earnings!H14&lt;=_config!$B$25,"WATCH","OK")))</f>
        <v/>
      </c>
      <c r="U11" s="26">
        <f>IF(NOT(ISNUMBER(Dashboard_Capital_Earnings!I14)),"",IF(Dashboard_Capital_Earnings!I14&gt;=_config!$C$26,"ALERT",IF(Dashboard_Capital_Earnings!I14&gt;=_config!$B$26,"WATCH","OK")))</f>
        <v/>
      </c>
      <c r="V11" s="26">
        <f>IF(NOT(ISNUMBER(Dashboard_Funding_Concentration!D14)),"",IF(Dashboard_Funding_Concentration!D14&gt;=_config!$C$27,"ALERT",IF(Dashboard_Funding_Concentration!D14&gt;=_config!$B$27,"WATCH","OK")))</f>
        <v/>
      </c>
      <c r="W11" s="26">
        <f>IF(NOT(ISNUMBER(Dashboard_Funding_Concentration!E14)),"",IF(Dashboard_Funding_Concentration!E14&gt;=_config!$C$28,"ALERT",IF(Dashboard_Funding_Concentration!E14&gt;=_config!$B$28,"WATCH","OK")))</f>
        <v/>
      </c>
      <c r="X11" s="26">
        <f>IF(NOT(ISNUMBER(Dashboard_Funding_Concentration!F14)),"",IF(Dashboard_Funding_Concentration!F14&gt;=_config!$C$29,"ALERT",IF(Dashboard_Funding_Concentration!F14&gt;=_config!$B$29,"WATCH","OK")))</f>
        <v/>
      </c>
      <c r="Z11" s="26">
        <f>IF(NOT(ISNUMBER($E11)),"",$E11*10000+IF(ISNUMBER($D11),$D11,0))</f>
        <v/>
      </c>
    </row>
    <row r="12">
      <c r="A12" s="14">
        <f>IF(_config!$C$40="","",_config!$C$40)</f>
        <v/>
      </c>
      <c r="B12" s="23">
        <f>IF(_config!$B$40="","",_config!$B$40)</f>
        <v/>
      </c>
      <c r="C12" s="16">
        <f>IF(_config!$D$40="","",_config!$D$40)</f>
        <v/>
      </c>
      <c r="D12" s="24">
        <f>IF(Dashboard_AssetQuality!I15="","",Dashboard_AssetQuality!I15)</f>
        <v/>
      </c>
      <c r="E12" s="25">
        <f>IF($A12="","",COUNTIF($J12:$X12,"ALERT"))</f>
        <v/>
      </c>
      <c r="F12" s="25">
        <f>IF($A12="","",COUNTIF($J12:$X12,"WATCH"))</f>
        <v/>
      </c>
      <c r="G12" s="25">
        <f>IF($Z12="","",RANK($Z12,$Z$5:$Z$44))</f>
        <v/>
      </c>
      <c r="H12" s="25">
        <f>IF(_config!$C$40="","",IF(NOT(ISNUMBER(_config!$B$40)),"REFUSED: blank/invalid CERT -- run --lookup",IF(UPPER(_config!$E$40&amp;"")&lt;&gt;"TRUE","OFF",IF($E12&gt;0,"ALERT",IF($F12&gt;0,"WATCH","OK")))))</f>
        <v/>
      </c>
      <c r="J12" s="26">
        <f>IF(NOT(ISNUMBER(Dashboard_AssetQuality!D15)),"",IF(Dashboard_AssetQuality!D15&gt;=_config!$C$15,"ALERT",IF(Dashboard_AssetQuality!D15&gt;=_config!$B$15,"WATCH","OK")))</f>
        <v/>
      </c>
      <c r="K12" s="26">
        <f>IF(NOT(ISNUMBER(Dashboard_AssetQuality!E15)),"",IF(Dashboard_AssetQuality!E15&gt;=_config!$C$16,"ALERT",IF(Dashboard_AssetQuality!E15&gt;=_config!$B$16,"WATCH","OK")))</f>
        <v/>
      </c>
      <c r="L12" s="26">
        <f>IF(NOT(ISNUMBER(Dashboard_AssetQuality!F15)),"",IF(Dashboard_AssetQuality!F15&gt;=_config!$C$17,"ALERT",IF(Dashboard_AssetQuality!F15&gt;=_config!$B$17,"WATCH","OK")))</f>
        <v/>
      </c>
      <c r="M12" s="26">
        <f>IF(NOT(ISNUMBER(Dashboard_AssetQuality!G15)),"",IF(Dashboard_AssetQuality!G15&lt;=_config!$C$18,"ALERT",IF(Dashboard_AssetQuality!G15&lt;=_config!$B$18,"WATCH","OK")))</f>
        <v/>
      </c>
      <c r="N12" s="26">
        <f>IF(NOT(ISNUMBER(Dashboard_AssetQuality!H15)),"",IF(Dashboard_AssetQuality!H15&lt;=_config!$C$19,"ALERT",IF(Dashboard_AssetQuality!H15&lt;=_config!$B$19,"WATCH","OK")))</f>
        <v/>
      </c>
      <c r="O12" s="26">
        <f>IF(NOT(ISNUMBER(Dashboard_AssetQuality!I15)),"",IF(Dashboard_AssetQuality!I15&gt;=_config!$C$20,"ALERT",IF(Dashboard_AssetQuality!I15&gt;=_config!$B$20,"WATCH","OK")))</f>
        <v/>
      </c>
      <c r="P12" s="26">
        <f>IF(NOT(ISNUMBER(Dashboard_Capital_Earnings!D15)),"",IF(Dashboard_Capital_Earnings!D15&lt;=_config!$C$21,"ALERT",IF(Dashboard_Capital_Earnings!D15&lt;=_config!$B$21,"WATCH","OK")))</f>
        <v/>
      </c>
      <c r="Q12" s="26">
        <f>IF(NOT(ISNUMBER(Dashboard_Capital_Earnings!E15)),"",IF(Dashboard_Capital_Earnings!E15&lt;=_config!$C$22,"ALERT",IF(Dashboard_Capital_Earnings!E15&lt;=_config!$B$22,"WATCH","OK")))</f>
        <v/>
      </c>
      <c r="R12" s="26">
        <f>IF(NOT(ISNUMBER(Dashboard_Capital_Earnings!F15)),"",IF(Dashboard_Capital_Earnings!F15&lt;=_config!$C$23,"ALERT",IF(Dashboard_Capital_Earnings!F15&lt;=_config!$B$23,"WATCH","OK")))</f>
        <v/>
      </c>
      <c r="S12" s="26">
        <f>IF(NOT(ISNUMBER(Dashboard_Capital_Earnings!G15)),"",IF(Dashboard_Capital_Earnings!G15&lt;=_config!$C$24,"ALERT",IF(Dashboard_Capital_Earnings!G15&lt;=_config!$B$24,"WATCH","OK")))</f>
        <v/>
      </c>
      <c r="T12" s="26">
        <f>IF(NOT(ISNUMBER(Dashboard_Capital_Earnings!H15)),"",IF(Dashboard_Capital_Earnings!H15&lt;=_config!$C$25,"ALERT",IF(Dashboard_Capital_Earnings!H15&lt;=_config!$B$25,"WATCH","OK")))</f>
        <v/>
      </c>
      <c r="U12" s="26">
        <f>IF(NOT(ISNUMBER(Dashboard_Capital_Earnings!I15)),"",IF(Dashboard_Capital_Earnings!I15&gt;=_config!$C$26,"ALERT",IF(Dashboard_Capital_Earnings!I15&gt;=_config!$B$26,"WATCH","OK")))</f>
        <v/>
      </c>
      <c r="V12" s="26">
        <f>IF(NOT(ISNUMBER(Dashboard_Funding_Concentration!D15)),"",IF(Dashboard_Funding_Concentration!D15&gt;=_config!$C$27,"ALERT",IF(Dashboard_Funding_Concentration!D15&gt;=_config!$B$27,"WATCH","OK")))</f>
        <v/>
      </c>
      <c r="W12" s="26">
        <f>IF(NOT(ISNUMBER(Dashboard_Funding_Concentration!E15)),"",IF(Dashboard_Funding_Concentration!E15&gt;=_config!$C$28,"ALERT",IF(Dashboard_Funding_Concentration!E15&gt;=_config!$B$28,"WATCH","OK")))</f>
        <v/>
      </c>
      <c r="X12" s="26">
        <f>IF(NOT(ISNUMBER(Dashboard_Funding_Concentration!F15)),"",IF(Dashboard_Funding_Concentration!F15&gt;=_config!$C$29,"ALERT",IF(Dashboard_Funding_Concentration!F15&gt;=_config!$B$29,"WATCH","OK")))</f>
        <v/>
      </c>
      <c r="Z12" s="26">
        <f>IF(NOT(ISNUMBER($E12)),"",$E12*10000+IF(ISNUMBER($D12),$D12,0))</f>
        <v/>
      </c>
    </row>
    <row r="13">
      <c r="A13" s="14">
        <f>IF(_config!$C$41="","",_config!$C$41)</f>
        <v/>
      </c>
      <c r="B13" s="23">
        <f>IF(_config!$B$41="","",_config!$B$41)</f>
        <v/>
      </c>
      <c r="C13" s="16">
        <f>IF(_config!$D$41="","",_config!$D$41)</f>
        <v/>
      </c>
      <c r="D13" s="24">
        <f>IF(Dashboard_AssetQuality!I16="","",Dashboard_AssetQuality!I16)</f>
        <v/>
      </c>
      <c r="E13" s="25">
        <f>IF($A13="","",COUNTIF($J13:$X13,"ALERT"))</f>
        <v/>
      </c>
      <c r="F13" s="25">
        <f>IF($A13="","",COUNTIF($J13:$X13,"WATCH"))</f>
        <v/>
      </c>
      <c r="G13" s="25">
        <f>IF($Z13="","",RANK($Z13,$Z$5:$Z$44))</f>
        <v/>
      </c>
      <c r="H13" s="25">
        <f>IF(_config!$C$41="","",IF(NOT(ISNUMBER(_config!$B$41)),"REFUSED: blank/invalid CERT -- run --lookup",IF(UPPER(_config!$E$41&amp;"")&lt;&gt;"TRUE","OFF",IF($E13&gt;0,"ALERT",IF($F13&gt;0,"WATCH","OK")))))</f>
        <v/>
      </c>
      <c r="J13" s="26">
        <f>IF(NOT(ISNUMBER(Dashboard_AssetQuality!D16)),"",IF(Dashboard_AssetQuality!D16&gt;=_config!$C$15,"ALERT",IF(Dashboard_AssetQuality!D16&gt;=_config!$B$15,"WATCH","OK")))</f>
        <v/>
      </c>
      <c r="K13" s="26">
        <f>IF(NOT(ISNUMBER(Dashboard_AssetQuality!E16)),"",IF(Dashboard_AssetQuality!E16&gt;=_config!$C$16,"ALERT",IF(Dashboard_AssetQuality!E16&gt;=_config!$B$16,"WATCH","OK")))</f>
        <v/>
      </c>
      <c r="L13" s="26">
        <f>IF(NOT(ISNUMBER(Dashboard_AssetQuality!F16)),"",IF(Dashboard_AssetQuality!F16&gt;=_config!$C$17,"ALERT",IF(Dashboard_AssetQuality!F16&gt;=_config!$B$17,"WATCH","OK")))</f>
        <v/>
      </c>
      <c r="M13" s="26">
        <f>IF(NOT(ISNUMBER(Dashboard_AssetQuality!G16)),"",IF(Dashboard_AssetQuality!G16&lt;=_config!$C$18,"ALERT",IF(Dashboard_AssetQuality!G16&lt;=_config!$B$18,"WATCH","OK")))</f>
        <v/>
      </c>
      <c r="N13" s="26">
        <f>IF(NOT(ISNUMBER(Dashboard_AssetQuality!H16)),"",IF(Dashboard_AssetQuality!H16&lt;=_config!$C$19,"ALERT",IF(Dashboard_AssetQuality!H16&lt;=_config!$B$19,"WATCH","OK")))</f>
        <v/>
      </c>
      <c r="O13" s="26">
        <f>IF(NOT(ISNUMBER(Dashboard_AssetQuality!I16)),"",IF(Dashboard_AssetQuality!I16&gt;=_config!$C$20,"ALERT",IF(Dashboard_AssetQuality!I16&gt;=_config!$B$20,"WATCH","OK")))</f>
        <v/>
      </c>
      <c r="P13" s="26">
        <f>IF(NOT(ISNUMBER(Dashboard_Capital_Earnings!D16)),"",IF(Dashboard_Capital_Earnings!D16&lt;=_config!$C$21,"ALERT",IF(Dashboard_Capital_Earnings!D16&lt;=_config!$B$21,"WATCH","OK")))</f>
        <v/>
      </c>
      <c r="Q13" s="26">
        <f>IF(NOT(ISNUMBER(Dashboard_Capital_Earnings!E16)),"",IF(Dashboard_Capital_Earnings!E16&lt;=_config!$C$22,"ALERT",IF(Dashboard_Capital_Earnings!E16&lt;=_config!$B$22,"WATCH","OK")))</f>
        <v/>
      </c>
      <c r="R13" s="26">
        <f>IF(NOT(ISNUMBER(Dashboard_Capital_Earnings!F16)),"",IF(Dashboard_Capital_Earnings!F16&lt;=_config!$C$23,"ALERT",IF(Dashboard_Capital_Earnings!F16&lt;=_config!$B$23,"WATCH","OK")))</f>
        <v/>
      </c>
      <c r="S13" s="26">
        <f>IF(NOT(ISNUMBER(Dashboard_Capital_Earnings!G16)),"",IF(Dashboard_Capital_Earnings!G16&lt;=_config!$C$24,"ALERT",IF(Dashboard_Capital_Earnings!G16&lt;=_config!$B$24,"WATCH","OK")))</f>
        <v/>
      </c>
      <c r="T13" s="26">
        <f>IF(NOT(ISNUMBER(Dashboard_Capital_Earnings!H16)),"",IF(Dashboard_Capital_Earnings!H16&lt;=_config!$C$25,"ALERT",IF(Dashboard_Capital_Earnings!H16&lt;=_config!$B$25,"WATCH","OK")))</f>
        <v/>
      </c>
      <c r="U13" s="26">
        <f>IF(NOT(ISNUMBER(Dashboard_Capital_Earnings!I16)),"",IF(Dashboard_Capital_Earnings!I16&gt;=_config!$C$26,"ALERT",IF(Dashboard_Capital_Earnings!I16&gt;=_config!$B$26,"WATCH","OK")))</f>
        <v/>
      </c>
      <c r="V13" s="26">
        <f>IF(NOT(ISNUMBER(Dashboard_Funding_Concentration!D16)),"",IF(Dashboard_Funding_Concentration!D16&gt;=_config!$C$27,"ALERT",IF(Dashboard_Funding_Concentration!D16&gt;=_config!$B$27,"WATCH","OK")))</f>
        <v/>
      </c>
      <c r="W13" s="26">
        <f>IF(NOT(ISNUMBER(Dashboard_Funding_Concentration!E16)),"",IF(Dashboard_Funding_Concentration!E16&gt;=_config!$C$28,"ALERT",IF(Dashboard_Funding_Concentration!E16&gt;=_config!$B$28,"WATCH","OK")))</f>
        <v/>
      </c>
      <c r="X13" s="26">
        <f>IF(NOT(ISNUMBER(Dashboard_Funding_Concentration!F16)),"",IF(Dashboard_Funding_Concentration!F16&gt;=_config!$C$29,"ALERT",IF(Dashboard_Funding_Concentration!F16&gt;=_config!$B$29,"WATCH","OK")))</f>
        <v/>
      </c>
      <c r="Z13" s="26">
        <f>IF(NOT(ISNUMBER($E13)),"",$E13*10000+IF(ISNUMBER($D13),$D13,0))</f>
        <v/>
      </c>
    </row>
    <row r="14">
      <c r="A14" s="14">
        <f>IF(_config!$C$42="","",_config!$C$42)</f>
        <v/>
      </c>
      <c r="B14" s="23">
        <f>IF(_config!$B$42="","",_config!$B$42)</f>
        <v/>
      </c>
      <c r="C14" s="16">
        <f>IF(_config!$D$42="","",_config!$D$42)</f>
        <v/>
      </c>
      <c r="D14" s="24">
        <f>IF(Dashboard_AssetQuality!I17="","",Dashboard_AssetQuality!I17)</f>
        <v/>
      </c>
      <c r="E14" s="25">
        <f>IF($A14="","",COUNTIF($J14:$X14,"ALERT"))</f>
        <v/>
      </c>
      <c r="F14" s="25">
        <f>IF($A14="","",COUNTIF($J14:$X14,"WATCH"))</f>
        <v/>
      </c>
      <c r="G14" s="25">
        <f>IF($Z14="","",RANK($Z14,$Z$5:$Z$44))</f>
        <v/>
      </c>
      <c r="H14" s="25">
        <f>IF(_config!$C$42="","",IF(NOT(ISNUMBER(_config!$B$42)),"REFUSED: blank/invalid CERT -- run --lookup",IF(UPPER(_config!$E$42&amp;"")&lt;&gt;"TRUE","OFF",IF($E14&gt;0,"ALERT",IF($F14&gt;0,"WATCH","OK")))))</f>
        <v/>
      </c>
      <c r="J14" s="26">
        <f>IF(NOT(ISNUMBER(Dashboard_AssetQuality!D17)),"",IF(Dashboard_AssetQuality!D17&gt;=_config!$C$15,"ALERT",IF(Dashboard_AssetQuality!D17&gt;=_config!$B$15,"WATCH","OK")))</f>
        <v/>
      </c>
      <c r="K14" s="26">
        <f>IF(NOT(ISNUMBER(Dashboard_AssetQuality!E17)),"",IF(Dashboard_AssetQuality!E17&gt;=_config!$C$16,"ALERT",IF(Dashboard_AssetQuality!E17&gt;=_config!$B$16,"WATCH","OK")))</f>
        <v/>
      </c>
      <c r="L14" s="26">
        <f>IF(NOT(ISNUMBER(Dashboard_AssetQuality!F17)),"",IF(Dashboard_AssetQuality!F17&gt;=_config!$C$17,"ALERT",IF(Dashboard_AssetQuality!F17&gt;=_config!$B$17,"WATCH","OK")))</f>
        <v/>
      </c>
      <c r="M14" s="26">
        <f>IF(NOT(ISNUMBER(Dashboard_AssetQuality!G17)),"",IF(Dashboard_AssetQuality!G17&lt;=_config!$C$18,"ALERT",IF(Dashboard_AssetQuality!G17&lt;=_config!$B$18,"WATCH","OK")))</f>
        <v/>
      </c>
      <c r="N14" s="26">
        <f>IF(NOT(ISNUMBER(Dashboard_AssetQuality!H17)),"",IF(Dashboard_AssetQuality!H17&lt;=_config!$C$19,"ALERT",IF(Dashboard_AssetQuality!H17&lt;=_config!$B$19,"WATCH","OK")))</f>
        <v/>
      </c>
      <c r="O14" s="26">
        <f>IF(NOT(ISNUMBER(Dashboard_AssetQuality!I17)),"",IF(Dashboard_AssetQuality!I17&gt;=_config!$C$20,"ALERT",IF(Dashboard_AssetQuality!I17&gt;=_config!$B$20,"WATCH","OK")))</f>
        <v/>
      </c>
      <c r="P14" s="26">
        <f>IF(NOT(ISNUMBER(Dashboard_Capital_Earnings!D17)),"",IF(Dashboard_Capital_Earnings!D17&lt;=_config!$C$21,"ALERT",IF(Dashboard_Capital_Earnings!D17&lt;=_config!$B$21,"WATCH","OK")))</f>
        <v/>
      </c>
      <c r="Q14" s="26">
        <f>IF(NOT(ISNUMBER(Dashboard_Capital_Earnings!E17)),"",IF(Dashboard_Capital_Earnings!E17&lt;=_config!$C$22,"ALERT",IF(Dashboard_Capital_Earnings!E17&lt;=_config!$B$22,"WATCH","OK")))</f>
        <v/>
      </c>
      <c r="R14" s="26">
        <f>IF(NOT(ISNUMBER(Dashboard_Capital_Earnings!F17)),"",IF(Dashboard_Capital_Earnings!F17&lt;=_config!$C$23,"ALERT",IF(Dashboard_Capital_Earnings!F17&lt;=_config!$B$23,"WATCH","OK")))</f>
        <v/>
      </c>
      <c r="S14" s="26">
        <f>IF(NOT(ISNUMBER(Dashboard_Capital_Earnings!G17)),"",IF(Dashboard_Capital_Earnings!G17&lt;=_config!$C$24,"ALERT",IF(Dashboard_Capital_Earnings!G17&lt;=_config!$B$24,"WATCH","OK")))</f>
        <v/>
      </c>
      <c r="T14" s="26">
        <f>IF(NOT(ISNUMBER(Dashboard_Capital_Earnings!H17)),"",IF(Dashboard_Capital_Earnings!H17&lt;=_config!$C$25,"ALERT",IF(Dashboard_Capital_Earnings!H17&lt;=_config!$B$25,"WATCH","OK")))</f>
        <v/>
      </c>
      <c r="U14" s="26">
        <f>IF(NOT(ISNUMBER(Dashboard_Capital_Earnings!I17)),"",IF(Dashboard_Capital_Earnings!I17&gt;=_config!$C$26,"ALERT",IF(Dashboard_Capital_Earnings!I17&gt;=_config!$B$26,"WATCH","OK")))</f>
        <v/>
      </c>
      <c r="V14" s="26">
        <f>IF(NOT(ISNUMBER(Dashboard_Funding_Concentration!D17)),"",IF(Dashboard_Funding_Concentration!D17&gt;=_config!$C$27,"ALERT",IF(Dashboard_Funding_Concentration!D17&gt;=_config!$B$27,"WATCH","OK")))</f>
        <v/>
      </c>
      <c r="W14" s="26">
        <f>IF(NOT(ISNUMBER(Dashboard_Funding_Concentration!E17)),"",IF(Dashboard_Funding_Concentration!E17&gt;=_config!$C$28,"ALERT",IF(Dashboard_Funding_Concentration!E17&gt;=_config!$B$28,"WATCH","OK")))</f>
        <v/>
      </c>
      <c r="X14" s="26">
        <f>IF(NOT(ISNUMBER(Dashboard_Funding_Concentration!F17)),"",IF(Dashboard_Funding_Concentration!F17&gt;=_config!$C$29,"ALERT",IF(Dashboard_Funding_Concentration!F17&gt;=_config!$B$29,"WATCH","OK")))</f>
        <v/>
      </c>
      <c r="Z14" s="26">
        <f>IF(NOT(ISNUMBER($E14)),"",$E14*10000+IF(ISNUMBER($D14),$D14,0))</f>
        <v/>
      </c>
    </row>
    <row r="15">
      <c r="A15" s="14">
        <f>IF(_config!$C$43="","",_config!$C$43)</f>
        <v/>
      </c>
      <c r="B15" s="23">
        <f>IF(_config!$B$43="","",_config!$B$43)</f>
        <v/>
      </c>
      <c r="C15" s="16">
        <f>IF(_config!$D$43="","",_config!$D$43)</f>
        <v/>
      </c>
      <c r="D15" s="24">
        <f>IF(Dashboard_AssetQuality!I18="","",Dashboard_AssetQuality!I18)</f>
        <v/>
      </c>
      <c r="E15" s="25">
        <f>IF($A15="","",COUNTIF($J15:$X15,"ALERT"))</f>
        <v/>
      </c>
      <c r="F15" s="25">
        <f>IF($A15="","",COUNTIF($J15:$X15,"WATCH"))</f>
        <v/>
      </c>
      <c r="G15" s="25">
        <f>IF($Z15="","",RANK($Z15,$Z$5:$Z$44))</f>
        <v/>
      </c>
      <c r="H15" s="25">
        <f>IF(_config!$C$43="","",IF(NOT(ISNUMBER(_config!$B$43)),"REFUSED: blank/invalid CERT -- run --lookup",IF(UPPER(_config!$E$43&amp;"")&lt;&gt;"TRUE","OFF",IF($E15&gt;0,"ALERT",IF($F15&gt;0,"WATCH","OK")))))</f>
        <v/>
      </c>
      <c r="J15" s="26">
        <f>IF(NOT(ISNUMBER(Dashboard_AssetQuality!D18)),"",IF(Dashboard_AssetQuality!D18&gt;=_config!$C$15,"ALERT",IF(Dashboard_AssetQuality!D18&gt;=_config!$B$15,"WATCH","OK")))</f>
        <v/>
      </c>
      <c r="K15" s="26">
        <f>IF(NOT(ISNUMBER(Dashboard_AssetQuality!E18)),"",IF(Dashboard_AssetQuality!E18&gt;=_config!$C$16,"ALERT",IF(Dashboard_AssetQuality!E18&gt;=_config!$B$16,"WATCH","OK")))</f>
        <v/>
      </c>
      <c r="L15" s="26">
        <f>IF(NOT(ISNUMBER(Dashboard_AssetQuality!F18)),"",IF(Dashboard_AssetQuality!F18&gt;=_config!$C$17,"ALERT",IF(Dashboard_AssetQuality!F18&gt;=_config!$B$17,"WATCH","OK")))</f>
        <v/>
      </c>
      <c r="M15" s="26">
        <f>IF(NOT(ISNUMBER(Dashboard_AssetQuality!G18)),"",IF(Dashboard_AssetQuality!G18&lt;=_config!$C$18,"ALERT",IF(Dashboard_AssetQuality!G18&lt;=_config!$B$18,"WATCH","OK")))</f>
        <v/>
      </c>
      <c r="N15" s="26">
        <f>IF(NOT(ISNUMBER(Dashboard_AssetQuality!H18)),"",IF(Dashboard_AssetQuality!H18&lt;=_config!$C$19,"ALERT",IF(Dashboard_AssetQuality!H18&lt;=_config!$B$19,"WATCH","OK")))</f>
        <v/>
      </c>
      <c r="O15" s="26">
        <f>IF(NOT(ISNUMBER(Dashboard_AssetQuality!I18)),"",IF(Dashboard_AssetQuality!I18&gt;=_config!$C$20,"ALERT",IF(Dashboard_AssetQuality!I18&gt;=_config!$B$20,"WATCH","OK")))</f>
        <v/>
      </c>
      <c r="P15" s="26">
        <f>IF(NOT(ISNUMBER(Dashboard_Capital_Earnings!D18)),"",IF(Dashboard_Capital_Earnings!D18&lt;=_config!$C$21,"ALERT",IF(Dashboard_Capital_Earnings!D18&lt;=_config!$B$21,"WATCH","OK")))</f>
        <v/>
      </c>
      <c r="Q15" s="26">
        <f>IF(NOT(ISNUMBER(Dashboard_Capital_Earnings!E18)),"",IF(Dashboard_Capital_Earnings!E18&lt;=_config!$C$22,"ALERT",IF(Dashboard_Capital_Earnings!E18&lt;=_config!$B$22,"WATCH","OK")))</f>
        <v/>
      </c>
      <c r="R15" s="26">
        <f>IF(NOT(ISNUMBER(Dashboard_Capital_Earnings!F18)),"",IF(Dashboard_Capital_Earnings!F18&lt;=_config!$C$23,"ALERT",IF(Dashboard_Capital_Earnings!F18&lt;=_config!$B$23,"WATCH","OK")))</f>
        <v/>
      </c>
      <c r="S15" s="26">
        <f>IF(NOT(ISNUMBER(Dashboard_Capital_Earnings!G18)),"",IF(Dashboard_Capital_Earnings!G18&lt;=_config!$C$24,"ALERT",IF(Dashboard_Capital_Earnings!G18&lt;=_config!$B$24,"WATCH","OK")))</f>
        <v/>
      </c>
      <c r="T15" s="26">
        <f>IF(NOT(ISNUMBER(Dashboard_Capital_Earnings!H18)),"",IF(Dashboard_Capital_Earnings!H18&lt;=_config!$C$25,"ALERT",IF(Dashboard_Capital_Earnings!H18&lt;=_config!$B$25,"WATCH","OK")))</f>
        <v/>
      </c>
      <c r="U15" s="26">
        <f>IF(NOT(ISNUMBER(Dashboard_Capital_Earnings!I18)),"",IF(Dashboard_Capital_Earnings!I18&gt;=_config!$C$26,"ALERT",IF(Dashboard_Capital_Earnings!I18&gt;=_config!$B$26,"WATCH","OK")))</f>
        <v/>
      </c>
      <c r="V15" s="26">
        <f>IF(NOT(ISNUMBER(Dashboard_Funding_Concentration!D18)),"",IF(Dashboard_Funding_Concentration!D18&gt;=_config!$C$27,"ALERT",IF(Dashboard_Funding_Concentration!D18&gt;=_config!$B$27,"WATCH","OK")))</f>
        <v/>
      </c>
      <c r="W15" s="26">
        <f>IF(NOT(ISNUMBER(Dashboard_Funding_Concentration!E18)),"",IF(Dashboard_Funding_Concentration!E18&gt;=_config!$C$28,"ALERT",IF(Dashboard_Funding_Concentration!E18&gt;=_config!$B$28,"WATCH","OK")))</f>
        <v/>
      </c>
      <c r="X15" s="26">
        <f>IF(NOT(ISNUMBER(Dashboard_Funding_Concentration!F18)),"",IF(Dashboard_Funding_Concentration!F18&gt;=_config!$C$29,"ALERT",IF(Dashboard_Funding_Concentration!F18&gt;=_config!$B$29,"WATCH","OK")))</f>
        <v/>
      </c>
      <c r="Z15" s="26">
        <f>IF(NOT(ISNUMBER($E15)),"",$E15*10000+IF(ISNUMBER($D15),$D15,0))</f>
        <v/>
      </c>
    </row>
    <row r="16">
      <c r="A16" s="14">
        <f>IF(_config!$C$44="","",_config!$C$44)</f>
        <v/>
      </c>
      <c r="B16" s="23">
        <f>IF(_config!$B$44="","",_config!$B$44)</f>
        <v/>
      </c>
      <c r="C16" s="16">
        <f>IF(_config!$D$44="","",_config!$D$44)</f>
        <v/>
      </c>
      <c r="D16" s="24">
        <f>IF(Dashboard_AssetQuality!I19="","",Dashboard_AssetQuality!I19)</f>
        <v/>
      </c>
      <c r="E16" s="25">
        <f>IF($A16="","",COUNTIF($J16:$X16,"ALERT"))</f>
        <v/>
      </c>
      <c r="F16" s="25">
        <f>IF($A16="","",COUNTIF($J16:$X16,"WATCH"))</f>
        <v/>
      </c>
      <c r="G16" s="25">
        <f>IF($Z16="","",RANK($Z16,$Z$5:$Z$44))</f>
        <v/>
      </c>
      <c r="H16" s="25">
        <f>IF(_config!$C$44="","",IF(NOT(ISNUMBER(_config!$B$44)),"REFUSED: blank/invalid CERT -- run --lookup",IF(UPPER(_config!$E$44&amp;"")&lt;&gt;"TRUE","OFF",IF($E16&gt;0,"ALERT",IF($F16&gt;0,"WATCH","OK")))))</f>
        <v/>
      </c>
      <c r="J16" s="26">
        <f>IF(NOT(ISNUMBER(Dashboard_AssetQuality!D19)),"",IF(Dashboard_AssetQuality!D19&gt;=_config!$C$15,"ALERT",IF(Dashboard_AssetQuality!D19&gt;=_config!$B$15,"WATCH","OK")))</f>
        <v/>
      </c>
      <c r="K16" s="26">
        <f>IF(NOT(ISNUMBER(Dashboard_AssetQuality!E19)),"",IF(Dashboard_AssetQuality!E19&gt;=_config!$C$16,"ALERT",IF(Dashboard_AssetQuality!E19&gt;=_config!$B$16,"WATCH","OK")))</f>
        <v/>
      </c>
      <c r="L16" s="26">
        <f>IF(NOT(ISNUMBER(Dashboard_AssetQuality!F19)),"",IF(Dashboard_AssetQuality!F19&gt;=_config!$C$17,"ALERT",IF(Dashboard_AssetQuality!F19&gt;=_config!$B$17,"WATCH","OK")))</f>
        <v/>
      </c>
      <c r="M16" s="26">
        <f>IF(NOT(ISNUMBER(Dashboard_AssetQuality!G19)),"",IF(Dashboard_AssetQuality!G19&lt;=_config!$C$18,"ALERT",IF(Dashboard_AssetQuality!G19&lt;=_config!$B$18,"WATCH","OK")))</f>
        <v/>
      </c>
      <c r="N16" s="26">
        <f>IF(NOT(ISNUMBER(Dashboard_AssetQuality!H19)),"",IF(Dashboard_AssetQuality!H19&lt;=_config!$C$19,"ALERT",IF(Dashboard_AssetQuality!H19&lt;=_config!$B$19,"WATCH","OK")))</f>
        <v/>
      </c>
      <c r="O16" s="26">
        <f>IF(NOT(ISNUMBER(Dashboard_AssetQuality!I19)),"",IF(Dashboard_AssetQuality!I19&gt;=_config!$C$20,"ALERT",IF(Dashboard_AssetQuality!I19&gt;=_config!$B$20,"WATCH","OK")))</f>
        <v/>
      </c>
      <c r="P16" s="26">
        <f>IF(NOT(ISNUMBER(Dashboard_Capital_Earnings!D19)),"",IF(Dashboard_Capital_Earnings!D19&lt;=_config!$C$21,"ALERT",IF(Dashboard_Capital_Earnings!D19&lt;=_config!$B$21,"WATCH","OK")))</f>
        <v/>
      </c>
      <c r="Q16" s="26">
        <f>IF(NOT(ISNUMBER(Dashboard_Capital_Earnings!E19)),"",IF(Dashboard_Capital_Earnings!E19&lt;=_config!$C$22,"ALERT",IF(Dashboard_Capital_Earnings!E19&lt;=_config!$B$22,"WATCH","OK")))</f>
        <v/>
      </c>
      <c r="R16" s="26">
        <f>IF(NOT(ISNUMBER(Dashboard_Capital_Earnings!F19)),"",IF(Dashboard_Capital_Earnings!F19&lt;=_config!$C$23,"ALERT",IF(Dashboard_Capital_Earnings!F19&lt;=_config!$B$23,"WATCH","OK")))</f>
        <v/>
      </c>
      <c r="S16" s="26">
        <f>IF(NOT(ISNUMBER(Dashboard_Capital_Earnings!G19)),"",IF(Dashboard_Capital_Earnings!G19&lt;=_config!$C$24,"ALERT",IF(Dashboard_Capital_Earnings!G19&lt;=_config!$B$24,"WATCH","OK")))</f>
        <v/>
      </c>
      <c r="T16" s="26">
        <f>IF(NOT(ISNUMBER(Dashboard_Capital_Earnings!H19)),"",IF(Dashboard_Capital_Earnings!H19&lt;=_config!$C$25,"ALERT",IF(Dashboard_Capital_Earnings!H19&lt;=_config!$B$25,"WATCH","OK")))</f>
        <v/>
      </c>
      <c r="U16" s="26">
        <f>IF(NOT(ISNUMBER(Dashboard_Capital_Earnings!I19)),"",IF(Dashboard_Capital_Earnings!I19&gt;=_config!$C$26,"ALERT",IF(Dashboard_Capital_Earnings!I19&gt;=_config!$B$26,"WATCH","OK")))</f>
        <v/>
      </c>
      <c r="V16" s="26">
        <f>IF(NOT(ISNUMBER(Dashboard_Funding_Concentration!D19)),"",IF(Dashboard_Funding_Concentration!D19&gt;=_config!$C$27,"ALERT",IF(Dashboard_Funding_Concentration!D19&gt;=_config!$B$27,"WATCH","OK")))</f>
        <v/>
      </c>
      <c r="W16" s="26">
        <f>IF(NOT(ISNUMBER(Dashboard_Funding_Concentration!E19)),"",IF(Dashboard_Funding_Concentration!E19&gt;=_config!$C$28,"ALERT",IF(Dashboard_Funding_Concentration!E19&gt;=_config!$B$28,"WATCH","OK")))</f>
        <v/>
      </c>
      <c r="X16" s="26">
        <f>IF(NOT(ISNUMBER(Dashboard_Funding_Concentration!F19)),"",IF(Dashboard_Funding_Concentration!F19&gt;=_config!$C$29,"ALERT",IF(Dashboard_Funding_Concentration!F19&gt;=_config!$B$29,"WATCH","OK")))</f>
        <v/>
      </c>
      <c r="Z16" s="26">
        <f>IF(NOT(ISNUMBER($E16)),"",$E16*10000+IF(ISNUMBER($D16),$D16,0))</f>
        <v/>
      </c>
    </row>
    <row r="17">
      <c r="A17" s="14">
        <f>IF(_config!$C$45="","",_config!$C$45)</f>
        <v/>
      </c>
      <c r="B17" s="23">
        <f>IF(_config!$B$45="","",_config!$B$45)</f>
        <v/>
      </c>
      <c r="C17" s="16">
        <f>IF(_config!$D$45="","",_config!$D$45)</f>
        <v/>
      </c>
      <c r="D17" s="24">
        <f>IF(Dashboard_AssetQuality!I20="","",Dashboard_AssetQuality!I20)</f>
        <v/>
      </c>
      <c r="E17" s="25">
        <f>IF($A17="","",COUNTIF($J17:$X17,"ALERT"))</f>
        <v/>
      </c>
      <c r="F17" s="25">
        <f>IF($A17="","",COUNTIF($J17:$X17,"WATCH"))</f>
        <v/>
      </c>
      <c r="G17" s="25">
        <f>IF($Z17="","",RANK($Z17,$Z$5:$Z$44))</f>
        <v/>
      </c>
      <c r="H17" s="25">
        <f>IF(_config!$C$45="","",IF(NOT(ISNUMBER(_config!$B$45)),"REFUSED: blank/invalid CERT -- run --lookup",IF(UPPER(_config!$E$45&amp;"")&lt;&gt;"TRUE","OFF",IF($E17&gt;0,"ALERT",IF($F17&gt;0,"WATCH","OK")))))</f>
        <v/>
      </c>
      <c r="J17" s="26">
        <f>IF(NOT(ISNUMBER(Dashboard_AssetQuality!D20)),"",IF(Dashboard_AssetQuality!D20&gt;=_config!$C$15,"ALERT",IF(Dashboard_AssetQuality!D20&gt;=_config!$B$15,"WATCH","OK")))</f>
        <v/>
      </c>
      <c r="K17" s="26">
        <f>IF(NOT(ISNUMBER(Dashboard_AssetQuality!E20)),"",IF(Dashboard_AssetQuality!E20&gt;=_config!$C$16,"ALERT",IF(Dashboard_AssetQuality!E20&gt;=_config!$B$16,"WATCH","OK")))</f>
        <v/>
      </c>
      <c r="L17" s="26">
        <f>IF(NOT(ISNUMBER(Dashboard_AssetQuality!F20)),"",IF(Dashboard_AssetQuality!F20&gt;=_config!$C$17,"ALERT",IF(Dashboard_AssetQuality!F20&gt;=_config!$B$17,"WATCH","OK")))</f>
        <v/>
      </c>
      <c r="M17" s="26">
        <f>IF(NOT(ISNUMBER(Dashboard_AssetQuality!G20)),"",IF(Dashboard_AssetQuality!G20&lt;=_config!$C$18,"ALERT",IF(Dashboard_AssetQuality!G20&lt;=_config!$B$18,"WATCH","OK")))</f>
        <v/>
      </c>
      <c r="N17" s="26">
        <f>IF(NOT(ISNUMBER(Dashboard_AssetQuality!H20)),"",IF(Dashboard_AssetQuality!H20&lt;=_config!$C$19,"ALERT",IF(Dashboard_AssetQuality!H20&lt;=_config!$B$19,"WATCH","OK")))</f>
        <v/>
      </c>
      <c r="O17" s="26">
        <f>IF(NOT(ISNUMBER(Dashboard_AssetQuality!I20)),"",IF(Dashboard_AssetQuality!I20&gt;=_config!$C$20,"ALERT",IF(Dashboard_AssetQuality!I20&gt;=_config!$B$20,"WATCH","OK")))</f>
        <v/>
      </c>
      <c r="P17" s="26">
        <f>IF(NOT(ISNUMBER(Dashboard_Capital_Earnings!D20)),"",IF(Dashboard_Capital_Earnings!D20&lt;=_config!$C$21,"ALERT",IF(Dashboard_Capital_Earnings!D20&lt;=_config!$B$21,"WATCH","OK")))</f>
        <v/>
      </c>
      <c r="Q17" s="26">
        <f>IF(NOT(ISNUMBER(Dashboard_Capital_Earnings!E20)),"",IF(Dashboard_Capital_Earnings!E20&lt;=_config!$C$22,"ALERT",IF(Dashboard_Capital_Earnings!E20&lt;=_config!$B$22,"WATCH","OK")))</f>
        <v/>
      </c>
      <c r="R17" s="26">
        <f>IF(NOT(ISNUMBER(Dashboard_Capital_Earnings!F20)),"",IF(Dashboard_Capital_Earnings!F20&lt;=_config!$C$23,"ALERT",IF(Dashboard_Capital_Earnings!F20&lt;=_config!$B$23,"WATCH","OK")))</f>
        <v/>
      </c>
      <c r="S17" s="26">
        <f>IF(NOT(ISNUMBER(Dashboard_Capital_Earnings!G20)),"",IF(Dashboard_Capital_Earnings!G20&lt;=_config!$C$24,"ALERT",IF(Dashboard_Capital_Earnings!G20&lt;=_config!$B$24,"WATCH","OK")))</f>
        <v/>
      </c>
      <c r="T17" s="26">
        <f>IF(NOT(ISNUMBER(Dashboard_Capital_Earnings!H20)),"",IF(Dashboard_Capital_Earnings!H20&lt;=_config!$C$25,"ALERT",IF(Dashboard_Capital_Earnings!H20&lt;=_config!$B$25,"WATCH","OK")))</f>
        <v/>
      </c>
      <c r="U17" s="26">
        <f>IF(NOT(ISNUMBER(Dashboard_Capital_Earnings!I20)),"",IF(Dashboard_Capital_Earnings!I20&gt;=_config!$C$26,"ALERT",IF(Dashboard_Capital_Earnings!I20&gt;=_config!$B$26,"WATCH","OK")))</f>
        <v/>
      </c>
      <c r="V17" s="26">
        <f>IF(NOT(ISNUMBER(Dashboard_Funding_Concentration!D20)),"",IF(Dashboard_Funding_Concentration!D20&gt;=_config!$C$27,"ALERT",IF(Dashboard_Funding_Concentration!D20&gt;=_config!$B$27,"WATCH","OK")))</f>
        <v/>
      </c>
      <c r="W17" s="26">
        <f>IF(NOT(ISNUMBER(Dashboard_Funding_Concentration!E20)),"",IF(Dashboard_Funding_Concentration!E20&gt;=_config!$C$28,"ALERT",IF(Dashboard_Funding_Concentration!E20&gt;=_config!$B$28,"WATCH","OK")))</f>
        <v/>
      </c>
      <c r="X17" s="26">
        <f>IF(NOT(ISNUMBER(Dashboard_Funding_Concentration!F20)),"",IF(Dashboard_Funding_Concentration!F20&gt;=_config!$C$29,"ALERT",IF(Dashboard_Funding_Concentration!F20&gt;=_config!$B$29,"WATCH","OK")))</f>
        <v/>
      </c>
      <c r="Z17" s="26">
        <f>IF(NOT(ISNUMBER($E17)),"",$E17*10000+IF(ISNUMBER($D17),$D17,0))</f>
        <v/>
      </c>
    </row>
    <row r="18">
      <c r="A18" s="14">
        <f>IF(_config!$C$46="","",_config!$C$46)</f>
        <v/>
      </c>
      <c r="B18" s="23">
        <f>IF(_config!$B$46="","",_config!$B$46)</f>
        <v/>
      </c>
      <c r="C18" s="16">
        <f>IF(_config!$D$46="","",_config!$D$46)</f>
        <v/>
      </c>
      <c r="D18" s="24">
        <f>IF(Dashboard_AssetQuality!I21="","",Dashboard_AssetQuality!I21)</f>
        <v/>
      </c>
      <c r="E18" s="25">
        <f>IF($A18="","",COUNTIF($J18:$X18,"ALERT"))</f>
        <v/>
      </c>
      <c r="F18" s="25">
        <f>IF($A18="","",COUNTIF($J18:$X18,"WATCH"))</f>
        <v/>
      </c>
      <c r="G18" s="25">
        <f>IF($Z18="","",RANK($Z18,$Z$5:$Z$44))</f>
        <v/>
      </c>
      <c r="H18" s="25">
        <f>IF(_config!$C$46="","",IF(NOT(ISNUMBER(_config!$B$46)),"REFUSED: blank/invalid CERT -- run --lookup",IF(UPPER(_config!$E$46&amp;"")&lt;&gt;"TRUE","OFF",IF($E18&gt;0,"ALERT",IF($F18&gt;0,"WATCH","OK")))))</f>
        <v/>
      </c>
      <c r="J18" s="26">
        <f>IF(NOT(ISNUMBER(Dashboard_AssetQuality!D21)),"",IF(Dashboard_AssetQuality!D21&gt;=_config!$C$15,"ALERT",IF(Dashboard_AssetQuality!D21&gt;=_config!$B$15,"WATCH","OK")))</f>
        <v/>
      </c>
      <c r="K18" s="26">
        <f>IF(NOT(ISNUMBER(Dashboard_AssetQuality!E21)),"",IF(Dashboard_AssetQuality!E21&gt;=_config!$C$16,"ALERT",IF(Dashboard_AssetQuality!E21&gt;=_config!$B$16,"WATCH","OK")))</f>
        <v/>
      </c>
      <c r="L18" s="26">
        <f>IF(NOT(ISNUMBER(Dashboard_AssetQuality!F21)),"",IF(Dashboard_AssetQuality!F21&gt;=_config!$C$17,"ALERT",IF(Dashboard_AssetQuality!F21&gt;=_config!$B$17,"WATCH","OK")))</f>
        <v/>
      </c>
      <c r="M18" s="26">
        <f>IF(NOT(ISNUMBER(Dashboard_AssetQuality!G21)),"",IF(Dashboard_AssetQuality!G21&lt;=_config!$C$18,"ALERT",IF(Dashboard_AssetQuality!G21&lt;=_config!$B$18,"WATCH","OK")))</f>
        <v/>
      </c>
      <c r="N18" s="26">
        <f>IF(NOT(ISNUMBER(Dashboard_AssetQuality!H21)),"",IF(Dashboard_AssetQuality!H21&lt;=_config!$C$19,"ALERT",IF(Dashboard_AssetQuality!H21&lt;=_config!$B$19,"WATCH","OK")))</f>
        <v/>
      </c>
      <c r="O18" s="26">
        <f>IF(NOT(ISNUMBER(Dashboard_AssetQuality!I21)),"",IF(Dashboard_AssetQuality!I21&gt;=_config!$C$20,"ALERT",IF(Dashboard_AssetQuality!I21&gt;=_config!$B$20,"WATCH","OK")))</f>
        <v/>
      </c>
      <c r="P18" s="26">
        <f>IF(NOT(ISNUMBER(Dashboard_Capital_Earnings!D21)),"",IF(Dashboard_Capital_Earnings!D21&lt;=_config!$C$21,"ALERT",IF(Dashboard_Capital_Earnings!D21&lt;=_config!$B$21,"WATCH","OK")))</f>
        <v/>
      </c>
      <c r="Q18" s="26">
        <f>IF(NOT(ISNUMBER(Dashboard_Capital_Earnings!E21)),"",IF(Dashboard_Capital_Earnings!E21&lt;=_config!$C$22,"ALERT",IF(Dashboard_Capital_Earnings!E21&lt;=_config!$B$22,"WATCH","OK")))</f>
        <v/>
      </c>
      <c r="R18" s="26">
        <f>IF(NOT(ISNUMBER(Dashboard_Capital_Earnings!F21)),"",IF(Dashboard_Capital_Earnings!F21&lt;=_config!$C$23,"ALERT",IF(Dashboard_Capital_Earnings!F21&lt;=_config!$B$23,"WATCH","OK")))</f>
        <v/>
      </c>
      <c r="S18" s="26">
        <f>IF(NOT(ISNUMBER(Dashboard_Capital_Earnings!G21)),"",IF(Dashboard_Capital_Earnings!G21&lt;=_config!$C$24,"ALERT",IF(Dashboard_Capital_Earnings!G21&lt;=_config!$B$24,"WATCH","OK")))</f>
        <v/>
      </c>
      <c r="T18" s="26">
        <f>IF(NOT(ISNUMBER(Dashboard_Capital_Earnings!H21)),"",IF(Dashboard_Capital_Earnings!H21&lt;=_config!$C$25,"ALERT",IF(Dashboard_Capital_Earnings!H21&lt;=_config!$B$25,"WATCH","OK")))</f>
        <v/>
      </c>
      <c r="U18" s="26">
        <f>IF(NOT(ISNUMBER(Dashboard_Capital_Earnings!I21)),"",IF(Dashboard_Capital_Earnings!I21&gt;=_config!$C$26,"ALERT",IF(Dashboard_Capital_Earnings!I21&gt;=_config!$B$26,"WATCH","OK")))</f>
        <v/>
      </c>
      <c r="V18" s="26">
        <f>IF(NOT(ISNUMBER(Dashboard_Funding_Concentration!D21)),"",IF(Dashboard_Funding_Concentration!D21&gt;=_config!$C$27,"ALERT",IF(Dashboard_Funding_Concentration!D21&gt;=_config!$B$27,"WATCH","OK")))</f>
        <v/>
      </c>
      <c r="W18" s="26">
        <f>IF(NOT(ISNUMBER(Dashboard_Funding_Concentration!E21)),"",IF(Dashboard_Funding_Concentration!E21&gt;=_config!$C$28,"ALERT",IF(Dashboard_Funding_Concentration!E21&gt;=_config!$B$28,"WATCH","OK")))</f>
        <v/>
      </c>
      <c r="X18" s="26">
        <f>IF(NOT(ISNUMBER(Dashboard_Funding_Concentration!F21)),"",IF(Dashboard_Funding_Concentration!F21&gt;=_config!$C$29,"ALERT",IF(Dashboard_Funding_Concentration!F21&gt;=_config!$B$29,"WATCH","OK")))</f>
        <v/>
      </c>
      <c r="Z18" s="26">
        <f>IF(NOT(ISNUMBER($E18)),"",$E18*10000+IF(ISNUMBER($D18),$D18,0))</f>
        <v/>
      </c>
    </row>
    <row r="19">
      <c r="A19" s="14">
        <f>IF(_config!$C$47="","",_config!$C$47)</f>
        <v/>
      </c>
      <c r="B19" s="23">
        <f>IF(_config!$B$47="","",_config!$B$47)</f>
        <v/>
      </c>
      <c r="C19" s="16">
        <f>IF(_config!$D$47="","",_config!$D$47)</f>
        <v/>
      </c>
      <c r="D19" s="24">
        <f>IF(Dashboard_AssetQuality!I22="","",Dashboard_AssetQuality!I22)</f>
        <v/>
      </c>
      <c r="E19" s="25">
        <f>IF($A19="","",COUNTIF($J19:$X19,"ALERT"))</f>
        <v/>
      </c>
      <c r="F19" s="25">
        <f>IF($A19="","",COUNTIF($J19:$X19,"WATCH"))</f>
        <v/>
      </c>
      <c r="G19" s="25">
        <f>IF($Z19="","",RANK($Z19,$Z$5:$Z$44))</f>
        <v/>
      </c>
      <c r="H19" s="25">
        <f>IF(_config!$C$47="","",IF(NOT(ISNUMBER(_config!$B$47)),"REFUSED: blank/invalid CERT -- run --lookup",IF(UPPER(_config!$E$47&amp;"")&lt;&gt;"TRUE","OFF",IF($E19&gt;0,"ALERT",IF($F19&gt;0,"WATCH","OK")))))</f>
        <v/>
      </c>
      <c r="J19" s="26">
        <f>IF(NOT(ISNUMBER(Dashboard_AssetQuality!D22)),"",IF(Dashboard_AssetQuality!D22&gt;=_config!$C$15,"ALERT",IF(Dashboard_AssetQuality!D22&gt;=_config!$B$15,"WATCH","OK")))</f>
        <v/>
      </c>
      <c r="K19" s="26">
        <f>IF(NOT(ISNUMBER(Dashboard_AssetQuality!E22)),"",IF(Dashboard_AssetQuality!E22&gt;=_config!$C$16,"ALERT",IF(Dashboard_AssetQuality!E22&gt;=_config!$B$16,"WATCH","OK")))</f>
        <v/>
      </c>
      <c r="L19" s="26">
        <f>IF(NOT(ISNUMBER(Dashboard_AssetQuality!F22)),"",IF(Dashboard_AssetQuality!F22&gt;=_config!$C$17,"ALERT",IF(Dashboard_AssetQuality!F22&gt;=_config!$B$17,"WATCH","OK")))</f>
        <v/>
      </c>
      <c r="M19" s="26">
        <f>IF(NOT(ISNUMBER(Dashboard_AssetQuality!G22)),"",IF(Dashboard_AssetQuality!G22&lt;=_config!$C$18,"ALERT",IF(Dashboard_AssetQuality!G22&lt;=_config!$B$18,"WATCH","OK")))</f>
        <v/>
      </c>
      <c r="N19" s="26">
        <f>IF(NOT(ISNUMBER(Dashboard_AssetQuality!H22)),"",IF(Dashboard_AssetQuality!H22&lt;=_config!$C$19,"ALERT",IF(Dashboard_AssetQuality!H22&lt;=_config!$B$19,"WATCH","OK")))</f>
        <v/>
      </c>
      <c r="O19" s="26">
        <f>IF(NOT(ISNUMBER(Dashboard_AssetQuality!I22)),"",IF(Dashboard_AssetQuality!I22&gt;=_config!$C$20,"ALERT",IF(Dashboard_AssetQuality!I22&gt;=_config!$B$20,"WATCH","OK")))</f>
        <v/>
      </c>
      <c r="P19" s="26">
        <f>IF(NOT(ISNUMBER(Dashboard_Capital_Earnings!D22)),"",IF(Dashboard_Capital_Earnings!D22&lt;=_config!$C$21,"ALERT",IF(Dashboard_Capital_Earnings!D22&lt;=_config!$B$21,"WATCH","OK")))</f>
        <v/>
      </c>
      <c r="Q19" s="26">
        <f>IF(NOT(ISNUMBER(Dashboard_Capital_Earnings!E22)),"",IF(Dashboard_Capital_Earnings!E22&lt;=_config!$C$22,"ALERT",IF(Dashboard_Capital_Earnings!E22&lt;=_config!$B$22,"WATCH","OK")))</f>
        <v/>
      </c>
      <c r="R19" s="26">
        <f>IF(NOT(ISNUMBER(Dashboard_Capital_Earnings!F22)),"",IF(Dashboard_Capital_Earnings!F22&lt;=_config!$C$23,"ALERT",IF(Dashboard_Capital_Earnings!F22&lt;=_config!$B$23,"WATCH","OK")))</f>
        <v/>
      </c>
      <c r="S19" s="26">
        <f>IF(NOT(ISNUMBER(Dashboard_Capital_Earnings!G22)),"",IF(Dashboard_Capital_Earnings!G22&lt;=_config!$C$24,"ALERT",IF(Dashboard_Capital_Earnings!G22&lt;=_config!$B$24,"WATCH","OK")))</f>
        <v/>
      </c>
      <c r="T19" s="26">
        <f>IF(NOT(ISNUMBER(Dashboard_Capital_Earnings!H22)),"",IF(Dashboard_Capital_Earnings!H22&lt;=_config!$C$25,"ALERT",IF(Dashboard_Capital_Earnings!H22&lt;=_config!$B$25,"WATCH","OK")))</f>
        <v/>
      </c>
      <c r="U19" s="26">
        <f>IF(NOT(ISNUMBER(Dashboard_Capital_Earnings!I22)),"",IF(Dashboard_Capital_Earnings!I22&gt;=_config!$C$26,"ALERT",IF(Dashboard_Capital_Earnings!I22&gt;=_config!$B$26,"WATCH","OK")))</f>
        <v/>
      </c>
      <c r="V19" s="26">
        <f>IF(NOT(ISNUMBER(Dashboard_Funding_Concentration!D22)),"",IF(Dashboard_Funding_Concentration!D22&gt;=_config!$C$27,"ALERT",IF(Dashboard_Funding_Concentration!D22&gt;=_config!$B$27,"WATCH","OK")))</f>
        <v/>
      </c>
      <c r="W19" s="26">
        <f>IF(NOT(ISNUMBER(Dashboard_Funding_Concentration!E22)),"",IF(Dashboard_Funding_Concentration!E22&gt;=_config!$C$28,"ALERT",IF(Dashboard_Funding_Concentration!E22&gt;=_config!$B$28,"WATCH","OK")))</f>
        <v/>
      </c>
      <c r="X19" s="26">
        <f>IF(NOT(ISNUMBER(Dashboard_Funding_Concentration!F22)),"",IF(Dashboard_Funding_Concentration!F22&gt;=_config!$C$29,"ALERT",IF(Dashboard_Funding_Concentration!F22&gt;=_config!$B$29,"WATCH","OK")))</f>
        <v/>
      </c>
      <c r="Z19" s="26">
        <f>IF(NOT(ISNUMBER($E19)),"",$E19*10000+IF(ISNUMBER($D19),$D19,0))</f>
        <v/>
      </c>
    </row>
    <row r="20">
      <c r="A20" s="14">
        <f>IF(_config!$C$48="","",_config!$C$48)</f>
        <v/>
      </c>
      <c r="B20" s="23">
        <f>IF(_config!$B$48="","",_config!$B$48)</f>
        <v/>
      </c>
      <c r="C20" s="16">
        <f>IF(_config!$D$48="","",_config!$D$48)</f>
        <v/>
      </c>
      <c r="D20" s="24">
        <f>IF(Dashboard_AssetQuality!I23="","",Dashboard_AssetQuality!I23)</f>
        <v/>
      </c>
      <c r="E20" s="25">
        <f>IF($A20="","",COUNTIF($J20:$X20,"ALERT"))</f>
        <v/>
      </c>
      <c r="F20" s="25">
        <f>IF($A20="","",COUNTIF($J20:$X20,"WATCH"))</f>
        <v/>
      </c>
      <c r="G20" s="25">
        <f>IF($Z20="","",RANK($Z20,$Z$5:$Z$44))</f>
        <v/>
      </c>
      <c r="H20" s="25">
        <f>IF(_config!$C$48="","",IF(NOT(ISNUMBER(_config!$B$48)),"REFUSED: blank/invalid CERT -- run --lookup",IF(UPPER(_config!$E$48&amp;"")&lt;&gt;"TRUE","OFF",IF($E20&gt;0,"ALERT",IF($F20&gt;0,"WATCH","OK")))))</f>
        <v/>
      </c>
      <c r="J20" s="26">
        <f>IF(NOT(ISNUMBER(Dashboard_AssetQuality!D23)),"",IF(Dashboard_AssetQuality!D23&gt;=_config!$C$15,"ALERT",IF(Dashboard_AssetQuality!D23&gt;=_config!$B$15,"WATCH","OK")))</f>
        <v/>
      </c>
      <c r="K20" s="26">
        <f>IF(NOT(ISNUMBER(Dashboard_AssetQuality!E23)),"",IF(Dashboard_AssetQuality!E23&gt;=_config!$C$16,"ALERT",IF(Dashboard_AssetQuality!E23&gt;=_config!$B$16,"WATCH","OK")))</f>
        <v/>
      </c>
      <c r="L20" s="26">
        <f>IF(NOT(ISNUMBER(Dashboard_AssetQuality!F23)),"",IF(Dashboard_AssetQuality!F23&gt;=_config!$C$17,"ALERT",IF(Dashboard_AssetQuality!F23&gt;=_config!$B$17,"WATCH","OK")))</f>
        <v/>
      </c>
      <c r="M20" s="26">
        <f>IF(NOT(ISNUMBER(Dashboard_AssetQuality!G23)),"",IF(Dashboard_AssetQuality!G23&lt;=_config!$C$18,"ALERT",IF(Dashboard_AssetQuality!G23&lt;=_config!$B$18,"WATCH","OK")))</f>
        <v/>
      </c>
      <c r="N20" s="26">
        <f>IF(NOT(ISNUMBER(Dashboard_AssetQuality!H23)),"",IF(Dashboard_AssetQuality!H23&lt;=_config!$C$19,"ALERT",IF(Dashboard_AssetQuality!H23&lt;=_config!$B$19,"WATCH","OK")))</f>
        <v/>
      </c>
      <c r="O20" s="26">
        <f>IF(NOT(ISNUMBER(Dashboard_AssetQuality!I23)),"",IF(Dashboard_AssetQuality!I23&gt;=_config!$C$20,"ALERT",IF(Dashboard_AssetQuality!I23&gt;=_config!$B$20,"WATCH","OK")))</f>
        <v/>
      </c>
      <c r="P20" s="26">
        <f>IF(NOT(ISNUMBER(Dashboard_Capital_Earnings!D23)),"",IF(Dashboard_Capital_Earnings!D23&lt;=_config!$C$21,"ALERT",IF(Dashboard_Capital_Earnings!D23&lt;=_config!$B$21,"WATCH","OK")))</f>
        <v/>
      </c>
      <c r="Q20" s="26">
        <f>IF(NOT(ISNUMBER(Dashboard_Capital_Earnings!E23)),"",IF(Dashboard_Capital_Earnings!E23&lt;=_config!$C$22,"ALERT",IF(Dashboard_Capital_Earnings!E23&lt;=_config!$B$22,"WATCH","OK")))</f>
        <v/>
      </c>
      <c r="R20" s="26">
        <f>IF(NOT(ISNUMBER(Dashboard_Capital_Earnings!F23)),"",IF(Dashboard_Capital_Earnings!F23&lt;=_config!$C$23,"ALERT",IF(Dashboard_Capital_Earnings!F23&lt;=_config!$B$23,"WATCH","OK")))</f>
        <v/>
      </c>
      <c r="S20" s="26">
        <f>IF(NOT(ISNUMBER(Dashboard_Capital_Earnings!G23)),"",IF(Dashboard_Capital_Earnings!G23&lt;=_config!$C$24,"ALERT",IF(Dashboard_Capital_Earnings!G23&lt;=_config!$B$24,"WATCH","OK")))</f>
        <v/>
      </c>
      <c r="T20" s="26">
        <f>IF(NOT(ISNUMBER(Dashboard_Capital_Earnings!H23)),"",IF(Dashboard_Capital_Earnings!H23&lt;=_config!$C$25,"ALERT",IF(Dashboard_Capital_Earnings!H23&lt;=_config!$B$25,"WATCH","OK")))</f>
        <v/>
      </c>
      <c r="U20" s="26">
        <f>IF(NOT(ISNUMBER(Dashboard_Capital_Earnings!I23)),"",IF(Dashboard_Capital_Earnings!I23&gt;=_config!$C$26,"ALERT",IF(Dashboard_Capital_Earnings!I23&gt;=_config!$B$26,"WATCH","OK")))</f>
        <v/>
      </c>
      <c r="V20" s="26">
        <f>IF(NOT(ISNUMBER(Dashboard_Funding_Concentration!D23)),"",IF(Dashboard_Funding_Concentration!D23&gt;=_config!$C$27,"ALERT",IF(Dashboard_Funding_Concentration!D23&gt;=_config!$B$27,"WATCH","OK")))</f>
        <v/>
      </c>
      <c r="W20" s="26">
        <f>IF(NOT(ISNUMBER(Dashboard_Funding_Concentration!E23)),"",IF(Dashboard_Funding_Concentration!E23&gt;=_config!$C$28,"ALERT",IF(Dashboard_Funding_Concentration!E23&gt;=_config!$B$28,"WATCH","OK")))</f>
        <v/>
      </c>
      <c r="X20" s="26">
        <f>IF(NOT(ISNUMBER(Dashboard_Funding_Concentration!F23)),"",IF(Dashboard_Funding_Concentration!F23&gt;=_config!$C$29,"ALERT",IF(Dashboard_Funding_Concentration!F23&gt;=_config!$B$29,"WATCH","OK")))</f>
        <v/>
      </c>
      <c r="Z20" s="26">
        <f>IF(NOT(ISNUMBER($E20)),"",$E20*10000+IF(ISNUMBER($D20),$D20,0))</f>
        <v/>
      </c>
    </row>
    <row r="21">
      <c r="A21" s="14">
        <f>IF(_config!$C$49="","",_config!$C$49)</f>
        <v/>
      </c>
      <c r="B21" s="23">
        <f>IF(_config!$B$49="","",_config!$B$49)</f>
        <v/>
      </c>
      <c r="C21" s="16">
        <f>IF(_config!$D$49="","",_config!$D$49)</f>
        <v/>
      </c>
      <c r="D21" s="24">
        <f>IF(Dashboard_AssetQuality!I24="","",Dashboard_AssetQuality!I24)</f>
        <v/>
      </c>
      <c r="E21" s="25">
        <f>IF($A21="","",COUNTIF($J21:$X21,"ALERT"))</f>
        <v/>
      </c>
      <c r="F21" s="25">
        <f>IF($A21="","",COUNTIF($J21:$X21,"WATCH"))</f>
        <v/>
      </c>
      <c r="G21" s="25">
        <f>IF($Z21="","",RANK($Z21,$Z$5:$Z$44))</f>
        <v/>
      </c>
      <c r="H21" s="25">
        <f>IF(_config!$C$49="","",IF(NOT(ISNUMBER(_config!$B$49)),"REFUSED: blank/invalid CERT -- run --lookup",IF(UPPER(_config!$E$49&amp;"")&lt;&gt;"TRUE","OFF",IF($E21&gt;0,"ALERT",IF($F21&gt;0,"WATCH","OK")))))</f>
        <v/>
      </c>
      <c r="J21" s="26">
        <f>IF(NOT(ISNUMBER(Dashboard_AssetQuality!D24)),"",IF(Dashboard_AssetQuality!D24&gt;=_config!$C$15,"ALERT",IF(Dashboard_AssetQuality!D24&gt;=_config!$B$15,"WATCH","OK")))</f>
        <v/>
      </c>
      <c r="K21" s="26">
        <f>IF(NOT(ISNUMBER(Dashboard_AssetQuality!E24)),"",IF(Dashboard_AssetQuality!E24&gt;=_config!$C$16,"ALERT",IF(Dashboard_AssetQuality!E24&gt;=_config!$B$16,"WATCH","OK")))</f>
        <v/>
      </c>
      <c r="L21" s="26">
        <f>IF(NOT(ISNUMBER(Dashboard_AssetQuality!F24)),"",IF(Dashboard_AssetQuality!F24&gt;=_config!$C$17,"ALERT",IF(Dashboard_AssetQuality!F24&gt;=_config!$B$17,"WATCH","OK")))</f>
        <v/>
      </c>
      <c r="M21" s="26">
        <f>IF(NOT(ISNUMBER(Dashboard_AssetQuality!G24)),"",IF(Dashboard_AssetQuality!G24&lt;=_config!$C$18,"ALERT",IF(Dashboard_AssetQuality!G24&lt;=_config!$B$18,"WATCH","OK")))</f>
        <v/>
      </c>
      <c r="N21" s="26">
        <f>IF(NOT(ISNUMBER(Dashboard_AssetQuality!H24)),"",IF(Dashboard_AssetQuality!H24&lt;=_config!$C$19,"ALERT",IF(Dashboard_AssetQuality!H24&lt;=_config!$B$19,"WATCH","OK")))</f>
        <v/>
      </c>
      <c r="O21" s="26">
        <f>IF(NOT(ISNUMBER(Dashboard_AssetQuality!I24)),"",IF(Dashboard_AssetQuality!I24&gt;=_config!$C$20,"ALERT",IF(Dashboard_AssetQuality!I24&gt;=_config!$B$20,"WATCH","OK")))</f>
        <v/>
      </c>
      <c r="P21" s="26">
        <f>IF(NOT(ISNUMBER(Dashboard_Capital_Earnings!D24)),"",IF(Dashboard_Capital_Earnings!D24&lt;=_config!$C$21,"ALERT",IF(Dashboard_Capital_Earnings!D24&lt;=_config!$B$21,"WATCH","OK")))</f>
        <v/>
      </c>
      <c r="Q21" s="26">
        <f>IF(NOT(ISNUMBER(Dashboard_Capital_Earnings!E24)),"",IF(Dashboard_Capital_Earnings!E24&lt;=_config!$C$22,"ALERT",IF(Dashboard_Capital_Earnings!E24&lt;=_config!$B$22,"WATCH","OK")))</f>
        <v/>
      </c>
      <c r="R21" s="26">
        <f>IF(NOT(ISNUMBER(Dashboard_Capital_Earnings!F24)),"",IF(Dashboard_Capital_Earnings!F24&lt;=_config!$C$23,"ALERT",IF(Dashboard_Capital_Earnings!F24&lt;=_config!$B$23,"WATCH","OK")))</f>
        <v/>
      </c>
      <c r="S21" s="26">
        <f>IF(NOT(ISNUMBER(Dashboard_Capital_Earnings!G24)),"",IF(Dashboard_Capital_Earnings!G24&lt;=_config!$C$24,"ALERT",IF(Dashboard_Capital_Earnings!G24&lt;=_config!$B$24,"WATCH","OK")))</f>
        <v/>
      </c>
      <c r="T21" s="26">
        <f>IF(NOT(ISNUMBER(Dashboard_Capital_Earnings!H24)),"",IF(Dashboard_Capital_Earnings!H24&lt;=_config!$C$25,"ALERT",IF(Dashboard_Capital_Earnings!H24&lt;=_config!$B$25,"WATCH","OK")))</f>
        <v/>
      </c>
      <c r="U21" s="26">
        <f>IF(NOT(ISNUMBER(Dashboard_Capital_Earnings!I24)),"",IF(Dashboard_Capital_Earnings!I24&gt;=_config!$C$26,"ALERT",IF(Dashboard_Capital_Earnings!I24&gt;=_config!$B$26,"WATCH","OK")))</f>
        <v/>
      </c>
      <c r="V21" s="26">
        <f>IF(NOT(ISNUMBER(Dashboard_Funding_Concentration!D24)),"",IF(Dashboard_Funding_Concentration!D24&gt;=_config!$C$27,"ALERT",IF(Dashboard_Funding_Concentration!D24&gt;=_config!$B$27,"WATCH","OK")))</f>
        <v/>
      </c>
      <c r="W21" s="26">
        <f>IF(NOT(ISNUMBER(Dashboard_Funding_Concentration!E24)),"",IF(Dashboard_Funding_Concentration!E24&gt;=_config!$C$28,"ALERT",IF(Dashboard_Funding_Concentration!E24&gt;=_config!$B$28,"WATCH","OK")))</f>
        <v/>
      </c>
      <c r="X21" s="26">
        <f>IF(NOT(ISNUMBER(Dashboard_Funding_Concentration!F24)),"",IF(Dashboard_Funding_Concentration!F24&gt;=_config!$C$29,"ALERT",IF(Dashboard_Funding_Concentration!F24&gt;=_config!$B$29,"WATCH","OK")))</f>
        <v/>
      </c>
      <c r="Z21" s="26">
        <f>IF(NOT(ISNUMBER($E21)),"",$E21*10000+IF(ISNUMBER($D21),$D21,0))</f>
        <v/>
      </c>
    </row>
    <row r="22">
      <c r="A22" s="14">
        <f>IF(_config!$C$50="","",_config!$C$50)</f>
        <v/>
      </c>
      <c r="B22" s="23">
        <f>IF(_config!$B$50="","",_config!$B$50)</f>
        <v/>
      </c>
      <c r="C22" s="16">
        <f>IF(_config!$D$50="","",_config!$D$50)</f>
        <v/>
      </c>
      <c r="D22" s="24">
        <f>IF(Dashboard_AssetQuality!I25="","",Dashboard_AssetQuality!I25)</f>
        <v/>
      </c>
      <c r="E22" s="25">
        <f>IF($A22="","",COUNTIF($J22:$X22,"ALERT"))</f>
        <v/>
      </c>
      <c r="F22" s="25">
        <f>IF($A22="","",COUNTIF($J22:$X22,"WATCH"))</f>
        <v/>
      </c>
      <c r="G22" s="25">
        <f>IF($Z22="","",RANK($Z22,$Z$5:$Z$44))</f>
        <v/>
      </c>
      <c r="H22" s="25">
        <f>IF(_config!$C$50="","",IF(NOT(ISNUMBER(_config!$B$50)),"REFUSED: blank/invalid CERT -- run --lookup",IF(UPPER(_config!$E$50&amp;"")&lt;&gt;"TRUE","OFF",IF($E22&gt;0,"ALERT",IF($F22&gt;0,"WATCH","OK")))))</f>
        <v/>
      </c>
      <c r="J22" s="26">
        <f>IF(NOT(ISNUMBER(Dashboard_AssetQuality!D25)),"",IF(Dashboard_AssetQuality!D25&gt;=_config!$C$15,"ALERT",IF(Dashboard_AssetQuality!D25&gt;=_config!$B$15,"WATCH","OK")))</f>
        <v/>
      </c>
      <c r="K22" s="26">
        <f>IF(NOT(ISNUMBER(Dashboard_AssetQuality!E25)),"",IF(Dashboard_AssetQuality!E25&gt;=_config!$C$16,"ALERT",IF(Dashboard_AssetQuality!E25&gt;=_config!$B$16,"WATCH","OK")))</f>
        <v/>
      </c>
      <c r="L22" s="26">
        <f>IF(NOT(ISNUMBER(Dashboard_AssetQuality!F25)),"",IF(Dashboard_AssetQuality!F25&gt;=_config!$C$17,"ALERT",IF(Dashboard_AssetQuality!F25&gt;=_config!$B$17,"WATCH","OK")))</f>
        <v/>
      </c>
      <c r="M22" s="26">
        <f>IF(NOT(ISNUMBER(Dashboard_AssetQuality!G25)),"",IF(Dashboard_AssetQuality!G25&lt;=_config!$C$18,"ALERT",IF(Dashboard_AssetQuality!G25&lt;=_config!$B$18,"WATCH","OK")))</f>
        <v/>
      </c>
      <c r="N22" s="26">
        <f>IF(NOT(ISNUMBER(Dashboard_AssetQuality!H25)),"",IF(Dashboard_AssetQuality!H25&lt;=_config!$C$19,"ALERT",IF(Dashboard_AssetQuality!H25&lt;=_config!$B$19,"WATCH","OK")))</f>
        <v/>
      </c>
      <c r="O22" s="26">
        <f>IF(NOT(ISNUMBER(Dashboard_AssetQuality!I25)),"",IF(Dashboard_AssetQuality!I25&gt;=_config!$C$20,"ALERT",IF(Dashboard_AssetQuality!I25&gt;=_config!$B$20,"WATCH","OK")))</f>
        <v/>
      </c>
      <c r="P22" s="26">
        <f>IF(NOT(ISNUMBER(Dashboard_Capital_Earnings!D25)),"",IF(Dashboard_Capital_Earnings!D25&lt;=_config!$C$21,"ALERT",IF(Dashboard_Capital_Earnings!D25&lt;=_config!$B$21,"WATCH","OK")))</f>
        <v/>
      </c>
      <c r="Q22" s="26">
        <f>IF(NOT(ISNUMBER(Dashboard_Capital_Earnings!E25)),"",IF(Dashboard_Capital_Earnings!E25&lt;=_config!$C$22,"ALERT",IF(Dashboard_Capital_Earnings!E25&lt;=_config!$B$22,"WATCH","OK")))</f>
        <v/>
      </c>
      <c r="R22" s="26">
        <f>IF(NOT(ISNUMBER(Dashboard_Capital_Earnings!F25)),"",IF(Dashboard_Capital_Earnings!F25&lt;=_config!$C$23,"ALERT",IF(Dashboard_Capital_Earnings!F25&lt;=_config!$B$23,"WATCH","OK")))</f>
        <v/>
      </c>
      <c r="S22" s="26">
        <f>IF(NOT(ISNUMBER(Dashboard_Capital_Earnings!G25)),"",IF(Dashboard_Capital_Earnings!G25&lt;=_config!$C$24,"ALERT",IF(Dashboard_Capital_Earnings!G25&lt;=_config!$B$24,"WATCH","OK")))</f>
        <v/>
      </c>
      <c r="T22" s="26">
        <f>IF(NOT(ISNUMBER(Dashboard_Capital_Earnings!H25)),"",IF(Dashboard_Capital_Earnings!H25&lt;=_config!$C$25,"ALERT",IF(Dashboard_Capital_Earnings!H25&lt;=_config!$B$25,"WATCH","OK")))</f>
        <v/>
      </c>
      <c r="U22" s="26">
        <f>IF(NOT(ISNUMBER(Dashboard_Capital_Earnings!I25)),"",IF(Dashboard_Capital_Earnings!I25&gt;=_config!$C$26,"ALERT",IF(Dashboard_Capital_Earnings!I25&gt;=_config!$B$26,"WATCH","OK")))</f>
        <v/>
      </c>
      <c r="V22" s="26">
        <f>IF(NOT(ISNUMBER(Dashboard_Funding_Concentration!D25)),"",IF(Dashboard_Funding_Concentration!D25&gt;=_config!$C$27,"ALERT",IF(Dashboard_Funding_Concentration!D25&gt;=_config!$B$27,"WATCH","OK")))</f>
        <v/>
      </c>
      <c r="W22" s="26">
        <f>IF(NOT(ISNUMBER(Dashboard_Funding_Concentration!E25)),"",IF(Dashboard_Funding_Concentration!E25&gt;=_config!$C$28,"ALERT",IF(Dashboard_Funding_Concentration!E25&gt;=_config!$B$28,"WATCH","OK")))</f>
        <v/>
      </c>
      <c r="X22" s="26">
        <f>IF(NOT(ISNUMBER(Dashboard_Funding_Concentration!F25)),"",IF(Dashboard_Funding_Concentration!F25&gt;=_config!$C$29,"ALERT",IF(Dashboard_Funding_Concentration!F25&gt;=_config!$B$29,"WATCH","OK")))</f>
        <v/>
      </c>
      <c r="Z22" s="26">
        <f>IF(NOT(ISNUMBER($E22)),"",$E22*10000+IF(ISNUMBER($D22),$D22,0))</f>
        <v/>
      </c>
    </row>
    <row r="23">
      <c r="A23" s="14">
        <f>IF(_config!$C$51="","",_config!$C$51)</f>
        <v/>
      </c>
      <c r="B23" s="23">
        <f>IF(_config!$B$51="","",_config!$B$51)</f>
        <v/>
      </c>
      <c r="C23" s="16">
        <f>IF(_config!$D$51="","",_config!$D$51)</f>
        <v/>
      </c>
      <c r="D23" s="24">
        <f>IF(Dashboard_AssetQuality!I26="","",Dashboard_AssetQuality!I26)</f>
        <v/>
      </c>
      <c r="E23" s="25">
        <f>IF($A23="","",COUNTIF($J23:$X23,"ALERT"))</f>
        <v/>
      </c>
      <c r="F23" s="25">
        <f>IF($A23="","",COUNTIF($J23:$X23,"WATCH"))</f>
        <v/>
      </c>
      <c r="G23" s="25">
        <f>IF($Z23="","",RANK($Z23,$Z$5:$Z$44))</f>
        <v/>
      </c>
      <c r="H23" s="25">
        <f>IF(_config!$C$51="","",IF(NOT(ISNUMBER(_config!$B$51)),"REFUSED: blank/invalid CERT -- run --lookup",IF(UPPER(_config!$E$51&amp;"")&lt;&gt;"TRUE","OFF",IF($E23&gt;0,"ALERT",IF($F23&gt;0,"WATCH","OK")))))</f>
        <v/>
      </c>
      <c r="J23" s="26">
        <f>IF(NOT(ISNUMBER(Dashboard_AssetQuality!D26)),"",IF(Dashboard_AssetQuality!D26&gt;=_config!$C$15,"ALERT",IF(Dashboard_AssetQuality!D26&gt;=_config!$B$15,"WATCH","OK")))</f>
        <v/>
      </c>
      <c r="K23" s="26">
        <f>IF(NOT(ISNUMBER(Dashboard_AssetQuality!E26)),"",IF(Dashboard_AssetQuality!E26&gt;=_config!$C$16,"ALERT",IF(Dashboard_AssetQuality!E26&gt;=_config!$B$16,"WATCH","OK")))</f>
        <v/>
      </c>
      <c r="L23" s="26">
        <f>IF(NOT(ISNUMBER(Dashboard_AssetQuality!F26)),"",IF(Dashboard_AssetQuality!F26&gt;=_config!$C$17,"ALERT",IF(Dashboard_AssetQuality!F26&gt;=_config!$B$17,"WATCH","OK")))</f>
        <v/>
      </c>
      <c r="M23" s="26">
        <f>IF(NOT(ISNUMBER(Dashboard_AssetQuality!G26)),"",IF(Dashboard_AssetQuality!G26&lt;=_config!$C$18,"ALERT",IF(Dashboard_AssetQuality!G26&lt;=_config!$B$18,"WATCH","OK")))</f>
        <v/>
      </c>
      <c r="N23" s="26">
        <f>IF(NOT(ISNUMBER(Dashboard_AssetQuality!H26)),"",IF(Dashboard_AssetQuality!H26&lt;=_config!$C$19,"ALERT",IF(Dashboard_AssetQuality!H26&lt;=_config!$B$19,"WATCH","OK")))</f>
        <v/>
      </c>
      <c r="O23" s="26">
        <f>IF(NOT(ISNUMBER(Dashboard_AssetQuality!I26)),"",IF(Dashboard_AssetQuality!I26&gt;=_config!$C$20,"ALERT",IF(Dashboard_AssetQuality!I26&gt;=_config!$B$20,"WATCH","OK")))</f>
        <v/>
      </c>
      <c r="P23" s="26">
        <f>IF(NOT(ISNUMBER(Dashboard_Capital_Earnings!D26)),"",IF(Dashboard_Capital_Earnings!D26&lt;=_config!$C$21,"ALERT",IF(Dashboard_Capital_Earnings!D26&lt;=_config!$B$21,"WATCH","OK")))</f>
        <v/>
      </c>
      <c r="Q23" s="26">
        <f>IF(NOT(ISNUMBER(Dashboard_Capital_Earnings!E26)),"",IF(Dashboard_Capital_Earnings!E26&lt;=_config!$C$22,"ALERT",IF(Dashboard_Capital_Earnings!E26&lt;=_config!$B$22,"WATCH","OK")))</f>
        <v/>
      </c>
      <c r="R23" s="26">
        <f>IF(NOT(ISNUMBER(Dashboard_Capital_Earnings!F26)),"",IF(Dashboard_Capital_Earnings!F26&lt;=_config!$C$23,"ALERT",IF(Dashboard_Capital_Earnings!F26&lt;=_config!$B$23,"WATCH","OK")))</f>
        <v/>
      </c>
      <c r="S23" s="26">
        <f>IF(NOT(ISNUMBER(Dashboard_Capital_Earnings!G26)),"",IF(Dashboard_Capital_Earnings!G26&lt;=_config!$C$24,"ALERT",IF(Dashboard_Capital_Earnings!G26&lt;=_config!$B$24,"WATCH","OK")))</f>
        <v/>
      </c>
      <c r="T23" s="26">
        <f>IF(NOT(ISNUMBER(Dashboard_Capital_Earnings!H26)),"",IF(Dashboard_Capital_Earnings!H26&lt;=_config!$C$25,"ALERT",IF(Dashboard_Capital_Earnings!H26&lt;=_config!$B$25,"WATCH","OK")))</f>
        <v/>
      </c>
      <c r="U23" s="26">
        <f>IF(NOT(ISNUMBER(Dashboard_Capital_Earnings!I26)),"",IF(Dashboard_Capital_Earnings!I26&gt;=_config!$C$26,"ALERT",IF(Dashboard_Capital_Earnings!I26&gt;=_config!$B$26,"WATCH","OK")))</f>
        <v/>
      </c>
      <c r="V23" s="26">
        <f>IF(NOT(ISNUMBER(Dashboard_Funding_Concentration!D26)),"",IF(Dashboard_Funding_Concentration!D26&gt;=_config!$C$27,"ALERT",IF(Dashboard_Funding_Concentration!D26&gt;=_config!$B$27,"WATCH","OK")))</f>
        <v/>
      </c>
      <c r="W23" s="26">
        <f>IF(NOT(ISNUMBER(Dashboard_Funding_Concentration!E26)),"",IF(Dashboard_Funding_Concentration!E26&gt;=_config!$C$28,"ALERT",IF(Dashboard_Funding_Concentration!E26&gt;=_config!$B$28,"WATCH","OK")))</f>
        <v/>
      </c>
      <c r="X23" s="26">
        <f>IF(NOT(ISNUMBER(Dashboard_Funding_Concentration!F26)),"",IF(Dashboard_Funding_Concentration!F26&gt;=_config!$C$29,"ALERT",IF(Dashboard_Funding_Concentration!F26&gt;=_config!$B$29,"WATCH","OK")))</f>
        <v/>
      </c>
      <c r="Z23" s="26">
        <f>IF(NOT(ISNUMBER($E23)),"",$E23*10000+IF(ISNUMBER($D23),$D23,0))</f>
        <v/>
      </c>
    </row>
    <row r="24">
      <c r="A24" s="14">
        <f>IF(_config!$C$52="","",_config!$C$52)</f>
        <v/>
      </c>
      <c r="B24" s="23">
        <f>IF(_config!$B$52="","",_config!$B$52)</f>
        <v/>
      </c>
      <c r="C24" s="16">
        <f>IF(_config!$D$52="","",_config!$D$52)</f>
        <v/>
      </c>
      <c r="D24" s="24">
        <f>IF(Dashboard_AssetQuality!I27="","",Dashboard_AssetQuality!I27)</f>
        <v/>
      </c>
      <c r="E24" s="25">
        <f>IF($A24="","",COUNTIF($J24:$X24,"ALERT"))</f>
        <v/>
      </c>
      <c r="F24" s="25">
        <f>IF($A24="","",COUNTIF($J24:$X24,"WATCH"))</f>
        <v/>
      </c>
      <c r="G24" s="25">
        <f>IF($Z24="","",RANK($Z24,$Z$5:$Z$44))</f>
        <v/>
      </c>
      <c r="H24" s="25">
        <f>IF(_config!$C$52="","",IF(NOT(ISNUMBER(_config!$B$52)),"REFUSED: blank/invalid CERT -- run --lookup",IF(UPPER(_config!$E$52&amp;"")&lt;&gt;"TRUE","OFF",IF($E24&gt;0,"ALERT",IF($F24&gt;0,"WATCH","OK")))))</f>
        <v/>
      </c>
      <c r="J24" s="26">
        <f>IF(NOT(ISNUMBER(Dashboard_AssetQuality!D27)),"",IF(Dashboard_AssetQuality!D27&gt;=_config!$C$15,"ALERT",IF(Dashboard_AssetQuality!D27&gt;=_config!$B$15,"WATCH","OK")))</f>
        <v/>
      </c>
      <c r="K24" s="26">
        <f>IF(NOT(ISNUMBER(Dashboard_AssetQuality!E27)),"",IF(Dashboard_AssetQuality!E27&gt;=_config!$C$16,"ALERT",IF(Dashboard_AssetQuality!E27&gt;=_config!$B$16,"WATCH","OK")))</f>
        <v/>
      </c>
      <c r="L24" s="26">
        <f>IF(NOT(ISNUMBER(Dashboard_AssetQuality!F27)),"",IF(Dashboard_AssetQuality!F27&gt;=_config!$C$17,"ALERT",IF(Dashboard_AssetQuality!F27&gt;=_config!$B$17,"WATCH","OK")))</f>
        <v/>
      </c>
      <c r="M24" s="26">
        <f>IF(NOT(ISNUMBER(Dashboard_AssetQuality!G27)),"",IF(Dashboard_AssetQuality!G27&lt;=_config!$C$18,"ALERT",IF(Dashboard_AssetQuality!G27&lt;=_config!$B$18,"WATCH","OK")))</f>
        <v/>
      </c>
      <c r="N24" s="26">
        <f>IF(NOT(ISNUMBER(Dashboard_AssetQuality!H27)),"",IF(Dashboard_AssetQuality!H27&lt;=_config!$C$19,"ALERT",IF(Dashboard_AssetQuality!H27&lt;=_config!$B$19,"WATCH","OK")))</f>
        <v/>
      </c>
      <c r="O24" s="26">
        <f>IF(NOT(ISNUMBER(Dashboard_AssetQuality!I27)),"",IF(Dashboard_AssetQuality!I27&gt;=_config!$C$20,"ALERT",IF(Dashboard_AssetQuality!I27&gt;=_config!$B$20,"WATCH","OK")))</f>
        <v/>
      </c>
      <c r="P24" s="26">
        <f>IF(NOT(ISNUMBER(Dashboard_Capital_Earnings!D27)),"",IF(Dashboard_Capital_Earnings!D27&lt;=_config!$C$21,"ALERT",IF(Dashboard_Capital_Earnings!D27&lt;=_config!$B$21,"WATCH","OK")))</f>
        <v/>
      </c>
      <c r="Q24" s="26">
        <f>IF(NOT(ISNUMBER(Dashboard_Capital_Earnings!E27)),"",IF(Dashboard_Capital_Earnings!E27&lt;=_config!$C$22,"ALERT",IF(Dashboard_Capital_Earnings!E27&lt;=_config!$B$22,"WATCH","OK")))</f>
        <v/>
      </c>
      <c r="R24" s="26">
        <f>IF(NOT(ISNUMBER(Dashboard_Capital_Earnings!F27)),"",IF(Dashboard_Capital_Earnings!F27&lt;=_config!$C$23,"ALERT",IF(Dashboard_Capital_Earnings!F27&lt;=_config!$B$23,"WATCH","OK")))</f>
        <v/>
      </c>
      <c r="S24" s="26">
        <f>IF(NOT(ISNUMBER(Dashboard_Capital_Earnings!G27)),"",IF(Dashboard_Capital_Earnings!G27&lt;=_config!$C$24,"ALERT",IF(Dashboard_Capital_Earnings!G27&lt;=_config!$B$24,"WATCH","OK")))</f>
        <v/>
      </c>
      <c r="T24" s="26">
        <f>IF(NOT(ISNUMBER(Dashboard_Capital_Earnings!H27)),"",IF(Dashboard_Capital_Earnings!H27&lt;=_config!$C$25,"ALERT",IF(Dashboard_Capital_Earnings!H27&lt;=_config!$B$25,"WATCH","OK")))</f>
        <v/>
      </c>
      <c r="U24" s="26">
        <f>IF(NOT(ISNUMBER(Dashboard_Capital_Earnings!I27)),"",IF(Dashboard_Capital_Earnings!I27&gt;=_config!$C$26,"ALERT",IF(Dashboard_Capital_Earnings!I27&gt;=_config!$B$26,"WATCH","OK")))</f>
        <v/>
      </c>
      <c r="V24" s="26">
        <f>IF(NOT(ISNUMBER(Dashboard_Funding_Concentration!D27)),"",IF(Dashboard_Funding_Concentration!D27&gt;=_config!$C$27,"ALERT",IF(Dashboard_Funding_Concentration!D27&gt;=_config!$B$27,"WATCH","OK")))</f>
        <v/>
      </c>
      <c r="W24" s="26">
        <f>IF(NOT(ISNUMBER(Dashboard_Funding_Concentration!E27)),"",IF(Dashboard_Funding_Concentration!E27&gt;=_config!$C$28,"ALERT",IF(Dashboard_Funding_Concentration!E27&gt;=_config!$B$28,"WATCH","OK")))</f>
        <v/>
      </c>
      <c r="X24" s="26">
        <f>IF(NOT(ISNUMBER(Dashboard_Funding_Concentration!F27)),"",IF(Dashboard_Funding_Concentration!F27&gt;=_config!$C$29,"ALERT",IF(Dashboard_Funding_Concentration!F27&gt;=_config!$B$29,"WATCH","OK")))</f>
        <v/>
      </c>
      <c r="Z24" s="26">
        <f>IF(NOT(ISNUMBER($E24)),"",$E24*10000+IF(ISNUMBER($D24),$D24,0))</f>
        <v/>
      </c>
    </row>
    <row r="25">
      <c r="A25" s="14">
        <f>IF(_config!$C$53="","",_config!$C$53)</f>
        <v/>
      </c>
      <c r="B25" s="23">
        <f>IF(_config!$B$53="","",_config!$B$53)</f>
        <v/>
      </c>
      <c r="C25" s="16">
        <f>IF(_config!$D$53="","",_config!$D$53)</f>
        <v/>
      </c>
      <c r="D25" s="24">
        <f>IF(Dashboard_AssetQuality!I28="","",Dashboard_AssetQuality!I28)</f>
        <v/>
      </c>
      <c r="E25" s="25">
        <f>IF($A25="","",COUNTIF($J25:$X25,"ALERT"))</f>
        <v/>
      </c>
      <c r="F25" s="25">
        <f>IF($A25="","",COUNTIF($J25:$X25,"WATCH"))</f>
        <v/>
      </c>
      <c r="G25" s="25">
        <f>IF($Z25="","",RANK($Z25,$Z$5:$Z$44))</f>
        <v/>
      </c>
      <c r="H25" s="25">
        <f>IF(_config!$C$53="","",IF(NOT(ISNUMBER(_config!$B$53)),"REFUSED: blank/invalid CERT -- run --lookup",IF(UPPER(_config!$E$53&amp;"")&lt;&gt;"TRUE","OFF",IF($E25&gt;0,"ALERT",IF($F25&gt;0,"WATCH","OK")))))</f>
        <v/>
      </c>
      <c r="J25" s="26">
        <f>IF(NOT(ISNUMBER(Dashboard_AssetQuality!D28)),"",IF(Dashboard_AssetQuality!D28&gt;=_config!$C$15,"ALERT",IF(Dashboard_AssetQuality!D28&gt;=_config!$B$15,"WATCH","OK")))</f>
        <v/>
      </c>
      <c r="K25" s="26">
        <f>IF(NOT(ISNUMBER(Dashboard_AssetQuality!E28)),"",IF(Dashboard_AssetQuality!E28&gt;=_config!$C$16,"ALERT",IF(Dashboard_AssetQuality!E28&gt;=_config!$B$16,"WATCH","OK")))</f>
        <v/>
      </c>
      <c r="L25" s="26">
        <f>IF(NOT(ISNUMBER(Dashboard_AssetQuality!F28)),"",IF(Dashboard_AssetQuality!F28&gt;=_config!$C$17,"ALERT",IF(Dashboard_AssetQuality!F28&gt;=_config!$B$17,"WATCH","OK")))</f>
        <v/>
      </c>
      <c r="M25" s="26">
        <f>IF(NOT(ISNUMBER(Dashboard_AssetQuality!G28)),"",IF(Dashboard_AssetQuality!G28&lt;=_config!$C$18,"ALERT",IF(Dashboard_AssetQuality!G28&lt;=_config!$B$18,"WATCH","OK")))</f>
        <v/>
      </c>
      <c r="N25" s="26">
        <f>IF(NOT(ISNUMBER(Dashboard_AssetQuality!H28)),"",IF(Dashboard_AssetQuality!H28&lt;=_config!$C$19,"ALERT",IF(Dashboard_AssetQuality!H28&lt;=_config!$B$19,"WATCH","OK")))</f>
        <v/>
      </c>
      <c r="O25" s="26">
        <f>IF(NOT(ISNUMBER(Dashboard_AssetQuality!I28)),"",IF(Dashboard_AssetQuality!I28&gt;=_config!$C$20,"ALERT",IF(Dashboard_AssetQuality!I28&gt;=_config!$B$20,"WATCH","OK")))</f>
        <v/>
      </c>
      <c r="P25" s="26">
        <f>IF(NOT(ISNUMBER(Dashboard_Capital_Earnings!D28)),"",IF(Dashboard_Capital_Earnings!D28&lt;=_config!$C$21,"ALERT",IF(Dashboard_Capital_Earnings!D28&lt;=_config!$B$21,"WATCH","OK")))</f>
        <v/>
      </c>
      <c r="Q25" s="26">
        <f>IF(NOT(ISNUMBER(Dashboard_Capital_Earnings!E28)),"",IF(Dashboard_Capital_Earnings!E28&lt;=_config!$C$22,"ALERT",IF(Dashboard_Capital_Earnings!E28&lt;=_config!$B$22,"WATCH","OK")))</f>
        <v/>
      </c>
      <c r="R25" s="26">
        <f>IF(NOT(ISNUMBER(Dashboard_Capital_Earnings!F28)),"",IF(Dashboard_Capital_Earnings!F28&lt;=_config!$C$23,"ALERT",IF(Dashboard_Capital_Earnings!F28&lt;=_config!$B$23,"WATCH","OK")))</f>
        <v/>
      </c>
      <c r="S25" s="26">
        <f>IF(NOT(ISNUMBER(Dashboard_Capital_Earnings!G28)),"",IF(Dashboard_Capital_Earnings!G28&lt;=_config!$C$24,"ALERT",IF(Dashboard_Capital_Earnings!G28&lt;=_config!$B$24,"WATCH","OK")))</f>
        <v/>
      </c>
      <c r="T25" s="26">
        <f>IF(NOT(ISNUMBER(Dashboard_Capital_Earnings!H28)),"",IF(Dashboard_Capital_Earnings!H28&lt;=_config!$C$25,"ALERT",IF(Dashboard_Capital_Earnings!H28&lt;=_config!$B$25,"WATCH","OK")))</f>
        <v/>
      </c>
      <c r="U25" s="26">
        <f>IF(NOT(ISNUMBER(Dashboard_Capital_Earnings!I28)),"",IF(Dashboard_Capital_Earnings!I28&gt;=_config!$C$26,"ALERT",IF(Dashboard_Capital_Earnings!I28&gt;=_config!$B$26,"WATCH","OK")))</f>
        <v/>
      </c>
      <c r="V25" s="26">
        <f>IF(NOT(ISNUMBER(Dashboard_Funding_Concentration!D28)),"",IF(Dashboard_Funding_Concentration!D28&gt;=_config!$C$27,"ALERT",IF(Dashboard_Funding_Concentration!D28&gt;=_config!$B$27,"WATCH","OK")))</f>
        <v/>
      </c>
      <c r="W25" s="26">
        <f>IF(NOT(ISNUMBER(Dashboard_Funding_Concentration!E28)),"",IF(Dashboard_Funding_Concentration!E28&gt;=_config!$C$28,"ALERT",IF(Dashboard_Funding_Concentration!E28&gt;=_config!$B$28,"WATCH","OK")))</f>
        <v/>
      </c>
      <c r="X25" s="26">
        <f>IF(NOT(ISNUMBER(Dashboard_Funding_Concentration!F28)),"",IF(Dashboard_Funding_Concentration!F28&gt;=_config!$C$29,"ALERT",IF(Dashboard_Funding_Concentration!F28&gt;=_config!$B$29,"WATCH","OK")))</f>
        <v/>
      </c>
      <c r="Z25" s="26">
        <f>IF(NOT(ISNUMBER($E25)),"",$E25*10000+IF(ISNUMBER($D25),$D25,0))</f>
        <v/>
      </c>
    </row>
    <row r="26">
      <c r="A26" s="14">
        <f>IF(_config!$C$54="","",_config!$C$54)</f>
        <v/>
      </c>
      <c r="B26" s="23">
        <f>IF(_config!$B$54="","",_config!$B$54)</f>
        <v/>
      </c>
      <c r="C26" s="16">
        <f>IF(_config!$D$54="","",_config!$D$54)</f>
        <v/>
      </c>
      <c r="D26" s="24">
        <f>IF(Dashboard_AssetQuality!I29="","",Dashboard_AssetQuality!I29)</f>
        <v/>
      </c>
      <c r="E26" s="25">
        <f>IF($A26="","",COUNTIF($J26:$X26,"ALERT"))</f>
        <v/>
      </c>
      <c r="F26" s="25">
        <f>IF($A26="","",COUNTIF($J26:$X26,"WATCH"))</f>
        <v/>
      </c>
      <c r="G26" s="25">
        <f>IF($Z26="","",RANK($Z26,$Z$5:$Z$44))</f>
        <v/>
      </c>
      <c r="H26" s="25">
        <f>IF(_config!$C$54="","",IF(NOT(ISNUMBER(_config!$B$54)),"REFUSED: blank/invalid CERT -- run --lookup",IF(UPPER(_config!$E$54&amp;"")&lt;&gt;"TRUE","OFF",IF($E26&gt;0,"ALERT",IF($F26&gt;0,"WATCH","OK")))))</f>
        <v/>
      </c>
      <c r="J26" s="26">
        <f>IF(NOT(ISNUMBER(Dashboard_AssetQuality!D29)),"",IF(Dashboard_AssetQuality!D29&gt;=_config!$C$15,"ALERT",IF(Dashboard_AssetQuality!D29&gt;=_config!$B$15,"WATCH","OK")))</f>
        <v/>
      </c>
      <c r="K26" s="26">
        <f>IF(NOT(ISNUMBER(Dashboard_AssetQuality!E29)),"",IF(Dashboard_AssetQuality!E29&gt;=_config!$C$16,"ALERT",IF(Dashboard_AssetQuality!E29&gt;=_config!$B$16,"WATCH","OK")))</f>
        <v/>
      </c>
      <c r="L26" s="26">
        <f>IF(NOT(ISNUMBER(Dashboard_AssetQuality!F29)),"",IF(Dashboard_AssetQuality!F29&gt;=_config!$C$17,"ALERT",IF(Dashboard_AssetQuality!F29&gt;=_config!$B$17,"WATCH","OK")))</f>
        <v/>
      </c>
      <c r="M26" s="26">
        <f>IF(NOT(ISNUMBER(Dashboard_AssetQuality!G29)),"",IF(Dashboard_AssetQuality!G29&lt;=_config!$C$18,"ALERT",IF(Dashboard_AssetQuality!G29&lt;=_config!$B$18,"WATCH","OK")))</f>
        <v/>
      </c>
      <c r="N26" s="26">
        <f>IF(NOT(ISNUMBER(Dashboard_AssetQuality!H29)),"",IF(Dashboard_AssetQuality!H29&lt;=_config!$C$19,"ALERT",IF(Dashboard_AssetQuality!H29&lt;=_config!$B$19,"WATCH","OK")))</f>
        <v/>
      </c>
      <c r="O26" s="26">
        <f>IF(NOT(ISNUMBER(Dashboard_AssetQuality!I29)),"",IF(Dashboard_AssetQuality!I29&gt;=_config!$C$20,"ALERT",IF(Dashboard_AssetQuality!I29&gt;=_config!$B$20,"WATCH","OK")))</f>
        <v/>
      </c>
      <c r="P26" s="26">
        <f>IF(NOT(ISNUMBER(Dashboard_Capital_Earnings!D29)),"",IF(Dashboard_Capital_Earnings!D29&lt;=_config!$C$21,"ALERT",IF(Dashboard_Capital_Earnings!D29&lt;=_config!$B$21,"WATCH","OK")))</f>
        <v/>
      </c>
      <c r="Q26" s="26">
        <f>IF(NOT(ISNUMBER(Dashboard_Capital_Earnings!E29)),"",IF(Dashboard_Capital_Earnings!E29&lt;=_config!$C$22,"ALERT",IF(Dashboard_Capital_Earnings!E29&lt;=_config!$B$22,"WATCH","OK")))</f>
        <v/>
      </c>
      <c r="R26" s="26">
        <f>IF(NOT(ISNUMBER(Dashboard_Capital_Earnings!F29)),"",IF(Dashboard_Capital_Earnings!F29&lt;=_config!$C$23,"ALERT",IF(Dashboard_Capital_Earnings!F29&lt;=_config!$B$23,"WATCH","OK")))</f>
        <v/>
      </c>
      <c r="S26" s="26">
        <f>IF(NOT(ISNUMBER(Dashboard_Capital_Earnings!G29)),"",IF(Dashboard_Capital_Earnings!G29&lt;=_config!$C$24,"ALERT",IF(Dashboard_Capital_Earnings!G29&lt;=_config!$B$24,"WATCH","OK")))</f>
        <v/>
      </c>
      <c r="T26" s="26">
        <f>IF(NOT(ISNUMBER(Dashboard_Capital_Earnings!H29)),"",IF(Dashboard_Capital_Earnings!H29&lt;=_config!$C$25,"ALERT",IF(Dashboard_Capital_Earnings!H29&lt;=_config!$B$25,"WATCH","OK")))</f>
        <v/>
      </c>
      <c r="U26" s="26">
        <f>IF(NOT(ISNUMBER(Dashboard_Capital_Earnings!I29)),"",IF(Dashboard_Capital_Earnings!I29&gt;=_config!$C$26,"ALERT",IF(Dashboard_Capital_Earnings!I29&gt;=_config!$B$26,"WATCH","OK")))</f>
        <v/>
      </c>
      <c r="V26" s="26">
        <f>IF(NOT(ISNUMBER(Dashboard_Funding_Concentration!D29)),"",IF(Dashboard_Funding_Concentration!D29&gt;=_config!$C$27,"ALERT",IF(Dashboard_Funding_Concentration!D29&gt;=_config!$B$27,"WATCH","OK")))</f>
        <v/>
      </c>
      <c r="W26" s="26">
        <f>IF(NOT(ISNUMBER(Dashboard_Funding_Concentration!E29)),"",IF(Dashboard_Funding_Concentration!E29&gt;=_config!$C$28,"ALERT",IF(Dashboard_Funding_Concentration!E29&gt;=_config!$B$28,"WATCH","OK")))</f>
        <v/>
      </c>
      <c r="X26" s="26">
        <f>IF(NOT(ISNUMBER(Dashboard_Funding_Concentration!F29)),"",IF(Dashboard_Funding_Concentration!F29&gt;=_config!$C$29,"ALERT",IF(Dashboard_Funding_Concentration!F29&gt;=_config!$B$29,"WATCH","OK")))</f>
        <v/>
      </c>
      <c r="Z26" s="26">
        <f>IF(NOT(ISNUMBER($E26)),"",$E26*10000+IF(ISNUMBER($D26),$D26,0))</f>
        <v/>
      </c>
    </row>
    <row r="27">
      <c r="A27" s="14">
        <f>IF(_config!$C$55="","",_config!$C$55)</f>
        <v/>
      </c>
      <c r="B27" s="23">
        <f>IF(_config!$B$55="","",_config!$B$55)</f>
        <v/>
      </c>
      <c r="C27" s="16">
        <f>IF(_config!$D$55="","",_config!$D$55)</f>
        <v/>
      </c>
      <c r="D27" s="24">
        <f>IF(Dashboard_AssetQuality!I30="","",Dashboard_AssetQuality!I30)</f>
        <v/>
      </c>
      <c r="E27" s="25">
        <f>IF($A27="","",COUNTIF($J27:$X27,"ALERT"))</f>
        <v/>
      </c>
      <c r="F27" s="25">
        <f>IF($A27="","",COUNTIF($J27:$X27,"WATCH"))</f>
        <v/>
      </c>
      <c r="G27" s="25">
        <f>IF($Z27="","",RANK($Z27,$Z$5:$Z$44))</f>
        <v/>
      </c>
      <c r="H27" s="25">
        <f>IF(_config!$C$55="","",IF(NOT(ISNUMBER(_config!$B$55)),"REFUSED: blank/invalid CERT -- run --lookup",IF(UPPER(_config!$E$55&amp;"")&lt;&gt;"TRUE","OFF",IF($E27&gt;0,"ALERT",IF($F27&gt;0,"WATCH","OK")))))</f>
        <v/>
      </c>
      <c r="J27" s="26">
        <f>IF(NOT(ISNUMBER(Dashboard_AssetQuality!D30)),"",IF(Dashboard_AssetQuality!D30&gt;=_config!$C$15,"ALERT",IF(Dashboard_AssetQuality!D30&gt;=_config!$B$15,"WATCH","OK")))</f>
        <v/>
      </c>
      <c r="K27" s="26">
        <f>IF(NOT(ISNUMBER(Dashboard_AssetQuality!E30)),"",IF(Dashboard_AssetQuality!E30&gt;=_config!$C$16,"ALERT",IF(Dashboard_AssetQuality!E30&gt;=_config!$B$16,"WATCH","OK")))</f>
        <v/>
      </c>
      <c r="L27" s="26">
        <f>IF(NOT(ISNUMBER(Dashboard_AssetQuality!F30)),"",IF(Dashboard_AssetQuality!F30&gt;=_config!$C$17,"ALERT",IF(Dashboard_AssetQuality!F30&gt;=_config!$B$17,"WATCH","OK")))</f>
        <v/>
      </c>
      <c r="M27" s="26">
        <f>IF(NOT(ISNUMBER(Dashboard_AssetQuality!G30)),"",IF(Dashboard_AssetQuality!G30&lt;=_config!$C$18,"ALERT",IF(Dashboard_AssetQuality!G30&lt;=_config!$B$18,"WATCH","OK")))</f>
        <v/>
      </c>
      <c r="N27" s="26">
        <f>IF(NOT(ISNUMBER(Dashboard_AssetQuality!H30)),"",IF(Dashboard_AssetQuality!H30&lt;=_config!$C$19,"ALERT",IF(Dashboard_AssetQuality!H30&lt;=_config!$B$19,"WATCH","OK")))</f>
        <v/>
      </c>
      <c r="O27" s="26">
        <f>IF(NOT(ISNUMBER(Dashboard_AssetQuality!I30)),"",IF(Dashboard_AssetQuality!I30&gt;=_config!$C$20,"ALERT",IF(Dashboard_AssetQuality!I30&gt;=_config!$B$20,"WATCH","OK")))</f>
        <v/>
      </c>
      <c r="P27" s="26">
        <f>IF(NOT(ISNUMBER(Dashboard_Capital_Earnings!D30)),"",IF(Dashboard_Capital_Earnings!D30&lt;=_config!$C$21,"ALERT",IF(Dashboard_Capital_Earnings!D30&lt;=_config!$B$21,"WATCH","OK")))</f>
        <v/>
      </c>
      <c r="Q27" s="26">
        <f>IF(NOT(ISNUMBER(Dashboard_Capital_Earnings!E30)),"",IF(Dashboard_Capital_Earnings!E30&lt;=_config!$C$22,"ALERT",IF(Dashboard_Capital_Earnings!E30&lt;=_config!$B$22,"WATCH","OK")))</f>
        <v/>
      </c>
      <c r="R27" s="26">
        <f>IF(NOT(ISNUMBER(Dashboard_Capital_Earnings!F30)),"",IF(Dashboard_Capital_Earnings!F30&lt;=_config!$C$23,"ALERT",IF(Dashboard_Capital_Earnings!F30&lt;=_config!$B$23,"WATCH","OK")))</f>
        <v/>
      </c>
      <c r="S27" s="26">
        <f>IF(NOT(ISNUMBER(Dashboard_Capital_Earnings!G30)),"",IF(Dashboard_Capital_Earnings!G30&lt;=_config!$C$24,"ALERT",IF(Dashboard_Capital_Earnings!G30&lt;=_config!$B$24,"WATCH","OK")))</f>
        <v/>
      </c>
      <c r="T27" s="26">
        <f>IF(NOT(ISNUMBER(Dashboard_Capital_Earnings!H30)),"",IF(Dashboard_Capital_Earnings!H30&lt;=_config!$C$25,"ALERT",IF(Dashboard_Capital_Earnings!H30&lt;=_config!$B$25,"WATCH","OK")))</f>
        <v/>
      </c>
      <c r="U27" s="26">
        <f>IF(NOT(ISNUMBER(Dashboard_Capital_Earnings!I30)),"",IF(Dashboard_Capital_Earnings!I30&gt;=_config!$C$26,"ALERT",IF(Dashboard_Capital_Earnings!I30&gt;=_config!$B$26,"WATCH","OK")))</f>
        <v/>
      </c>
      <c r="V27" s="26">
        <f>IF(NOT(ISNUMBER(Dashboard_Funding_Concentration!D30)),"",IF(Dashboard_Funding_Concentration!D30&gt;=_config!$C$27,"ALERT",IF(Dashboard_Funding_Concentration!D30&gt;=_config!$B$27,"WATCH","OK")))</f>
        <v/>
      </c>
      <c r="W27" s="26">
        <f>IF(NOT(ISNUMBER(Dashboard_Funding_Concentration!E30)),"",IF(Dashboard_Funding_Concentration!E30&gt;=_config!$C$28,"ALERT",IF(Dashboard_Funding_Concentration!E30&gt;=_config!$B$28,"WATCH","OK")))</f>
        <v/>
      </c>
      <c r="X27" s="26">
        <f>IF(NOT(ISNUMBER(Dashboard_Funding_Concentration!F30)),"",IF(Dashboard_Funding_Concentration!F30&gt;=_config!$C$29,"ALERT",IF(Dashboard_Funding_Concentration!F30&gt;=_config!$B$29,"WATCH","OK")))</f>
        <v/>
      </c>
      <c r="Z27" s="26">
        <f>IF(NOT(ISNUMBER($E27)),"",$E27*10000+IF(ISNUMBER($D27),$D27,0))</f>
        <v/>
      </c>
    </row>
    <row r="28">
      <c r="A28" s="14">
        <f>IF(_config!$C$56="","",_config!$C$56)</f>
        <v/>
      </c>
      <c r="B28" s="23">
        <f>IF(_config!$B$56="","",_config!$B$56)</f>
        <v/>
      </c>
      <c r="C28" s="16">
        <f>IF(_config!$D$56="","",_config!$D$56)</f>
        <v/>
      </c>
      <c r="D28" s="24">
        <f>IF(Dashboard_AssetQuality!I31="","",Dashboard_AssetQuality!I31)</f>
        <v/>
      </c>
      <c r="E28" s="25">
        <f>IF($A28="","",COUNTIF($J28:$X28,"ALERT"))</f>
        <v/>
      </c>
      <c r="F28" s="25">
        <f>IF($A28="","",COUNTIF($J28:$X28,"WATCH"))</f>
        <v/>
      </c>
      <c r="G28" s="25">
        <f>IF($Z28="","",RANK($Z28,$Z$5:$Z$44))</f>
        <v/>
      </c>
      <c r="H28" s="25">
        <f>IF(_config!$C$56="","",IF(NOT(ISNUMBER(_config!$B$56)),"REFUSED: blank/invalid CERT -- run --lookup",IF(UPPER(_config!$E$56&amp;"")&lt;&gt;"TRUE","OFF",IF($E28&gt;0,"ALERT",IF($F28&gt;0,"WATCH","OK")))))</f>
        <v/>
      </c>
      <c r="J28" s="26">
        <f>IF(NOT(ISNUMBER(Dashboard_AssetQuality!D31)),"",IF(Dashboard_AssetQuality!D31&gt;=_config!$C$15,"ALERT",IF(Dashboard_AssetQuality!D31&gt;=_config!$B$15,"WATCH","OK")))</f>
        <v/>
      </c>
      <c r="K28" s="26">
        <f>IF(NOT(ISNUMBER(Dashboard_AssetQuality!E31)),"",IF(Dashboard_AssetQuality!E31&gt;=_config!$C$16,"ALERT",IF(Dashboard_AssetQuality!E31&gt;=_config!$B$16,"WATCH","OK")))</f>
        <v/>
      </c>
      <c r="L28" s="26">
        <f>IF(NOT(ISNUMBER(Dashboard_AssetQuality!F31)),"",IF(Dashboard_AssetQuality!F31&gt;=_config!$C$17,"ALERT",IF(Dashboard_AssetQuality!F31&gt;=_config!$B$17,"WATCH","OK")))</f>
        <v/>
      </c>
      <c r="M28" s="26">
        <f>IF(NOT(ISNUMBER(Dashboard_AssetQuality!G31)),"",IF(Dashboard_AssetQuality!G31&lt;=_config!$C$18,"ALERT",IF(Dashboard_AssetQuality!G31&lt;=_config!$B$18,"WATCH","OK")))</f>
        <v/>
      </c>
      <c r="N28" s="26">
        <f>IF(NOT(ISNUMBER(Dashboard_AssetQuality!H31)),"",IF(Dashboard_AssetQuality!H31&lt;=_config!$C$19,"ALERT",IF(Dashboard_AssetQuality!H31&lt;=_config!$B$19,"WATCH","OK")))</f>
        <v/>
      </c>
      <c r="O28" s="26">
        <f>IF(NOT(ISNUMBER(Dashboard_AssetQuality!I31)),"",IF(Dashboard_AssetQuality!I31&gt;=_config!$C$20,"ALERT",IF(Dashboard_AssetQuality!I31&gt;=_config!$B$20,"WATCH","OK")))</f>
        <v/>
      </c>
      <c r="P28" s="26">
        <f>IF(NOT(ISNUMBER(Dashboard_Capital_Earnings!D31)),"",IF(Dashboard_Capital_Earnings!D31&lt;=_config!$C$21,"ALERT",IF(Dashboard_Capital_Earnings!D31&lt;=_config!$B$21,"WATCH","OK")))</f>
        <v/>
      </c>
      <c r="Q28" s="26">
        <f>IF(NOT(ISNUMBER(Dashboard_Capital_Earnings!E31)),"",IF(Dashboard_Capital_Earnings!E31&lt;=_config!$C$22,"ALERT",IF(Dashboard_Capital_Earnings!E31&lt;=_config!$B$22,"WATCH","OK")))</f>
        <v/>
      </c>
      <c r="R28" s="26">
        <f>IF(NOT(ISNUMBER(Dashboard_Capital_Earnings!F31)),"",IF(Dashboard_Capital_Earnings!F31&lt;=_config!$C$23,"ALERT",IF(Dashboard_Capital_Earnings!F31&lt;=_config!$B$23,"WATCH","OK")))</f>
        <v/>
      </c>
      <c r="S28" s="26">
        <f>IF(NOT(ISNUMBER(Dashboard_Capital_Earnings!G31)),"",IF(Dashboard_Capital_Earnings!G31&lt;=_config!$C$24,"ALERT",IF(Dashboard_Capital_Earnings!G31&lt;=_config!$B$24,"WATCH","OK")))</f>
        <v/>
      </c>
      <c r="T28" s="26">
        <f>IF(NOT(ISNUMBER(Dashboard_Capital_Earnings!H31)),"",IF(Dashboard_Capital_Earnings!H31&lt;=_config!$C$25,"ALERT",IF(Dashboard_Capital_Earnings!H31&lt;=_config!$B$25,"WATCH","OK")))</f>
        <v/>
      </c>
      <c r="U28" s="26">
        <f>IF(NOT(ISNUMBER(Dashboard_Capital_Earnings!I31)),"",IF(Dashboard_Capital_Earnings!I31&gt;=_config!$C$26,"ALERT",IF(Dashboard_Capital_Earnings!I31&gt;=_config!$B$26,"WATCH","OK")))</f>
        <v/>
      </c>
      <c r="V28" s="26">
        <f>IF(NOT(ISNUMBER(Dashboard_Funding_Concentration!D31)),"",IF(Dashboard_Funding_Concentration!D31&gt;=_config!$C$27,"ALERT",IF(Dashboard_Funding_Concentration!D31&gt;=_config!$B$27,"WATCH","OK")))</f>
        <v/>
      </c>
      <c r="W28" s="26">
        <f>IF(NOT(ISNUMBER(Dashboard_Funding_Concentration!E31)),"",IF(Dashboard_Funding_Concentration!E31&gt;=_config!$C$28,"ALERT",IF(Dashboard_Funding_Concentration!E31&gt;=_config!$B$28,"WATCH","OK")))</f>
        <v/>
      </c>
      <c r="X28" s="26">
        <f>IF(NOT(ISNUMBER(Dashboard_Funding_Concentration!F31)),"",IF(Dashboard_Funding_Concentration!F31&gt;=_config!$C$29,"ALERT",IF(Dashboard_Funding_Concentration!F31&gt;=_config!$B$29,"WATCH","OK")))</f>
        <v/>
      </c>
      <c r="Z28" s="26">
        <f>IF(NOT(ISNUMBER($E28)),"",$E28*10000+IF(ISNUMBER($D28),$D28,0))</f>
        <v/>
      </c>
    </row>
    <row r="29">
      <c r="A29" s="14">
        <f>IF(_config!$C$57="","",_config!$C$57)</f>
        <v/>
      </c>
      <c r="B29" s="23">
        <f>IF(_config!$B$57="","",_config!$B$57)</f>
        <v/>
      </c>
      <c r="C29" s="16">
        <f>IF(_config!$D$57="","",_config!$D$57)</f>
        <v/>
      </c>
      <c r="D29" s="24">
        <f>IF(Dashboard_AssetQuality!I32="","",Dashboard_AssetQuality!I32)</f>
        <v/>
      </c>
      <c r="E29" s="25">
        <f>IF($A29="","",COUNTIF($J29:$X29,"ALERT"))</f>
        <v/>
      </c>
      <c r="F29" s="25">
        <f>IF($A29="","",COUNTIF($J29:$X29,"WATCH"))</f>
        <v/>
      </c>
      <c r="G29" s="25">
        <f>IF($Z29="","",RANK($Z29,$Z$5:$Z$44))</f>
        <v/>
      </c>
      <c r="H29" s="25">
        <f>IF(_config!$C$57="","",IF(NOT(ISNUMBER(_config!$B$57)),"REFUSED: blank/invalid CERT -- run --lookup",IF(UPPER(_config!$E$57&amp;"")&lt;&gt;"TRUE","OFF",IF($E29&gt;0,"ALERT",IF($F29&gt;0,"WATCH","OK")))))</f>
        <v/>
      </c>
      <c r="J29" s="26">
        <f>IF(NOT(ISNUMBER(Dashboard_AssetQuality!D32)),"",IF(Dashboard_AssetQuality!D32&gt;=_config!$C$15,"ALERT",IF(Dashboard_AssetQuality!D32&gt;=_config!$B$15,"WATCH","OK")))</f>
        <v/>
      </c>
      <c r="K29" s="26">
        <f>IF(NOT(ISNUMBER(Dashboard_AssetQuality!E32)),"",IF(Dashboard_AssetQuality!E32&gt;=_config!$C$16,"ALERT",IF(Dashboard_AssetQuality!E32&gt;=_config!$B$16,"WATCH","OK")))</f>
        <v/>
      </c>
      <c r="L29" s="26">
        <f>IF(NOT(ISNUMBER(Dashboard_AssetQuality!F32)),"",IF(Dashboard_AssetQuality!F32&gt;=_config!$C$17,"ALERT",IF(Dashboard_AssetQuality!F32&gt;=_config!$B$17,"WATCH","OK")))</f>
        <v/>
      </c>
      <c r="M29" s="26">
        <f>IF(NOT(ISNUMBER(Dashboard_AssetQuality!G32)),"",IF(Dashboard_AssetQuality!G32&lt;=_config!$C$18,"ALERT",IF(Dashboard_AssetQuality!G32&lt;=_config!$B$18,"WATCH","OK")))</f>
        <v/>
      </c>
      <c r="N29" s="26">
        <f>IF(NOT(ISNUMBER(Dashboard_AssetQuality!H32)),"",IF(Dashboard_AssetQuality!H32&lt;=_config!$C$19,"ALERT",IF(Dashboard_AssetQuality!H32&lt;=_config!$B$19,"WATCH","OK")))</f>
        <v/>
      </c>
      <c r="O29" s="26">
        <f>IF(NOT(ISNUMBER(Dashboard_AssetQuality!I32)),"",IF(Dashboard_AssetQuality!I32&gt;=_config!$C$20,"ALERT",IF(Dashboard_AssetQuality!I32&gt;=_config!$B$20,"WATCH","OK")))</f>
        <v/>
      </c>
      <c r="P29" s="26">
        <f>IF(NOT(ISNUMBER(Dashboard_Capital_Earnings!D32)),"",IF(Dashboard_Capital_Earnings!D32&lt;=_config!$C$21,"ALERT",IF(Dashboard_Capital_Earnings!D32&lt;=_config!$B$21,"WATCH","OK")))</f>
        <v/>
      </c>
      <c r="Q29" s="26">
        <f>IF(NOT(ISNUMBER(Dashboard_Capital_Earnings!E32)),"",IF(Dashboard_Capital_Earnings!E32&lt;=_config!$C$22,"ALERT",IF(Dashboard_Capital_Earnings!E32&lt;=_config!$B$22,"WATCH","OK")))</f>
        <v/>
      </c>
      <c r="R29" s="26">
        <f>IF(NOT(ISNUMBER(Dashboard_Capital_Earnings!F32)),"",IF(Dashboard_Capital_Earnings!F32&lt;=_config!$C$23,"ALERT",IF(Dashboard_Capital_Earnings!F32&lt;=_config!$B$23,"WATCH","OK")))</f>
        <v/>
      </c>
      <c r="S29" s="26">
        <f>IF(NOT(ISNUMBER(Dashboard_Capital_Earnings!G32)),"",IF(Dashboard_Capital_Earnings!G32&lt;=_config!$C$24,"ALERT",IF(Dashboard_Capital_Earnings!G32&lt;=_config!$B$24,"WATCH","OK")))</f>
        <v/>
      </c>
      <c r="T29" s="26">
        <f>IF(NOT(ISNUMBER(Dashboard_Capital_Earnings!H32)),"",IF(Dashboard_Capital_Earnings!H32&lt;=_config!$C$25,"ALERT",IF(Dashboard_Capital_Earnings!H32&lt;=_config!$B$25,"WATCH","OK")))</f>
        <v/>
      </c>
      <c r="U29" s="26">
        <f>IF(NOT(ISNUMBER(Dashboard_Capital_Earnings!I32)),"",IF(Dashboard_Capital_Earnings!I32&gt;=_config!$C$26,"ALERT",IF(Dashboard_Capital_Earnings!I32&gt;=_config!$B$26,"WATCH","OK")))</f>
        <v/>
      </c>
      <c r="V29" s="26">
        <f>IF(NOT(ISNUMBER(Dashboard_Funding_Concentration!D32)),"",IF(Dashboard_Funding_Concentration!D32&gt;=_config!$C$27,"ALERT",IF(Dashboard_Funding_Concentration!D32&gt;=_config!$B$27,"WATCH","OK")))</f>
        <v/>
      </c>
      <c r="W29" s="26">
        <f>IF(NOT(ISNUMBER(Dashboard_Funding_Concentration!E32)),"",IF(Dashboard_Funding_Concentration!E32&gt;=_config!$C$28,"ALERT",IF(Dashboard_Funding_Concentration!E32&gt;=_config!$B$28,"WATCH","OK")))</f>
        <v/>
      </c>
      <c r="X29" s="26">
        <f>IF(NOT(ISNUMBER(Dashboard_Funding_Concentration!F32)),"",IF(Dashboard_Funding_Concentration!F32&gt;=_config!$C$29,"ALERT",IF(Dashboard_Funding_Concentration!F32&gt;=_config!$B$29,"WATCH","OK")))</f>
        <v/>
      </c>
      <c r="Z29" s="26">
        <f>IF(NOT(ISNUMBER($E29)),"",$E29*10000+IF(ISNUMBER($D29),$D29,0))</f>
        <v/>
      </c>
    </row>
    <row r="30">
      <c r="A30" s="14">
        <f>IF(_config!$C$58="","",_config!$C$58)</f>
        <v/>
      </c>
      <c r="B30" s="23">
        <f>IF(_config!$B$58="","",_config!$B$58)</f>
        <v/>
      </c>
      <c r="C30" s="16">
        <f>IF(_config!$D$58="","",_config!$D$58)</f>
        <v/>
      </c>
      <c r="D30" s="24">
        <f>IF(Dashboard_AssetQuality!I33="","",Dashboard_AssetQuality!I33)</f>
        <v/>
      </c>
      <c r="E30" s="25">
        <f>IF($A30="","",COUNTIF($J30:$X30,"ALERT"))</f>
        <v/>
      </c>
      <c r="F30" s="25">
        <f>IF($A30="","",COUNTIF($J30:$X30,"WATCH"))</f>
        <v/>
      </c>
      <c r="G30" s="25">
        <f>IF($Z30="","",RANK($Z30,$Z$5:$Z$44))</f>
        <v/>
      </c>
      <c r="H30" s="25">
        <f>IF(_config!$C$58="","",IF(NOT(ISNUMBER(_config!$B$58)),"REFUSED: blank/invalid CERT -- run --lookup",IF(UPPER(_config!$E$58&amp;"")&lt;&gt;"TRUE","OFF",IF($E30&gt;0,"ALERT",IF($F30&gt;0,"WATCH","OK")))))</f>
        <v/>
      </c>
      <c r="J30" s="26">
        <f>IF(NOT(ISNUMBER(Dashboard_AssetQuality!D33)),"",IF(Dashboard_AssetQuality!D33&gt;=_config!$C$15,"ALERT",IF(Dashboard_AssetQuality!D33&gt;=_config!$B$15,"WATCH","OK")))</f>
        <v/>
      </c>
      <c r="K30" s="26">
        <f>IF(NOT(ISNUMBER(Dashboard_AssetQuality!E33)),"",IF(Dashboard_AssetQuality!E33&gt;=_config!$C$16,"ALERT",IF(Dashboard_AssetQuality!E33&gt;=_config!$B$16,"WATCH","OK")))</f>
        <v/>
      </c>
      <c r="L30" s="26">
        <f>IF(NOT(ISNUMBER(Dashboard_AssetQuality!F33)),"",IF(Dashboard_AssetQuality!F33&gt;=_config!$C$17,"ALERT",IF(Dashboard_AssetQuality!F33&gt;=_config!$B$17,"WATCH","OK")))</f>
        <v/>
      </c>
      <c r="M30" s="26">
        <f>IF(NOT(ISNUMBER(Dashboard_AssetQuality!G33)),"",IF(Dashboard_AssetQuality!G33&lt;=_config!$C$18,"ALERT",IF(Dashboard_AssetQuality!G33&lt;=_config!$B$18,"WATCH","OK")))</f>
        <v/>
      </c>
      <c r="N30" s="26">
        <f>IF(NOT(ISNUMBER(Dashboard_AssetQuality!H33)),"",IF(Dashboard_AssetQuality!H33&lt;=_config!$C$19,"ALERT",IF(Dashboard_AssetQuality!H33&lt;=_config!$B$19,"WATCH","OK")))</f>
        <v/>
      </c>
      <c r="O30" s="26">
        <f>IF(NOT(ISNUMBER(Dashboard_AssetQuality!I33)),"",IF(Dashboard_AssetQuality!I33&gt;=_config!$C$20,"ALERT",IF(Dashboard_AssetQuality!I33&gt;=_config!$B$20,"WATCH","OK")))</f>
        <v/>
      </c>
      <c r="P30" s="26">
        <f>IF(NOT(ISNUMBER(Dashboard_Capital_Earnings!D33)),"",IF(Dashboard_Capital_Earnings!D33&lt;=_config!$C$21,"ALERT",IF(Dashboard_Capital_Earnings!D33&lt;=_config!$B$21,"WATCH","OK")))</f>
        <v/>
      </c>
      <c r="Q30" s="26">
        <f>IF(NOT(ISNUMBER(Dashboard_Capital_Earnings!E33)),"",IF(Dashboard_Capital_Earnings!E33&lt;=_config!$C$22,"ALERT",IF(Dashboard_Capital_Earnings!E33&lt;=_config!$B$22,"WATCH","OK")))</f>
        <v/>
      </c>
      <c r="R30" s="26">
        <f>IF(NOT(ISNUMBER(Dashboard_Capital_Earnings!F33)),"",IF(Dashboard_Capital_Earnings!F33&lt;=_config!$C$23,"ALERT",IF(Dashboard_Capital_Earnings!F33&lt;=_config!$B$23,"WATCH","OK")))</f>
        <v/>
      </c>
      <c r="S30" s="26">
        <f>IF(NOT(ISNUMBER(Dashboard_Capital_Earnings!G33)),"",IF(Dashboard_Capital_Earnings!G33&lt;=_config!$C$24,"ALERT",IF(Dashboard_Capital_Earnings!G33&lt;=_config!$B$24,"WATCH","OK")))</f>
        <v/>
      </c>
      <c r="T30" s="26">
        <f>IF(NOT(ISNUMBER(Dashboard_Capital_Earnings!H33)),"",IF(Dashboard_Capital_Earnings!H33&lt;=_config!$C$25,"ALERT",IF(Dashboard_Capital_Earnings!H33&lt;=_config!$B$25,"WATCH","OK")))</f>
        <v/>
      </c>
      <c r="U30" s="26">
        <f>IF(NOT(ISNUMBER(Dashboard_Capital_Earnings!I33)),"",IF(Dashboard_Capital_Earnings!I33&gt;=_config!$C$26,"ALERT",IF(Dashboard_Capital_Earnings!I33&gt;=_config!$B$26,"WATCH","OK")))</f>
        <v/>
      </c>
      <c r="V30" s="26">
        <f>IF(NOT(ISNUMBER(Dashboard_Funding_Concentration!D33)),"",IF(Dashboard_Funding_Concentration!D33&gt;=_config!$C$27,"ALERT",IF(Dashboard_Funding_Concentration!D33&gt;=_config!$B$27,"WATCH","OK")))</f>
        <v/>
      </c>
      <c r="W30" s="26">
        <f>IF(NOT(ISNUMBER(Dashboard_Funding_Concentration!E33)),"",IF(Dashboard_Funding_Concentration!E33&gt;=_config!$C$28,"ALERT",IF(Dashboard_Funding_Concentration!E33&gt;=_config!$B$28,"WATCH","OK")))</f>
        <v/>
      </c>
      <c r="X30" s="26">
        <f>IF(NOT(ISNUMBER(Dashboard_Funding_Concentration!F33)),"",IF(Dashboard_Funding_Concentration!F33&gt;=_config!$C$29,"ALERT",IF(Dashboard_Funding_Concentration!F33&gt;=_config!$B$29,"WATCH","OK")))</f>
        <v/>
      </c>
      <c r="Z30" s="26">
        <f>IF(NOT(ISNUMBER($E30)),"",$E30*10000+IF(ISNUMBER($D30),$D30,0))</f>
        <v/>
      </c>
    </row>
    <row r="31">
      <c r="A31" s="14">
        <f>IF(_config!$C$59="","",_config!$C$59)</f>
        <v/>
      </c>
      <c r="B31" s="23">
        <f>IF(_config!$B$59="","",_config!$B$59)</f>
        <v/>
      </c>
      <c r="C31" s="16">
        <f>IF(_config!$D$59="","",_config!$D$59)</f>
        <v/>
      </c>
      <c r="D31" s="24">
        <f>IF(Dashboard_AssetQuality!I34="","",Dashboard_AssetQuality!I34)</f>
        <v/>
      </c>
      <c r="E31" s="25">
        <f>IF($A31="","",COUNTIF($J31:$X31,"ALERT"))</f>
        <v/>
      </c>
      <c r="F31" s="25">
        <f>IF($A31="","",COUNTIF($J31:$X31,"WATCH"))</f>
        <v/>
      </c>
      <c r="G31" s="25">
        <f>IF($Z31="","",RANK($Z31,$Z$5:$Z$44))</f>
        <v/>
      </c>
      <c r="H31" s="25">
        <f>IF(_config!$C$59="","",IF(NOT(ISNUMBER(_config!$B$59)),"REFUSED: blank/invalid CERT -- run --lookup",IF(UPPER(_config!$E$59&amp;"")&lt;&gt;"TRUE","OFF",IF($E31&gt;0,"ALERT",IF($F31&gt;0,"WATCH","OK")))))</f>
        <v/>
      </c>
      <c r="J31" s="26">
        <f>IF(NOT(ISNUMBER(Dashboard_AssetQuality!D34)),"",IF(Dashboard_AssetQuality!D34&gt;=_config!$C$15,"ALERT",IF(Dashboard_AssetQuality!D34&gt;=_config!$B$15,"WATCH","OK")))</f>
        <v/>
      </c>
      <c r="K31" s="26">
        <f>IF(NOT(ISNUMBER(Dashboard_AssetQuality!E34)),"",IF(Dashboard_AssetQuality!E34&gt;=_config!$C$16,"ALERT",IF(Dashboard_AssetQuality!E34&gt;=_config!$B$16,"WATCH","OK")))</f>
        <v/>
      </c>
      <c r="L31" s="26">
        <f>IF(NOT(ISNUMBER(Dashboard_AssetQuality!F34)),"",IF(Dashboard_AssetQuality!F34&gt;=_config!$C$17,"ALERT",IF(Dashboard_AssetQuality!F34&gt;=_config!$B$17,"WATCH","OK")))</f>
        <v/>
      </c>
      <c r="M31" s="26">
        <f>IF(NOT(ISNUMBER(Dashboard_AssetQuality!G34)),"",IF(Dashboard_AssetQuality!G34&lt;=_config!$C$18,"ALERT",IF(Dashboard_AssetQuality!G34&lt;=_config!$B$18,"WATCH","OK")))</f>
        <v/>
      </c>
      <c r="N31" s="26">
        <f>IF(NOT(ISNUMBER(Dashboard_AssetQuality!H34)),"",IF(Dashboard_AssetQuality!H34&lt;=_config!$C$19,"ALERT",IF(Dashboard_AssetQuality!H34&lt;=_config!$B$19,"WATCH","OK")))</f>
        <v/>
      </c>
      <c r="O31" s="26">
        <f>IF(NOT(ISNUMBER(Dashboard_AssetQuality!I34)),"",IF(Dashboard_AssetQuality!I34&gt;=_config!$C$20,"ALERT",IF(Dashboard_AssetQuality!I34&gt;=_config!$B$20,"WATCH","OK")))</f>
        <v/>
      </c>
      <c r="P31" s="26">
        <f>IF(NOT(ISNUMBER(Dashboard_Capital_Earnings!D34)),"",IF(Dashboard_Capital_Earnings!D34&lt;=_config!$C$21,"ALERT",IF(Dashboard_Capital_Earnings!D34&lt;=_config!$B$21,"WATCH","OK")))</f>
        <v/>
      </c>
      <c r="Q31" s="26">
        <f>IF(NOT(ISNUMBER(Dashboard_Capital_Earnings!E34)),"",IF(Dashboard_Capital_Earnings!E34&lt;=_config!$C$22,"ALERT",IF(Dashboard_Capital_Earnings!E34&lt;=_config!$B$22,"WATCH","OK")))</f>
        <v/>
      </c>
      <c r="R31" s="26">
        <f>IF(NOT(ISNUMBER(Dashboard_Capital_Earnings!F34)),"",IF(Dashboard_Capital_Earnings!F34&lt;=_config!$C$23,"ALERT",IF(Dashboard_Capital_Earnings!F34&lt;=_config!$B$23,"WATCH","OK")))</f>
        <v/>
      </c>
      <c r="S31" s="26">
        <f>IF(NOT(ISNUMBER(Dashboard_Capital_Earnings!G34)),"",IF(Dashboard_Capital_Earnings!G34&lt;=_config!$C$24,"ALERT",IF(Dashboard_Capital_Earnings!G34&lt;=_config!$B$24,"WATCH","OK")))</f>
        <v/>
      </c>
      <c r="T31" s="26">
        <f>IF(NOT(ISNUMBER(Dashboard_Capital_Earnings!H34)),"",IF(Dashboard_Capital_Earnings!H34&lt;=_config!$C$25,"ALERT",IF(Dashboard_Capital_Earnings!H34&lt;=_config!$B$25,"WATCH","OK")))</f>
        <v/>
      </c>
      <c r="U31" s="26">
        <f>IF(NOT(ISNUMBER(Dashboard_Capital_Earnings!I34)),"",IF(Dashboard_Capital_Earnings!I34&gt;=_config!$C$26,"ALERT",IF(Dashboard_Capital_Earnings!I34&gt;=_config!$B$26,"WATCH","OK")))</f>
        <v/>
      </c>
      <c r="V31" s="26">
        <f>IF(NOT(ISNUMBER(Dashboard_Funding_Concentration!D34)),"",IF(Dashboard_Funding_Concentration!D34&gt;=_config!$C$27,"ALERT",IF(Dashboard_Funding_Concentration!D34&gt;=_config!$B$27,"WATCH","OK")))</f>
        <v/>
      </c>
      <c r="W31" s="26">
        <f>IF(NOT(ISNUMBER(Dashboard_Funding_Concentration!E34)),"",IF(Dashboard_Funding_Concentration!E34&gt;=_config!$C$28,"ALERT",IF(Dashboard_Funding_Concentration!E34&gt;=_config!$B$28,"WATCH","OK")))</f>
        <v/>
      </c>
      <c r="X31" s="26">
        <f>IF(NOT(ISNUMBER(Dashboard_Funding_Concentration!F34)),"",IF(Dashboard_Funding_Concentration!F34&gt;=_config!$C$29,"ALERT",IF(Dashboard_Funding_Concentration!F34&gt;=_config!$B$29,"WATCH","OK")))</f>
        <v/>
      </c>
      <c r="Z31" s="26">
        <f>IF(NOT(ISNUMBER($E31)),"",$E31*10000+IF(ISNUMBER($D31),$D31,0))</f>
        <v/>
      </c>
    </row>
    <row r="32">
      <c r="A32" s="14">
        <f>IF(_config!$C$60="","",_config!$C$60)</f>
        <v/>
      </c>
      <c r="B32" s="23">
        <f>IF(_config!$B$60="","",_config!$B$60)</f>
        <v/>
      </c>
      <c r="C32" s="16">
        <f>IF(_config!$D$60="","",_config!$D$60)</f>
        <v/>
      </c>
      <c r="D32" s="24">
        <f>IF(Dashboard_AssetQuality!I35="","",Dashboard_AssetQuality!I35)</f>
        <v/>
      </c>
      <c r="E32" s="25">
        <f>IF($A32="","",COUNTIF($J32:$X32,"ALERT"))</f>
        <v/>
      </c>
      <c r="F32" s="25">
        <f>IF($A32="","",COUNTIF($J32:$X32,"WATCH"))</f>
        <v/>
      </c>
      <c r="G32" s="25">
        <f>IF($Z32="","",RANK($Z32,$Z$5:$Z$44))</f>
        <v/>
      </c>
      <c r="H32" s="25">
        <f>IF(_config!$C$60="","",IF(NOT(ISNUMBER(_config!$B$60)),"REFUSED: blank/invalid CERT -- run --lookup",IF(UPPER(_config!$E$60&amp;"")&lt;&gt;"TRUE","OFF",IF($E32&gt;0,"ALERT",IF($F32&gt;0,"WATCH","OK")))))</f>
        <v/>
      </c>
      <c r="J32" s="26">
        <f>IF(NOT(ISNUMBER(Dashboard_AssetQuality!D35)),"",IF(Dashboard_AssetQuality!D35&gt;=_config!$C$15,"ALERT",IF(Dashboard_AssetQuality!D35&gt;=_config!$B$15,"WATCH","OK")))</f>
        <v/>
      </c>
      <c r="K32" s="26">
        <f>IF(NOT(ISNUMBER(Dashboard_AssetQuality!E35)),"",IF(Dashboard_AssetQuality!E35&gt;=_config!$C$16,"ALERT",IF(Dashboard_AssetQuality!E35&gt;=_config!$B$16,"WATCH","OK")))</f>
        <v/>
      </c>
      <c r="L32" s="26">
        <f>IF(NOT(ISNUMBER(Dashboard_AssetQuality!F35)),"",IF(Dashboard_AssetQuality!F35&gt;=_config!$C$17,"ALERT",IF(Dashboard_AssetQuality!F35&gt;=_config!$B$17,"WATCH","OK")))</f>
        <v/>
      </c>
      <c r="M32" s="26">
        <f>IF(NOT(ISNUMBER(Dashboard_AssetQuality!G35)),"",IF(Dashboard_AssetQuality!G35&lt;=_config!$C$18,"ALERT",IF(Dashboard_AssetQuality!G35&lt;=_config!$B$18,"WATCH","OK")))</f>
        <v/>
      </c>
      <c r="N32" s="26">
        <f>IF(NOT(ISNUMBER(Dashboard_AssetQuality!H35)),"",IF(Dashboard_AssetQuality!H35&lt;=_config!$C$19,"ALERT",IF(Dashboard_AssetQuality!H35&lt;=_config!$B$19,"WATCH","OK")))</f>
        <v/>
      </c>
      <c r="O32" s="26">
        <f>IF(NOT(ISNUMBER(Dashboard_AssetQuality!I35)),"",IF(Dashboard_AssetQuality!I35&gt;=_config!$C$20,"ALERT",IF(Dashboard_AssetQuality!I35&gt;=_config!$B$20,"WATCH","OK")))</f>
        <v/>
      </c>
      <c r="P32" s="26">
        <f>IF(NOT(ISNUMBER(Dashboard_Capital_Earnings!D35)),"",IF(Dashboard_Capital_Earnings!D35&lt;=_config!$C$21,"ALERT",IF(Dashboard_Capital_Earnings!D35&lt;=_config!$B$21,"WATCH","OK")))</f>
        <v/>
      </c>
      <c r="Q32" s="26">
        <f>IF(NOT(ISNUMBER(Dashboard_Capital_Earnings!E35)),"",IF(Dashboard_Capital_Earnings!E35&lt;=_config!$C$22,"ALERT",IF(Dashboard_Capital_Earnings!E35&lt;=_config!$B$22,"WATCH","OK")))</f>
        <v/>
      </c>
      <c r="R32" s="26">
        <f>IF(NOT(ISNUMBER(Dashboard_Capital_Earnings!F35)),"",IF(Dashboard_Capital_Earnings!F35&lt;=_config!$C$23,"ALERT",IF(Dashboard_Capital_Earnings!F35&lt;=_config!$B$23,"WATCH","OK")))</f>
        <v/>
      </c>
      <c r="S32" s="26">
        <f>IF(NOT(ISNUMBER(Dashboard_Capital_Earnings!G35)),"",IF(Dashboard_Capital_Earnings!G35&lt;=_config!$C$24,"ALERT",IF(Dashboard_Capital_Earnings!G35&lt;=_config!$B$24,"WATCH","OK")))</f>
        <v/>
      </c>
      <c r="T32" s="26">
        <f>IF(NOT(ISNUMBER(Dashboard_Capital_Earnings!H35)),"",IF(Dashboard_Capital_Earnings!H35&lt;=_config!$C$25,"ALERT",IF(Dashboard_Capital_Earnings!H35&lt;=_config!$B$25,"WATCH","OK")))</f>
        <v/>
      </c>
      <c r="U32" s="26">
        <f>IF(NOT(ISNUMBER(Dashboard_Capital_Earnings!I35)),"",IF(Dashboard_Capital_Earnings!I35&gt;=_config!$C$26,"ALERT",IF(Dashboard_Capital_Earnings!I35&gt;=_config!$B$26,"WATCH","OK")))</f>
        <v/>
      </c>
      <c r="V32" s="26">
        <f>IF(NOT(ISNUMBER(Dashboard_Funding_Concentration!D35)),"",IF(Dashboard_Funding_Concentration!D35&gt;=_config!$C$27,"ALERT",IF(Dashboard_Funding_Concentration!D35&gt;=_config!$B$27,"WATCH","OK")))</f>
        <v/>
      </c>
      <c r="W32" s="26">
        <f>IF(NOT(ISNUMBER(Dashboard_Funding_Concentration!E35)),"",IF(Dashboard_Funding_Concentration!E35&gt;=_config!$C$28,"ALERT",IF(Dashboard_Funding_Concentration!E35&gt;=_config!$B$28,"WATCH","OK")))</f>
        <v/>
      </c>
      <c r="X32" s="26">
        <f>IF(NOT(ISNUMBER(Dashboard_Funding_Concentration!F35)),"",IF(Dashboard_Funding_Concentration!F35&gt;=_config!$C$29,"ALERT",IF(Dashboard_Funding_Concentration!F35&gt;=_config!$B$29,"WATCH","OK")))</f>
        <v/>
      </c>
      <c r="Z32" s="26">
        <f>IF(NOT(ISNUMBER($E32)),"",$E32*10000+IF(ISNUMBER($D32),$D32,0))</f>
        <v/>
      </c>
    </row>
    <row r="33">
      <c r="A33" s="14">
        <f>IF(_config!$C$61="","",_config!$C$61)</f>
        <v/>
      </c>
      <c r="B33" s="23">
        <f>IF(_config!$B$61="","",_config!$B$61)</f>
        <v/>
      </c>
      <c r="C33" s="16">
        <f>IF(_config!$D$61="","",_config!$D$61)</f>
        <v/>
      </c>
      <c r="D33" s="24">
        <f>IF(Dashboard_AssetQuality!I36="","",Dashboard_AssetQuality!I36)</f>
        <v/>
      </c>
      <c r="E33" s="25">
        <f>IF($A33="","",COUNTIF($J33:$X33,"ALERT"))</f>
        <v/>
      </c>
      <c r="F33" s="25">
        <f>IF($A33="","",COUNTIF($J33:$X33,"WATCH"))</f>
        <v/>
      </c>
      <c r="G33" s="25">
        <f>IF($Z33="","",RANK($Z33,$Z$5:$Z$44))</f>
        <v/>
      </c>
      <c r="H33" s="25">
        <f>IF(_config!$C$61="","",IF(NOT(ISNUMBER(_config!$B$61)),"REFUSED: blank/invalid CERT -- run --lookup",IF(UPPER(_config!$E$61&amp;"")&lt;&gt;"TRUE","OFF",IF($E33&gt;0,"ALERT",IF($F33&gt;0,"WATCH","OK")))))</f>
        <v/>
      </c>
      <c r="J33" s="26">
        <f>IF(NOT(ISNUMBER(Dashboard_AssetQuality!D36)),"",IF(Dashboard_AssetQuality!D36&gt;=_config!$C$15,"ALERT",IF(Dashboard_AssetQuality!D36&gt;=_config!$B$15,"WATCH","OK")))</f>
        <v/>
      </c>
      <c r="K33" s="26">
        <f>IF(NOT(ISNUMBER(Dashboard_AssetQuality!E36)),"",IF(Dashboard_AssetQuality!E36&gt;=_config!$C$16,"ALERT",IF(Dashboard_AssetQuality!E36&gt;=_config!$B$16,"WATCH","OK")))</f>
        <v/>
      </c>
      <c r="L33" s="26">
        <f>IF(NOT(ISNUMBER(Dashboard_AssetQuality!F36)),"",IF(Dashboard_AssetQuality!F36&gt;=_config!$C$17,"ALERT",IF(Dashboard_AssetQuality!F36&gt;=_config!$B$17,"WATCH","OK")))</f>
        <v/>
      </c>
      <c r="M33" s="26">
        <f>IF(NOT(ISNUMBER(Dashboard_AssetQuality!G36)),"",IF(Dashboard_AssetQuality!G36&lt;=_config!$C$18,"ALERT",IF(Dashboard_AssetQuality!G36&lt;=_config!$B$18,"WATCH","OK")))</f>
        <v/>
      </c>
      <c r="N33" s="26">
        <f>IF(NOT(ISNUMBER(Dashboard_AssetQuality!H36)),"",IF(Dashboard_AssetQuality!H36&lt;=_config!$C$19,"ALERT",IF(Dashboard_AssetQuality!H36&lt;=_config!$B$19,"WATCH","OK")))</f>
        <v/>
      </c>
      <c r="O33" s="26">
        <f>IF(NOT(ISNUMBER(Dashboard_AssetQuality!I36)),"",IF(Dashboard_AssetQuality!I36&gt;=_config!$C$20,"ALERT",IF(Dashboard_AssetQuality!I36&gt;=_config!$B$20,"WATCH","OK")))</f>
        <v/>
      </c>
      <c r="P33" s="26">
        <f>IF(NOT(ISNUMBER(Dashboard_Capital_Earnings!D36)),"",IF(Dashboard_Capital_Earnings!D36&lt;=_config!$C$21,"ALERT",IF(Dashboard_Capital_Earnings!D36&lt;=_config!$B$21,"WATCH","OK")))</f>
        <v/>
      </c>
      <c r="Q33" s="26">
        <f>IF(NOT(ISNUMBER(Dashboard_Capital_Earnings!E36)),"",IF(Dashboard_Capital_Earnings!E36&lt;=_config!$C$22,"ALERT",IF(Dashboard_Capital_Earnings!E36&lt;=_config!$B$22,"WATCH","OK")))</f>
        <v/>
      </c>
      <c r="R33" s="26">
        <f>IF(NOT(ISNUMBER(Dashboard_Capital_Earnings!F36)),"",IF(Dashboard_Capital_Earnings!F36&lt;=_config!$C$23,"ALERT",IF(Dashboard_Capital_Earnings!F36&lt;=_config!$B$23,"WATCH","OK")))</f>
        <v/>
      </c>
      <c r="S33" s="26">
        <f>IF(NOT(ISNUMBER(Dashboard_Capital_Earnings!G36)),"",IF(Dashboard_Capital_Earnings!G36&lt;=_config!$C$24,"ALERT",IF(Dashboard_Capital_Earnings!G36&lt;=_config!$B$24,"WATCH","OK")))</f>
        <v/>
      </c>
      <c r="T33" s="26">
        <f>IF(NOT(ISNUMBER(Dashboard_Capital_Earnings!H36)),"",IF(Dashboard_Capital_Earnings!H36&lt;=_config!$C$25,"ALERT",IF(Dashboard_Capital_Earnings!H36&lt;=_config!$B$25,"WATCH","OK")))</f>
        <v/>
      </c>
      <c r="U33" s="26">
        <f>IF(NOT(ISNUMBER(Dashboard_Capital_Earnings!I36)),"",IF(Dashboard_Capital_Earnings!I36&gt;=_config!$C$26,"ALERT",IF(Dashboard_Capital_Earnings!I36&gt;=_config!$B$26,"WATCH","OK")))</f>
        <v/>
      </c>
      <c r="V33" s="26">
        <f>IF(NOT(ISNUMBER(Dashboard_Funding_Concentration!D36)),"",IF(Dashboard_Funding_Concentration!D36&gt;=_config!$C$27,"ALERT",IF(Dashboard_Funding_Concentration!D36&gt;=_config!$B$27,"WATCH","OK")))</f>
        <v/>
      </c>
      <c r="W33" s="26">
        <f>IF(NOT(ISNUMBER(Dashboard_Funding_Concentration!E36)),"",IF(Dashboard_Funding_Concentration!E36&gt;=_config!$C$28,"ALERT",IF(Dashboard_Funding_Concentration!E36&gt;=_config!$B$28,"WATCH","OK")))</f>
        <v/>
      </c>
      <c r="X33" s="26">
        <f>IF(NOT(ISNUMBER(Dashboard_Funding_Concentration!F36)),"",IF(Dashboard_Funding_Concentration!F36&gt;=_config!$C$29,"ALERT",IF(Dashboard_Funding_Concentration!F36&gt;=_config!$B$29,"WATCH","OK")))</f>
        <v/>
      </c>
      <c r="Z33" s="26">
        <f>IF(NOT(ISNUMBER($E33)),"",$E33*10000+IF(ISNUMBER($D33),$D33,0))</f>
        <v/>
      </c>
    </row>
    <row r="34">
      <c r="A34" s="14">
        <f>IF(_config!$C$62="","",_config!$C$62)</f>
        <v/>
      </c>
      <c r="B34" s="23">
        <f>IF(_config!$B$62="","",_config!$B$62)</f>
        <v/>
      </c>
      <c r="C34" s="16">
        <f>IF(_config!$D$62="","",_config!$D$62)</f>
        <v/>
      </c>
      <c r="D34" s="24">
        <f>IF(Dashboard_AssetQuality!I37="","",Dashboard_AssetQuality!I37)</f>
        <v/>
      </c>
      <c r="E34" s="25">
        <f>IF($A34="","",COUNTIF($J34:$X34,"ALERT"))</f>
        <v/>
      </c>
      <c r="F34" s="25">
        <f>IF($A34="","",COUNTIF($J34:$X34,"WATCH"))</f>
        <v/>
      </c>
      <c r="G34" s="25">
        <f>IF($Z34="","",RANK($Z34,$Z$5:$Z$44))</f>
        <v/>
      </c>
      <c r="H34" s="25">
        <f>IF(_config!$C$62="","",IF(NOT(ISNUMBER(_config!$B$62)),"REFUSED: blank/invalid CERT -- run --lookup",IF(UPPER(_config!$E$62&amp;"")&lt;&gt;"TRUE","OFF",IF($E34&gt;0,"ALERT",IF($F34&gt;0,"WATCH","OK")))))</f>
        <v/>
      </c>
      <c r="J34" s="26">
        <f>IF(NOT(ISNUMBER(Dashboard_AssetQuality!D37)),"",IF(Dashboard_AssetQuality!D37&gt;=_config!$C$15,"ALERT",IF(Dashboard_AssetQuality!D37&gt;=_config!$B$15,"WATCH","OK")))</f>
        <v/>
      </c>
      <c r="K34" s="26">
        <f>IF(NOT(ISNUMBER(Dashboard_AssetQuality!E37)),"",IF(Dashboard_AssetQuality!E37&gt;=_config!$C$16,"ALERT",IF(Dashboard_AssetQuality!E37&gt;=_config!$B$16,"WATCH","OK")))</f>
        <v/>
      </c>
      <c r="L34" s="26">
        <f>IF(NOT(ISNUMBER(Dashboard_AssetQuality!F37)),"",IF(Dashboard_AssetQuality!F37&gt;=_config!$C$17,"ALERT",IF(Dashboard_AssetQuality!F37&gt;=_config!$B$17,"WATCH","OK")))</f>
        <v/>
      </c>
      <c r="M34" s="26">
        <f>IF(NOT(ISNUMBER(Dashboard_AssetQuality!G37)),"",IF(Dashboard_AssetQuality!G37&lt;=_config!$C$18,"ALERT",IF(Dashboard_AssetQuality!G37&lt;=_config!$B$18,"WATCH","OK")))</f>
        <v/>
      </c>
      <c r="N34" s="26">
        <f>IF(NOT(ISNUMBER(Dashboard_AssetQuality!H37)),"",IF(Dashboard_AssetQuality!H37&lt;=_config!$C$19,"ALERT",IF(Dashboard_AssetQuality!H37&lt;=_config!$B$19,"WATCH","OK")))</f>
        <v/>
      </c>
      <c r="O34" s="26">
        <f>IF(NOT(ISNUMBER(Dashboard_AssetQuality!I37)),"",IF(Dashboard_AssetQuality!I37&gt;=_config!$C$20,"ALERT",IF(Dashboard_AssetQuality!I37&gt;=_config!$B$20,"WATCH","OK")))</f>
        <v/>
      </c>
      <c r="P34" s="26">
        <f>IF(NOT(ISNUMBER(Dashboard_Capital_Earnings!D37)),"",IF(Dashboard_Capital_Earnings!D37&lt;=_config!$C$21,"ALERT",IF(Dashboard_Capital_Earnings!D37&lt;=_config!$B$21,"WATCH","OK")))</f>
        <v/>
      </c>
      <c r="Q34" s="26">
        <f>IF(NOT(ISNUMBER(Dashboard_Capital_Earnings!E37)),"",IF(Dashboard_Capital_Earnings!E37&lt;=_config!$C$22,"ALERT",IF(Dashboard_Capital_Earnings!E37&lt;=_config!$B$22,"WATCH","OK")))</f>
        <v/>
      </c>
      <c r="R34" s="26">
        <f>IF(NOT(ISNUMBER(Dashboard_Capital_Earnings!F37)),"",IF(Dashboard_Capital_Earnings!F37&lt;=_config!$C$23,"ALERT",IF(Dashboard_Capital_Earnings!F37&lt;=_config!$B$23,"WATCH","OK")))</f>
        <v/>
      </c>
      <c r="S34" s="26">
        <f>IF(NOT(ISNUMBER(Dashboard_Capital_Earnings!G37)),"",IF(Dashboard_Capital_Earnings!G37&lt;=_config!$C$24,"ALERT",IF(Dashboard_Capital_Earnings!G37&lt;=_config!$B$24,"WATCH","OK")))</f>
        <v/>
      </c>
      <c r="T34" s="26">
        <f>IF(NOT(ISNUMBER(Dashboard_Capital_Earnings!H37)),"",IF(Dashboard_Capital_Earnings!H37&lt;=_config!$C$25,"ALERT",IF(Dashboard_Capital_Earnings!H37&lt;=_config!$B$25,"WATCH","OK")))</f>
        <v/>
      </c>
      <c r="U34" s="26">
        <f>IF(NOT(ISNUMBER(Dashboard_Capital_Earnings!I37)),"",IF(Dashboard_Capital_Earnings!I37&gt;=_config!$C$26,"ALERT",IF(Dashboard_Capital_Earnings!I37&gt;=_config!$B$26,"WATCH","OK")))</f>
        <v/>
      </c>
      <c r="V34" s="26">
        <f>IF(NOT(ISNUMBER(Dashboard_Funding_Concentration!D37)),"",IF(Dashboard_Funding_Concentration!D37&gt;=_config!$C$27,"ALERT",IF(Dashboard_Funding_Concentration!D37&gt;=_config!$B$27,"WATCH","OK")))</f>
        <v/>
      </c>
      <c r="W34" s="26">
        <f>IF(NOT(ISNUMBER(Dashboard_Funding_Concentration!E37)),"",IF(Dashboard_Funding_Concentration!E37&gt;=_config!$C$28,"ALERT",IF(Dashboard_Funding_Concentration!E37&gt;=_config!$B$28,"WATCH","OK")))</f>
        <v/>
      </c>
      <c r="X34" s="26">
        <f>IF(NOT(ISNUMBER(Dashboard_Funding_Concentration!F37)),"",IF(Dashboard_Funding_Concentration!F37&gt;=_config!$C$29,"ALERT",IF(Dashboard_Funding_Concentration!F37&gt;=_config!$B$29,"WATCH","OK")))</f>
        <v/>
      </c>
      <c r="Z34" s="26">
        <f>IF(NOT(ISNUMBER($E34)),"",$E34*10000+IF(ISNUMBER($D34),$D34,0))</f>
        <v/>
      </c>
    </row>
    <row r="35">
      <c r="A35" s="14">
        <f>IF(_config!$C$63="","",_config!$C$63)</f>
        <v/>
      </c>
      <c r="B35" s="23">
        <f>IF(_config!$B$63="","",_config!$B$63)</f>
        <v/>
      </c>
      <c r="C35" s="16">
        <f>IF(_config!$D$63="","",_config!$D$63)</f>
        <v/>
      </c>
      <c r="D35" s="24">
        <f>IF(Dashboard_AssetQuality!I38="","",Dashboard_AssetQuality!I38)</f>
        <v/>
      </c>
      <c r="E35" s="25">
        <f>IF($A35="","",COUNTIF($J35:$X35,"ALERT"))</f>
        <v/>
      </c>
      <c r="F35" s="25">
        <f>IF($A35="","",COUNTIF($J35:$X35,"WATCH"))</f>
        <v/>
      </c>
      <c r="G35" s="25">
        <f>IF($Z35="","",RANK($Z35,$Z$5:$Z$44))</f>
        <v/>
      </c>
      <c r="H35" s="25">
        <f>IF(_config!$C$63="","",IF(NOT(ISNUMBER(_config!$B$63)),"REFUSED: blank/invalid CERT -- run --lookup",IF(UPPER(_config!$E$63&amp;"")&lt;&gt;"TRUE","OFF",IF($E35&gt;0,"ALERT",IF($F35&gt;0,"WATCH","OK")))))</f>
        <v/>
      </c>
      <c r="J35" s="26">
        <f>IF(NOT(ISNUMBER(Dashboard_AssetQuality!D38)),"",IF(Dashboard_AssetQuality!D38&gt;=_config!$C$15,"ALERT",IF(Dashboard_AssetQuality!D38&gt;=_config!$B$15,"WATCH","OK")))</f>
        <v/>
      </c>
      <c r="K35" s="26">
        <f>IF(NOT(ISNUMBER(Dashboard_AssetQuality!E38)),"",IF(Dashboard_AssetQuality!E38&gt;=_config!$C$16,"ALERT",IF(Dashboard_AssetQuality!E38&gt;=_config!$B$16,"WATCH","OK")))</f>
        <v/>
      </c>
      <c r="L35" s="26">
        <f>IF(NOT(ISNUMBER(Dashboard_AssetQuality!F38)),"",IF(Dashboard_AssetQuality!F38&gt;=_config!$C$17,"ALERT",IF(Dashboard_AssetQuality!F38&gt;=_config!$B$17,"WATCH","OK")))</f>
        <v/>
      </c>
      <c r="M35" s="26">
        <f>IF(NOT(ISNUMBER(Dashboard_AssetQuality!G38)),"",IF(Dashboard_AssetQuality!G38&lt;=_config!$C$18,"ALERT",IF(Dashboard_AssetQuality!G38&lt;=_config!$B$18,"WATCH","OK")))</f>
        <v/>
      </c>
      <c r="N35" s="26">
        <f>IF(NOT(ISNUMBER(Dashboard_AssetQuality!H38)),"",IF(Dashboard_AssetQuality!H38&lt;=_config!$C$19,"ALERT",IF(Dashboard_AssetQuality!H38&lt;=_config!$B$19,"WATCH","OK")))</f>
        <v/>
      </c>
      <c r="O35" s="26">
        <f>IF(NOT(ISNUMBER(Dashboard_AssetQuality!I38)),"",IF(Dashboard_AssetQuality!I38&gt;=_config!$C$20,"ALERT",IF(Dashboard_AssetQuality!I38&gt;=_config!$B$20,"WATCH","OK")))</f>
        <v/>
      </c>
      <c r="P35" s="26">
        <f>IF(NOT(ISNUMBER(Dashboard_Capital_Earnings!D38)),"",IF(Dashboard_Capital_Earnings!D38&lt;=_config!$C$21,"ALERT",IF(Dashboard_Capital_Earnings!D38&lt;=_config!$B$21,"WATCH","OK")))</f>
        <v/>
      </c>
      <c r="Q35" s="26">
        <f>IF(NOT(ISNUMBER(Dashboard_Capital_Earnings!E38)),"",IF(Dashboard_Capital_Earnings!E38&lt;=_config!$C$22,"ALERT",IF(Dashboard_Capital_Earnings!E38&lt;=_config!$B$22,"WATCH","OK")))</f>
        <v/>
      </c>
      <c r="R35" s="26">
        <f>IF(NOT(ISNUMBER(Dashboard_Capital_Earnings!F38)),"",IF(Dashboard_Capital_Earnings!F38&lt;=_config!$C$23,"ALERT",IF(Dashboard_Capital_Earnings!F38&lt;=_config!$B$23,"WATCH","OK")))</f>
        <v/>
      </c>
      <c r="S35" s="26">
        <f>IF(NOT(ISNUMBER(Dashboard_Capital_Earnings!G38)),"",IF(Dashboard_Capital_Earnings!G38&lt;=_config!$C$24,"ALERT",IF(Dashboard_Capital_Earnings!G38&lt;=_config!$B$24,"WATCH","OK")))</f>
        <v/>
      </c>
      <c r="T35" s="26">
        <f>IF(NOT(ISNUMBER(Dashboard_Capital_Earnings!H38)),"",IF(Dashboard_Capital_Earnings!H38&lt;=_config!$C$25,"ALERT",IF(Dashboard_Capital_Earnings!H38&lt;=_config!$B$25,"WATCH","OK")))</f>
        <v/>
      </c>
      <c r="U35" s="26">
        <f>IF(NOT(ISNUMBER(Dashboard_Capital_Earnings!I38)),"",IF(Dashboard_Capital_Earnings!I38&gt;=_config!$C$26,"ALERT",IF(Dashboard_Capital_Earnings!I38&gt;=_config!$B$26,"WATCH","OK")))</f>
        <v/>
      </c>
      <c r="V35" s="26">
        <f>IF(NOT(ISNUMBER(Dashboard_Funding_Concentration!D38)),"",IF(Dashboard_Funding_Concentration!D38&gt;=_config!$C$27,"ALERT",IF(Dashboard_Funding_Concentration!D38&gt;=_config!$B$27,"WATCH","OK")))</f>
        <v/>
      </c>
      <c r="W35" s="26">
        <f>IF(NOT(ISNUMBER(Dashboard_Funding_Concentration!E38)),"",IF(Dashboard_Funding_Concentration!E38&gt;=_config!$C$28,"ALERT",IF(Dashboard_Funding_Concentration!E38&gt;=_config!$B$28,"WATCH","OK")))</f>
        <v/>
      </c>
      <c r="X35" s="26">
        <f>IF(NOT(ISNUMBER(Dashboard_Funding_Concentration!F38)),"",IF(Dashboard_Funding_Concentration!F38&gt;=_config!$C$29,"ALERT",IF(Dashboard_Funding_Concentration!F38&gt;=_config!$B$29,"WATCH","OK")))</f>
        <v/>
      </c>
      <c r="Z35" s="26">
        <f>IF(NOT(ISNUMBER($E35)),"",$E35*10000+IF(ISNUMBER($D35),$D35,0))</f>
        <v/>
      </c>
    </row>
    <row r="36">
      <c r="A36" s="14">
        <f>IF(_config!$C$64="","",_config!$C$64)</f>
        <v/>
      </c>
      <c r="B36" s="23">
        <f>IF(_config!$B$64="","",_config!$B$64)</f>
        <v/>
      </c>
      <c r="C36" s="16">
        <f>IF(_config!$D$64="","",_config!$D$64)</f>
        <v/>
      </c>
      <c r="D36" s="24">
        <f>IF(Dashboard_AssetQuality!I39="","",Dashboard_AssetQuality!I39)</f>
        <v/>
      </c>
      <c r="E36" s="25">
        <f>IF($A36="","",COUNTIF($J36:$X36,"ALERT"))</f>
        <v/>
      </c>
      <c r="F36" s="25">
        <f>IF($A36="","",COUNTIF($J36:$X36,"WATCH"))</f>
        <v/>
      </c>
      <c r="G36" s="25">
        <f>IF($Z36="","",RANK($Z36,$Z$5:$Z$44))</f>
        <v/>
      </c>
      <c r="H36" s="25">
        <f>IF(_config!$C$64="","",IF(NOT(ISNUMBER(_config!$B$64)),"REFUSED: blank/invalid CERT -- run --lookup",IF(UPPER(_config!$E$64&amp;"")&lt;&gt;"TRUE","OFF",IF($E36&gt;0,"ALERT",IF($F36&gt;0,"WATCH","OK")))))</f>
        <v/>
      </c>
      <c r="J36" s="26">
        <f>IF(NOT(ISNUMBER(Dashboard_AssetQuality!D39)),"",IF(Dashboard_AssetQuality!D39&gt;=_config!$C$15,"ALERT",IF(Dashboard_AssetQuality!D39&gt;=_config!$B$15,"WATCH","OK")))</f>
        <v/>
      </c>
      <c r="K36" s="26">
        <f>IF(NOT(ISNUMBER(Dashboard_AssetQuality!E39)),"",IF(Dashboard_AssetQuality!E39&gt;=_config!$C$16,"ALERT",IF(Dashboard_AssetQuality!E39&gt;=_config!$B$16,"WATCH","OK")))</f>
        <v/>
      </c>
      <c r="L36" s="26">
        <f>IF(NOT(ISNUMBER(Dashboard_AssetQuality!F39)),"",IF(Dashboard_AssetQuality!F39&gt;=_config!$C$17,"ALERT",IF(Dashboard_AssetQuality!F39&gt;=_config!$B$17,"WATCH","OK")))</f>
        <v/>
      </c>
      <c r="M36" s="26">
        <f>IF(NOT(ISNUMBER(Dashboard_AssetQuality!G39)),"",IF(Dashboard_AssetQuality!G39&lt;=_config!$C$18,"ALERT",IF(Dashboard_AssetQuality!G39&lt;=_config!$B$18,"WATCH","OK")))</f>
        <v/>
      </c>
      <c r="N36" s="26">
        <f>IF(NOT(ISNUMBER(Dashboard_AssetQuality!H39)),"",IF(Dashboard_AssetQuality!H39&lt;=_config!$C$19,"ALERT",IF(Dashboard_AssetQuality!H39&lt;=_config!$B$19,"WATCH","OK")))</f>
        <v/>
      </c>
      <c r="O36" s="26">
        <f>IF(NOT(ISNUMBER(Dashboard_AssetQuality!I39)),"",IF(Dashboard_AssetQuality!I39&gt;=_config!$C$20,"ALERT",IF(Dashboard_AssetQuality!I39&gt;=_config!$B$20,"WATCH","OK")))</f>
        <v/>
      </c>
      <c r="P36" s="26">
        <f>IF(NOT(ISNUMBER(Dashboard_Capital_Earnings!D39)),"",IF(Dashboard_Capital_Earnings!D39&lt;=_config!$C$21,"ALERT",IF(Dashboard_Capital_Earnings!D39&lt;=_config!$B$21,"WATCH","OK")))</f>
        <v/>
      </c>
      <c r="Q36" s="26">
        <f>IF(NOT(ISNUMBER(Dashboard_Capital_Earnings!E39)),"",IF(Dashboard_Capital_Earnings!E39&lt;=_config!$C$22,"ALERT",IF(Dashboard_Capital_Earnings!E39&lt;=_config!$B$22,"WATCH","OK")))</f>
        <v/>
      </c>
      <c r="R36" s="26">
        <f>IF(NOT(ISNUMBER(Dashboard_Capital_Earnings!F39)),"",IF(Dashboard_Capital_Earnings!F39&lt;=_config!$C$23,"ALERT",IF(Dashboard_Capital_Earnings!F39&lt;=_config!$B$23,"WATCH","OK")))</f>
        <v/>
      </c>
      <c r="S36" s="26">
        <f>IF(NOT(ISNUMBER(Dashboard_Capital_Earnings!G39)),"",IF(Dashboard_Capital_Earnings!G39&lt;=_config!$C$24,"ALERT",IF(Dashboard_Capital_Earnings!G39&lt;=_config!$B$24,"WATCH","OK")))</f>
        <v/>
      </c>
      <c r="T36" s="26">
        <f>IF(NOT(ISNUMBER(Dashboard_Capital_Earnings!H39)),"",IF(Dashboard_Capital_Earnings!H39&lt;=_config!$C$25,"ALERT",IF(Dashboard_Capital_Earnings!H39&lt;=_config!$B$25,"WATCH","OK")))</f>
        <v/>
      </c>
      <c r="U36" s="26">
        <f>IF(NOT(ISNUMBER(Dashboard_Capital_Earnings!I39)),"",IF(Dashboard_Capital_Earnings!I39&gt;=_config!$C$26,"ALERT",IF(Dashboard_Capital_Earnings!I39&gt;=_config!$B$26,"WATCH","OK")))</f>
        <v/>
      </c>
      <c r="V36" s="26">
        <f>IF(NOT(ISNUMBER(Dashboard_Funding_Concentration!D39)),"",IF(Dashboard_Funding_Concentration!D39&gt;=_config!$C$27,"ALERT",IF(Dashboard_Funding_Concentration!D39&gt;=_config!$B$27,"WATCH","OK")))</f>
        <v/>
      </c>
      <c r="W36" s="26">
        <f>IF(NOT(ISNUMBER(Dashboard_Funding_Concentration!E39)),"",IF(Dashboard_Funding_Concentration!E39&gt;=_config!$C$28,"ALERT",IF(Dashboard_Funding_Concentration!E39&gt;=_config!$B$28,"WATCH","OK")))</f>
        <v/>
      </c>
      <c r="X36" s="26">
        <f>IF(NOT(ISNUMBER(Dashboard_Funding_Concentration!F39)),"",IF(Dashboard_Funding_Concentration!F39&gt;=_config!$C$29,"ALERT",IF(Dashboard_Funding_Concentration!F39&gt;=_config!$B$29,"WATCH","OK")))</f>
        <v/>
      </c>
      <c r="Z36" s="26">
        <f>IF(NOT(ISNUMBER($E36)),"",$E36*10000+IF(ISNUMBER($D36),$D36,0))</f>
        <v/>
      </c>
    </row>
    <row r="37">
      <c r="A37" s="14">
        <f>IF(_config!$C$65="","",_config!$C$65)</f>
        <v/>
      </c>
      <c r="B37" s="23">
        <f>IF(_config!$B$65="","",_config!$B$65)</f>
        <v/>
      </c>
      <c r="C37" s="16">
        <f>IF(_config!$D$65="","",_config!$D$65)</f>
        <v/>
      </c>
      <c r="D37" s="24">
        <f>IF(Dashboard_AssetQuality!I40="","",Dashboard_AssetQuality!I40)</f>
        <v/>
      </c>
      <c r="E37" s="25">
        <f>IF($A37="","",COUNTIF($J37:$X37,"ALERT"))</f>
        <v/>
      </c>
      <c r="F37" s="25">
        <f>IF($A37="","",COUNTIF($J37:$X37,"WATCH"))</f>
        <v/>
      </c>
      <c r="G37" s="25">
        <f>IF($Z37="","",RANK($Z37,$Z$5:$Z$44))</f>
        <v/>
      </c>
      <c r="H37" s="25">
        <f>IF(_config!$C$65="","",IF(NOT(ISNUMBER(_config!$B$65)),"REFUSED: blank/invalid CERT -- run --lookup",IF(UPPER(_config!$E$65&amp;"")&lt;&gt;"TRUE","OFF",IF($E37&gt;0,"ALERT",IF($F37&gt;0,"WATCH","OK")))))</f>
        <v/>
      </c>
      <c r="J37" s="26">
        <f>IF(NOT(ISNUMBER(Dashboard_AssetQuality!D40)),"",IF(Dashboard_AssetQuality!D40&gt;=_config!$C$15,"ALERT",IF(Dashboard_AssetQuality!D40&gt;=_config!$B$15,"WATCH","OK")))</f>
        <v/>
      </c>
      <c r="K37" s="26">
        <f>IF(NOT(ISNUMBER(Dashboard_AssetQuality!E40)),"",IF(Dashboard_AssetQuality!E40&gt;=_config!$C$16,"ALERT",IF(Dashboard_AssetQuality!E40&gt;=_config!$B$16,"WATCH","OK")))</f>
        <v/>
      </c>
      <c r="L37" s="26">
        <f>IF(NOT(ISNUMBER(Dashboard_AssetQuality!F40)),"",IF(Dashboard_AssetQuality!F40&gt;=_config!$C$17,"ALERT",IF(Dashboard_AssetQuality!F40&gt;=_config!$B$17,"WATCH","OK")))</f>
        <v/>
      </c>
      <c r="M37" s="26">
        <f>IF(NOT(ISNUMBER(Dashboard_AssetQuality!G40)),"",IF(Dashboard_AssetQuality!G40&lt;=_config!$C$18,"ALERT",IF(Dashboard_AssetQuality!G40&lt;=_config!$B$18,"WATCH","OK")))</f>
        <v/>
      </c>
      <c r="N37" s="26">
        <f>IF(NOT(ISNUMBER(Dashboard_AssetQuality!H40)),"",IF(Dashboard_AssetQuality!H40&lt;=_config!$C$19,"ALERT",IF(Dashboard_AssetQuality!H40&lt;=_config!$B$19,"WATCH","OK")))</f>
        <v/>
      </c>
      <c r="O37" s="26">
        <f>IF(NOT(ISNUMBER(Dashboard_AssetQuality!I40)),"",IF(Dashboard_AssetQuality!I40&gt;=_config!$C$20,"ALERT",IF(Dashboard_AssetQuality!I40&gt;=_config!$B$20,"WATCH","OK")))</f>
        <v/>
      </c>
      <c r="P37" s="26">
        <f>IF(NOT(ISNUMBER(Dashboard_Capital_Earnings!D40)),"",IF(Dashboard_Capital_Earnings!D40&lt;=_config!$C$21,"ALERT",IF(Dashboard_Capital_Earnings!D40&lt;=_config!$B$21,"WATCH","OK")))</f>
        <v/>
      </c>
      <c r="Q37" s="26">
        <f>IF(NOT(ISNUMBER(Dashboard_Capital_Earnings!E40)),"",IF(Dashboard_Capital_Earnings!E40&lt;=_config!$C$22,"ALERT",IF(Dashboard_Capital_Earnings!E40&lt;=_config!$B$22,"WATCH","OK")))</f>
        <v/>
      </c>
      <c r="R37" s="26">
        <f>IF(NOT(ISNUMBER(Dashboard_Capital_Earnings!F40)),"",IF(Dashboard_Capital_Earnings!F40&lt;=_config!$C$23,"ALERT",IF(Dashboard_Capital_Earnings!F40&lt;=_config!$B$23,"WATCH","OK")))</f>
        <v/>
      </c>
      <c r="S37" s="26">
        <f>IF(NOT(ISNUMBER(Dashboard_Capital_Earnings!G40)),"",IF(Dashboard_Capital_Earnings!G40&lt;=_config!$C$24,"ALERT",IF(Dashboard_Capital_Earnings!G40&lt;=_config!$B$24,"WATCH","OK")))</f>
        <v/>
      </c>
      <c r="T37" s="26">
        <f>IF(NOT(ISNUMBER(Dashboard_Capital_Earnings!H40)),"",IF(Dashboard_Capital_Earnings!H40&lt;=_config!$C$25,"ALERT",IF(Dashboard_Capital_Earnings!H40&lt;=_config!$B$25,"WATCH","OK")))</f>
        <v/>
      </c>
      <c r="U37" s="26">
        <f>IF(NOT(ISNUMBER(Dashboard_Capital_Earnings!I40)),"",IF(Dashboard_Capital_Earnings!I40&gt;=_config!$C$26,"ALERT",IF(Dashboard_Capital_Earnings!I40&gt;=_config!$B$26,"WATCH","OK")))</f>
        <v/>
      </c>
      <c r="V37" s="26">
        <f>IF(NOT(ISNUMBER(Dashboard_Funding_Concentration!D40)),"",IF(Dashboard_Funding_Concentration!D40&gt;=_config!$C$27,"ALERT",IF(Dashboard_Funding_Concentration!D40&gt;=_config!$B$27,"WATCH","OK")))</f>
        <v/>
      </c>
      <c r="W37" s="26">
        <f>IF(NOT(ISNUMBER(Dashboard_Funding_Concentration!E40)),"",IF(Dashboard_Funding_Concentration!E40&gt;=_config!$C$28,"ALERT",IF(Dashboard_Funding_Concentration!E40&gt;=_config!$B$28,"WATCH","OK")))</f>
        <v/>
      </c>
      <c r="X37" s="26">
        <f>IF(NOT(ISNUMBER(Dashboard_Funding_Concentration!F40)),"",IF(Dashboard_Funding_Concentration!F40&gt;=_config!$C$29,"ALERT",IF(Dashboard_Funding_Concentration!F40&gt;=_config!$B$29,"WATCH","OK")))</f>
        <v/>
      </c>
      <c r="Z37" s="26">
        <f>IF(NOT(ISNUMBER($E37)),"",$E37*10000+IF(ISNUMBER($D37),$D37,0))</f>
        <v/>
      </c>
    </row>
    <row r="38">
      <c r="A38" s="14">
        <f>IF(_config!$C$66="","",_config!$C$66)</f>
        <v/>
      </c>
      <c r="B38" s="23">
        <f>IF(_config!$B$66="","",_config!$B$66)</f>
        <v/>
      </c>
      <c r="C38" s="16">
        <f>IF(_config!$D$66="","",_config!$D$66)</f>
        <v/>
      </c>
      <c r="D38" s="24">
        <f>IF(Dashboard_AssetQuality!I41="","",Dashboard_AssetQuality!I41)</f>
        <v/>
      </c>
      <c r="E38" s="25">
        <f>IF($A38="","",COUNTIF($J38:$X38,"ALERT"))</f>
        <v/>
      </c>
      <c r="F38" s="25">
        <f>IF($A38="","",COUNTIF($J38:$X38,"WATCH"))</f>
        <v/>
      </c>
      <c r="G38" s="25">
        <f>IF($Z38="","",RANK($Z38,$Z$5:$Z$44))</f>
        <v/>
      </c>
      <c r="H38" s="25">
        <f>IF(_config!$C$66="","",IF(NOT(ISNUMBER(_config!$B$66)),"REFUSED: blank/invalid CERT -- run --lookup",IF(UPPER(_config!$E$66&amp;"")&lt;&gt;"TRUE","OFF",IF($E38&gt;0,"ALERT",IF($F38&gt;0,"WATCH","OK")))))</f>
        <v/>
      </c>
      <c r="J38" s="26">
        <f>IF(NOT(ISNUMBER(Dashboard_AssetQuality!D41)),"",IF(Dashboard_AssetQuality!D41&gt;=_config!$C$15,"ALERT",IF(Dashboard_AssetQuality!D41&gt;=_config!$B$15,"WATCH","OK")))</f>
        <v/>
      </c>
      <c r="K38" s="26">
        <f>IF(NOT(ISNUMBER(Dashboard_AssetQuality!E41)),"",IF(Dashboard_AssetQuality!E41&gt;=_config!$C$16,"ALERT",IF(Dashboard_AssetQuality!E41&gt;=_config!$B$16,"WATCH","OK")))</f>
        <v/>
      </c>
      <c r="L38" s="26">
        <f>IF(NOT(ISNUMBER(Dashboard_AssetQuality!F41)),"",IF(Dashboard_AssetQuality!F41&gt;=_config!$C$17,"ALERT",IF(Dashboard_AssetQuality!F41&gt;=_config!$B$17,"WATCH","OK")))</f>
        <v/>
      </c>
      <c r="M38" s="26">
        <f>IF(NOT(ISNUMBER(Dashboard_AssetQuality!G41)),"",IF(Dashboard_AssetQuality!G41&lt;=_config!$C$18,"ALERT",IF(Dashboard_AssetQuality!G41&lt;=_config!$B$18,"WATCH","OK")))</f>
        <v/>
      </c>
      <c r="N38" s="26">
        <f>IF(NOT(ISNUMBER(Dashboard_AssetQuality!H41)),"",IF(Dashboard_AssetQuality!H41&lt;=_config!$C$19,"ALERT",IF(Dashboard_AssetQuality!H41&lt;=_config!$B$19,"WATCH","OK")))</f>
        <v/>
      </c>
      <c r="O38" s="26">
        <f>IF(NOT(ISNUMBER(Dashboard_AssetQuality!I41)),"",IF(Dashboard_AssetQuality!I41&gt;=_config!$C$20,"ALERT",IF(Dashboard_AssetQuality!I41&gt;=_config!$B$20,"WATCH","OK")))</f>
        <v/>
      </c>
      <c r="P38" s="26">
        <f>IF(NOT(ISNUMBER(Dashboard_Capital_Earnings!D41)),"",IF(Dashboard_Capital_Earnings!D41&lt;=_config!$C$21,"ALERT",IF(Dashboard_Capital_Earnings!D41&lt;=_config!$B$21,"WATCH","OK")))</f>
        <v/>
      </c>
      <c r="Q38" s="26">
        <f>IF(NOT(ISNUMBER(Dashboard_Capital_Earnings!E41)),"",IF(Dashboard_Capital_Earnings!E41&lt;=_config!$C$22,"ALERT",IF(Dashboard_Capital_Earnings!E41&lt;=_config!$B$22,"WATCH","OK")))</f>
        <v/>
      </c>
      <c r="R38" s="26">
        <f>IF(NOT(ISNUMBER(Dashboard_Capital_Earnings!F41)),"",IF(Dashboard_Capital_Earnings!F41&lt;=_config!$C$23,"ALERT",IF(Dashboard_Capital_Earnings!F41&lt;=_config!$B$23,"WATCH","OK")))</f>
        <v/>
      </c>
      <c r="S38" s="26">
        <f>IF(NOT(ISNUMBER(Dashboard_Capital_Earnings!G41)),"",IF(Dashboard_Capital_Earnings!G41&lt;=_config!$C$24,"ALERT",IF(Dashboard_Capital_Earnings!G41&lt;=_config!$B$24,"WATCH","OK")))</f>
        <v/>
      </c>
      <c r="T38" s="26">
        <f>IF(NOT(ISNUMBER(Dashboard_Capital_Earnings!H41)),"",IF(Dashboard_Capital_Earnings!H41&lt;=_config!$C$25,"ALERT",IF(Dashboard_Capital_Earnings!H41&lt;=_config!$B$25,"WATCH","OK")))</f>
        <v/>
      </c>
      <c r="U38" s="26">
        <f>IF(NOT(ISNUMBER(Dashboard_Capital_Earnings!I41)),"",IF(Dashboard_Capital_Earnings!I41&gt;=_config!$C$26,"ALERT",IF(Dashboard_Capital_Earnings!I41&gt;=_config!$B$26,"WATCH","OK")))</f>
        <v/>
      </c>
      <c r="V38" s="26">
        <f>IF(NOT(ISNUMBER(Dashboard_Funding_Concentration!D41)),"",IF(Dashboard_Funding_Concentration!D41&gt;=_config!$C$27,"ALERT",IF(Dashboard_Funding_Concentration!D41&gt;=_config!$B$27,"WATCH","OK")))</f>
        <v/>
      </c>
      <c r="W38" s="26">
        <f>IF(NOT(ISNUMBER(Dashboard_Funding_Concentration!E41)),"",IF(Dashboard_Funding_Concentration!E41&gt;=_config!$C$28,"ALERT",IF(Dashboard_Funding_Concentration!E41&gt;=_config!$B$28,"WATCH","OK")))</f>
        <v/>
      </c>
      <c r="X38" s="26">
        <f>IF(NOT(ISNUMBER(Dashboard_Funding_Concentration!F41)),"",IF(Dashboard_Funding_Concentration!F41&gt;=_config!$C$29,"ALERT",IF(Dashboard_Funding_Concentration!F41&gt;=_config!$B$29,"WATCH","OK")))</f>
        <v/>
      </c>
      <c r="Z38" s="26">
        <f>IF(NOT(ISNUMBER($E38)),"",$E38*10000+IF(ISNUMBER($D38),$D38,0))</f>
        <v/>
      </c>
    </row>
    <row r="39">
      <c r="A39" s="14">
        <f>IF(_config!$C$67="","",_config!$C$67)</f>
        <v/>
      </c>
      <c r="B39" s="23">
        <f>IF(_config!$B$67="","",_config!$B$67)</f>
        <v/>
      </c>
      <c r="C39" s="16">
        <f>IF(_config!$D$67="","",_config!$D$67)</f>
        <v/>
      </c>
      <c r="D39" s="24">
        <f>IF(Dashboard_AssetQuality!I42="","",Dashboard_AssetQuality!I42)</f>
        <v/>
      </c>
      <c r="E39" s="25">
        <f>IF($A39="","",COUNTIF($J39:$X39,"ALERT"))</f>
        <v/>
      </c>
      <c r="F39" s="25">
        <f>IF($A39="","",COUNTIF($J39:$X39,"WATCH"))</f>
        <v/>
      </c>
      <c r="G39" s="25">
        <f>IF($Z39="","",RANK($Z39,$Z$5:$Z$44))</f>
        <v/>
      </c>
      <c r="H39" s="25">
        <f>IF(_config!$C$67="","",IF(NOT(ISNUMBER(_config!$B$67)),"REFUSED: blank/invalid CERT -- run --lookup",IF(UPPER(_config!$E$67&amp;"")&lt;&gt;"TRUE","OFF",IF($E39&gt;0,"ALERT",IF($F39&gt;0,"WATCH","OK")))))</f>
        <v/>
      </c>
      <c r="J39" s="26">
        <f>IF(NOT(ISNUMBER(Dashboard_AssetQuality!D42)),"",IF(Dashboard_AssetQuality!D42&gt;=_config!$C$15,"ALERT",IF(Dashboard_AssetQuality!D42&gt;=_config!$B$15,"WATCH","OK")))</f>
        <v/>
      </c>
      <c r="K39" s="26">
        <f>IF(NOT(ISNUMBER(Dashboard_AssetQuality!E42)),"",IF(Dashboard_AssetQuality!E42&gt;=_config!$C$16,"ALERT",IF(Dashboard_AssetQuality!E42&gt;=_config!$B$16,"WATCH","OK")))</f>
        <v/>
      </c>
      <c r="L39" s="26">
        <f>IF(NOT(ISNUMBER(Dashboard_AssetQuality!F42)),"",IF(Dashboard_AssetQuality!F42&gt;=_config!$C$17,"ALERT",IF(Dashboard_AssetQuality!F42&gt;=_config!$B$17,"WATCH","OK")))</f>
        <v/>
      </c>
      <c r="M39" s="26">
        <f>IF(NOT(ISNUMBER(Dashboard_AssetQuality!G42)),"",IF(Dashboard_AssetQuality!G42&lt;=_config!$C$18,"ALERT",IF(Dashboard_AssetQuality!G42&lt;=_config!$B$18,"WATCH","OK")))</f>
        <v/>
      </c>
      <c r="N39" s="26">
        <f>IF(NOT(ISNUMBER(Dashboard_AssetQuality!H42)),"",IF(Dashboard_AssetQuality!H42&lt;=_config!$C$19,"ALERT",IF(Dashboard_AssetQuality!H42&lt;=_config!$B$19,"WATCH","OK")))</f>
        <v/>
      </c>
      <c r="O39" s="26">
        <f>IF(NOT(ISNUMBER(Dashboard_AssetQuality!I42)),"",IF(Dashboard_AssetQuality!I42&gt;=_config!$C$20,"ALERT",IF(Dashboard_AssetQuality!I42&gt;=_config!$B$20,"WATCH","OK")))</f>
        <v/>
      </c>
      <c r="P39" s="26">
        <f>IF(NOT(ISNUMBER(Dashboard_Capital_Earnings!D42)),"",IF(Dashboard_Capital_Earnings!D42&lt;=_config!$C$21,"ALERT",IF(Dashboard_Capital_Earnings!D42&lt;=_config!$B$21,"WATCH","OK")))</f>
        <v/>
      </c>
      <c r="Q39" s="26">
        <f>IF(NOT(ISNUMBER(Dashboard_Capital_Earnings!E42)),"",IF(Dashboard_Capital_Earnings!E42&lt;=_config!$C$22,"ALERT",IF(Dashboard_Capital_Earnings!E42&lt;=_config!$B$22,"WATCH","OK")))</f>
        <v/>
      </c>
      <c r="R39" s="26">
        <f>IF(NOT(ISNUMBER(Dashboard_Capital_Earnings!F42)),"",IF(Dashboard_Capital_Earnings!F42&lt;=_config!$C$23,"ALERT",IF(Dashboard_Capital_Earnings!F42&lt;=_config!$B$23,"WATCH","OK")))</f>
        <v/>
      </c>
      <c r="S39" s="26">
        <f>IF(NOT(ISNUMBER(Dashboard_Capital_Earnings!G42)),"",IF(Dashboard_Capital_Earnings!G42&lt;=_config!$C$24,"ALERT",IF(Dashboard_Capital_Earnings!G42&lt;=_config!$B$24,"WATCH","OK")))</f>
        <v/>
      </c>
      <c r="T39" s="26">
        <f>IF(NOT(ISNUMBER(Dashboard_Capital_Earnings!H42)),"",IF(Dashboard_Capital_Earnings!H42&lt;=_config!$C$25,"ALERT",IF(Dashboard_Capital_Earnings!H42&lt;=_config!$B$25,"WATCH","OK")))</f>
        <v/>
      </c>
      <c r="U39" s="26">
        <f>IF(NOT(ISNUMBER(Dashboard_Capital_Earnings!I42)),"",IF(Dashboard_Capital_Earnings!I42&gt;=_config!$C$26,"ALERT",IF(Dashboard_Capital_Earnings!I42&gt;=_config!$B$26,"WATCH","OK")))</f>
        <v/>
      </c>
      <c r="V39" s="26">
        <f>IF(NOT(ISNUMBER(Dashboard_Funding_Concentration!D42)),"",IF(Dashboard_Funding_Concentration!D42&gt;=_config!$C$27,"ALERT",IF(Dashboard_Funding_Concentration!D42&gt;=_config!$B$27,"WATCH","OK")))</f>
        <v/>
      </c>
      <c r="W39" s="26">
        <f>IF(NOT(ISNUMBER(Dashboard_Funding_Concentration!E42)),"",IF(Dashboard_Funding_Concentration!E42&gt;=_config!$C$28,"ALERT",IF(Dashboard_Funding_Concentration!E42&gt;=_config!$B$28,"WATCH","OK")))</f>
        <v/>
      </c>
      <c r="X39" s="26">
        <f>IF(NOT(ISNUMBER(Dashboard_Funding_Concentration!F42)),"",IF(Dashboard_Funding_Concentration!F42&gt;=_config!$C$29,"ALERT",IF(Dashboard_Funding_Concentration!F42&gt;=_config!$B$29,"WATCH","OK")))</f>
        <v/>
      </c>
      <c r="Z39" s="26">
        <f>IF(NOT(ISNUMBER($E39)),"",$E39*10000+IF(ISNUMBER($D39),$D39,0))</f>
        <v/>
      </c>
    </row>
    <row r="40">
      <c r="A40" s="14">
        <f>IF(_config!$C$68="","",_config!$C$68)</f>
        <v/>
      </c>
      <c r="B40" s="23">
        <f>IF(_config!$B$68="","",_config!$B$68)</f>
        <v/>
      </c>
      <c r="C40" s="16">
        <f>IF(_config!$D$68="","",_config!$D$68)</f>
        <v/>
      </c>
      <c r="D40" s="24">
        <f>IF(Dashboard_AssetQuality!I43="","",Dashboard_AssetQuality!I43)</f>
        <v/>
      </c>
      <c r="E40" s="25">
        <f>IF($A40="","",COUNTIF($J40:$X40,"ALERT"))</f>
        <v/>
      </c>
      <c r="F40" s="25">
        <f>IF($A40="","",COUNTIF($J40:$X40,"WATCH"))</f>
        <v/>
      </c>
      <c r="G40" s="25">
        <f>IF($Z40="","",RANK($Z40,$Z$5:$Z$44))</f>
        <v/>
      </c>
      <c r="H40" s="25">
        <f>IF(_config!$C$68="","",IF(NOT(ISNUMBER(_config!$B$68)),"REFUSED: blank/invalid CERT -- run --lookup",IF(UPPER(_config!$E$68&amp;"")&lt;&gt;"TRUE","OFF",IF($E40&gt;0,"ALERT",IF($F40&gt;0,"WATCH","OK")))))</f>
        <v/>
      </c>
      <c r="J40" s="26">
        <f>IF(NOT(ISNUMBER(Dashboard_AssetQuality!D43)),"",IF(Dashboard_AssetQuality!D43&gt;=_config!$C$15,"ALERT",IF(Dashboard_AssetQuality!D43&gt;=_config!$B$15,"WATCH","OK")))</f>
        <v/>
      </c>
      <c r="K40" s="26">
        <f>IF(NOT(ISNUMBER(Dashboard_AssetQuality!E43)),"",IF(Dashboard_AssetQuality!E43&gt;=_config!$C$16,"ALERT",IF(Dashboard_AssetQuality!E43&gt;=_config!$B$16,"WATCH","OK")))</f>
        <v/>
      </c>
      <c r="L40" s="26">
        <f>IF(NOT(ISNUMBER(Dashboard_AssetQuality!F43)),"",IF(Dashboard_AssetQuality!F43&gt;=_config!$C$17,"ALERT",IF(Dashboard_AssetQuality!F43&gt;=_config!$B$17,"WATCH","OK")))</f>
        <v/>
      </c>
      <c r="M40" s="26">
        <f>IF(NOT(ISNUMBER(Dashboard_AssetQuality!G43)),"",IF(Dashboard_AssetQuality!G43&lt;=_config!$C$18,"ALERT",IF(Dashboard_AssetQuality!G43&lt;=_config!$B$18,"WATCH","OK")))</f>
        <v/>
      </c>
      <c r="N40" s="26">
        <f>IF(NOT(ISNUMBER(Dashboard_AssetQuality!H43)),"",IF(Dashboard_AssetQuality!H43&lt;=_config!$C$19,"ALERT",IF(Dashboard_AssetQuality!H43&lt;=_config!$B$19,"WATCH","OK")))</f>
        <v/>
      </c>
      <c r="O40" s="26">
        <f>IF(NOT(ISNUMBER(Dashboard_AssetQuality!I43)),"",IF(Dashboard_AssetQuality!I43&gt;=_config!$C$20,"ALERT",IF(Dashboard_AssetQuality!I43&gt;=_config!$B$20,"WATCH","OK")))</f>
        <v/>
      </c>
      <c r="P40" s="26">
        <f>IF(NOT(ISNUMBER(Dashboard_Capital_Earnings!D43)),"",IF(Dashboard_Capital_Earnings!D43&lt;=_config!$C$21,"ALERT",IF(Dashboard_Capital_Earnings!D43&lt;=_config!$B$21,"WATCH","OK")))</f>
        <v/>
      </c>
      <c r="Q40" s="26">
        <f>IF(NOT(ISNUMBER(Dashboard_Capital_Earnings!E43)),"",IF(Dashboard_Capital_Earnings!E43&lt;=_config!$C$22,"ALERT",IF(Dashboard_Capital_Earnings!E43&lt;=_config!$B$22,"WATCH","OK")))</f>
        <v/>
      </c>
      <c r="R40" s="26">
        <f>IF(NOT(ISNUMBER(Dashboard_Capital_Earnings!F43)),"",IF(Dashboard_Capital_Earnings!F43&lt;=_config!$C$23,"ALERT",IF(Dashboard_Capital_Earnings!F43&lt;=_config!$B$23,"WATCH","OK")))</f>
        <v/>
      </c>
      <c r="S40" s="26">
        <f>IF(NOT(ISNUMBER(Dashboard_Capital_Earnings!G43)),"",IF(Dashboard_Capital_Earnings!G43&lt;=_config!$C$24,"ALERT",IF(Dashboard_Capital_Earnings!G43&lt;=_config!$B$24,"WATCH","OK")))</f>
        <v/>
      </c>
      <c r="T40" s="26">
        <f>IF(NOT(ISNUMBER(Dashboard_Capital_Earnings!H43)),"",IF(Dashboard_Capital_Earnings!H43&lt;=_config!$C$25,"ALERT",IF(Dashboard_Capital_Earnings!H43&lt;=_config!$B$25,"WATCH","OK")))</f>
        <v/>
      </c>
      <c r="U40" s="26">
        <f>IF(NOT(ISNUMBER(Dashboard_Capital_Earnings!I43)),"",IF(Dashboard_Capital_Earnings!I43&gt;=_config!$C$26,"ALERT",IF(Dashboard_Capital_Earnings!I43&gt;=_config!$B$26,"WATCH","OK")))</f>
        <v/>
      </c>
      <c r="V40" s="26">
        <f>IF(NOT(ISNUMBER(Dashboard_Funding_Concentration!D43)),"",IF(Dashboard_Funding_Concentration!D43&gt;=_config!$C$27,"ALERT",IF(Dashboard_Funding_Concentration!D43&gt;=_config!$B$27,"WATCH","OK")))</f>
        <v/>
      </c>
      <c r="W40" s="26">
        <f>IF(NOT(ISNUMBER(Dashboard_Funding_Concentration!E43)),"",IF(Dashboard_Funding_Concentration!E43&gt;=_config!$C$28,"ALERT",IF(Dashboard_Funding_Concentration!E43&gt;=_config!$B$28,"WATCH","OK")))</f>
        <v/>
      </c>
      <c r="X40" s="26">
        <f>IF(NOT(ISNUMBER(Dashboard_Funding_Concentration!F43)),"",IF(Dashboard_Funding_Concentration!F43&gt;=_config!$C$29,"ALERT",IF(Dashboard_Funding_Concentration!F43&gt;=_config!$B$29,"WATCH","OK")))</f>
        <v/>
      </c>
      <c r="Z40" s="26">
        <f>IF(NOT(ISNUMBER($E40)),"",$E40*10000+IF(ISNUMBER($D40),$D40,0))</f>
        <v/>
      </c>
    </row>
    <row r="41">
      <c r="A41" s="14">
        <f>IF(_config!$C$69="","",_config!$C$69)</f>
        <v/>
      </c>
      <c r="B41" s="23">
        <f>IF(_config!$B$69="","",_config!$B$69)</f>
        <v/>
      </c>
      <c r="C41" s="16">
        <f>IF(_config!$D$69="","",_config!$D$69)</f>
        <v/>
      </c>
      <c r="D41" s="24">
        <f>IF(Dashboard_AssetQuality!I44="","",Dashboard_AssetQuality!I44)</f>
        <v/>
      </c>
      <c r="E41" s="25">
        <f>IF($A41="","",COUNTIF($J41:$X41,"ALERT"))</f>
        <v/>
      </c>
      <c r="F41" s="25">
        <f>IF($A41="","",COUNTIF($J41:$X41,"WATCH"))</f>
        <v/>
      </c>
      <c r="G41" s="25">
        <f>IF($Z41="","",RANK($Z41,$Z$5:$Z$44))</f>
        <v/>
      </c>
      <c r="H41" s="25">
        <f>IF(_config!$C$69="","",IF(NOT(ISNUMBER(_config!$B$69)),"REFUSED: blank/invalid CERT -- run --lookup",IF(UPPER(_config!$E$69&amp;"")&lt;&gt;"TRUE","OFF",IF($E41&gt;0,"ALERT",IF($F41&gt;0,"WATCH","OK")))))</f>
        <v/>
      </c>
      <c r="J41" s="26">
        <f>IF(NOT(ISNUMBER(Dashboard_AssetQuality!D44)),"",IF(Dashboard_AssetQuality!D44&gt;=_config!$C$15,"ALERT",IF(Dashboard_AssetQuality!D44&gt;=_config!$B$15,"WATCH","OK")))</f>
        <v/>
      </c>
      <c r="K41" s="26">
        <f>IF(NOT(ISNUMBER(Dashboard_AssetQuality!E44)),"",IF(Dashboard_AssetQuality!E44&gt;=_config!$C$16,"ALERT",IF(Dashboard_AssetQuality!E44&gt;=_config!$B$16,"WATCH","OK")))</f>
        <v/>
      </c>
      <c r="L41" s="26">
        <f>IF(NOT(ISNUMBER(Dashboard_AssetQuality!F44)),"",IF(Dashboard_AssetQuality!F44&gt;=_config!$C$17,"ALERT",IF(Dashboard_AssetQuality!F44&gt;=_config!$B$17,"WATCH","OK")))</f>
        <v/>
      </c>
      <c r="M41" s="26">
        <f>IF(NOT(ISNUMBER(Dashboard_AssetQuality!G44)),"",IF(Dashboard_AssetQuality!G44&lt;=_config!$C$18,"ALERT",IF(Dashboard_AssetQuality!G44&lt;=_config!$B$18,"WATCH","OK")))</f>
        <v/>
      </c>
      <c r="N41" s="26">
        <f>IF(NOT(ISNUMBER(Dashboard_AssetQuality!H44)),"",IF(Dashboard_AssetQuality!H44&lt;=_config!$C$19,"ALERT",IF(Dashboard_AssetQuality!H44&lt;=_config!$B$19,"WATCH","OK")))</f>
        <v/>
      </c>
      <c r="O41" s="26">
        <f>IF(NOT(ISNUMBER(Dashboard_AssetQuality!I44)),"",IF(Dashboard_AssetQuality!I44&gt;=_config!$C$20,"ALERT",IF(Dashboard_AssetQuality!I44&gt;=_config!$B$20,"WATCH","OK")))</f>
        <v/>
      </c>
      <c r="P41" s="26">
        <f>IF(NOT(ISNUMBER(Dashboard_Capital_Earnings!D44)),"",IF(Dashboard_Capital_Earnings!D44&lt;=_config!$C$21,"ALERT",IF(Dashboard_Capital_Earnings!D44&lt;=_config!$B$21,"WATCH","OK")))</f>
        <v/>
      </c>
      <c r="Q41" s="26">
        <f>IF(NOT(ISNUMBER(Dashboard_Capital_Earnings!E44)),"",IF(Dashboard_Capital_Earnings!E44&lt;=_config!$C$22,"ALERT",IF(Dashboard_Capital_Earnings!E44&lt;=_config!$B$22,"WATCH","OK")))</f>
        <v/>
      </c>
      <c r="R41" s="26">
        <f>IF(NOT(ISNUMBER(Dashboard_Capital_Earnings!F44)),"",IF(Dashboard_Capital_Earnings!F44&lt;=_config!$C$23,"ALERT",IF(Dashboard_Capital_Earnings!F44&lt;=_config!$B$23,"WATCH","OK")))</f>
        <v/>
      </c>
      <c r="S41" s="26">
        <f>IF(NOT(ISNUMBER(Dashboard_Capital_Earnings!G44)),"",IF(Dashboard_Capital_Earnings!G44&lt;=_config!$C$24,"ALERT",IF(Dashboard_Capital_Earnings!G44&lt;=_config!$B$24,"WATCH","OK")))</f>
        <v/>
      </c>
      <c r="T41" s="26">
        <f>IF(NOT(ISNUMBER(Dashboard_Capital_Earnings!H44)),"",IF(Dashboard_Capital_Earnings!H44&lt;=_config!$C$25,"ALERT",IF(Dashboard_Capital_Earnings!H44&lt;=_config!$B$25,"WATCH","OK")))</f>
        <v/>
      </c>
      <c r="U41" s="26">
        <f>IF(NOT(ISNUMBER(Dashboard_Capital_Earnings!I44)),"",IF(Dashboard_Capital_Earnings!I44&gt;=_config!$C$26,"ALERT",IF(Dashboard_Capital_Earnings!I44&gt;=_config!$B$26,"WATCH","OK")))</f>
        <v/>
      </c>
      <c r="V41" s="26">
        <f>IF(NOT(ISNUMBER(Dashboard_Funding_Concentration!D44)),"",IF(Dashboard_Funding_Concentration!D44&gt;=_config!$C$27,"ALERT",IF(Dashboard_Funding_Concentration!D44&gt;=_config!$B$27,"WATCH","OK")))</f>
        <v/>
      </c>
      <c r="W41" s="26">
        <f>IF(NOT(ISNUMBER(Dashboard_Funding_Concentration!E44)),"",IF(Dashboard_Funding_Concentration!E44&gt;=_config!$C$28,"ALERT",IF(Dashboard_Funding_Concentration!E44&gt;=_config!$B$28,"WATCH","OK")))</f>
        <v/>
      </c>
      <c r="X41" s="26">
        <f>IF(NOT(ISNUMBER(Dashboard_Funding_Concentration!F44)),"",IF(Dashboard_Funding_Concentration!F44&gt;=_config!$C$29,"ALERT",IF(Dashboard_Funding_Concentration!F44&gt;=_config!$B$29,"WATCH","OK")))</f>
        <v/>
      </c>
      <c r="Z41" s="26">
        <f>IF(NOT(ISNUMBER($E41)),"",$E41*10000+IF(ISNUMBER($D41),$D41,0))</f>
        <v/>
      </c>
    </row>
    <row r="42">
      <c r="A42" s="14">
        <f>IF(_config!$C$70="","",_config!$C$70)</f>
        <v/>
      </c>
      <c r="B42" s="23">
        <f>IF(_config!$B$70="","",_config!$B$70)</f>
        <v/>
      </c>
      <c r="C42" s="16">
        <f>IF(_config!$D$70="","",_config!$D$70)</f>
        <v/>
      </c>
      <c r="D42" s="24">
        <f>IF(Dashboard_AssetQuality!I45="","",Dashboard_AssetQuality!I45)</f>
        <v/>
      </c>
      <c r="E42" s="25">
        <f>IF($A42="","",COUNTIF($J42:$X42,"ALERT"))</f>
        <v/>
      </c>
      <c r="F42" s="25">
        <f>IF($A42="","",COUNTIF($J42:$X42,"WATCH"))</f>
        <v/>
      </c>
      <c r="G42" s="25">
        <f>IF($Z42="","",RANK($Z42,$Z$5:$Z$44))</f>
        <v/>
      </c>
      <c r="H42" s="25">
        <f>IF(_config!$C$70="","",IF(NOT(ISNUMBER(_config!$B$70)),"REFUSED: blank/invalid CERT -- run --lookup",IF(UPPER(_config!$E$70&amp;"")&lt;&gt;"TRUE","OFF",IF($E42&gt;0,"ALERT",IF($F42&gt;0,"WATCH","OK")))))</f>
        <v/>
      </c>
      <c r="J42" s="26">
        <f>IF(NOT(ISNUMBER(Dashboard_AssetQuality!D45)),"",IF(Dashboard_AssetQuality!D45&gt;=_config!$C$15,"ALERT",IF(Dashboard_AssetQuality!D45&gt;=_config!$B$15,"WATCH","OK")))</f>
        <v/>
      </c>
      <c r="K42" s="26">
        <f>IF(NOT(ISNUMBER(Dashboard_AssetQuality!E45)),"",IF(Dashboard_AssetQuality!E45&gt;=_config!$C$16,"ALERT",IF(Dashboard_AssetQuality!E45&gt;=_config!$B$16,"WATCH","OK")))</f>
        <v/>
      </c>
      <c r="L42" s="26">
        <f>IF(NOT(ISNUMBER(Dashboard_AssetQuality!F45)),"",IF(Dashboard_AssetQuality!F45&gt;=_config!$C$17,"ALERT",IF(Dashboard_AssetQuality!F45&gt;=_config!$B$17,"WATCH","OK")))</f>
        <v/>
      </c>
      <c r="M42" s="26">
        <f>IF(NOT(ISNUMBER(Dashboard_AssetQuality!G45)),"",IF(Dashboard_AssetQuality!G45&lt;=_config!$C$18,"ALERT",IF(Dashboard_AssetQuality!G45&lt;=_config!$B$18,"WATCH","OK")))</f>
        <v/>
      </c>
      <c r="N42" s="26">
        <f>IF(NOT(ISNUMBER(Dashboard_AssetQuality!H45)),"",IF(Dashboard_AssetQuality!H45&lt;=_config!$C$19,"ALERT",IF(Dashboard_AssetQuality!H45&lt;=_config!$B$19,"WATCH","OK")))</f>
        <v/>
      </c>
      <c r="O42" s="26">
        <f>IF(NOT(ISNUMBER(Dashboard_AssetQuality!I45)),"",IF(Dashboard_AssetQuality!I45&gt;=_config!$C$20,"ALERT",IF(Dashboard_AssetQuality!I45&gt;=_config!$B$20,"WATCH","OK")))</f>
        <v/>
      </c>
      <c r="P42" s="26">
        <f>IF(NOT(ISNUMBER(Dashboard_Capital_Earnings!D45)),"",IF(Dashboard_Capital_Earnings!D45&lt;=_config!$C$21,"ALERT",IF(Dashboard_Capital_Earnings!D45&lt;=_config!$B$21,"WATCH","OK")))</f>
        <v/>
      </c>
      <c r="Q42" s="26">
        <f>IF(NOT(ISNUMBER(Dashboard_Capital_Earnings!E45)),"",IF(Dashboard_Capital_Earnings!E45&lt;=_config!$C$22,"ALERT",IF(Dashboard_Capital_Earnings!E45&lt;=_config!$B$22,"WATCH","OK")))</f>
        <v/>
      </c>
      <c r="R42" s="26">
        <f>IF(NOT(ISNUMBER(Dashboard_Capital_Earnings!F45)),"",IF(Dashboard_Capital_Earnings!F45&lt;=_config!$C$23,"ALERT",IF(Dashboard_Capital_Earnings!F45&lt;=_config!$B$23,"WATCH","OK")))</f>
        <v/>
      </c>
      <c r="S42" s="26">
        <f>IF(NOT(ISNUMBER(Dashboard_Capital_Earnings!G45)),"",IF(Dashboard_Capital_Earnings!G45&lt;=_config!$C$24,"ALERT",IF(Dashboard_Capital_Earnings!G45&lt;=_config!$B$24,"WATCH","OK")))</f>
        <v/>
      </c>
      <c r="T42" s="26">
        <f>IF(NOT(ISNUMBER(Dashboard_Capital_Earnings!H45)),"",IF(Dashboard_Capital_Earnings!H45&lt;=_config!$C$25,"ALERT",IF(Dashboard_Capital_Earnings!H45&lt;=_config!$B$25,"WATCH","OK")))</f>
        <v/>
      </c>
      <c r="U42" s="26">
        <f>IF(NOT(ISNUMBER(Dashboard_Capital_Earnings!I45)),"",IF(Dashboard_Capital_Earnings!I45&gt;=_config!$C$26,"ALERT",IF(Dashboard_Capital_Earnings!I45&gt;=_config!$B$26,"WATCH","OK")))</f>
        <v/>
      </c>
      <c r="V42" s="26">
        <f>IF(NOT(ISNUMBER(Dashboard_Funding_Concentration!D45)),"",IF(Dashboard_Funding_Concentration!D45&gt;=_config!$C$27,"ALERT",IF(Dashboard_Funding_Concentration!D45&gt;=_config!$B$27,"WATCH","OK")))</f>
        <v/>
      </c>
      <c r="W42" s="26">
        <f>IF(NOT(ISNUMBER(Dashboard_Funding_Concentration!E45)),"",IF(Dashboard_Funding_Concentration!E45&gt;=_config!$C$28,"ALERT",IF(Dashboard_Funding_Concentration!E45&gt;=_config!$B$28,"WATCH","OK")))</f>
        <v/>
      </c>
      <c r="X42" s="26">
        <f>IF(NOT(ISNUMBER(Dashboard_Funding_Concentration!F45)),"",IF(Dashboard_Funding_Concentration!F45&gt;=_config!$C$29,"ALERT",IF(Dashboard_Funding_Concentration!F45&gt;=_config!$B$29,"WATCH","OK")))</f>
        <v/>
      </c>
      <c r="Z42" s="26">
        <f>IF(NOT(ISNUMBER($E42)),"",$E42*10000+IF(ISNUMBER($D42),$D42,0))</f>
        <v/>
      </c>
    </row>
    <row r="43">
      <c r="A43" s="14">
        <f>IF(_config!$C$71="","",_config!$C$71)</f>
        <v/>
      </c>
      <c r="B43" s="23">
        <f>IF(_config!$B$71="","",_config!$B$71)</f>
        <v/>
      </c>
      <c r="C43" s="16">
        <f>IF(_config!$D$71="","",_config!$D$71)</f>
        <v/>
      </c>
      <c r="D43" s="24">
        <f>IF(Dashboard_AssetQuality!I46="","",Dashboard_AssetQuality!I46)</f>
        <v/>
      </c>
      <c r="E43" s="25">
        <f>IF($A43="","",COUNTIF($J43:$X43,"ALERT"))</f>
        <v/>
      </c>
      <c r="F43" s="25">
        <f>IF($A43="","",COUNTIF($J43:$X43,"WATCH"))</f>
        <v/>
      </c>
      <c r="G43" s="25">
        <f>IF($Z43="","",RANK($Z43,$Z$5:$Z$44))</f>
        <v/>
      </c>
      <c r="H43" s="25">
        <f>IF(_config!$C$71="","",IF(NOT(ISNUMBER(_config!$B$71)),"REFUSED: blank/invalid CERT -- run --lookup",IF(UPPER(_config!$E$71&amp;"")&lt;&gt;"TRUE","OFF",IF($E43&gt;0,"ALERT",IF($F43&gt;0,"WATCH","OK")))))</f>
        <v/>
      </c>
      <c r="J43" s="26">
        <f>IF(NOT(ISNUMBER(Dashboard_AssetQuality!D46)),"",IF(Dashboard_AssetQuality!D46&gt;=_config!$C$15,"ALERT",IF(Dashboard_AssetQuality!D46&gt;=_config!$B$15,"WATCH","OK")))</f>
        <v/>
      </c>
      <c r="K43" s="26">
        <f>IF(NOT(ISNUMBER(Dashboard_AssetQuality!E46)),"",IF(Dashboard_AssetQuality!E46&gt;=_config!$C$16,"ALERT",IF(Dashboard_AssetQuality!E46&gt;=_config!$B$16,"WATCH","OK")))</f>
        <v/>
      </c>
      <c r="L43" s="26">
        <f>IF(NOT(ISNUMBER(Dashboard_AssetQuality!F46)),"",IF(Dashboard_AssetQuality!F46&gt;=_config!$C$17,"ALERT",IF(Dashboard_AssetQuality!F46&gt;=_config!$B$17,"WATCH","OK")))</f>
        <v/>
      </c>
      <c r="M43" s="26">
        <f>IF(NOT(ISNUMBER(Dashboard_AssetQuality!G46)),"",IF(Dashboard_AssetQuality!G46&lt;=_config!$C$18,"ALERT",IF(Dashboard_AssetQuality!G46&lt;=_config!$B$18,"WATCH","OK")))</f>
        <v/>
      </c>
      <c r="N43" s="26">
        <f>IF(NOT(ISNUMBER(Dashboard_AssetQuality!H46)),"",IF(Dashboard_AssetQuality!H46&lt;=_config!$C$19,"ALERT",IF(Dashboard_AssetQuality!H46&lt;=_config!$B$19,"WATCH","OK")))</f>
        <v/>
      </c>
      <c r="O43" s="26">
        <f>IF(NOT(ISNUMBER(Dashboard_AssetQuality!I46)),"",IF(Dashboard_AssetQuality!I46&gt;=_config!$C$20,"ALERT",IF(Dashboard_AssetQuality!I46&gt;=_config!$B$20,"WATCH","OK")))</f>
        <v/>
      </c>
      <c r="P43" s="26">
        <f>IF(NOT(ISNUMBER(Dashboard_Capital_Earnings!D46)),"",IF(Dashboard_Capital_Earnings!D46&lt;=_config!$C$21,"ALERT",IF(Dashboard_Capital_Earnings!D46&lt;=_config!$B$21,"WATCH","OK")))</f>
        <v/>
      </c>
      <c r="Q43" s="26">
        <f>IF(NOT(ISNUMBER(Dashboard_Capital_Earnings!E46)),"",IF(Dashboard_Capital_Earnings!E46&lt;=_config!$C$22,"ALERT",IF(Dashboard_Capital_Earnings!E46&lt;=_config!$B$22,"WATCH","OK")))</f>
        <v/>
      </c>
      <c r="R43" s="26">
        <f>IF(NOT(ISNUMBER(Dashboard_Capital_Earnings!F46)),"",IF(Dashboard_Capital_Earnings!F46&lt;=_config!$C$23,"ALERT",IF(Dashboard_Capital_Earnings!F46&lt;=_config!$B$23,"WATCH","OK")))</f>
        <v/>
      </c>
      <c r="S43" s="26">
        <f>IF(NOT(ISNUMBER(Dashboard_Capital_Earnings!G46)),"",IF(Dashboard_Capital_Earnings!G46&lt;=_config!$C$24,"ALERT",IF(Dashboard_Capital_Earnings!G46&lt;=_config!$B$24,"WATCH","OK")))</f>
        <v/>
      </c>
      <c r="T43" s="26">
        <f>IF(NOT(ISNUMBER(Dashboard_Capital_Earnings!H46)),"",IF(Dashboard_Capital_Earnings!H46&lt;=_config!$C$25,"ALERT",IF(Dashboard_Capital_Earnings!H46&lt;=_config!$B$25,"WATCH","OK")))</f>
        <v/>
      </c>
      <c r="U43" s="26">
        <f>IF(NOT(ISNUMBER(Dashboard_Capital_Earnings!I46)),"",IF(Dashboard_Capital_Earnings!I46&gt;=_config!$C$26,"ALERT",IF(Dashboard_Capital_Earnings!I46&gt;=_config!$B$26,"WATCH","OK")))</f>
        <v/>
      </c>
      <c r="V43" s="26">
        <f>IF(NOT(ISNUMBER(Dashboard_Funding_Concentration!D46)),"",IF(Dashboard_Funding_Concentration!D46&gt;=_config!$C$27,"ALERT",IF(Dashboard_Funding_Concentration!D46&gt;=_config!$B$27,"WATCH","OK")))</f>
        <v/>
      </c>
      <c r="W43" s="26">
        <f>IF(NOT(ISNUMBER(Dashboard_Funding_Concentration!E46)),"",IF(Dashboard_Funding_Concentration!E46&gt;=_config!$C$28,"ALERT",IF(Dashboard_Funding_Concentration!E46&gt;=_config!$B$28,"WATCH","OK")))</f>
        <v/>
      </c>
      <c r="X43" s="26">
        <f>IF(NOT(ISNUMBER(Dashboard_Funding_Concentration!F46)),"",IF(Dashboard_Funding_Concentration!F46&gt;=_config!$C$29,"ALERT",IF(Dashboard_Funding_Concentration!F46&gt;=_config!$B$29,"WATCH","OK")))</f>
        <v/>
      </c>
      <c r="Z43" s="26">
        <f>IF(NOT(ISNUMBER($E43)),"",$E43*10000+IF(ISNUMBER($D43),$D43,0))</f>
        <v/>
      </c>
    </row>
    <row r="44">
      <c r="A44" s="14">
        <f>IF(_config!$C$72="","",_config!$C$72)</f>
        <v/>
      </c>
      <c r="B44" s="23">
        <f>IF(_config!$B$72="","",_config!$B$72)</f>
        <v/>
      </c>
      <c r="C44" s="16">
        <f>IF(_config!$D$72="","",_config!$D$72)</f>
        <v/>
      </c>
      <c r="D44" s="24">
        <f>IF(Dashboard_AssetQuality!I47="","",Dashboard_AssetQuality!I47)</f>
        <v/>
      </c>
      <c r="E44" s="25">
        <f>IF($A44="","",COUNTIF($J44:$X44,"ALERT"))</f>
        <v/>
      </c>
      <c r="F44" s="25">
        <f>IF($A44="","",COUNTIF($J44:$X44,"WATCH"))</f>
        <v/>
      </c>
      <c r="G44" s="25">
        <f>IF($Z44="","",RANK($Z44,$Z$5:$Z$44))</f>
        <v/>
      </c>
      <c r="H44" s="25">
        <f>IF(_config!$C$72="","",IF(NOT(ISNUMBER(_config!$B$72)),"REFUSED: blank/invalid CERT -- run --lookup",IF(UPPER(_config!$E$72&amp;"")&lt;&gt;"TRUE","OFF",IF($E44&gt;0,"ALERT",IF($F44&gt;0,"WATCH","OK")))))</f>
        <v/>
      </c>
      <c r="J44" s="26">
        <f>IF(NOT(ISNUMBER(Dashboard_AssetQuality!D47)),"",IF(Dashboard_AssetQuality!D47&gt;=_config!$C$15,"ALERT",IF(Dashboard_AssetQuality!D47&gt;=_config!$B$15,"WATCH","OK")))</f>
        <v/>
      </c>
      <c r="K44" s="26">
        <f>IF(NOT(ISNUMBER(Dashboard_AssetQuality!E47)),"",IF(Dashboard_AssetQuality!E47&gt;=_config!$C$16,"ALERT",IF(Dashboard_AssetQuality!E47&gt;=_config!$B$16,"WATCH","OK")))</f>
        <v/>
      </c>
      <c r="L44" s="26">
        <f>IF(NOT(ISNUMBER(Dashboard_AssetQuality!F47)),"",IF(Dashboard_AssetQuality!F47&gt;=_config!$C$17,"ALERT",IF(Dashboard_AssetQuality!F47&gt;=_config!$B$17,"WATCH","OK")))</f>
        <v/>
      </c>
      <c r="M44" s="26">
        <f>IF(NOT(ISNUMBER(Dashboard_AssetQuality!G47)),"",IF(Dashboard_AssetQuality!G47&lt;=_config!$C$18,"ALERT",IF(Dashboard_AssetQuality!G47&lt;=_config!$B$18,"WATCH","OK")))</f>
        <v/>
      </c>
      <c r="N44" s="26">
        <f>IF(NOT(ISNUMBER(Dashboard_AssetQuality!H47)),"",IF(Dashboard_AssetQuality!H47&lt;=_config!$C$19,"ALERT",IF(Dashboard_AssetQuality!H47&lt;=_config!$B$19,"WATCH","OK")))</f>
        <v/>
      </c>
      <c r="O44" s="26">
        <f>IF(NOT(ISNUMBER(Dashboard_AssetQuality!I47)),"",IF(Dashboard_AssetQuality!I47&gt;=_config!$C$20,"ALERT",IF(Dashboard_AssetQuality!I47&gt;=_config!$B$20,"WATCH","OK")))</f>
        <v/>
      </c>
      <c r="P44" s="26">
        <f>IF(NOT(ISNUMBER(Dashboard_Capital_Earnings!D47)),"",IF(Dashboard_Capital_Earnings!D47&lt;=_config!$C$21,"ALERT",IF(Dashboard_Capital_Earnings!D47&lt;=_config!$B$21,"WATCH","OK")))</f>
        <v/>
      </c>
      <c r="Q44" s="26">
        <f>IF(NOT(ISNUMBER(Dashboard_Capital_Earnings!E47)),"",IF(Dashboard_Capital_Earnings!E47&lt;=_config!$C$22,"ALERT",IF(Dashboard_Capital_Earnings!E47&lt;=_config!$B$22,"WATCH","OK")))</f>
        <v/>
      </c>
      <c r="R44" s="26">
        <f>IF(NOT(ISNUMBER(Dashboard_Capital_Earnings!F47)),"",IF(Dashboard_Capital_Earnings!F47&lt;=_config!$C$23,"ALERT",IF(Dashboard_Capital_Earnings!F47&lt;=_config!$B$23,"WATCH","OK")))</f>
        <v/>
      </c>
      <c r="S44" s="26">
        <f>IF(NOT(ISNUMBER(Dashboard_Capital_Earnings!G47)),"",IF(Dashboard_Capital_Earnings!G47&lt;=_config!$C$24,"ALERT",IF(Dashboard_Capital_Earnings!G47&lt;=_config!$B$24,"WATCH","OK")))</f>
        <v/>
      </c>
      <c r="T44" s="26">
        <f>IF(NOT(ISNUMBER(Dashboard_Capital_Earnings!H47)),"",IF(Dashboard_Capital_Earnings!H47&lt;=_config!$C$25,"ALERT",IF(Dashboard_Capital_Earnings!H47&lt;=_config!$B$25,"WATCH","OK")))</f>
        <v/>
      </c>
      <c r="U44" s="26">
        <f>IF(NOT(ISNUMBER(Dashboard_Capital_Earnings!I47)),"",IF(Dashboard_Capital_Earnings!I47&gt;=_config!$C$26,"ALERT",IF(Dashboard_Capital_Earnings!I47&gt;=_config!$B$26,"WATCH","OK")))</f>
        <v/>
      </c>
      <c r="V44" s="26">
        <f>IF(NOT(ISNUMBER(Dashboard_Funding_Concentration!D47)),"",IF(Dashboard_Funding_Concentration!D47&gt;=_config!$C$27,"ALERT",IF(Dashboard_Funding_Concentration!D47&gt;=_config!$B$27,"WATCH","OK")))</f>
        <v/>
      </c>
      <c r="W44" s="26">
        <f>IF(NOT(ISNUMBER(Dashboard_Funding_Concentration!E47)),"",IF(Dashboard_Funding_Concentration!E47&gt;=_config!$C$28,"ALERT",IF(Dashboard_Funding_Concentration!E47&gt;=_config!$B$28,"WATCH","OK")))</f>
        <v/>
      </c>
      <c r="X44" s="26">
        <f>IF(NOT(ISNUMBER(Dashboard_Funding_Concentration!F47)),"",IF(Dashboard_Funding_Concentration!F47&gt;=_config!$C$29,"ALERT",IF(Dashboard_Funding_Concentration!F47&gt;=_config!$B$29,"WATCH","OK")))</f>
        <v/>
      </c>
      <c r="Z44" s="26">
        <f>IF(NOT(ISNUMBER($E44)),"",$E44*10000+IF(ISNUMBER($D44),$D44,0))</f>
        <v/>
      </c>
    </row>
    <row r="46">
      <c r="A46" s="26" t="inlineStr">
        <is>
          <t>Columns J-X are the per-metric status helpers feeding the flag COUNTIFs; the rank score column makes the (ALERT, Texas) ordering auditable. Sort/filter on Rank if desired.</t>
        </is>
      </c>
    </row>
  </sheetData>
  <mergeCells count="4">
    <mergeCell ref="A46:H46"/>
    <mergeCell ref="A3:H3"/>
    <mergeCell ref="A2:H2"/>
    <mergeCell ref="A1:H1"/>
  </mergeCells>
  <conditionalFormatting sqref="H5:H44">
    <cfRule type="expression" priority="1" dxfId="0">
      <formula>ISNUMBER(SEARCH("ALERT",H5))</formula>
    </cfRule>
  </conditionalFormatting>
  <conditionalFormatting sqref="D5:D44">
    <cfRule type="colorScale" priority="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E5:E44">
    <cfRule type="colorScale" priority="3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W783"/>
  <sheetViews>
    <sheetView showGridLines="0" workbookViewId="0">
      <selection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12" customWidth="1" min="16" max="16"/>
    <col width="12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</cols>
  <sheetData>
    <row r="1">
      <c r="A1" s="26" t="inlineStr">
        <is>
          <t>Raw_FDIC -- raw FDIC /financials fields per peer slot (or FdicDemoProvider output in --demo), newest quarter first. One block per SLOT: anchors never move when [PEERS] changes. Dollar fields are $ thousands, ratio fields are percent (trap F4). Written by runner.py -- do not edit.</t>
        </is>
      </c>
    </row>
    <row r="2">
      <c r="A2" s="27" t="inlineStr">
        <is>
          <t>slot01</t>
        </is>
      </c>
    </row>
    <row r="3">
      <c r="A3" s="22" t="inlineStr">
        <is>
          <t>REPDTE</t>
        </is>
      </c>
      <c r="B3" s="22" t="inlineStr">
        <is>
          <t>ASSET</t>
        </is>
      </c>
      <c r="C3" s="22" t="inlineStr">
        <is>
          <t>DEP</t>
        </is>
      </c>
      <c r="D3" s="22" t="inlineStr">
        <is>
          <t>LNLSGR</t>
        </is>
      </c>
      <c r="E3" s="22" t="inlineStr">
        <is>
          <t>LNLSNET</t>
        </is>
      </c>
      <c r="F3" s="22" t="inlineStr">
        <is>
          <t>BRO</t>
        </is>
      </c>
      <c r="G3" s="22" t="inlineStr">
        <is>
          <t>EQ</t>
        </is>
      </c>
      <c r="H3" s="22" t="inlineStr">
        <is>
          <t>NCLNLS</t>
        </is>
      </c>
      <c r="I3" s="22" t="inlineStr">
        <is>
          <t>LNATRES</t>
        </is>
      </c>
      <c r="J3" s="22" t="inlineStr">
        <is>
          <t>P3LNLS</t>
        </is>
      </c>
      <c r="K3" s="22" t="inlineStr">
        <is>
          <t>LNRECONS</t>
        </is>
      </c>
      <c r="L3" s="22" t="inlineStr">
        <is>
          <t>LNRENRES</t>
        </is>
      </c>
      <c r="M3" s="22" t="inlineStr">
        <is>
          <t>LNREMULT</t>
        </is>
      </c>
      <c r="N3" s="22" t="inlineStr">
        <is>
          <t>NCLNLSR</t>
        </is>
      </c>
      <c r="O3" s="22" t="inlineStr">
        <is>
          <t>NTLNLSQR</t>
        </is>
      </c>
      <c r="P3" s="22" t="inlineStr">
        <is>
          <t>LNATRESR</t>
        </is>
      </c>
      <c r="Q3" s="22" t="inlineStr">
        <is>
          <t>LNRESNCR</t>
        </is>
      </c>
      <c r="R3" s="22" t="inlineStr">
        <is>
          <t>RBC1AAJ</t>
        </is>
      </c>
      <c r="S3" s="22" t="inlineStr">
        <is>
          <t>RBCRWAJ</t>
        </is>
      </c>
      <c r="T3" s="22" t="inlineStr">
        <is>
          <t>EQV</t>
        </is>
      </c>
      <c r="U3" s="22" t="inlineStr">
        <is>
          <t>ROAQ</t>
        </is>
      </c>
      <c r="V3" s="22" t="inlineStr">
        <is>
          <t>NIMY</t>
        </is>
      </c>
      <c r="W3" s="22" t="inlineStr">
        <is>
          <t>EEFFR</t>
        </is>
      </c>
    </row>
    <row r="22">
      <c r="A22" s="27" t="inlineStr">
        <is>
          <t>slot02</t>
        </is>
      </c>
    </row>
    <row r="23">
      <c r="A23" s="22" t="inlineStr">
        <is>
          <t>REPDTE</t>
        </is>
      </c>
      <c r="B23" s="22" t="inlineStr">
        <is>
          <t>ASSET</t>
        </is>
      </c>
      <c r="C23" s="22" t="inlineStr">
        <is>
          <t>DEP</t>
        </is>
      </c>
      <c r="D23" s="22" t="inlineStr">
        <is>
          <t>LNLSGR</t>
        </is>
      </c>
      <c r="E23" s="22" t="inlineStr">
        <is>
          <t>LNLSNET</t>
        </is>
      </c>
      <c r="F23" s="22" t="inlineStr">
        <is>
          <t>BRO</t>
        </is>
      </c>
      <c r="G23" s="22" t="inlineStr">
        <is>
          <t>EQ</t>
        </is>
      </c>
      <c r="H23" s="22" t="inlineStr">
        <is>
          <t>NCLNLS</t>
        </is>
      </c>
      <c r="I23" s="22" t="inlineStr">
        <is>
          <t>LNATRES</t>
        </is>
      </c>
      <c r="J23" s="22" t="inlineStr">
        <is>
          <t>P3LNLS</t>
        </is>
      </c>
      <c r="K23" s="22" t="inlineStr">
        <is>
          <t>LNRECONS</t>
        </is>
      </c>
      <c r="L23" s="22" t="inlineStr">
        <is>
          <t>LNRENRES</t>
        </is>
      </c>
      <c r="M23" s="22" t="inlineStr">
        <is>
          <t>LNREMULT</t>
        </is>
      </c>
      <c r="N23" s="22" t="inlineStr">
        <is>
          <t>NCLNLSR</t>
        </is>
      </c>
      <c r="O23" s="22" t="inlineStr">
        <is>
          <t>NTLNLSQR</t>
        </is>
      </c>
      <c r="P23" s="22" t="inlineStr">
        <is>
          <t>LNATRESR</t>
        </is>
      </c>
      <c r="Q23" s="22" t="inlineStr">
        <is>
          <t>LNRESNCR</t>
        </is>
      </c>
      <c r="R23" s="22" t="inlineStr">
        <is>
          <t>RBC1AAJ</t>
        </is>
      </c>
      <c r="S23" s="22" t="inlineStr">
        <is>
          <t>RBCRWAJ</t>
        </is>
      </c>
      <c r="T23" s="22" t="inlineStr">
        <is>
          <t>EQV</t>
        </is>
      </c>
      <c r="U23" s="22" t="inlineStr">
        <is>
          <t>ROAQ</t>
        </is>
      </c>
      <c r="V23" s="22" t="inlineStr">
        <is>
          <t>NIMY</t>
        </is>
      </c>
      <c r="W23" s="22" t="inlineStr">
        <is>
          <t>EEFFR</t>
        </is>
      </c>
    </row>
    <row r="42">
      <c r="A42" s="27" t="inlineStr">
        <is>
          <t>slot03</t>
        </is>
      </c>
    </row>
    <row r="43">
      <c r="A43" s="22" t="inlineStr">
        <is>
          <t>REPDTE</t>
        </is>
      </c>
      <c r="B43" s="22" t="inlineStr">
        <is>
          <t>ASSET</t>
        </is>
      </c>
      <c r="C43" s="22" t="inlineStr">
        <is>
          <t>DEP</t>
        </is>
      </c>
      <c r="D43" s="22" t="inlineStr">
        <is>
          <t>LNLSGR</t>
        </is>
      </c>
      <c r="E43" s="22" t="inlineStr">
        <is>
          <t>LNLSNET</t>
        </is>
      </c>
      <c r="F43" s="22" t="inlineStr">
        <is>
          <t>BRO</t>
        </is>
      </c>
      <c r="G43" s="22" t="inlineStr">
        <is>
          <t>EQ</t>
        </is>
      </c>
      <c r="H43" s="22" t="inlineStr">
        <is>
          <t>NCLNLS</t>
        </is>
      </c>
      <c r="I43" s="22" t="inlineStr">
        <is>
          <t>LNATRES</t>
        </is>
      </c>
      <c r="J43" s="22" t="inlineStr">
        <is>
          <t>P3LNLS</t>
        </is>
      </c>
      <c r="K43" s="22" t="inlineStr">
        <is>
          <t>LNRECONS</t>
        </is>
      </c>
      <c r="L43" s="22" t="inlineStr">
        <is>
          <t>LNRENRES</t>
        </is>
      </c>
      <c r="M43" s="22" t="inlineStr">
        <is>
          <t>LNREMULT</t>
        </is>
      </c>
      <c r="N43" s="22" t="inlineStr">
        <is>
          <t>NCLNLSR</t>
        </is>
      </c>
      <c r="O43" s="22" t="inlineStr">
        <is>
          <t>NTLNLSQR</t>
        </is>
      </c>
      <c r="P43" s="22" t="inlineStr">
        <is>
          <t>LNATRESR</t>
        </is>
      </c>
      <c r="Q43" s="22" t="inlineStr">
        <is>
          <t>LNRESNCR</t>
        </is>
      </c>
      <c r="R43" s="22" t="inlineStr">
        <is>
          <t>RBC1AAJ</t>
        </is>
      </c>
      <c r="S43" s="22" t="inlineStr">
        <is>
          <t>RBCRWAJ</t>
        </is>
      </c>
      <c r="T43" s="22" t="inlineStr">
        <is>
          <t>EQV</t>
        </is>
      </c>
      <c r="U43" s="22" t="inlineStr">
        <is>
          <t>ROAQ</t>
        </is>
      </c>
      <c r="V43" s="22" t="inlineStr">
        <is>
          <t>NIMY</t>
        </is>
      </c>
      <c r="W43" s="22" t="inlineStr">
        <is>
          <t>EEFFR</t>
        </is>
      </c>
    </row>
    <row r="62">
      <c r="A62" s="27" t="inlineStr">
        <is>
          <t>slot04</t>
        </is>
      </c>
    </row>
    <row r="63">
      <c r="A63" s="22" t="inlineStr">
        <is>
          <t>REPDTE</t>
        </is>
      </c>
      <c r="B63" s="22" t="inlineStr">
        <is>
          <t>ASSET</t>
        </is>
      </c>
      <c r="C63" s="22" t="inlineStr">
        <is>
          <t>DEP</t>
        </is>
      </c>
      <c r="D63" s="22" t="inlineStr">
        <is>
          <t>LNLSGR</t>
        </is>
      </c>
      <c r="E63" s="22" t="inlineStr">
        <is>
          <t>LNLSNET</t>
        </is>
      </c>
      <c r="F63" s="22" t="inlineStr">
        <is>
          <t>BRO</t>
        </is>
      </c>
      <c r="G63" s="22" t="inlineStr">
        <is>
          <t>EQ</t>
        </is>
      </c>
      <c r="H63" s="22" t="inlineStr">
        <is>
          <t>NCLNLS</t>
        </is>
      </c>
      <c r="I63" s="22" t="inlineStr">
        <is>
          <t>LNATRES</t>
        </is>
      </c>
      <c r="J63" s="22" t="inlineStr">
        <is>
          <t>P3LNLS</t>
        </is>
      </c>
      <c r="K63" s="22" t="inlineStr">
        <is>
          <t>LNRECONS</t>
        </is>
      </c>
      <c r="L63" s="22" t="inlineStr">
        <is>
          <t>LNRENRES</t>
        </is>
      </c>
      <c r="M63" s="22" t="inlineStr">
        <is>
          <t>LNREMULT</t>
        </is>
      </c>
      <c r="N63" s="22" t="inlineStr">
        <is>
          <t>NCLNLSR</t>
        </is>
      </c>
      <c r="O63" s="22" t="inlineStr">
        <is>
          <t>NTLNLSQR</t>
        </is>
      </c>
      <c r="P63" s="22" t="inlineStr">
        <is>
          <t>LNATRESR</t>
        </is>
      </c>
      <c r="Q63" s="22" t="inlineStr">
        <is>
          <t>LNRESNCR</t>
        </is>
      </c>
      <c r="R63" s="22" t="inlineStr">
        <is>
          <t>RBC1AAJ</t>
        </is>
      </c>
      <c r="S63" s="22" t="inlineStr">
        <is>
          <t>RBCRWAJ</t>
        </is>
      </c>
      <c r="T63" s="22" t="inlineStr">
        <is>
          <t>EQV</t>
        </is>
      </c>
      <c r="U63" s="22" t="inlineStr">
        <is>
          <t>ROAQ</t>
        </is>
      </c>
      <c r="V63" s="22" t="inlineStr">
        <is>
          <t>NIMY</t>
        </is>
      </c>
      <c r="W63" s="22" t="inlineStr">
        <is>
          <t>EEFFR</t>
        </is>
      </c>
    </row>
    <row r="82">
      <c r="A82" s="27" t="inlineStr">
        <is>
          <t>slot05</t>
        </is>
      </c>
    </row>
    <row r="83">
      <c r="A83" s="22" t="inlineStr">
        <is>
          <t>REPDTE</t>
        </is>
      </c>
      <c r="B83" s="22" t="inlineStr">
        <is>
          <t>ASSET</t>
        </is>
      </c>
      <c r="C83" s="22" t="inlineStr">
        <is>
          <t>DEP</t>
        </is>
      </c>
      <c r="D83" s="22" t="inlineStr">
        <is>
          <t>LNLSGR</t>
        </is>
      </c>
      <c r="E83" s="22" t="inlineStr">
        <is>
          <t>LNLSNET</t>
        </is>
      </c>
      <c r="F83" s="22" t="inlineStr">
        <is>
          <t>BRO</t>
        </is>
      </c>
      <c r="G83" s="22" t="inlineStr">
        <is>
          <t>EQ</t>
        </is>
      </c>
      <c r="H83" s="22" t="inlineStr">
        <is>
          <t>NCLNLS</t>
        </is>
      </c>
      <c r="I83" s="22" t="inlineStr">
        <is>
          <t>LNATRES</t>
        </is>
      </c>
      <c r="J83" s="22" t="inlineStr">
        <is>
          <t>P3LNLS</t>
        </is>
      </c>
      <c r="K83" s="22" t="inlineStr">
        <is>
          <t>LNRECONS</t>
        </is>
      </c>
      <c r="L83" s="22" t="inlineStr">
        <is>
          <t>LNRENRES</t>
        </is>
      </c>
      <c r="M83" s="22" t="inlineStr">
        <is>
          <t>LNREMULT</t>
        </is>
      </c>
      <c r="N83" s="22" t="inlineStr">
        <is>
          <t>NCLNLSR</t>
        </is>
      </c>
      <c r="O83" s="22" t="inlineStr">
        <is>
          <t>NTLNLSQR</t>
        </is>
      </c>
      <c r="P83" s="22" t="inlineStr">
        <is>
          <t>LNATRESR</t>
        </is>
      </c>
      <c r="Q83" s="22" t="inlineStr">
        <is>
          <t>LNRESNCR</t>
        </is>
      </c>
      <c r="R83" s="22" t="inlineStr">
        <is>
          <t>RBC1AAJ</t>
        </is>
      </c>
      <c r="S83" s="22" t="inlineStr">
        <is>
          <t>RBCRWAJ</t>
        </is>
      </c>
      <c r="T83" s="22" t="inlineStr">
        <is>
          <t>EQV</t>
        </is>
      </c>
      <c r="U83" s="22" t="inlineStr">
        <is>
          <t>ROAQ</t>
        </is>
      </c>
      <c r="V83" s="22" t="inlineStr">
        <is>
          <t>NIMY</t>
        </is>
      </c>
      <c r="W83" s="22" t="inlineStr">
        <is>
          <t>EEFFR</t>
        </is>
      </c>
    </row>
    <row r="102">
      <c r="A102" s="27" t="inlineStr">
        <is>
          <t>slot06</t>
        </is>
      </c>
    </row>
    <row r="103">
      <c r="A103" s="22" t="inlineStr">
        <is>
          <t>REPDTE</t>
        </is>
      </c>
      <c r="B103" s="22" t="inlineStr">
        <is>
          <t>ASSET</t>
        </is>
      </c>
      <c r="C103" s="22" t="inlineStr">
        <is>
          <t>DEP</t>
        </is>
      </c>
      <c r="D103" s="22" t="inlineStr">
        <is>
          <t>LNLSGR</t>
        </is>
      </c>
      <c r="E103" s="22" t="inlineStr">
        <is>
          <t>LNLSNET</t>
        </is>
      </c>
      <c r="F103" s="22" t="inlineStr">
        <is>
          <t>BRO</t>
        </is>
      </c>
      <c r="G103" s="22" t="inlineStr">
        <is>
          <t>EQ</t>
        </is>
      </c>
      <c r="H103" s="22" t="inlineStr">
        <is>
          <t>NCLNLS</t>
        </is>
      </c>
      <c r="I103" s="22" t="inlineStr">
        <is>
          <t>LNATRES</t>
        </is>
      </c>
      <c r="J103" s="22" t="inlineStr">
        <is>
          <t>P3LNLS</t>
        </is>
      </c>
      <c r="K103" s="22" t="inlineStr">
        <is>
          <t>LNRECONS</t>
        </is>
      </c>
      <c r="L103" s="22" t="inlineStr">
        <is>
          <t>LNRENRES</t>
        </is>
      </c>
      <c r="M103" s="22" t="inlineStr">
        <is>
          <t>LNREMULT</t>
        </is>
      </c>
      <c r="N103" s="22" t="inlineStr">
        <is>
          <t>NCLNLSR</t>
        </is>
      </c>
      <c r="O103" s="22" t="inlineStr">
        <is>
          <t>NTLNLSQR</t>
        </is>
      </c>
      <c r="P103" s="22" t="inlineStr">
        <is>
          <t>LNATRESR</t>
        </is>
      </c>
      <c r="Q103" s="22" t="inlineStr">
        <is>
          <t>LNRESNCR</t>
        </is>
      </c>
      <c r="R103" s="22" t="inlineStr">
        <is>
          <t>RBC1AAJ</t>
        </is>
      </c>
      <c r="S103" s="22" t="inlineStr">
        <is>
          <t>RBCRWAJ</t>
        </is>
      </c>
      <c r="T103" s="22" t="inlineStr">
        <is>
          <t>EQV</t>
        </is>
      </c>
      <c r="U103" s="22" t="inlineStr">
        <is>
          <t>ROAQ</t>
        </is>
      </c>
      <c r="V103" s="22" t="inlineStr">
        <is>
          <t>NIMY</t>
        </is>
      </c>
      <c r="W103" s="22" t="inlineStr">
        <is>
          <t>EEFFR</t>
        </is>
      </c>
    </row>
    <row r="122">
      <c r="A122" s="27" t="inlineStr">
        <is>
          <t>slot07</t>
        </is>
      </c>
    </row>
    <row r="123">
      <c r="A123" s="22" t="inlineStr">
        <is>
          <t>REPDTE</t>
        </is>
      </c>
      <c r="B123" s="22" t="inlineStr">
        <is>
          <t>ASSET</t>
        </is>
      </c>
      <c r="C123" s="22" t="inlineStr">
        <is>
          <t>DEP</t>
        </is>
      </c>
      <c r="D123" s="22" t="inlineStr">
        <is>
          <t>LNLSGR</t>
        </is>
      </c>
      <c r="E123" s="22" t="inlineStr">
        <is>
          <t>LNLSNET</t>
        </is>
      </c>
      <c r="F123" s="22" t="inlineStr">
        <is>
          <t>BRO</t>
        </is>
      </c>
      <c r="G123" s="22" t="inlineStr">
        <is>
          <t>EQ</t>
        </is>
      </c>
      <c r="H123" s="22" t="inlineStr">
        <is>
          <t>NCLNLS</t>
        </is>
      </c>
      <c r="I123" s="22" t="inlineStr">
        <is>
          <t>LNATRES</t>
        </is>
      </c>
      <c r="J123" s="22" t="inlineStr">
        <is>
          <t>P3LNLS</t>
        </is>
      </c>
      <c r="K123" s="22" t="inlineStr">
        <is>
          <t>LNRECONS</t>
        </is>
      </c>
      <c r="L123" s="22" t="inlineStr">
        <is>
          <t>LNRENRES</t>
        </is>
      </c>
      <c r="M123" s="22" t="inlineStr">
        <is>
          <t>LNREMULT</t>
        </is>
      </c>
      <c r="N123" s="22" t="inlineStr">
        <is>
          <t>NCLNLSR</t>
        </is>
      </c>
      <c r="O123" s="22" t="inlineStr">
        <is>
          <t>NTLNLSQR</t>
        </is>
      </c>
      <c r="P123" s="22" t="inlineStr">
        <is>
          <t>LNATRESR</t>
        </is>
      </c>
      <c r="Q123" s="22" t="inlineStr">
        <is>
          <t>LNRESNCR</t>
        </is>
      </c>
      <c r="R123" s="22" t="inlineStr">
        <is>
          <t>RBC1AAJ</t>
        </is>
      </c>
      <c r="S123" s="22" t="inlineStr">
        <is>
          <t>RBCRWAJ</t>
        </is>
      </c>
      <c r="T123" s="22" t="inlineStr">
        <is>
          <t>EQV</t>
        </is>
      </c>
      <c r="U123" s="22" t="inlineStr">
        <is>
          <t>ROAQ</t>
        </is>
      </c>
      <c r="V123" s="22" t="inlineStr">
        <is>
          <t>NIMY</t>
        </is>
      </c>
      <c r="W123" s="22" t="inlineStr">
        <is>
          <t>EEFFR</t>
        </is>
      </c>
    </row>
    <row r="142">
      <c r="A142" s="27" t="inlineStr">
        <is>
          <t>slot08</t>
        </is>
      </c>
    </row>
    <row r="143">
      <c r="A143" s="22" t="inlineStr">
        <is>
          <t>REPDTE</t>
        </is>
      </c>
      <c r="B143" s="22" t="inlineStr">
        <is>
          <t>ASSET</t>
        </is>
      </c>
      <c r="C143" s="22" t="inlineStr">
        <is>
          <t>DEP</t>
        </is>
      </c>
      <c r="D143" s="22" t="inlineStr">
        <is>
          <t>LNLSGR</t>
        </is>
      </c>
      <c r="E143" s="22" t="inlineStr">
        <is>
          <t>LNLSNET</t>
        </is>
      </c>
      <c r="F143" s="22" t="inlineStr">
        <is>
          <t>BRO</t>
        </is>
      </c>
      <c r="G143" s="22" t="inlineStr">
        <is>
          <t>EQ</t>
        </is>
      </c>
      <c r="H143" s="22" t="inlineStr">
        <is>
          <t>NCLNLS</t>
        </is>
      </c>
      <c r="I143" s="22" t="inlineStr">
        <is>
          <t>LNATRES</t>
        </is>
      </c>
      <c r="J143" s="22" t="inlineStr">
        <is>
          <t>P3LNLS</t>
        </is>
      </c>
      <c r="K143" s="22" t="inlineStr">
        <is>
          <t>LNRECONS</t>
        </is>
      </c>
      <c r="L143" s="22" t="inlineStr">
        <is>
          <t>LNRENRES</t>
        </is>
      </c>
      <c r="M143" s="22" t="inlineStr">
        <is>
          <t>LNREMULT</t>
        </is>
      </c>
      <c r="N143" s="22" t="inlineStr">
        <is>
          <t>NCLNLSR</t>
        </is>
      </c>
      <c r="O143" s="22" t="inlineStr">
        <is>
          <t>NTLNLSQR</t>
        </is>
      </c>
      <c r="P143" s="22" t="inlineStr">
        <is>
          <t>LNATRESR</t>
        </is>
      </c>
      <c r="Q143" s="22" t="inlineStr">
        <is>
          <t>LNRESNCR</t>
        </is>
      </c>
      <c r="R143" s="22" t="inlineStr">
        <is>
          <t>RBC1AAJ</t>
        </is>
      </c>
      <c r="S143" s="22" t="inlineStr">
        <is>
          <t>RBCRWAJ</t>
        </is>
      </c>
      <c r="T143" s="22" t="inlineStr">
        <is>
          <t>EQV</t>
        </is>
      </c>
      <c r="U143" s="22" t="inlineStr">
        <is>
          <t>ROAQ</t>
        </is>
      </c>
      <c r="V143" s="22" t="inlineStr">
        <is>
          <t>NIMY</t>
        </is>
      </c>
      <c r="W143" s="22" t="inlineStr">
        <is>
          <t>EEFFR</t>
        </is>
      </c>
    </row>
    <row r="162">
      <c r="A162" s="27" t="inlineStr">
        <is>
          <t>slot09</t>
        </is>
      </c>
    </row>
    <row r="163">
      <c r="A163" s="22" t="inlineStr">
        <is>
          <t>REPDTE</t>
        </is>
      </c>
      <c r="B163" s="22" t="inlineStr">
        <is>
          <t>ASSET</t>
        </is>
      </c>
      <c r="C163" s="22" t="inlineStr">
        <is>
          <t>DEP</t>
        </is>
      </c>
      <c r="D163" s="22" t="inlineStr">
        <is>
          <t>LNLSGR</t>
        </is>
      </c>
      <c r="E163" s="22" t="inlineStr">
        <is>
          <t>LNLSNET</t>
        </is>
      </c>
      <c r="F163" s="22" t="inlineStr">
        <is>
          <t>BRO</t>
        </is>
      </c>
      <c r="G163" s="22" t="inlineStr">
        <is>
          <t>EQ</t>
        </is>
      </c>
      <c r="H163" s="22" t="inlineStr">
        <is>
          <t>NCLNLS</t>
        </is>
      </c>
      <c r="I163" s="22" t="inlineStr">
        <is>
          <t>LNATRES</t>
        </is>
      </c>
      <c r="J163" s="22" t="inlineStr">
        <is>
          <t>P3LNLS</t>
        </is>
      </c>
      <c r="K163" s="22" t="inlineStr">
        <is>
          <t>LNRECONS</t>
        </is>
      </c>
      <c r="L163" s="22" t="inlineStr">
        <is>
          <t>LNRENRES</t>
        </is>
      </c>
      <c r="M163" s="22" t="inlineStr">
        <is>
          <t>LNREMULT</t>
        </is>
      </c>
      <c r="N163" s="22" t="inlineStr">
        <is>
          <t>NCLNLSR</t>
        </is>
      </c>
      <c r="O163" s="22" t="inlineStr">
        <is>
          <t>NTLNLSQR</t>
        </is>
      </c>
      <c r="P163" s="22" t="inlineStr">
        <is>
          <t>LNATRESR</t>
        </is>
      </c>
      <c r="Q163" s="22" t="inlineStr">
        <is>
          <t>LNRESNCR</t>
        </is>
      </c>
      <c r="R163" s="22" t="inlineStr">
        <is>
          <t>RBC1AAJ</t>
        </is>
      </c>
      <c r="S163" s="22" t="inlineStr">
        <is>
          <t>RBCRWAJ</t>
        </is>
      </c>
      <c r="T163" s="22" t="inlineStr">
        <is>
          <t>EQV</t>
        </is>
      </c>
      <c r="U163" s="22" t="inlineStr">
        <is>
          <t>ROAQ</t>
        </is>
      </c>
      <c r="V163" s="22" t="inlineStr">
        <is>
          <t>NIMY</t>
        </is>
      </c>
      <c r="W163" s="22" t="inlineStr">
        <is>
          <t>EEFFR</t>
        </is>
      </c>
    </row>
    <row r="182">
      <c r="A182" s="27" t="inlineStr">
        <is>
          <t>slot10</t>
        </is>
      </c>
    </row>
    <row r="183">
      <c r="A183" s="22" t="inlineStr">
        <is>
          <t>REPDTE</t>
        </is>
      </c>
      <c r="B183" s="22" t="inlineStr">
        <is>
          <t>ASSET</t>
        </is>
      </c>
      <c r="C183" s="22" t="inlineStr">
        <is>
          <t>DEP</t>
        </is>
      </c>
      <c r="D183" s="22" t="inlineStr">
        <is>
          <t>LNLSGR</t>
        </is>
      </c>
      <c r="E183" s="22" t="inlineStr">
        <is>
          <t>LNLSNET</t>
        </is>
      </c>
      <c r="F183" s="22" t="inlineStr">
        <is>
          <t>BRO</t>
        </is>
      </c>
      <c r="G183" s="22" t="inlineStr">
        <is>
          <t>EQ</t>
        </is>
      </c>
      <c r="H183" s="22" t="inlineStr">
        <is>
          <t>NCLNLS</t>
        </is>
      </c>
      <c r="I183" s="22" t="inlineStr">
        <is>
          <t>LNATRES</t>
        </is>
      </c>
      <c r="J183" s="22" t="inlineStr">
        <is>
          <t>P3LNLS</t>
        </is>
      </c>
      <c r="K183" s="22" t="inlineStr">
        <is>
          <t>LNRECONS</t>
        </is>
      </c>
      <c r="L183" s="22" t="inlineStr">
        <is>
          <t>LNRENRES</t>
        </is>
      </c>
      <c r="M183" s="22" t="inlineStr">
        <is>
          <t>LNREMULT</t>
        </is>
      </c>
      <c r="N183" s="22" t="inlineStr">
        <is>
          <t>NCLNLSR</t>
        </is>
      </c>
      <c r="O183" s="22" t="inlineStr">
        <is>
          <t>NTLNLSQR</t>
        </is>
      </c>
      <c r="P183" s="22" t="inlineStr">
        <is>
          <t>LNATRESR</t>
        </is>
      </c>
      <c r="Q183" s="22" t="inlineStr">
        <is>
          <t>LNRESNCR</t>
        </is>
      </c>
      <c r="R183" s="22" t="inlineStr">
        <is>
          <t>RBC1AAJ</t>
        </is>
      </c>
      <c r="S183" s="22" t="inlineStr">
        <is>
          <t>RBCRWAJ</t>
        </is>
      </c>
      <c r="T183" s="22" t="inlineStr">
        <is>
          <t>EQV</t>
        </is>
      </c>
      <c r="U183" s="22" t="inlineStr">
        <is>
          <t>ROAQ</t>
        </is>
      </c>
      <c r="V183" s="22" t="inlineStr">
        <is>
          <t>NIMY</t>
        </is>
      </c>
      <c r="W183" s="22" t="inlineStr">
        <is>
          <t>EEFFR</t>
        </is>
      </c>
    </row>
    <row r="202">
      <c r="A202" s="27" t="inlineStr">
        <is>
          <t>slot11</t>
        </is>
      </c>
    </row>
    <row r="203">
      <c r="A203" s="22" t="inlineStr">
        <is>
          <t>REPDTE</t>
        </is>
      </c>
      <c r="B203" s="22" t="inlineStr">
        <is>
          <t>ASSET</t>
        </is>
      </c>
      <c r="C203" s="22" t="inlineStr">
        <is>
          <t>DEP</t>
        </is>
      </c>
      <c r="D203" s="22" t="inlineStr">
        <is>
          <t>LNLSGR</t>
        </is>
      </c>
      <c r="E203" s="22" t="inlineStr">
        <is>
          <t>LNLSNET</t>
        </is>
      </c>
      <c r="F203" s="22" t="inlineStr">
        <is>
          <t>BRO</t>
        </is>
      </c>
      <c r="G203" s="22" t="inlineStr">
        <is>
          <t>EQ</t>
        </is>
      </c>
      <c r="H203" s="22" t="inlineStr">
        <is>
          <t>NCLNLS</t>
        </is>
      </c>
      <c r="I203" s="22" t="inlineStr">
        <is>
          <t>LNATRES</t>
        </is>
      </c>
      <c r="J203" s="22" t="inlineStr">
        <is>
          <t>P3LNLS</t>
        </is>
      </c>
      <c r="K203" s="22" t="inlineStr">
        <is>
          <t>LNRECONS</t>
        </is>
      </c>
      <c r="L203" s="22" t="inlineStr">
        <is>
          <t>LNRENRES</t>
        </is>
      </c>
      <c r="M203" s="22" t="inlineStr">
        <is>
          <t>LNREMULT</t>
        </is>
      </c>
      <c r="N203" s="22" t="inlineStr">
        <is>
          <t>NCLNLSR</t>
        </is>
      </c>
      <c r="O203" s="22" t="inlineStr">
        <is>
          <t>NTLNLSQR</t>
        </is>
      </c>
      <c r="P203" s="22" t="inlineStr">
        <is>
          <t>LNATRESR</t>
        </is>
      </c>
      <c r="Q203" s="22" t="inlineStr">
        <is>
          <t>LNRESNCR</t>
        </is>
      </c>
      <c r="R203" s="22" t="inlineStr">
        <is>
          <t>RBC1AAJ</t>
        </is>
      </c>
      <c r="S203" s="22" t="inlineStr">
        <is>
          <t>RBCRWAJ</t>
        </is>
      </c>
      <c r="T203" s="22" t="inlineStr">
        <is>
          <t>EQV</t>
        </is>
      </c>
      <c r="U203" s="22" t="inlineStr">
        <is>
          <t>ROAQ</t>
        </is>
      </c>
      <c r="V203" s="22" t="inlineStr">
        <is>
          <t>NIMY</t>
        </is>
      </c>
      <c r="W203" s="22" t="inlineStr">
        <is>
          <t>EEFFR</t>
        </is>
      </c>
    </row>
    <row r="222">
      <c r="A222" s="27" t="inlineStr">
        <is>
          <t>slot12</t>
        </is>
      </c>
    </row>
    <row r="223">
      <c r="A223" s="22" t="inlineStr">
        <is>
          <t>REPDTE</t>
        </is>
      </c>
      <c r="B223" s="22" t="inlineStr">
        <is>
          <t>ASSET</t>
        </is>
      </c>
      <c r="C223" s="22" t="inlineStr">
        <is>
          <t>DEP</t>
        </is>
      </c>
      <c r="D223" s="22" t="inlineStr">
        <is>
          <t>LNLSGR</t>
        </is>
      </c>
      <c r="E223" s="22" t="inlineStr">
        <is>
          <t>LNLSNET</t>
        </is>
      </c>
      <c r="F223" s="22" t="inlineStr">
        <is>
          <t>BRO</t>
        </is>
      </c>
      <c r="G223" s="22" t="inlineStr">
        <is>
          <t>EQ</t>
        </is>
      </c>
      <c r="H223" s="22" t="inlineStr">
        <is>
          <t>NCLNLS</t>
        </is>
      </c>
      <c r="I223" s="22" t="inlineStr">
        <is>
          <t>LNATRES</t>
        </is>
      </c>
      <c r="J223" s="22" t="inlineStr">
        <is>
          <t>P3LNLS</t>
        </is>
      </c>
      <c r="K223" s="22" t="inlineStr">
        <is>
          <t>LNRECONS</t>
        </is>
      </c>
      <c r="L223" s="22" t="inlineStr">
        <is>
          <t>LNRENRES</t>
        </is>
      </c>
      <c r="M223" s="22" t="inlineStr">
        <is>
          <t>LNREMULT</t>
        </is>
      </c>
      <c r="N223" s="22" t="inlineStr">
        <is>
          <t>NCLNLSR</t>
        </is>
      </c>
      <c r="O223" s="22" t="inlineStr">
        <is>
          <t>NTLNLSQR</t>
        </is>
      </c>
      <c r="P223" s="22" t="inlineStr">
        <is>
          <t>LNATRESR</t>
        </is>
      </c>
      <c r="Q223" s="22" t="inlineStr">
        <is>
          <t>LNRESNCR</t>
        </is>
      </c>
      <c r="R223" s="22" t="inlineStr">
        <is>
          <t>RBC1AAJ</t>
        </is>
      </c>
      <c r="S223" s="22" t="inlineStr">
        <is>
          <t>RBCRWAJ</t>
        </is>
      </c>
      <c r="T223" s="22" t="inlineStr">
        <is>
          <t>EQV</t>
        </is>
      </c>
      <c r="U223" s="22" t="inlineStr">
        <is>
          <t>ROAQ</t>
        </is>
      </c>
      <c r="V223" s="22" t="inlineStr">
        <is>
          <t>NIMY</t>
        </is>
      </c>
      <c r="W223" s="22" t="inlineStr">
        <is>
          <t>EEFFR</t>
        </is>
      </c>
    </row>
    <row r="242">
      <c r="A242" s="27" t="inlineStr">
        <is>
          <t>slot13</t>
        </is>
      </c>
    </row>
    <row r="243">
      <c r="A243" s="22" t="inlineStr">
        <is>
          <t>REPDTE</t>
        </is>
      </c>
      <c r="B243" s="22" t="inlineStr">
        <is>
          <t>ASSET</t>
        </is>
      </c>
      <c r="C243" s="22" t="inlineStr">
        <is>
          <t>DEP</t>
        </is>
      </c>
      <c r="D243" s="22" t="inlineStr">
        <is>
          <t>LNLSGR</t>
        </is>
      </c>
      <c r="E243" s="22" t="inlineStr">
        <is>
          <t>LNLSNET</t>
        </is>
      </c>
      <c r="F243" s="22" t="inlineStr">
        <is>
          <t>BRO</t>
        </is>
      </c>
      <c r="G243" s="22" t="inlineStr">
        <is>
          <t>EQ</t>
        </is>
      </c>
      <c r="H243" s="22" t="inlineStr">
        <is>
          <t>NCLNLS</t>
        </is>
      </c>
      <c r="I243" s="22" t="inlineStr">
        <is>
          <t>LNATRES</t>
        </is>
      </c>
      <c r="J243" s="22" t="inlineStr">
        <is>
          <t>P3LNLS</t>
        </is>
      </c>
      <c r="K243" s="22" t="inlineStr">
        <is>
          <t>LNRECONS</t>
        </is>
      </c>
      <c r="L243" s="22" t="inlineStr">
        <is>
          <t>LNRENRES</t>
        </is>
      </c>
      <c r="M243" s="22" t="inlineStr">
        <is>
          <t>LNREMULT</t>
        </is>
      </c>
      <c r="N243" s="22" t="inlineStr">
        <is>
          <t>NCLNLSR</t>
        </is>
      </c>
      <c r="O243" s="22" t="inlineStr">
        <is>
          <t>NTLNLSQR</t>
        </is>
      </c>
      <c r="P243" s="22" t="inlineStr">
        <is>
          <t>LNATRESR</t>
        </is>
      </c>
      <c r="Q243" s="22" t="inlineStr">
        <is>
          <t>LNRESNCR</t>
        </is>
      </c>
      <c r="R243" s="22" t="inlineStr">
        <is>
          <t>RBC1AAJ</t>
        </is>
      </c>
      <c r="S243" s="22" t="inlineStr">
        <is>
          <t>RBCRWAJ</t>
        </is>
      </c>
      <c r="T243" s="22" t="inlineStr">
        <is>
          <t>EQV</t>
        </is>
      </c>
      <c r="U243" s="22" t="inlineStr">
        <is>
          <t>ROAQ</t>
        </is>
      </c>
      <c r="V243" s="22" t="inlineStr">
        <is>
          <t>NIMY</t>
        </is>
      </c>
      <c r="W243" s="22" t="inlineStr">
        <is>
          <t>EEFFR</t>
        </is>
      </c>
    </row>
    <row r="262">
      <c r="A262" s="27" t="inlineStr">
        <is>
          <t>slot14</t>
        </is>
      </c>
    </row>
    <row r="263">
      <c r="A263" s="22" t="inlineStr">
        <is>
          <t>REPDTE</t>
        </is>
      </c>
      <c r="B263" s="22" t="inlineStr">
        <is>
          <t>ASSET</t>
        </is>
      </c>
      <c r="C263" s="22" t="inlineStr">
        <is>
          <t>DEP</t>
        </is>
      </c>
      <c r="D263" s="22" t="inlineStr">
        <is>
          <t>LNLSGR</t>
        </is>
      </c>
      <c r="E263" s="22" t="inlineStr">
        <is>
          <t>LNLSNET</t>
        </is>
      </c>
      <c r="F263" s="22" t="inlineStr">
        <is>
          <t>BRO</t>
        </is>
      </c>
      <c r="G263" s="22" t="inlineStr">
        <is>
          <t>EQ</t>
        </is>
      </c>
      <c r="H263" s="22" t="inlineStr">
        <is>
          <t>NCLNLS</t>
        </is>
      </c>
      <c r="I263" s="22" t="inlineStr">
        <is>
          <t>LNATRES</t>
        </is>
      </c>
      <c r="J263" s="22" t="inlineStr">
        <is>
          <t>P3LNLS</t>
        </is>
      </c>
      <c r="K263" s="22" t="inlineStr">
        <is>
          <t>LNRECONS</t>
        </is>
      </c>
      <c r="L263" s="22" t="inlineStr">
        <is>
          <t>LNRENRES</t>
        </is>
      </c>
      <c r="M263" s="22" t="inlineStr">
        <is>
          <t>LNREMULT</t>
        </is>
      </c>
      <c r="N263" s="22" t="inlineStr">
        <is>
          <t>NCLNLSR</t>
        </is>
      </c>
      <c r="O263" s="22" t="inlineStr">
        <is>
          <t>NTLNLSQR</t>
        </is>
      </c>
      <c r="P263" s="22" t="inlineStr">
        <is>
          <t>LNATRESR</t>
        </is>
      </c>
      <c r="Q263" s="22" t="inlineStr">
        <is>
          <t>LNRESNCR</t>
        </is>
      </c>
      <c r="R263" s="22" t="inlineStr">
        <is>
          <t>RBC1AAJ</t>
        </is>
      </c>
      <c r="S263" s="22" t="inlineStr">
        <is>
          <t>RBCRWAJ</t>
        </is>
      </c>
      <c r="T263" s="22" t="inlineStr">
        <is>
          <t>EQV</t>
        </is>
      </c>
      <c r="U263" s="22" t="inlineStr">
        <is>
          <t>ROAQ</t>
        </is>
      </c>
      <c r="V263" s="22" t="inlineStr">
        <is>
          <t>NIMY</t>
        </is>
      </c>
      <c r="W263" s="22" t="inlineStr">
        <is>
          <t>EEFFR</t>
        </is>
      </c>
    </row>
    <row r="282">
      <c r="A282" s="27" t="inlineStr">
        <is>
          <t>slot15</t>
        </is>
      </c>
    </row>
    <row r="283">
      <c r="A283" s="22" t="inlineStr">
        <is>
          <t>REPDTE</t>
        </is>
      </c>
      <c r="B283" s="22" t="inlineStr">
        <is>
          <t>ASSET</t>
        </is>
      </c>
      <c r="C283" s="22" t="inlineStr">
        <is>
          <t>DEP</t>
        </is>
      </c>
      <c r="D283" s="22" t="inlineStr">
        <is>
          <t>LNLSGR</t>
        </is>
      </c>
      <c r="E283" s="22" t="inlineStr">
        <is>
          <t>LNLSNET</t>
        </is>
      </c>
      <c r="F283" s="22" t="inlineStr">
        <is>
          <t>BRO</t>
        </is>
      </c>
      <c r="G283" s="22" t="inlineStr">
        <is>
          <t>EQ</t>
        </is>
      </c>
      <c r="H283" s="22" t="inlineStr">
        <is>
          <t>NCLNLS</t>
        </is>
      </c>
      <c r="I283" s="22" t="inlineStr">
        <is>
          <t>LNATRES</t>
        </is>
      </c>
      <c r="J283" s="22" t="inlineStr">
        <is>
          <t>P3LNLS</t>
        </is>
      </c>
      <c r="K283" s="22" t="inlineStr">
        <is>
          <t>LNRECONS</t>
        </is>
      </c>
      <c r="L283" s="22" t="inlineStr">
        <is>
          <t>LNRENRES</t>
        </is>
      </c>
      <c r="M283" s="22" t="inlineStr">
        <is>
          <t>LNREMULT</t>
        </is>
      </c>
      <c r="N283" s="22" t="inlineStr">
        <is>
          <t>NCLNLSR</t>
        </is>
      </c>
      <c r="O283" s="22" t="inlineStr">
        <is>
          <t>NTLNLSQR</t>
        </is>
      </c>
      <c r="P283" s="22" t="inlineStr">
        <is>
          <t>LNATRESR</t>
        </is>
      </c>
      <c r="Q283" s="22" t="inlineStr">
        <is>
          <t>LNRESNCR</t>
        </is>
      </c>
      <c r="R283" s="22" t="inlineStr">
        <is>
          <t>RBC1AAJ</t>
        </is>
      </c>
      <c r="S283" s="22" t="inlineStr">
        <is>
          <t>RBCRWAJ</t>
        </is>
      </c>
      <c r="T283" s="22" t="inlineStr">
        <is>
          <t>EQV</t>
        </is>
      </c>
      <c r="U283" s="22" t="inlineStr">
        <is>
          <t>ROAQ</t>
        </is>
      </c>
      <c r="V283" s="22" t="inlineStr">
        <is>
          <t>NIMY</t>
        </is>
      </c>
      <c r="W283" s="22" t="inlineStr">
        <is>
          <t>EEFFR</t>
        </is>
      </c>
    </row>
    <row r="302">
      <c r="A302" s="27" t="inlineStr">
        <is>
          <t>slot16</t>
        </is>
      </c>
    </row>
    <row r="303">
      <c r="A303" s="22" t="inlineStr">
        <is>
          <t>REPDTE</t>
        </is>
      </c>
      <c r="B303" s="22" t="inlineStr">
        <is>
          <t>ASSET</t>
        </is>
      </c>
      <c r="C303" s="22" t="inlineStr">
        <is>
          <t>DEP</t>
        </is>
      </c>
      <c r="D303" s="22" t="inlineStr">
        <is>
          <t>LNLSGR</t>
        </is>
      </c>
      <c r="E303" s="22" t="inlineStr">
        <is>
          <t>LNLSNET</t>
        </is>
      </c>
      <c r="F303" s="22" t="inlineStr">
        <is>
          <t>BRO</t>
        </is>
      </c>
      <c r="G303" s="22" t="inlineStr">
        <is>
          <t>EQ</t>
        </is>
      </c>
      <c r="H303" s="22" t="inlineStr">
        <is>
          <t>NCLNLS</t>
        </is>
      </c>
      <c r="I303" s="22" t="inlineStr">
        <is>
          <t>LNATRES</t>
        </is>
      </c>
      <c r="J303" s="22" t="inlineStr">
        <is>
          <t>P3LNLS</t>
        </is>
      </c>
      <c r="K303" s="22" t="inlineStr">
        <is>
          <t>LNRECONS</t>
        </is>
      </c>
      <c r="L303" s="22" t="inlineStr">
        <is>
          <t>LNRENRES</t>
        </is>
      </c>
      <c r="M303" s="22" t="inlineStr">
        <is>
          <t>LNREMULT</t>
        </is>
      </c>
      <c r="N303" s="22" t="inlineStr">
        <is>
          <t>NCLNLSR</t>
        </is>
      </c>
      <c r="O303" s="22" t="inlineStr">
        <is>
          <t>NTLNLSQR</t>
        </is>
      </c>
      <c r="P303" s="22" t="inlineStr">
        <is>
          <t>LNATRESR</t>
        </is>
      </c>
      <c r="Q303" s="22" t="inlineStr">
        <is>
          <t>LNRESNCR</t>
        </is>
      </c>
      <c r="R303" s="22" t="inlineStr">
        <is>
          <t>RBC1AAJ</t>
        </is>
      </c>
      <c r="S303" s="22" t="inlineStr">
        <is>
          <t>RBCRWAJ</t>
        </is>
      </c>
      <c r="T303" s="22" t="inlineStr">
        <is>
          <t>EQV</t>
        </is>
      </c>
      <c r="U303" s="22" t="inlineStr">
        <is>
          <t>ROAQ</t>
        </is>
      </c>
      <c r="V303" s="22" t="inlineStr">
        <is>
          <t>NIMY</t>
        </is>
      </c>
      <c r="W303" s="22" t="inlineStr">
        <is>
          <t>EEFFR</t>
        </is>
      </c>
    </row>
    <row r="322">
      <c r="A322" s="27" t="inlineStr">
        <is>
          <t>slot17</t>
        </is>
      </c>
    </row>
    <row r="323">
      <c r="A323" s="22" t="inlineStr">
        <is>
          <t>REPDTE</t>
        </is>
      </c>
      <c r="B323" s="22" t="inlineStr">
        <is>
          <t>ASSET</t>
        </is>
      </c>
      <c r="C323" s="22" t="inlineStr">
        <is>
          <t>DEP</t>
        </is>
      </c>
      <c r="D323" s="22" t="inlineStr">
        <is>
          <t>LNLSGR</t>
        </is>
      </c>
      <c r="E323" s="22" t="inlineStr">
        <is>
          <t>LNLSNET</t>
        </is>
      </c>
      <c r="F323" s="22" t="inlineStr">
        <is>
          <t>BRO</t>
        </is>
      </c>
      <c r="G323" s="22" t="inlineStr">
        <is>
          <t>EQ</t>
        </is>
      </c>
      <c r="H323" s="22" t="inlineStr">
        <is>
          <t>NCLNLS</t>
        </is>
      </c>
      <c r="I323" s="22" t="inlineStr">
        <is>
          <t>LNATRES</t>
        </is>
      </c>
      <c r="J323" s="22" t="inlineStr">
        <is>
          <t>P3LNLS</t>
        </is>
      </c>
      <c r="K323" s="22" t="inlineStr">
        <is>
          <t>LNRECONS</t>
        </is>
      </c>
      <c r="L323" s="22" t="inlineStr">
        <is>
          <t>LNRENRES</t>
        </is>
      </c>
      <c r="M323" s="22" t="inlineStr">
        <is>
          <t>LNREMULT</t>
        </is>
      </c>
      <c r="N323" s="22" t="inlineStr">
        <is>
          <t>NCLNLSR</t>
        </is>
      </c>
      <c r="O323" s="22" t="inlineStr">
        <is>
          <t>NTLNLSQR</t>
        </is>
      </c>
      <c r="P323" s="22" t="inlineStr">
        <is>
          <t>LNATRESR</t>
        </is>
      </c>
      <c r="Q323" s="22" t="inlineStr">
        <is>
          <t>LNRESNCR</t>
        </is>
      </c>
      <c r="R323" s="22" t="inlineStr">
        <is>
          <t>RBC1AAJ</t>
        </is>
      </c>
      <c r="S323" s="22" t="inlineStr">
        <is>
          <t>RBCRWAJ</t>
        </is>
      </c>
      <c r="T323" s="22" t="inlineStr">
        <is>
          <t>EQV</t>
        </is>
      </c>
      <c r="U323" s="22" t="inlineStr">
        <is>
          <t>ROAQ</t>
        </is>
      </c>
      <c r="V323" s="22" t="inlineStr">
        <is>
          <t>NIMY</t>
        </is>
      </c>
      <c r="W323" s="22" t="inlineStr">
        <is>
          <t>EEFFR</t>
        </is>
      </c>
    </row>
    <row r="342">
      <c r="A342" s="27" t="inlineStr">
        <is>
          <t>slot18</t>
        </is>
      </c>
    </row>
    <row r="343">
      <c r="A343" s="22" t="inlineStr">
        <is>
          <t>REPDTE</t>
        </is>
      </c>
      <c r="B343" s="22" t="inlineStr">
        <is>
          <t>ASSET</t>
        </is>
      </c>
      <c r="C343" s="22" t="inlineStr">
        <is>
          <t>DEP</t>
        </is>
      </c>
      <c r="D343" s="22" t="inlineStr">
        <is>
          <t>LNLSGR</t>
        </is>
      </c>
      <c r="E343" s="22" t="inlineStr">
        <is>
          <t>LNLSNET</t>
        </is>
      </c>
      <c r="F343" s="22" t="inlineStr">
        <is>
          <t>BRO</t>
        </is>
      </c>
      <c r="G343" s="22" t="inlineStr">
        <is>
          <t>EQ</t>
        </is>
      </c>
      <c r="H343" s="22" t="inlineStr">
        <is>
          <t>NCLNLS</t>
        </is>
      </c>
      <c r="I343" s="22" t="inlineStr">
        <is>
          <t>LNATRES</t>
        </is>
      </c>
      <c r="J343" s="22" t="inlineStr">
        <is>
          <t>P3LNLS</t>
        </is>
      </c>
      <c r="K343" s="22" t="inlineStr">
        <is>
          <t>LNRECONS</t>
        </is>
      </c>
      <c r="L343" s="22" t="inlineStr">
        <is>
          <t>LNRENRES</t>
        </is>
      </c>
      <c r="M343" s="22" t="inlineStr">
        <is>
          <t>LNREMULT</t>
        </is>
      </c>
      <c r="N343" s="22" t="inlineStr">
        <is>
          <t>NCLNLSR</t>
        </is>
      </c>
      <c r="O343" s="22" t="inlineStr">
        <is>
          <t>NTLNLSQR</t>
        </is>
      </c>
      <c r="P343" s="22" t="inlineStr">
        <is>
          <t>LNATRESR</t>
        </is>
      </c>
      <c r="Q343" s="22" t="inlineStr">
        <is>
          <t>LNRESNCR</t>
        </is>
      </c>
      <c r="R343" s="22" t="inlineStr">
        <is>
          <t>RBC1AAJ</t>
        </is>
      </c>
      <c r="S343" s="22" t="inlineStr">
        <is>
          <t>RBCRWAJ</t>
        </is>
      </c>
      <c r="T343" s="22" t="inlineStr">
        <is>
          <t>EQV</t>
        </is>
      </c>
      <c r="U343" s="22" t="inlineStr">
        <is>
          <t>ROAQ</t>
        </is>
      </c>
      <c r="V343" s="22" t="inlineStr">
        <is>
          <t>NIMY</t>
        </is>
      </c>
      <c r="W343" s="22" t="inlineStr">
        <is>
          <t>EEFFR</t>
        </is>
      </c>
    </row>
    <row r="362">
      <c r="A362" s="27" t="inlineStr">
        <is>
          <t>slot19</t>
        </is>
      </c>
    </row>
    <row r="363">
      <c r="A363" s="22" t="inlineStr">
        <is>
          <t>REPDTE</t>
        </is>
      </c>
      <c r="B363" s="22" t="inlineStr">
        <is>
          <t>ASSET</t>
        </is>
      </c>
      <c r="C363" s="22" t="inlineStr">
        <is>
          <t>DEP</t>
        </is>
      </c>
      <c r="D363" s="22" t="inlineStr">
        <is>
          <t>LNLSGR</t>
        </is>
      </c>
      <c r="E363" s="22" t="inlineStr">
        <is>
          <t>LNLSNET</t>
        </is>
      </c>
      <c r="F363" s="22" t="inlineStr">
        <is>
          <t>BRO</t>
        </is>
      </c>
      <c r="G363" s="22" t="inlineStr">
        <is>
          <t>EQ</t>
        </is>
      </c>
      <c r="H363" s="22" t="inlineStr">
        <is>
          <t>NCLNLS</t>
        </is>
      </c>
      <c r="I363" s="22" t="inlineStr">
        <is>
          <t>LNATRES</t>
        </is>
      </c>
      <c r="J363" s="22" t="inlineStr">
        <is>
          <t>P3LNLS</t>
        </is>
      </c>
      <c r="K363" s="22" t="inlineStr">
        <is>
          <t>LNRECONS</t>
        </is>
      </c>
      <c r="L363" s="22" t="inlineStr">
        <is>
          <t>LNRENRES</t>
        </is>
      </c>
      <c r="M363" s="22" t="inlineStr">
        <is>
          <t>LNREMULT</t>
        </is>
      </c>
      <c r="N363" s="22" t="inlineStr">
        <is>
          <t>NCLNLSR</t>
        </is>
      </c>
      <c r="O363" s="22" t="inlineStr">
        <is>
          <t>NTLNLSQR</t>
        </is>
      </c>
      <c r="P363" s="22" t="inlineStr">
        <is>
          <t>LNATRESR</t>
        </is>
      </c>
      <c r="Q363" s="22" t="inlineStr">
        <is>
          <t>LNRESNCR</t>
        </is>
      </c>
      <c r="R363" s="22" t="inlineStr">
        <is>
          <t>RBC1AAJ</t>
        </is>
      </c>
      <c r="S363" s="22" t="inlineStr">
        <is>
          <t>RBCRWAJ</t>
        </is>
      </c>
      <c r="T363" s="22" t="inlineStr">
        <is>
          <t>EQV</t>
        </is>
      </c>
      <c r="U363" s="22" t="inlineStr">
        <is>
          <t>ROAQ</t>
        </is>
      </c>
      <c r="V363" s="22" t="inlineStr">
        <is>
          <t>NIMY</t>
        </is>
      </c>
      <c r="W363" s="22" t="inlineStr">
        <is>
          <t>EEFFR</t>
        </is>
      </c>
    </row>
    <row r="382">
      <c r="A382" s="27" t="inlineStr">
        <is>
          <t>slot20</t>
        </is>
      </c>
    </row>
    <row r="383">
      <c r="A383" s="22" t="inlineStr">
        <is>
          <t>REPDTE</t>
        </is>
      </c>
      <c r="B383" s="22" t="inlineStr">
        <is>
          <t>ASSET</t>
        </is>
      </c>
      <c r="C383" s="22" t="inlineStr">
        <is>
          <t>DEP</t>
        </is>
      </c>
      <c r="D383" s="22" t="inlineStr">
        <is>
          <t>LNLSGR</t>
        </is>
      </c>
      <c r="E383" s="22" t="inlineStr">
        <is>
          <t>LNLSNET</t>
        </is>
      </c>
      <c r="F383" s="22" t="inlineStr">
        <is>
          <t>BRO</t>
        </is>
      </c>
      <c r="G383" s="22" t="inlineStr">
        <is>
          <t>EQ</t>
        </is>
      </c>
      <c r="H383" s="22" t="inlineStr">
        <is>
          <t>NCLNLS</t>
        </is>
      </c>
      <c r="I383" s="22" t="inlineStr">
        <is>
          <t>LNATRES</t>
        </is>
      </c>
      <c r="J383" s="22" t="inlineStr">
        <is>
          <t>P3LNLS</t>
        </is>
      </c>
      <c r="K383" s="22" t="inlineStr">
        <is>
          <t>LNRECONS</t>
        </is>
      </c>
      <c r="L383" s="22" t="inlineStr">
        <is>
          <t>LNRENRES</t>
        </is>
      </c>
      <c r="M383" s="22" t="inlineStr">
        <is>
          <t>LNREMULT</t>
        </is>
      </c>
      <c r="N383" s="22" t="inlineStr">
        <is>
          <t>NCLNLSR</t>
        </is>
      </c>
      <c r="O383" s="22" t="inlineStr">
        <is>
          <t>NTLNLSQR</t>
        </is>
      </c>
      <c r="P383" s="22" t="inlineStr">
        <is>
          <t>LNATRESR</t>
        </is>
      </c>
      <c r="Q383" s="22" t="inlineStr">
        <is>
          <t>LNRESNCR</t>
        </is>
      </c>
      <c r="R383" s="22" t="inlineStr">
        <is>
          <t>RBC1AAJ</t>
        </is>
      </c>
      <c r="S383" s="22" t="inlineStr">
        <is>
          <t>RBCRWAJ</t>
        </is>
      </c>
      <c r="T383" s="22" t="inlineStr">
        <is>
          <t>EQV</t>
        </is>
      </c>
      <c r="U383" s="22" t="inlineStr">
        <is>
          <t>ROAQ</t>
        </is>
      </c>
      <c r="V383" s="22" t="inlineStr">
        <is>
          <t>NIMY</t>
        </is>
      </c>
      <c r="W383" s="22" t="inlineStr">
        <is>
          <t>EEFFR</t>
        </is>
      </c>
    </row>
    <row r="402">
      <c r="A402" s="27" t="inlineStr">
        <is>
          <t>slot21</t>
        </is>
      </c>
    </row>
    <row r="403">
      <c r="A403" s="22" t="inlineStr">
        <is>
          <t>REPDTE</t>
        </is>
      </c>
      <c r="B403" s="22" t="inlineStr">
        <is>
          <t>ASSET</t>
        </is>
      </c>
      <c r="C403" s="22" t="inlineStr">
        <is>
          <t>DEP</t>
        </is>
      </c>
      <c r="D403" s="22" t="inlineStr">
        <is>
          <t>LNLSGR</t>
        </is>
      </c>
      <c r="E403" s="22" t="inlineStr">
        <is>
          <t>LNLSNET</t>
        </is>
      </c>
      <c r="F403" s="22" t="inlineStr">
        <is>
          <t>BRO</t>
        </is>
      </c>
      <c r="G403" s="22" t="inlineStr">
        <is>
          <t>EQ</t>
        </is>
      </c>
      <c r="H403" s="22" t="inlineStr">
        <is>
          <t>NCLNLS</t>
        </is>
      </c>
      <c r="I403" s="22" t="inlineStr">
        <is>
          <t>LNATRES</t>
        </is>
      </c>
      <c r="J403" s="22" t="inlineStr">
        <is>
          <t>P3LNLS</t>
        </is>
      </c>
      <c r="K403" s="22" t="inlineStr">
        <is>
          <t>LNRECONS</t>
        </is>
      </c>
      <c r="L403" s="22" t="inlineStr">
        <is>
          <t>LNRENRES</t>
        </is>
      </c>
      <c r="M403" s="22" t="inlineStr">
        <is>
          <t>LNREMULT</t>
        </is>
      </c>
      <c r="N403" s="22" t="inlineStr">
        <is>
          <t>NCLNLSR</t>
        </is>
      </c>
      <c r="O403" s="22" t="inlineStr">
        <is>
          <t>NTLNLSQR</t>
        </is>
      </c>
      <c r="P403" s="22" t="inlineStr">
        <is>
          <t>LNATRESR</t>
        </is>
      </c>
      <c r="Q403" s="22" t="inlineStr">
        <is>
          <t>LNRESNCR</t>
        </is>
      </c>
      <c r="R403" s="22" t="inlineStr">
        <is>
          <t>RBC1AAJ</t>
        </is>
      </c>
      <c r="S403" s="22" t="inlineStr">
        <is>
          <t>RBCRWAJ</t>
        </is>
      </c>
      <c r="T403" s="22" t="inlineStr">
        <is>
          <t>EQV</t>
        </is>
      </c>
      <c r="U403" s="22" t="inlineStr">
        <is>
          <t>ROAQ</t>
        </is>
      </c>
      <c r="V403" s="22" t="inlineStr">
        <is>
          <t>NIMY</t>
        </is>
      </c>
      <c r="W403" s="22" t="inlineStr">
        <is>
          <t>EEFFR</t>
        </is>
      </c>
    </row>
    <row r="422">
      <c r="A422" s="27" t="inlineStr">
        <is>
          <t>slot22</t>
        </is>
      </c>
    </row>
    <row r="423">
      <c r="A423" s="22" t="inlineStr">
        <is>
          <t>REPDTE</t>
        </is>
      </c>
      <c r="B423" s="22" t="inlineStr">
        <is>
          <t>ASSET</t>
        </is>
      </c>
      <c r="C423" s="22" t="inlineStr">
        <is>
          <t>DEP</t>
        </is>
      </c>
      <c r="D423" s="22" t="inlineStr">
        <is>
          <t>LNLSGR</t>
        </is>
      </c>
      <c r="E423" s="22" t="inlineStr">
        <is>
          <t>LNLSNET</t>
        </is>
      </c>
      <c r="F423" s="22" t="inlineStr">
        <is>
          <t>BRO</t>
        </is>
      </c>
      <c r="G423" s="22" t="inlineStr">
        <is>
          <t>EQ</t>
        </is>
      </c>
      <c r="H423" s="22" t="inlineStr">
        <is>
          <t>NCLNLS</t>
        </is>
      </c>
      <c r="I423" s="22" t="inlineStr">
        <is>
          <t>LNATRES</t>
        </is>
      </c>
      <c r="J423" s="22" t="inlineStr">
        <is>
          <t>P3LNLS</t>
        </is>
      </c>
      <c r="K423" s="22" t="inlineStr">
        <is>
          <t>LNRECONS</t>
        </is>
      </c>
      <c r="L423" s="22" t="inlineStr">
        <is>
          <t>LNRENRES</t>
        </is>
      </c>
      <c r="M423" s="22" t="inlineStr">
        <is>
          <t>LNREMULT</t>
        </is>
      </c>
      <c r="N423" s="22" t="inlineStr">
        <is>
          <t>NCLNLSR</t>
        </is>
      </c>
      <c r="O423" s="22" t="inlineStr">
        <is>
          <t>NTLNLSQR</t>
        </is>
      </c>
      <c r="P423" s="22" t="inlineStr">
        <is>
          <t>LNATRESR</t>
        </is>
      </c>
      <c r="Q423" s="22" t="inlineStr">
        <is>
          <t>LNRESNCR</t>
        </is>
      </c>
      <c r="R423" s="22" t="inlineStr">
        <is>
          <t>RBC1AAJ</t>
        </is>
      </c>
      <c r="S423" s="22" t="inlineStr">
        <is>
          <t>RBCRWAJ</t>
        </is>
      </c>
      <c r="T423" s="22" t="inlineStr">
        <is>
          <t>EQV</t>
        </is>
      </c>
      <c r="U423" s="22" t="inlineStr">
        <is>
          <t>ROAQ</t>
        </is>
      </c>
      <c r="V423" s="22" t="inlineStr">
        <is>
          <t>NIMY</t>
        </is>
      </c>
      <c r="W423" s="22" t="inlineStr">
        <is>
          <t>EEFFR</t>
        </is>
      </c>
    </row>
    <row r="442">
      <c r="A442" s="27" t="inlineStr">
        <is>
          <t>slot23</t>
        </is>
      </c>
    </row>
    <row r="443">
      <c r="A443" s="22" t="inlineStr">
        <is>
          <t>REPDTE</t>
        </is>
      </c>
      <c r="B443" s="22" t="inlineStr">
        <is>
          <t>ASSET</t>
        </is>
      </c>
      <c r="C443" s="22" t="inlineStr">
        <is>
          <t>DEP</t>
        </is>
      </c>
      <c r="D443" s="22" t="inlineStr">
        <is>
          <t>LNLSGR</t>
        </is>
      </c>
      <c r="E443" s="22" t="inlineStr">
        <is>
          <t>LNLSNET</t>
        </is>
      </c>
      <c r="F443" s="22" t="inlineStr">
        <is>
          <t>BRO</t>
        </is>
      </c>
      <c r="G443" s="22" t="inlineStr">
        <is>
          <t>EQ</t>
        </is>
      </c>
      <c r="H443" s="22" t="inlineStr">
        <is>
          <t>NCLNLS</t>
        </is>
      </c>
      <c r="I443" s="22" t="inlineStr">
        <is>
          <t>LNATRES</t>
        </is>
      </c>
      <c r="J443" s="22" t="inlineStr">
        <is>
          <t>P3LNLS</t>
        </is>
      </c>
      <c r="K443" s="22" t="inlineStr">
        <is>
          <t>LNRECONS</t>
        </is>
      </c>
      <c r="L443" s="22" t="inlineStr">
        <is>
          <t>LNRENRES</t>
        </is>
      </c>
      <c r="M443" s="22" t="inlineStr">
        <is>
          <t>LNREMULT</t>
        </is>
      </c>
      <c r="N443" s="22" t="inlineStr">
        <is>
          <t>NCLNLSR</t>
        </is>
      </c>
      <c r="O443" s="22" t="inlineStr">
        <is>
          <t>NTLNLSQR</t>
        </is>
      </c>
      <c r="P443" s="22" t="inlineStr">
        <is>
          <t>LNATRESR</t>
        </is>
      </c>
      <c r="Q443" s="22" t="inlineStr">
        <is>
          <t>LNRESNCR</t>
        </is>
      </c>
      <c r="R443" s="22" t="inlineStr">
        <is>
          <t>RBC1AAJ</t>
        </is>
      </c>
      <c r="S443" s="22" t="inlineStr">
        <is>
          <t>RBCRWAJ</t>
        </is>
      </c>
      <c r="T443" s="22" t="inlineStr">
        <is>
          <t>EQV</t>
        </is>
      </c>
      <c r="U443" s="22" t="inlineStr">
        <is>
          <t>ROAQ</t>
        </is>
      </c>
      <c r="V443" s="22" t="inlineStr">
        <is>
          <t>NIMY</t>
        </is>
      </c>
      <c r="W443" s="22" t="inlineStr">
        <is>
          <t>EEFFR</t>
        </is>
      </c>
    </row>
    <row r="462">
      <c r="A462" s="27" t="inlineStr">
        <is>
          <t>slot24</t>
        </is>
      </c>
    </row>
    <row r="463">
      <c r="A463" s="22" t="inlineStr">
        <is>
          <t>REPDTE</t>
        </is>
      </c>
      <c r="B463" s="22" t="inlineStr">
        <is>
          <t>ASSET</t>
        </is>
      </c>
      <c r="C463" s="22" t="inlineStr">
        <is>
          <t>DEP</t>
        </is>
      </c>
      <c r="D463" s="22" t="inlineStr">
        <is>
          <t>LNLSGR</t>
        </is>
      </c>
      <c r="E463" s="22" t="inlineStr">
        <is>
          <t>LNLSNET</t>
        </is>
      </c>
      <c r="F463" s="22" t="inlineStr">
        <is>
          <t>BRO</t>
        </is>
      </c>
      <c r="G463" s="22" t="inlineStr">
        <is>
          <t>EQ</t>
        </is>
      </c>
      <c r="H463" s="22" t="inlineStr">
        <is>
          <t>NCLNLS</t>
        </is>
      </c>
      <c r="I463" s="22" t="inlineStr">
        <is>
          <t>LNATRES</t>
        </is>
      </c>
      <c r="J463" s="22" t="inlineStr">
        <is>
          <t>P3LNLS</t>
        </is>
      </c>
      <c r="K463" s="22" t="inlineStr">
        <is>
          <t>LNRECONS</t>
        </is>
      </c>
      <c r="L463" s="22" t="inlineStr">
        <is>
          <t>LNRENRES</t>
        </is>
      </c>
      <c r="M463" s="22" t="inlineStr">
        <is>
          <t>LNREMULT</t>
        </is>
      </c>
      <c r="N463" s="22" t="inlineStr">
        <is>
          <t>NCLNLSR</t>
        </is>
      </c>
      <c r="O463" s="22" t="inlineStr">
        <is>
          <t>NTLNLSQR</t>
        </is>
      </c>
      <c r="P463" s="22" t="inlineStr">
        <is>
          <t>LNATRESR</t>
        </is>
      </c>
      <c r="Q463" s="22" t="inlineStr">
        <is>
          <t>LNRESNCR</t>
        </is>
      </c>
      <c r="R463" s="22" t="inlineStr">
        <is>
          <t>RBC1AAJ</t>
        </is>
      </c>
      <c r="S463" s="22" t="inlineStr">
        <is>
          <t>RBCRWAJ</t>
        </is>
      </c>
      <c r="T463" s="22" t="inlineStr">
        <is>
          <t>EQV</t>
        </is>
      </c>
      <c r="U463" s="22" t="inlineStr">
        <is>
          <t>ROAQ</t>
        </is>
      </c>
      <c r="V463" s="22" t="inlineStr">
        <is>
          <t>NIMY</t>
        </is>
      </c>
      <c r="W463" s="22" t="inlineStr">
        <is>
          <t>EEFFR</t>
        </is>
      </c>
    </row>
    <row r="482">
      <c r="A482" s="27" t="inlineStr">
        <is>
          <t>slot25</t>
        </is>
      </c>
    </row>
    <row r="483">
      <c r="A483" s="22" t="inlineStr">
        <is>
          <t>REPDTE</t>
        </is>
      </c>
      <c r="B483" s="22" t="inlineStr">
        <is>
          <t>ASSET</t>
        </is>
      </c>
      <c r="C483" s="22" t="inlineStr">
        <is>
          <t>DEP</t>
        </is>
      </c>
      <c r="D483" s="22" t="inlineStr">
        <is>
          <t>LNLSGR</t>
        </is>
      </c>
      <c r="E483" s="22" t="inlineStr">
        <is>
          <t>LNLSNET</t>
        </is>
      </c>
      <c r="F483" s="22" t="inlineStr">
        <is>
          <t>BRO</t>
        </is>
      </c>
      <c r="G483" s="22" t="inlineStr">
        <is>
          <t>EQ</t>
        </is>
      </c>
      <c r="H483" s="22" t="inlineStr">
        <is>
          <t>NCLNLS</t>
        </is>
      </c>
      <c r="I483" s="22" t="inlineStr">
        <is>
          <t>LNATRES</t>
        </is>
      </c>
      <c r="J483" s="22" t="inlineStr">
        <is>
          <t>P3LNLS</t>
        </is>
      </c>
      <c r="K483" s="22" t="inlineStr">
        <is>
          <t>LNRECONS</t>
        </is>
      </c>
      <c r="L483" s="22" t="inlineStr">
        <is>
          <t>LNRENRES</t>
        </is>
      </c>
      <c r="M483" s="22" t="inlineStr">
        <is>
          <t>LNREMULT</t>
        </is>
      </c>
      <c r="N483" s="22" t="inlineStr">
        <is>
          <t>NCLNLSR</t>
        </is>
      </c>
      <c r="O483" s="22" t="inlineStr">
        <is>
          <t>NTLNLSQR</t>
        </is>
      </c>
      <c r="P483" s="22" t="inlineStr">
        <is>
          <t>LNATRESR</t>
        </is>
      </c>
      <c r="Q483" s="22" t="inlineStr">
        <is>
          <t>LNRESNCR</t>
        </is>
      </c>
      <c r="R483" s="22" t="inlineStr">
        <is>
          <t>RBC1AAJ</t>
        </is>
      </c>
      <c r="S483" s="22" t="inlineStr">
        <is>
          <t>RBCRWAJ</t>
        </is>
      </c>
      <c r="T483" s="22" t="inlineStr">
        <is>
          <t>EQV</t>
        </is>
      </c>
      <c r="U483" s="22" t="inlineStr">
        <is>
          <t>ROAQ</t>
        </is>
      </c>
      <c r="V483" s="22" t="inlineStr">
        <is>
          <t>NIMY</t>
        </is>
      </c>
      <c r="W483" s="22" t="inlineStr">
        <is>
          <t>EEFFR</t>
        </is>
      </c>
    </row>
    <row r="502">
      <c r="A502" s="27" t="inlineStr">
        <is>
          <t>slot26</t>
        </is>
      </c>
    </row>
    <row r="503">
      <c r="A503" s="22" t="inlineStr">
        <is>
          <t>REPDTE</t>
        </is>
      </c>
      <c r="B503" s="22" t="inlineStr">
        <is>
          <t>ASSET</t>
        </is>
      </c>
      <c r="C503" s="22" t="inlineStr">
        <is>
          <t>DEP</t>
        </is>
      </c>
      <c r="D503" s="22" t="inlineStr">
        <is>
          <t>LNLSGR</t>
        </is>
      </c>
      <c r="E503" s="22" t="inlineStr">
        <is>
          <t>LNLSNET</t>
        </is>
      </c>
      <c r="F503" s="22" t="inlineStr">
        <is>
          <t>BRO</t>
        </is>
      </c>
      <c r="G503" s="22" t="inlineStr">
        <is>
          <t>EQ</t>
        </is>
      </c>
      <c r="H503" s="22" t="inlineStr">
        <is>
          <t>NCLNLS</t>
        </is>
      </c>
      <c r="I503" s="22" t="inlineStr">
        <is>
          <t>LNATRES</t>
        </is>
      </c>
      <c r="J503" s="22" t="inlineStr">
        <is>
          <t>P3LNLS</t>
        </is>
      </c>
      <c r="K503" s="22" t="inlineStr">
        <is>
          <t>LNRECONS</t>
        </is>
      </c>
      <c r="L503" s="22" t="inlineStr">
        <is>
          <t>LNRENRES</t>
        </is>
      </c>
      <c r="M503" s="22" t="inlineStr">
        <is>
          <t>LNREMULT</t>
        </is>
      </c>
      <c r="N503" s="22" t="inlineStr">
        <is>
          <t>NCLNLSR</t>
        </is>
      </c>
      <c r="O503" s="22" t="inlineStr">
        <is>
          <t>NTLNLSQR</t>
        </is>
      </c>
      <c r="P503" s="22" t="inlineStr">
        <is>
          <t>LNATRESR</t>
        </is>
      </c>
      <c r="Q503" s="22" t="inlineStr">
        <is>
          <t>LNRESNCR</t>
        </is>
      </c>
      <c r="R503" s="22" t="inlineStr">
        <is>
          <t>RBC1AAJ</t>
        </is>
      </c>
      <c r="S503" s="22" t="inlineStr">
        <is>
          <t>RBCRWAJ</t>
        </is>
      </c>
      <c r="T503" s="22" t="inlineStr">
        <is>
          <t>EQV</t>
        </is>
      </c>
      <c r="U503" s="22" t="inlineStr">
        <is>
          <t>ROAQ</t>
        </is>
      </c>
      <c r="V503" s="22" t="inlineStr">
        <is>
          <t>NIMY</t>
        </is>
      </c>
      <c r="W503" s="22" t="inlineStr">
        <is>
          <t>EEFFR</t>
        </is>
      </c>
    </row>
    <row r="522">
      <c r="A522" s="27" t="inlineStr">
        <is>
          <t>slot27</t>
        </is>
      </c>
    </row>
    <row r="523">
      <c r="A523" s="22" t="inlineStr">
        <is>
          <t>REPDTE</t>
        </is>
      </c>
      <c r="B523" s="22" t="inlineStr">
        <is>
          <t>ASSET</t>
        </is>
      </c>
      <c r="C523" s="22" t="inlineStr">
        <is>
          <t>DEP</t>
        </is>
      </c>
      <c r="D523" s="22" t="inlineStr">
        <is>
          <t>LNLSGR</t>
        </is>
      </c>
      <c r="E523" s="22" t="inlineStr">
        <is>
          <t>LNLSNET</t>
        </is>
      </c>
      <c r="F523" s="22" t="inlineStr">
        <is>
          <t>BRO</t>
        </is>
      </c>
      <c r="G523" s="22" t="inlineStr">
        <is>
          <t>EQ</t>
        </is>
      </c>
      <c r="H523" s="22" t="inlineStr">
        <is>
          <t>NCLNLS</t>
        </is>
      </c>
      <c r="I523" s="22" t="inlineStr">
        <is>
          <t>LNATRES</t>
        </is>
      </c>
      <c r="J523" s="22" t="inlineStr">
        <is>
          <t>P3LNLS</t>
        </is>
      </c>
      <c r="K523" s="22" t="inlineStr">
        <is>
          <t>LNRECONS</t>
        </is>
      </c>
      <c r="L523" s="22" t="inlineStr">
        <is>
          <t>LNRENRES</t>
        </is>
      </c>
      <c r="M523" s="22" t="inlineStr">
        <is>
          <t>LNREMULT</t>
        </is>
      </c>
      <c r="N523" s="22" t="inlineStr">
        <is>
          <t>NCLNLSR</t>
        </is>
      </c>
      <c r="O523" s="22" t="inlineStr">
        <is>
          <t>NTLNLSQR</t>
        </is>
      </c>
      <c r="P523" s="22" t="inlineStr">
        <is>
          <t>LNATRESR</t>
        </is>
      </c>
      <c r="Q523" s="22" t="inlineStr">
        <is>
          <t>LNRESNCR</t>
        </is>
      </c>
      <c r="R523" s="22" t="inlineStr">
        <is>
          <t>RBC1AAJ</t>
        </is>
      </c>
      <c r="S523" s="22" t="inlineStr">
        <is>
          <t>RBCRWAJ</t>
        </is>
      </c>
      <c r="T523" s="22" t="inlineStr">
        <is>
          <t>EQV</t>
        </is>
      </c>
      <c r="U523" s="22" t="inlineStr">
        <is>
          <t>ROAQ</t>
        </is>
      </c>
      <c r="V523" s="22" t="inlineStr">
        <is>
          <t>NIMY</t>
        </is>
      </c>
      <c r="W523" s="22" t="inlineStr">
        <is>
          <t>EEFFR</t>
        </is>
      </c>
    </row>
    <row r="542">
      <c r="A542" s="27" t="inlineStr">
        <is>
          <t>slot28</t>
        </is>
      </c>
    </row>
    <row r="543">
      <c r="A543" s="22" t="inlineStr">
        <is>
          <t>REPDTE</t>
        </is>
      </c>
      <c r="B543" s="22" t="inlineStr">
        <is>
          <t>ASSET</t>
        </is>
      </c>
      <c r="C543" s="22" t="inlineStr">
        <is>
          <t>DEP</t>
        </is>
      </c>
      <c r="D543" s="22" t="inlineStr">
        <is>
          <t>LNLSGR</t>
        </is>
      </c>
      <c r="E543" s="22" t="inlineStr">
        <is>
          <t>LNLSNET</t>
        </is>
      </c>
      <c r="F543" s="22" t="inlineStr">
        <is>
          <t>BRO</t>
        </is>
      </c>
      <c r="G543" s="22" t="inlineStr">
        <is>
          <t>EQ</t>
        </is>
      </c>
      <c r="H543" s="22" t="inlineStr">
        <is>
          <t>NCLNLS</t>
        </is>
      </c>
      <c r="I543" s="22" t="inlineStr">
        <is>
          <t>LNATRES</t>
        </is>
      </c>
      <c r="J543" s="22" t="inlineStr">
        <is>
          <t>P3LNLS</t>
        </is>
      </c>
      <c r="K543" s="22" t="inlineStr">
        <is>
          <t>LNRECONS</t>
        </is>
      </c>
      <c r="L543" s="22" t="inlineStr">
        <is>
          <t>LNRENRES</t>
        </is>
      </c>
      <c r="M543" s="22" t="inlineStr">
        <is>
          <t>LNREMULT</t>
        </is>
      </c>
      <c r="N543" s="22" t="inlineStr">
        <is>
          <t>NCLNLSR</t>
        </is>
      </c>
      <c r="O543" s="22" t="inlineStr">
        <is>
          <t>NTLNLSQR</t>
        </is>
      </c>
      <c r="P543" s="22" t="inlineStr">
        <is>
          <t>LNATRESR</t>
        </is>
      </c>
      <c r="Q543" s="22" t="inlineStr">
        <is>
          <t>LNRESNCR</t>
        </is>
      </c>
      <c r="R543" s="22" t="inlineStr">
        <is>
          <t>RBC1AAJ</t>
        </is>
      </c>
      <c r="S543" s="22" t="inlineStr">
        <is>
          <t>RBCRWAJ</t>
        </is>
      </c>
      <c r="T543" s="22" t="inlineStr">
        <is>
          <t>EQV</t>
        </is>
      </c>
      <c r="U543" s="22" t="inlineStr">
        <is>
          <t>ROAQ</t>
        </is>
      </c>
      <c r="V543" s="22" t="inlineStr">
        <is>
          <t>NIMY</t>
        </is>
      </c>
      <c r="W543" s="22" t="inlineStr">
        <is>
          <t>EEFFR</t>
        </is>
      </c>
    </row>
    <row r="562">
      <c r="A562" s="27" t="inlineStr">
        <is>
          <t>slot29</t>
        </is>
      </c>
    </row>
    <row r="563">
      <c r="A563" s="22" t="inlineStr">
        <is>
          <t>REPDTE</t>
        </is>
      </c>
      <c r="B563" s="22" t="inlineStr">
        <is>
          <t>ASSET</t>
        </is>
      </c>
      <c r="C563" s="22" t="inlineStr">
        <is>
          <t>DEP</t>
        </is>
      </c>
      <c r="D563" s="22" t="inlineStr">
        <is>
          <t>LNLSGR</t>
        </is>
      </c>
      <c r="E563" s="22" t="inlineStr">
        <is>
          <t>LNLSNET</t>
        </is>
      </c>
      <c r="F563" s="22" t="inlineStr">
        <is>
          <t>BRO</t>
        </is>
      </c>
      <c r="G563" s="22" t="inlineStr">
        <is>
          <t>EQ</t>
        </is>
      </c>
      <c r="H563" s="22" t="inlineStr">
        <is>
          <t>NCLNLS</t>
        </is>
      </c>
      <c r="I563" s="22" t="inlineStr">
        <is>
          <t>LNATRES</t>
        </is>
      </c>
      <c r="J563" s="22" t="inlineStr">
        <is>
          <t>P3LNLS</t>
        </is>
      </c>
      <c r="K563" s="22" t="inlineStr">
        <is>
          <t>LNRECONS</t>
        </is>
      </c>
      <c r="L563" s="22" t="inlineStr">
        <is>
          <t>LNRENRES</t>
        </is>
      </c>
      <c r="M563" s="22" t="inlineStr">
        <is>
          <t>LNREMULT</t>
        </is>
      </c>
      <c r="N563" s="22" t="inlineStr">
        <is>
          <t>NCLNLSR</t>
        </is>
      </c>
      <c r="O563" s="22" t="inlineStr">
        <is>
          <t>NTLNLSQR</t>
        </is>
      </c>
      <c r="P563" s="22" t="inlineStr">
        <is>
          <t>LNATRESR</t>
        </is>
      </c>
      <c r="Q563" s="22" t="inlineStr">
        <is>
          <t>LNRESNCR</t>
        </is>
      </c>
      <c r="R563" s="22" t="inlineStr">
        <is>
          <t>RBC1AAJ</t>
        </is>
      </c>
      <c r="S563" s="22" t="inlineStr">
        <is>
          <t>RBCRWAJ</t>
        </is>
      </c>
      <c r="T563" s="22" t="inlineStr">
        <is>
          <t>EQV</t>
        </is>
      </c>
      <c r="U563" s="22" t="inlineStr">
        <is>
          <t>ROAQ</t>
        </is>
      </c>
      <c r="V563" s="22" t="inlineStr">
        <is>
          <t>NIMY</t>
        </is>
      </c>
      <c r="W563" s="22" t="inlineStr">
        <is>
          <t>EEFFR</t>
        </is>
      </c>
    </row>
    <row r="582">
      <c r="A582" s="27" t="inlineStr">
        <is>
          <t>slot30</t>
        </is>
      </c>
    </row>
    <row r="583">
      <c r="A583" s="22" t="inlineStr">
        <is>
          <t>REPDTE</t>
        </is>
      </c>
      <c r="B583" s="22" t="inlineStr">
        <is>
          <t>ASSET</t>
        </is>
      </c>
      <c r="C583" s="22" t="inlineStr">
        <is>
          <t>DEP</t>
        </is>
      </c>
      <c r="D583" s="22" t="inlineStr">
        <is>
          <t>LNLSGR</t>
        </is>
      </c>
      <c r="E583" s="22" t="inlineStr">
        <is>
          <t>LNLSNET</t>
        </is>
      </c>
      <c r="F583" s="22" t="inlineStr">
        <is>
          <t>BRO</t>
        </is>
      </c>
      <c r="G583" s="22" t="inlineStr">
        <is>
          <t>EQ</t>
        </is>
      </c>
      <c r="H583" s="22" t="inlineStr">
        <is>
          <t>NCLNLS</t>
        </is>
      </c>
      <c r="I583" s="22" t="inlineStr">
        <is>
          <t>LNATRES</t>
        </is>
      </c>
      <c r="J583" s="22" t="inlineStr">
        <is>
          <t>P3LNLS</t>
        </is>
      </c>
      <c r="K583" s="22" t="inlineStr">
        <is>
          <t>LNRECONS</t>
        </is>
      </c>
      <c r="L583" s="22" t="inlineStr">
        <is>
          <t>LNRENRES</t>
        </is>
      </c>
      <c r="M583" s="22" t="inlineStr">
        <is>
          <t>LNREMULT</t>
        </is>
      </c>
      <c r="N583" s="22" t="inlineStr">
        <is>
          <t>NCLNLSR</t>
        </is>
      </c>
      <c r="O583" s="22" t="inlineStr">
        <is>
          <t>NTLNLSQR</t>
        </is>
      </c>
      <c r="P583" s="22" t="inlineStr">
        <is>
          <t>LNATRESR</t>
        </is>
      </c>
      <c r="Q583" s="22" t="inlineStr">
        <is>
          <t>LNRESNCR</t>
        </is>
      </c>
      <c r="R583" s="22" t="inlineStr">
        <is>
          <t>RBC1AAJ</t>
        </is>
      </c>
      <c r="S583" s="22" t="inlineStr">
        <is>
          <t>RBCRWAJ</t>
        </is>
      </c>
      <c r="T583" s="22" t="inlineStr">
        <is>
          <t>EQV</t>
        </is>
      </c>
      <c r="U583" s="22" t="inlineStr">
        <is>
          <t>ROAQ</t>
        </is>
      </c>
      <c r="V583" s="22" t="inlineStr">
        <is>
          <t>NIMY</t>
        </is>
      </c>
      <c r="W583" s="22" t="inlineStr">
        <is>
          <t>EEFFR</t>
        </is>
      </c>
    </row>
    <row r="602">
      <c r="A602" s="27" t="inlineStr">
        <is>
          <t>slot31</t>
        </is>
      </c>
    </row>
    <row r="603">
      <c r="A603" s="22" t="inlineStr">
        <is>
          <t>REPDTE</t>
        </is>
      </c>
      <c r="B603" s="22" t="inlineStr">
        <is>
          <t>ASSET</t>
        </is>
      </c>
      <c r="C603" s="22" t="inlineStr">
        <is>
          <t>DEP</t>
        </is>
      </c>
      <c r="D603" s="22" t="inlineStr">
        <is>
          <t>LNLSGR</t>
        </is>
      </c>
      <c r="E603" s="22" t="inlineStr">
        <is>
          <t>LNLSNET</t>
        </is>
      </c>
      <c r="F603" s="22" t="inlineStr">
        <is>
          <t>BRO</t>
        </is>
      </c>
      <c r="G603" s="22" t="inlineStr">
        <is>
          <t>EQ</t>
        </is>
      </c>
      <c r="H603" s="22" t="inlineStr">
        <is>
          <t>NCLNLS</t>
        </is>
      </c>
      <c r="I603" s="22" t="inlineStr">
        <is>
          <t>LNATRES</t>
        </is>
      </c>
      <c r="J603" s="22" t="inlineStr">
        <is>
          <t>P3LNLS</t>
        </is>
      </c>
      <c r="K603" s="22" t="inlineStr">
        <is>
          <t>LNRECONS</t>
        </is>
      </c>
      <c r="L603" s="22" t="inlineStr">
        <is>
          <t>LNRENRES</t>
        </is>
      </c>
      <c r="M603" s="22" t="inlineStr">
        <is>
          <t>LNREMULT</t>
        </is>
      </c>
      <c r="N603" s="22" t="inlineStr">
        <is>
          <t>NCLNLSR</t>
        </is>
      </c>
      <c r="O603" s="22" t="inlineStr">
        <is>
          <t>NTLNLSQR</t>
        </is>
      </c>
      <c r="P603" s="22" t="inlineStr">
        <is>
          <t>LNATRESR</t>
        </is>
      </c>
      <c r="Q603" s="22" t="inlineStr">
        <is>
          <t>LNRESNCR</t>
        </is>
      </c>
      <c r="R603" s="22" t="inlineStr">
        <is>
          <t>RBC1AAJ</t>
        </is>
      </c>
      <c r="S603" s="22" t="inlineStr">
        <is>
          <t>RBCRWAJ</t>
        </is>
      </c>
      <c r="T603" s="22" t="inlineStr">
        <is>
          <t>EQV</t>
        </is>
      </c>
      <c r="U603" s="22" t="inlineStr">
        <is>
          <t>ROAQ</t>
        </is>
      </c>
      <c r="V603" s="22" t="inlineStr">
        <is>
          <t>NIMY</t>
        </is>
      </c>
      <c r="W603" s="22" t="inlineStr">
        <is>
          <t>EEFFR</t>
        </is>
      </c>
    </row>
    <row r="622">
      <c r="A622" s="27" t="inlineStr">
        <is>
          <t>slot32</t>
        </is>
      </c>
    </row>
    <row r="623">
      <c r="A623" s="22" t="inlineStr">
        <is>
          <t>REPDTE</t>
        </is>
      </c>
      <c r="B623" s="22" t="inlineStr">
        <is>
          <t>ASSET</t>
        </is>
      </c>
      <c r="C623" s="22" t="inlineStr">
        <is>
          <t>DEP</t>
        </is>
      </c>
      <c r="D623" s="22" t="inlineStr">
        <is>
          <t>LNLSGR</t>
        </is>
      </c>
      <c r="E623" s="22" t="inlineStr">
        <is>
          <t>LNLSNET</t>
        </is>
      </c>
      <c r="F623" s="22" t="inlineStr">
        <is>
          <t>BRO</t>
        </is>
      </c>
      <c r="G623" s="22" t="inlineStr">
        <is>
          <t>EQ</t>
        </is>
      </c>
      <c r="H623" s="22" t="inlineStr">
        <is>
          <t>NCLNLS</t>
        </is>
      </c>
      <c r="I623" s="22" t="inlineStr">
        <is>
          <t>LNATRES</t>
        </is>
      </c>
      <c r="J623" s="22" t="inlineStr">
        <is>
          <t>P3LNLS</t>
        </is>
      </c>
      <c r="K623" s="22" t="inlineStr">
        <is>
          <t>LNRECONS</t>
        </is>
      </c>
      <c r="L623" s="22" t="inlineStr">
        <is>
          <t>LNRENRES</t>
        </is>
      </c>
      <c r="M623" s="22" t="inlineStr">
        <is>
          <t>LNREMULT</t>
        </is>
      </c>
      <c r="N623" s="22" t="inlineStr">
        <is>
          <t>NCLNLSR</t>
        </is>
      </c>
      <c r="O623" s="22" t="inlineStr">
        <is>
          <t>NTLNLSQR</t>
        </is>
      </c>
      <c r="P623" s="22" t="inlineStr">
        <is>
          <t>LNATRESR</t>
        </is>
      </c>
      <c r="Q623" s="22" t="inlineStr">
        <is>
          <t>LNRESNCR</t>
        </is>
      </c>
      <c r="R623" s="22" t="inlineStr">
        <is>
          <t>RBC1AAJ</t>
        </is>
      </c>
      <c r="S623" s="22" t="inlineStr">
        <is>
          <t>RBCRWAJ</t>
        </is>
      </c>
      <c r="T623" s="22" t="inlineStr">
        <is>
          <t>EQV</t>
        </is>
      </c>
      <c r="U623" s="22" t="inlineStr">
        <is>
          <t>ROAQ</t>
        </is>
      </c>
      <c r="V623" s="22" t="inlineStr">
        <is>
          <t>NIMY</t>
        </is>
      </c>
      <c r="W623" s="22" t="inlineStr">
        <is>
          <t>EEFFR</t>
        </is>
      </c>
    </row>
    <row r="642">
      <c r="A642" s="27" t="inlineStr">
        <is>
          <t>slot33</t>
        </is>
      </c>
    </row>
    <row r="643">
      <c r="A643" s="22" t="inlineStr">
        <is>
          <t>REPDTE</t>
        </is>
      </c>
      <c r="B643" s="22" t="inlineStr">
        <is>
          <t>ASSET</t>
        </is>
      </c>
      <c r="C643" s="22" t="inlineStr">
        <is>
          <t>DEP</t>
        </is>
      </c>
      <c r="D643" s="22" t="inlineStr">
        <is>
          <t>LNLSGR</t>
        </is>
      </c>
      <c r="E643" s="22" t="inlineStr">
        <is>
          <t>LNLSNET</t>
        </is>
      </c>
      <c r="F643" s="22" t="inlineStr">
        <is>
          <t>BRO</t>
        </is>
      </c>
      <c r="G643" s="22" t="inlineStr">
        <is>
          <t>EQ</t>
        </is>
      </c>
      <c r="H643" s="22" t="inlineStr">
        <is>
          <t>NCLNLS</t>
        </is>
      </c>
      <c r="I643" s="22" t="inlineStr">
        <is>
          <t>LNATRES</t>
        </is>
      </c>
      <c r="J643" s="22" t="inlineStr">
        <is>
          <t>P3LNLS</t>
        </is>
      </c>
      <c r="K643" s="22" t="inlineStr">
        <is>
          <t>LNRECONS</t>
        </is>
      </c>
      <c r="L643" s="22" t="inlineStr">
        <is>
          <t>LNRENRES</t>
        </is>
      </c>
      <c r="M643" s="22" t="inlineStr">
        <is>
          <t>LNREMULT</t>
        </is>
      </c>
      <c r="N643" s="22" t="inlineStr">
        <is>
          <t>NCLNLSR</t>
        </is>
      </c>
      <c r="O643" s="22" t="inlineStr">
        <is>
          <t>NTLNLSQR</t>
        </is>
      </c>
      <c r="P643" s="22" t="inlineStr">
        <is>
          <t>LNATRESR</t>
        </is>
      </c>
      <c r="Q643" s="22" t="inlineStr">
        <is>
          <t>LNRESNCR</t>
        </is>
      </c>
      <c r="R643" s="22" t="inlineStr">
        <is>
          <t>RBC1AAJ</t>
        </is>
      </c>
      <c r="S643" s="22" t="inlineStr">
        <is>
          <t>RBCRWAJ</t>
        </is>
      </c>
      <c r="T643" s="22" t="inlineStr">
        <is>
          <t>EQV</t>
        </is>
      </c>
      <c r="U643" s="22" t="inlineStr">
        <is>
          <t>ROAQ</t>
        </is>
      </c>
      <c r="V643" s="22" t="inlineStr">
        <is>
          <t>NIMY</t>
        </is>
      </c>
      <c r="W643" s="22" t="inlineStr">
        <is>
          <t>EEFFR</t>
        </is>
      </c>
    </row>
    <row r="662">
      <c r="A662" s="27" t="inlineStr">
        <is>
          <t>slot34</t>
        </is>
      </c>
    </row>
    <row r="663">
      <c r="A663" s="22" t="inlineStr">
        <is>
          <t>REPDTE</t>
        </is>
      </c>
      <c r="B663" s="22" t="inlineStr">
        <is>
          <t>ASSET</t>
        </is>
      </c>
      <c r="C663" s="22" t="inlineStr">
        <is>
          <t>DEP</t>
        </is>
      </c>
      <c r="D663" s="22" t="inlineStr">
        <is>
          <t>LNLSGR</t>
        </is>
      </c>
      <c r="E663" s="22" t="inlineStr">
        <is>
          <t>LNLSNET</t>
        </is>
      </c>
      <c r="F663" s="22" t="inlineStr">
        <is>
          <t>BRO</t>
        </is>
      </c>
      <c r="G663" s="22" t="inlineStr">
        <is>
          <t>EQ</t>
        </is>
      </c>
      <c r="H663" s="22" t="inlineStr">
        <is>
          <t>NCLNLS</t>
        </is>
      </c>
      <c r="I663" s="22" t="inlineStr">
        <is>
          <t>LNATRES</t>
        </is>
      </c>
      <c r="J663" s="22" t="inlineStr">
        <is>
          <t>P3LNLS</t>
        </is>
      </c>
      <c r="K663" s="22" t="inlineStr">
        <is>
          <t>LNRECONS</t>
        </is>
      </c>
      <c r="L663" s="22" t="inlineStr">
        <is>
          <t>LNRENRES</t>
        </is>
      </c>
      <c r="M663" s="22" t="inlineStr">
        <is>
          <t>LNREMULT</t>
        </is>
      </c>
      <c r="N663" s="22" t="inlineStr">
        <is>
          <t>NCLNLSR</t>
        </is>
      </c>
      <c r="O663" s="22" t="inlineStr">
        <is>
          <t>NTLNLSQR</t>
        </is>
      </c>
      <c r="P663" s="22" t="inlineStr">
        <is>
          <t>LNATRESR</t>
        </is>
      </c>
      <c r="Q663" s="22" t="inlineStr">
        <is>
          <t>LNRESNCR</t>
        </is>
      </c>
      <c r="R663" s="22" t="inlineStr">
        <is>
          <t>RBC1AAJ</t>
        </is>
      </c>
      <c r="S663" s="22" t="inlineStr">
        <is>
          <t>RBCRWAJ</t>
        </is>
      </c>
      <c r="T663" s="22" t="inlineStr">
        <is>
          <t>EQV</t>
        </is>
      </c>
      <c r="U663" s="22" t="inlineStr">
        <is>
          <t>ROAQ</t>
        </is>
      </c>
      <c r="V663" s="22" t="inlineStr">
        <is>
          <t>NIMY</t>
        </is>
      </c>
      <c r="W663" s="22" t="inlineStr">
        <is>
          <t>EEFFR</t>
        </is>
      </c>
    </row>
    <row r="682">
      <c r="A682" s="27" t="inlineStr">
        <is>
          <t>slot35</t>
        </is>
      </c>
    </row>
    <row r="683">
      <c r="A683" s="22" t="inlineStr">
        <is>
          <t>REPDTE</t>
        </is>
      </c>
      <c r="B683" s="22" t="inlineStr">
        <is>
          <t>ASSET</t>
        </is>
      </c>
      <c r="C683" s="22" t="inlineStr">
        <is>
          <t>DEP</t>
        </is>
      </c>
      <c r="D683" s="22" t="inlineStr">
        <is>
          <t>LNLSGR</t>
        </is>
      </c>
      <c r="E683" s="22" t="inlineStr">
        <is>
          <t>LNLSNET</t>
        </is>
      </c>
      <c r="F683" s="22" t="inlineStr">
        <is>
          <t>BRO</t>
        </is>
      </c>
      <c r="G683" s="22" t="inlineStr">
        <is>
          <t>EQ</t>
        </is>
      </c>
      <c r="H683" s="22" t="inlineStr">
        <is>
          <t>NCLNLS</t>
        </is>
      </c>
      <c r="I683" s="22" t="inlineStr">
        <is>
          <t>LNATRES</t>
        </is>
      </c>
      <c r="J683" s="22" t="inlineStr">
        <is>
          <t>P3LNLS</t>
        </is>
      </c>
      <c r="K683" s="22" t="inlineStr">
        <is>
          <t>LNRECONS</t>
        </is>
      </c>
      <c r="L683" s="22" t="inlineStr">
        <is>
          <t>LNRENRES</t>
        </is>
      </c>
      <c r="M683" s="22" t="inlineStr">
        <is>
          <t>LNREMULT</t>
        </is>
      </c>
      <c r="N683" s="22" t="inlineStr">
        <is>
          <t>NCLNLSR</t>
        </is>
      </c>
      <c r="O683" s="22" t="inlineStr">
        <is>
          <t>NTLNLSQR</t>
        </is>
      </c>
      <c r="P683" s="22" t="inlineStr">
        <is>
          <t>LNATRESR</t>
        </is>
      </c>
      <c r="Q683" s="22" t="inlineStr">
        <is>
          <t>LNRESNCR</t>
        </is>
      </c>
      <c r="R683" s="22" t="inlineStr">
        <is>
          <t>RBC1AAJ</t>
        </is>
      </c>
      <c r="S683" s="22" t="inlineStr">
        <is>
          <t>RBCRWAJ</t>
        </is>
      </c>
      <c r="T683" s="22" t="inlineStr">
        <is>
          <t>EQV</t>
        </is>
      </c>
      <c r="U683" s="22" t="inlineStr">
        <is>
          <t>ROAQ</t>
        </is>
      </c>
      <c r="V683" s="22" t="inlineStr">
        <is>
          <t>NIMY</t>
        </is>
      </c>
      <c r="W683" s="22" t="inlineStr">
        <is>
          <t>EEFFR</t>
        </is>
      </c>
    </row>
    <row r="702">
      <c r="A702" s="27" t="inlineStr">
        <is>
          <t>slot36</t>
        </is>
      </c>
    </row>
    <row r="703">
      <c r="A703" s="22" t="inlineStr">
        <is>
          <t>REPDTE</t>
        </is>
      </c>
      <c r="B703" s="22" t="inlineStr">
        <is>
          <t>ASSET</t>
        </is>
      </c>
      <c r="C703" s="22" t="inlineStr">
        <is>
          <t>DEP</t>
        </is>
      </c>
      <c r="D703" s="22" t="inlineStr">
        <is>
          <t>LNLSGR</t>
        </is>
      </c>
      <c r="E703" s="22" t="inlineStr">
        <is>
          <t>LNLSNET</t>
        </is>
      </c>
      <c r="F703" s="22" t="inlineStr">
        <is>
          <t>BRO</t>
        </is>
      </c>
      <c r="G703" s="22" t="inlineStr">
        <is>
          <t>EQ</t>
        </is>
      </c>
      <c r="H703" s="22" t="inlineStr">
        <is>
          <t>NCLNLS</t>
        </is>
      </c>
      <c r="I703" s="22" t="inlineStr">
        <is>
          <t>LNATRES</t>
        </is>
      </c>
      <c r="J703" s="22" t="inlineStr">
        <is>
          <t>P3LNLS</t>
        </is>
      </c>
      <c r="K703" s="22" t="inlineStr">
        <is>
          <t>LNRECONS</t>
        </is>
      </c>
      <c r="L703" s="22" t="inlineStr">
        <is>
          <t>LNRENRES</t>
        </is>
      </c>
      <c r="M703" s="22" t="inlineStr">
        <is>
          <t>LNREMULT</t>
        </is>
      </c>
      <c r="N703" s="22" t="inlineStr">
        <is>
          <t>NCLNLSR</t>
        </is>
      </c>
      <c r="O703" s="22" t="inlineStr">
        <is>
          <t>NTLNLSQR</t>
        </is>
      </c>
      <c r="P703" s="22" t="inlineStr">
        <is>
          <t>LNATRESR</t>
        </is>
      </c>
      <c r="Q703" s="22" t="inlineStr">
        <is>
          <t>LNRESNCR</t>
        </is>
      </c>
      <c r="R703" s="22" t="inlineStr">
        <is>
          <t>RBC1AAJ</t>
        </is>
      </c>
      <c r="S703" s="22" t="inlineStr">
        <is>
          <t>RBCRWAJ</t>
        </is>
      </c>
      <c r="T703" s="22" t="inlineStr">
        <is>
          <t>EQV</t>
        </is>
      </c>
      <c r="U703" s="22" t="inlineStr">
        <is>
          <t>ROAQ</t>
        </is>
      </c>
      <c r="V703" s="22" t="inlineStr">
        <is>
          <t>NIMY</t>
        </is>
      </c>
      <c r="W703" s="22" t="inlineStr">
        <is>
          <t>EEFFR</t>
        </is>
      </c>
    </row>
    <row r="722">
      <c r="A722" s="27" t="inlineStr">
        <is>
          <t>slot37</t>
        </is>
      </c>
    </row>
    <row r="723">
      <c r="A723" s="22" t="inlineStr">
        <is>
          <t>REPDTE</t>
        </is>
      </c>
      <c r="B723" s="22" t="inlineStr">
        <is>
          <t>ASSET</t>
        </is>
      </c>
      <c r="C723" s="22" t="inlineStr">
        <is>
          <t>DEP</t>
        </is>
      </c>
      <c r="D723" s="22" t="inlineStr">
        <is>
          <t>LNLSGR</t>
        </is>
      </c>
      <c r="E723" s="22" t="inlineStr">
        <is>
          <t>LNLSNET</t>
        </is>
      </c>
      <c r="F723" s="22" t="inlineStr">
        <is>
          <t>BRO</t>
        </is>
      </c>
      <c r="G723" s="22" t="inlineStr">
        <is>
          <t>EQ</t>
        </is>
      </c>
      <c r="H723" s="22" t="inlineStr">
        <is>
          <t>NCLNLS</t>
        </is>
      </c>
      <c r="I723" s="22" t="inlineStr">
        <is>
          <t>LNATRES</t>
        </is>
      </c>
      <c r="J723" s="22" t="inlineStr">
        <is>
          <t>P3LNLS</t>
        </is>
      </c>
      <c r="K723" s="22" t="inlineStr">
        <is>
          <t>LNRECONS</t>
        </is>
      </c>
      <c r="L723" s="22" t="inlineStr">
        <is>
          <t>LNRENRES</t>
        </is>
      </c>
      <c r="M723" s="22" t="inlineStr">
        <is>
          <t>LNREMULT</t>
        </is>
      </c>
      <c r="N723" s="22" t="inlineStr">
        <is>
          <t>NCLNLSR</t>
        </is>
      </c>
      <c r="O723" s="22" t="inlineStr">
        <is>
          <t>NTLNLSQR</t>
        </is>
      </c>
      <c r="P723" s="22" t="inlineStr">
        <is>
          <t>LNATRESR</t>
        </is>
      </c>
      <c r="Q723" s="22" t="inlineStr">
        <is>
          <t>LNRESNCR</t>
        </is>
      </c>
      <c r="R723" s="22" t="inlineStr">
        <is>
          <t>RBC1AAJ</t>
        </is>
      </c>
      <c r="S723" s="22" t="inlineStr">
        <is>
          <t>RBCRWAJ</t>
        </is>
      </c>
      <c r="T723" s="22" t="inlineStr">
        <is>
          <t>EQV</t>
        </is>
      </c>
      <c r="U723" s="22" t="inlineStr">
        <is>
          <t>ROAQ</t>
        </is>
      </c>
      <c r="V723" s="22" t="inlineStr">
        <is>
          <t>NIMY</t>
        </is>
      </c>
      <c r="W723" s="22" t="inlineStr">
        <is>
          <t>EEFFR</t>
        </is>
      </c>
    </row>
    <row r="742">
      <c r="A742" s="27" t="inlineStr">
        <is>
          <t>slot38</t>
        </is>
      </c>
    </row>
    <row r="743">
      <c r="A743" s="22" t="inlineStr">
        <is>
          <t>REPDTE</t>
        </is>
      </c>
      <c r="B743" s="22" t="inlineStr">
        <is>
          <t>ASSET</t>
        </is>
      </c>
      <c r="C743" s="22" t="inlineStr">
        <is>
          <t>DEP</t>
        </is>
      </c>
      <c r="D743" s="22" t="inlineStr">
        <is>
          <t>LNLSGR</t>
        </is>
      </c>
      <c r="E743" s="22" t="inlineStr">
        <is>
          <t>LNLSNET</t>
        </is>
      </c>
      <c r="F743" s="22" t="inlineStr">
        <is>
          <t>BRO</t>
        </is>
      </c>
      <c r="G743" s="22" t="inlineStr">
        <is>
          <t>EQ</t>
        </is>
      </c>
      <c r="H743" s="22" t="inlineStr">
        <is>
          <t>NCLNLS</t>
        </is>
      </c>
      <c r="I743" s="22" t="inlineStr">
        <is>
          <t>LNATRES</t>
        </is>
      </c>
      <c r="J743" s="22" t="inlineStr">
        <is>
          <t>P3LNLS</t>
        </is>
      </c>
      <c r="K743" s="22" t="inlineStr">
        <is>
          <t>LNRECONS</t>
        </is>
      </c>
      <c r="L743" s="22" t="inlineStr">
        <is>
          <t>LNRENRES</t>
        </is>
      </c>
      <c r="M743" s="22" t="inlineStr">
        <is>
          <t>LNREMULT</t>
        </is>
      </c>
      <c r="N743" s="22" t="inlineStr">
        <is>
          <t>NCLNLSR</t>
        </is>
      </c>
      <c r="O743" s="22" t="inlineStr">
        <is>
          <t>NTLNLSQR</t>
        </is>
      </c>
      <c r="P743" s="22" t="inlineStr">
        <is>
          <t>LNATRESR</t>
        </is>
      </c>
      <c r="Q743" s="22" t="inlineStr">
        <is>
          <t>LNRESNCR</t>
        </is>
      </c>
      <c r="R743" s="22" t="inlineStr">
        <is>
          <t>RBC1AAJ</t>
        </is>
      </c>
      <c r="S743" s="22" t="inlineStr">
        <is>
          <t>RBCRWAJ</t>
        </is>
      </c>
      <c r="T743" s="22" t="inlineStr">
        <is>
          <t>EQV</t>
        </is>
      </c>
      <c r="U743" s="22" t="inlineStr">
        <is>
          <t>ROAQ</t>
        </is>
      </c>
      <c r="V743" s="22" t="inlineStr">
        <is>
          <t>NIMY</t>
        </is>
      </c>
      <c r="W743" s="22" t="inlineStr">
        <is>
          <t>EEFFR</t>
        </is>
      </c>
    </row>
    <row r="762">
      <c r="A762" s="27" t="inlineStr">
        <is>
          <t>slot39</t>
        </is>
      </c>
    </row>
    <row r="763">
      <c r="A763" s="22" t="inlineStr">
        <is>
          <t>REPDTE</t>
        </is>
      </c>
      <c r="B763" s="22" t="inlineStr">
        <is>
          <t>ASSET</t>
        </is>
      </c>
      <c r="C763" s="22" t="inlineStr">
        <is>
          <t>DEP</t>
        </is>
      </c>
      <c r="D763" s="22" t="inlineStr">
        <is>
          <t>LNLSGR</t>
        </is>
      </c>
      <c r="E763" s="22" t="inlineStr">
        <is>
          <t>LNLSNET</t>
        </is>
      </c>
      <c r="F763" s="22" t="inlineStr">
        <is>
          <t>BRO</t>
        </is>
      </c>
      <c r="G763" s="22" t="inlineStr">
        <is>
          <t>EQ</t>
        </is>
      </c>
      <c r="H763" s="22" t="inlineStr">
        <is>
          <t>NCLNLS</t>
        </is>
      </c>
      <c r="I763" s="22" t="inlineStr">
        <is>
          <t>LNATRES</t>
        </is>
      </c>
      <c r="J763" s="22" t="inlineStr">
        <is>
          <t>P3LNLS</t>
        </is>
      </c>
      <c r="K763" s="22" t="inlineStr">
        <is>
          <t>LNRECONS</t>
        </is>
      </c>
      <c r="L763" s="22" t="inlineStr">
        <is>
          <t>LNRENRES</t>
        </is>
      </c>
      <c r="M763" s="22" t="inlineStr">
        <is>
          <t>LNREMULT</t>
        </is>
      </c>
      <c r="N763" s="22" t="inlineStr">
        <is>
          <t>NCLNLSR</t>
        </is>
      </c>
      <c r="O763" s="22" t="inlineStr">
        <is>
          <t>NTLNLSQR</t>
        </is>
      </c>
      <c r="P763" s="22" t="inlineStr">
        <is>
          <t>LNATRESR</t>
        </is>
      </c>
      <c r="Q763" s="22" t="inlineStr">
        <is>
          <t>LNRESNCR</t>
        </is>
      </c>
      <c r="R763" s="22" t="inlineStr">
        <is>
          <t>RBC1AAJ</t>
        </is>
      </c>
      <c r="S763" s="22" t="inlineStr">
        <is>
          <t>RBCRWAJ</t>
        </is>
      </c>
      <c r="T763" s="22" t="inlineStr">
        <is>
          <t>EQV</t>
        </is>
      </c>
      <c r="U763" s="22" t="inlineStr">
        <is>
          <t>ROAQ</t>
        </is>
      </c>
      <c r="V763" s="22" t="inlineStr">
        <is>
          <t>NIMY</t>
        </is>
      </c>
      <c r="W763" s="22" t="inlineStr">
        <is>
          <t>EEFFR</t>
        </is>
      </c>
    </row>
    <row r="782">
      <c r="A782" s="27" t="inlineStr">
        <is>
          <t>slot40</t>
        </is>
      </c>
    </row>
    <row r="783">
      <c r="A783" s="22" t="inlineStr">
        <is>
          <t>REPDTE</t>
        </is>
      </c>
      <c r="B783" s="22" t="inlineStr">
        <is>
          <t>ASSET</t>
        </is>
      </c>
      <c r="C783" s="22" t="inlineStr">
        <is>
          <t>DEP</t>
        </is>
      </c>
      <c r="D783" s="22" t="inlineStr">
        <is>
          <t>LNLSGR</t>
        </is>
      </c>
      <c r="E783" s="22" t="inlineStr">
        <is>
          <t>LNLSNET</t>
        </is>
      </c>
      <c r="F783" s="22" t="inlineStr">
        <is>
          <t>BRO</t>
        </is>
      </c>
      <c r="G783" s="22" t="inlineStr">
        <is>
          <t>EQ</t>
        </is>
      </c>
      <c r="H783" s="22" t="inlineStr">
        <is>
          <t>NCLNLS</t>
        </is>
      </c>
      <c r="I783" s="22" t="inlineStr">
        <is>
          <t>LNATRES</t>
        </is>
      </c>
      <c r="J783" s="22" t="inlineStr">
        <is>
          <t>P3LNLS</t>
        </is>
      </c>
      <c r="K783" s="22" t="inlineStr">
        <is>
          <t>LNRECONS</t>
        </is>
      </c>
      <c r="L783" s="22" t="inlineStr">
        <is>
          <t>LNRENRES</t>
        </is>
      </c>
      <c r="M783" s="22" t="inlineStr">
        <is>
          <t>LNREMULT</t>
        </is>
      </c>
      <c r="N783" s="22" t="inlineStr">
        <is>
          <t>NCLNLSR</t>
        </is>
      </c>
      <c r="O783" s="22" t="inlineStr">
        <is>
          <t>NTLNLSQR</t>
        </is>
      </c>
      <c r="P783" s="22" t="inlineStr">
        <is>
          <t>LNATRESR</t>
        </is>
      </c>
      <c r="Q783" s="22" t="inlineStr">
        <is>
          <t>LNRESNCR</t>
        </is>
      </c>
      <c r="R783" s="22" t="inlineStr">
        <is>
          <t>RBC1AAJ</t>
        </is>
      </c>
      <c r="S783" s="22" t="inlineStr">
        <is>
          <t>RBCRWAJ</t>
        </is>
      </c>
      <c r="T783" s="22" t="inlineStr">
        <is>
          <t>EQV</t>
        </is>
      </c>
      <c r="U783" s="22" t="inlineStr">
        <is>
          <t>ROAQ</t>
        </is>
      </c>
      <c r="V783" s="22" t="inlineStr">
        <is>
          <t>NIMY</t>
        </is>
      </c>
      <c r="W783" s="22" t="inlineStr">
        <is>
          <t>EEFFR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S95"/>
  <sheetViews>
    <sheetView showGridLines="0" workbookViewId="0">
      <selection activeCell="A1" sqref="A1"/>
    </sheetView>
  </sheetViews>
  <sheetFormatPr baseColWidth="8" defaultRowHeight="15"/>
  <cols>
    <col width="26" customWidth="1" min="1" max="1"/>
    <col width="16" customWidth="1" min="2" max="2"/>
    <col width="30" customWidth="1" min="3" max="3"/>
    <col width="16" customWidth="1" min="4" max="4"/>
    <col width="10" customWidth="1" min="5" max="5"/>
  </cols>
  <sheetData>
    <row r="1">
      <c r="A1" s="27" t="inlineStr">
        <is>
          <t>Bank Counterparty &amp; Peer Monitor (FDIC BankFind) -- CONFIG (the knob panel). Edit values here; no code change needed.</t>
        </is>
      </c>
    </row>
    <row r="3">
      <c r="A3" s="28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demo_mode</t>
        </is>
      </c>
      <c r="B5" t="inlineStr">
        <is>
          <t>FALSE</t>
        </is>
      </c>
      <c r="C5" t="inlineStr">
        <is>
          <t>TRUE = offline deterministic FdicDemoProvider (no network), for trying the button and tests. Live mode is KEYLESS -- the FDIC API needs no key either.</t>
        </is>
      </c>
    </row>
    <row r="6">
      <c r="A6" t="inlineStr">
        <is>
          <t>raw_slots</t>
        </is>
      </c>
      <c r="B6" t="n">
        <v>16</v>
      </c>
      <c r="C6" t="inlineStr">
        <is>
          <t>quarters kept per bank (newest-first). BUILT INTO every formula -- changing it requires rebuilding the workbook (make_workbook.py); the runner refuses a mismatched layout.</t>
        </is>
      </c>
    </row>
    <row r="7">
      <c r="A7" t="inlineStr">
        <is>
          <t>peer_slots</t>
        </is>
      </c>
      <c r="B7" t="n">
        <v>40</v>
      </c>
      <c r="C7" t="inlineStr">
        <is>
          <t>the BUILT peer capacity (informational; make_workbook.py --peer-slots N sets it). More banks than this in [PEERS] = the runner refuses with the rebuild command -- never truncation.</t>
        </is>
      </c>
    </row>
    <row r="8">
      <c r="A8" t="inlineStr">
        <is>
          <t>http_min_interval</t>
        </is>
      </c>
      <c r="B8" t="n">
        <v>0.6</v>
      </c>
      <c r="C8" t="inlineStr">
        <is>
          <t>seconds between live FDIC requests (rate limit undocumented -- stay polite).</t>
        </is>
      </c>
    </row>
    <row r="9">
      <c r="A9" t="inlineStr">
        <is>
          <t>fdic_max_retries</t>
        </is>
      </c>
      <c r="B9" t="n">
        <v>4</v>
      </c>
      <c r="C9" t="inlineStr">
        <is>
          <t>retries with backoff on HTTP 429/5xx.</t>
        </is>
      </c>
    </row>
    <row r="10">
      <c r="A10" t="inlineStr">
        <is>
          <t>stale_multiplier</t>
        </is>
      </c>
      <c r="B10" t="n">
        <v>2</v>
      </c>
      <c r="C10" t="inlineStr">
        <is>
          <t>a bank is STALE when its latest REPDTE lags the peer-set max by more than this many quarters (merged-away banks keep returning old data with no error -- trap F2); stale banks are excluded from digest alert counts. NOTE: the Excel median rows still include them in v1 -- see _readme.</t>
        </is>
      </c>
    </row>
    <row r="11">
      <c r="A11" t="inlineStr">
        <is>
          <t>secret_env</t>
        </is>
      </c>
      <c r="B11" t="inlineStr"/>
      <c r="C11" t="inlineStr">
        <is>
          <t>NAME of the env var holding a licensed (Class C) secret. Empty in v1 -- the FDIC API is keyless, and the gates admit ONLY Class A; a licensed swap requires its own review.</t>
        </is>
      </c>
    </row>
    <row r="13">
      <c r="A13" s="28" t="inlineStr">
        <is>
          <t>[THRESHOLDS]</t>
        </is>
      </c>
    </row>
    <row r="14">
      <c r="A14" t="inlineStr">
        <is>
          <t>id</t>
        </is>
      </c>
      <c r="B14" t="inlineStr">
        <is>
          <t>watch</t>
        </is>
      </c>
      <c r="C14" t="inlineStr">
        <is>
          <t>alert</t>
        </is>
      </c>
      <c r="D14" t="inlineStr">
        <is>
          <t>direction</t>
        </is>
      </c>
      <c r="E14" t="inlineStr">
        <is>
          <t>authority</t>
        </is>
      </c>
    </row>
    <row r="15">
      <c r="A15" t="inlineStr">
        <is>
          <t>NCLNLSR</t>
        </is>
      </c>
      <c r="B15" t="n">
        <v>2</v>
      </c>
      <c r="C15" t="n">
        <v>4</v>
      </c>
      <c r="D15" t="inlineStr">
        <is>
          <t>above</t>
        </is>
      </c>
      <c r="E15" t="inlineStr">
        <is>
          <t>heuristic vs QBP industry context</t>
        </is>
      </c>
    </row>
    <row r="16">
      <c r="A16" t="inlineStr">
        <is>
          <t>NTLNLSQR</t>
        </is>
      </c>
      <c r="B16" t="n">
        <v>1</v>
      </c>
      <c r="C16" t="n">
        <v>2</v>
      </c>
      <c r="D16" t="inlineStr">
        <is>
          <t>above</t>
        </is>
      </c>
      <c r="E16" t="inlineStr">
        <is>
          <t>heuristic; QBP Q1'26 industry NCO 0.59</t>
        </is>
      </c>
    </row>
    <row r="17">
      <c r="A17" t="inlineStr">
        <is>
          <t>PD3089R</t>
        </is>
      </c>
      <c r="B17" t="n">
        <v>1.5</v>
      </c>
      <c r="C17" t="n">
        <v>3</v>
      </c>
      <c r="D17" t="inlineStr">
        <is>
          <t>above</t>
        </is>
      </c>
      <c r="E17" t="inlineStr">
        <is>
          <t>heuristic (early-delinquency pipeline)</t>
        </is>
      </c>
    </row>
    <row r="18">
      <c r="A18" t="inlineStr">
        <is>
          <t>LNATRESR</t>
        </is>
      </c>
      <c r="B18" t="n">
        <v>1</v>
      </c>
      <c r="C18" t="n">
        <v>0.75</v>
      </c>
      <c r="D18" t="inlineStr">
        <is>
          <t>below</t>
        </is>
      </c>
      <c r="E18" t="inlineStr">
        <is>
          <t>heuristic (thin allowance)</t>
        </is>
      </c>
    </row>
    <row r="19">
      <c r="A19" t="inlineStr">
        <is>
          <t>LNRESNCR</t>
        </is>
      </c>
      <c r="B19" t="n">
        <v>100</v>
      </c>
      <c r="C19" t="n">
        <v>60</v>
      </c>
      <c r="D19" t="inlineStr">
        <is>
          <t>below</t>
        </is>
      </c>
      <c r="E19" t="inlineStr">
        <is>
          <t>heuristic (coverage of noncurrents)</t>
        </is>
      </c>
    </row>
    <row r="20">
      <c r="A20" t="inlineStr">
        <is>
          <t>TEXAS</t>
        </is>
      </c>
      <c r="B20" t="n">
        <v>50</v>
      </c>
      <c r="C20" t="n">
        <v>100</v>
      </c>
      <c r="D20" t="inlineStr">
        <is>
          <t>above</t>
        </is>
      </c>
      <c r="E20" t="inlineStr">
        <is>
          <t>Cassidy/RBC; StL Fed 2025: 50-100 significant stress, &gt;100 historic failure signal (v1 VARIANT numerator/denominator)</t>
        </is>
      </c>
    </row>
    <row r="21">
      <c r="A21" t="inlineStr">
        <is>
          <t>RBC1AAJ</t>
        </is>
      </c>
      <c r="B21" t="n">
        <v>8</v>
      </c>
      <c r="C21" t="n">
        <v>5</v>
      </c>
      <c r="D21" t="inlineStr">
        <is>
          <t>below</t>
        </is>
      </c>
      <c r="E21" t="inlineStr">
        <is>
          <t>CBLR floor 8 eff 7/1/2026; PCA well-cap leverage 5</t>
        </is>
      </c>
    </row>
    <row r="22">
      <c r="A22" t="inlineStr">
        <is>
          <t>RBCRWAJ</t>
        </is>
      </c>
      <c r="B22" t="n">
        <v>12</v>
      </c>
      <c r="C22" t="n">
        <v>10</v>
      </c>
      <c r="D22" t="inlineStr">
        <is>
          <t>below</t>
        </is>
      </c>
      <c r="E22" t="inlineStr">
        <is>
          <t>PCA well-cap total RBC 10 (12 = approach band); null for CBLR electors</t>
        </is>
      </c>
    </row>
    <row r="23">
      <c r="A23" t="inlineStr">
        <is>
          <t>EQV</t>
        </is>
      </c>
      <c r="B23" t="n">
        <v>8</v>
      </c>
      <c r="C23" t="n">
        <v>5</v>
      </c>
      <c r="D23" t="inlineStr">
        <is>
          <t>below</t>
        </is>
      </c>
      <c r="E23" t="inlineStr">
        <is>
          <t>heuristic (leverage-parallel)</t>
        </is>
      </c>
    </row>
    <row r="24">
      <c r="A24" t="inlineStr">
        <is>
          <t>ROAQ</t>
        </is>
      </c>
      <c r="B24" t="n">
        <v>0.5</v>
      </c>
      <c r="C24" t="n">
        <v>0</v>
      </c>
      <c r="D24" t="inlineStr">
        <is>
          <t>below</t>
        </is>
      </c>
      <c r="E24" t="inlineStr">
        <is>
          <t>heuristic; QBP Q1'26 industry ROA 1.26</t>
        </is>
      </c>
    </row>
    <row r="25">
      <c r="A25" t="inlineStr">
        <is>
          <t>NIMY</t>
        </is>
      </c>
      <c r="B25" t="n">
        <v>2.5</v>
      </c>
      <c r="C25" t="n">
        <v>2</v>
      </c>
      <c r="D25" t="inlineStr">
        <is>
          <t>below</t>
        </is>
      </c>
      <c r="E25" t="inlineStr">
        <is>
          <t>heuristic; QBP Q1'26 industry NIM 3.31</t>
        </is>
      </c>
    </row>
    <row r="26">
      <c r="A26" t="inlineStr">
        <is>
          <t>EEFFR</t>
        </is>
      </c>
      <c r="B26" t="n">
        <v>70</v>
      </c>
      <c r="C26" t="n">
        <v>85</v>
      </c>
      <c r="D26" t="inlineStr">
        <is>
          <t>above</t>
        </is>
      </c>
      <c r="E26" t="inlineStr">
        <is>
          <t>heuristic (expense discipline)</t>
        </is>
      </c>
    </row>
    <row r="27">
      <c r="A27" t="inlineStr">
        <is>
          <t>LNDEPR</t>
        </is>
      </c>
      <c r="B27" t="n">
        <v>90</v>
      </c>
      <c r="C27" t="n">
        <v>105</v>
      </c>
      <c r="D27" t="inlineStr">
        <is>
          <t>above</t>
        </is>
      </c>
      <c r="E27" t="inlineStr">
        <is>
          <t>heuristic (funding reliance)</t>
        </is>
      </c>
    </row>
    <row r="28">
      <c r="A28" t="inlineStr">
        <is>
          <t>BRODEPR</t>
        </is>
      </c>
      <c r="B28" t="n">
        <v>10</v>
      </c>
      <c r="C28" t="n">
        <v>25</v>
      </c>
      <c r="D28" t="inlineStr">
        <is>
          <t>above</t>
        </is>
      </c>
      <c r="E28" t="inlineStr">
        <is>
          <t>heuristic bands; FDI Act s29 / 12 CFR 337.6 salience</t>
        </is>
      </c>
    </row>
    <row r="29">
      <c r="A29" t="inlineStr">
        <is>
          <t>CRECONR</t>
        </is>
      </c>
      <c r="B29" t="n">
        <v>250</v>
      </c>
      <c r="C29" t="n">
        <v>300</v>
      </c>
      <c r="D29" t="inlineStr">
        <is>
          <t>above</t>
        </is>
      </c>
      <c r="E29" t="inlineStr">
        <is>
          <t>2006 interagency CRE guidance 300 at ALERT (PROXY denominator); WATCH = approach band</t>
        </is>
      </c>
    </row>
    <row r="31">
      <c r="A31" s="28" t="inlineStr">
        <is>
          <t>[PEERS]</t>
        </is>
      </c>
    </row>
    <row r="32">
      <c r="A32" t="inlineStr">
        <is>
          <t>slot</t>
        </is>
      </c>
      <c r="B32" t="inlineStr">
        <is>
          <t>cert</t>
        </is>
      </c>
      <c r="C32" t="inlineStr">
        <is>
          <t>name</t>
        </is>
      </c>
      <c r="D32" t="inlineStr">
        <is>
          <t>group</t>
        </is>
      </c>
      <c r="E32" t="inlineStr">
        <is>
          <t>active</t>
        </is>
      </c>
    </row>
    <row r="33">
      <c r="A33" t="n">
        <v>1</v>
      </c>
      <c r="B33" t="n">
        <v>628</v>
      </c>
      <c r="C33" t="inlineStr">
        <is>
          <t>JPMorgan Chase Bank NA</t>
        </is>
      </c>
      <c r="D33" t="inlineStr">
        <is>
          <t>peer</t>
        </is>
      </c>
      <c r="E33" t="inlineStr">
        <is>
          <t>TRUE</t>
        </is>
      </c>
    </row>
    <row r="34">
      <c r="A34" t="n">
        <v>2</v>
      </c>
      <c r="B34" t="n">
        <v>3511</v>
      </c>
      <c r="C34" t="inlineStr">
        <is>
          <t>Wells Fargo Bank NA</t>
        </is>
      </c>
      <c r="D34" t="inlineStr">
        <is>
          <t>peer</t>
        </is>
      </c>
      <c r="E34" t="inlineStr">
        <is>
          <t>TRUE</t>
        </is>
      </c>
    </row>
    <row r="35">
      <c r="A35" t="n">
        <v>3</v>
      </c>
      <c r="B35" t="n">
        <v>3510</v>
      </c>
      <c r="C35" t="inlineStr">
        <is>
          <t>Bank of America NA</t>
        </is>
      </c>
      <c r="D35" t="inlineStr">
        <is>
          <t>peer</t>
        </is>
      </c>
      <c r="E35" t="inlineStr">
        <is>
          <t>TRUE</t>
        </is>
      </c>
    </row>
    <row r="36">
      <c r="A36" t="n">
        <v>4</v>
      </c>
      <c r="B36" t="n">
        <v>7213</v>
      </c>
      <c r="C36" t="inlineStr">
        <is>
          <t>Citibank NA</t>
        </is>
      </c>
      <c r="D36" t="inlineStr">
        <is>
          <t>peer</t>
        </is>
      </c>
      <c r="E36" t="inlineStr">
        <is>
          <t>TRUE</t>
        </is>
      </c>
    </row>
    <row r="37">
      <c r="A37" t="n">
        <v>5</v>
      </c>
      <c r="B37" t="n">
        <v>6548</v>
      </c>
      <c r="C37" t="inlineStr">
        <is>
          <t>US Bank NA</t>
        </is>
      </c>
      <c r="D37" t="inlineStr">
        <is>
          <t>peer</t>
        </is>
      </c>
      <c r="E37" t="inlineStr">
        <is>
          <t>TRUE</t>
        </is>
      </c>
    </row>
    <row r="38">
      <c r="A38" t="n">
        <v>6</v>
      </c>
      <c r="B38" t="n">
        <v>6384</v>
      </c>
      <c r="C38" t="inlineStr">
        <is>
          <t>PNC Bank NA</t>
        </is>
      </c>
      <c r="D38" t="inlineStr">
        <is>
          <t>peer</t>
        </is>
      </c>
      <c r="E38" t="inlineStr">
        <is>
          <t>TRUE</t>
        </is>
      </c>
    </row>
    <row r="39">
      <c r="A39" t="n">
        <v>7</v>
      </c>
      <c r="B39" t="n">
        <v>9846</v>
      </c>
      <c r="C39" t="inlineStr">
        <is>
          <t>Truist Bank</t>
        </is>
      </c>
      <c r="D39" t="inlineStr">
        <is>
          <t>peer</t>
        </is>
      </c>
      <c r="E39" t="inlineStr">
        <is>
          <t>TRUE</t>
        </is>
      </c>
    </row>
    <row r="40">
      <c r="A40" t="n">
        <v>8</v>
      </c>
      <c r="B40" t="n">
        <v>4297</v>
      </c>
      <c r="C40" t="inlineStr">
        <is>
          <t>Capital One NA</t>
        </is>
      </c>
      <c r="D40" t="inlineStr">
        <is>
          <t>peer</t>
        </is>
      </c>
      <c r="E40" t="inlineStr">
        <is>
          <t>TRUE</t>
        </is>
      </c>
    </row>
    <row r="41">
      <c r="A41" t="n">
        <v>9</v>
      </c>
      <c r="B41" t="n">
        <v>17534</v>
      </c>
      <c r="C41" t="inlineStr">
        <is>
          <t>KeyBank NA</t>
        </is>
      </c>
      <c r="D41" t="inlineStr">
        <is>
          <t>self</t>
        </is>
      </c>
      <c r="E41" t="inlineStr">
        <is>
          <t>TRUE</t>
        </is>
      </c>
    </row>
    <row r="42">
      <c r="A42" t="n">
        <v>10</v>
      </c>
      <c r="B42" t="n">
        <v>639</v>
      </c>
      <c r="C42" t="inlineStr">
        <is>
          <t>Bank of New York Mellon</t>
        </is>
      </c>
      <c r="D42" t="inlineStr">
        <is>
          <t>counterparty</t>
        </is>
      </c>
      <c r="E42" t="inlineStr">
        <is>
          <t>TRUE</t>
        </is>
      </c>
    </row>
    <row r="43">
      <c r="A43" t="n">
        <v>11</v>
      </c>
      <c r="B43" t="n">
        <v>33124</v>
      </c>
      <c r="C43" t="inlineStr">
        <is>
          <t>Goldman Sachs Bank USA</t>
        </is>
      </c>
      <c r="D43" t="inlineStr">
        <is>
          <t>counterparty</t>
        </is>
      </c>
      <c r="E43" t="inlineStr">
        <is>
          <t>TRUE</t>
        </is>
      </c>
    </row>
    <row r="44">
      <c r="A44" t="n">
        <v>12</v>
      </c>
      <c r="B44" t="n">
        <v>32992</v>
      </c>
      <c r="C44" t="inlineStr">
        <is>
          <t>Morgan Stanley Bank NA</t>
        </is>
      </c>
      <c r="D44" t="inlineStr">
        <is>
          <t>counterparty</t>
        </is>
      </c>
      <c r="E44" t="inlineStr">
        <is>
          <t>TRUE</t>
        </is>
      </c>
    </row>
    <row r="45">
      <c r="A45" t="n">
        <v>13</v>
      </c>
      <c r="B45" t="inlineStr"/>
      <c r="C45" t="inlineStr"/>
      <c r="D45" t="inlineStr"/>
      <c r="E45" t="inlineStr"/>
    </row>
    <row r="46">
      <c r="A46" t="n">
        <v>14</v>
      </c>
      <c r="B46" t="inlineStr"/>
      <c r="C46" t="inlineStr"/>
      <c r="D46" t="inlineStr"/>
      <c r="E46" t="inlineStr"/>
    </row>
    <row r="47">
      <c r="A47" t="n">
        <v>15</v>
      </c>
      <c r="B47" t="inlineStr"/>
      <c r="C47" t="inlineStr"/>
      <c r="D47" t="inlineStr"/>
      <c r="E47" t="inlineStr"/>
    </row>
    <row r="48">
      <c r="A48" t="n">
        <v>16</v>
      </c>
      <c r="B48" t="inlineStr"/>
      <c r="C48" t="inlineStr"/>
      <c r="D48" t="inlineStr"/>
      <c r="E48" t="inlineStr"/>
    </row>
    <row r="49">
      <c r="A49" t="n">
        <v>17</v>
      </c>
      <c r="B49" t="inlineStr"/>
      <c r="C49" t="inlineStr"/>
      <c r="D49" t="inlineStr"/>
      <c r="E49" t="inlineStr"/>
    </row>
    <row r="50">
      <c r="A50" t="n">
        <v>18</v>
      </c>
      <c r="B50" t="inlineStr"/>
      <c r="C50" t="inlineStr"/>
      <c r="D50" t="inlineStr"/>
      <c r="E50" t="inlineStr"/>
    </row>
    <row r="51">
      <c r="A51" t="n">
        <v>19</v>
      </c>
      <c r="B51" t="inlineStr"/>
      <c r="C51" t="inlineStr"/>
      <c r="D51" t="inlineStr"/>
      <c r="E51" t="inlineStr"/>
    </row>
    <row r="52">
      <c r="A52" t="n">
        <v>20</v>
      </c>
      <c r="B52" t="inlineStr"/>
      <c r="C52" t="inlineStr"/>
      <c r="D52" t="inlineStr"/>
      <c r="E52" t="inlineStr"/>
    </row>
    <row r="53">
      <c r="A53" t="n">
        <v>21</v>
      </c>
      <c r="B53" t="inlineStr"/>
      <c r="C53" t="inlineStr"/>
      <c r="D53" t="inlineStr"/>
      <c r="E53" t="inlineStr"/>
    </row>
    <row r="54">
      <c r="A54" t="n">
        <v>22</v>
      </c>
      <c r="B54" t="inlineStr"/>
      <c r="C54" t="inlineStr"/>
      <c r="D54" t="inlineStr"/>
      <c r="E54" t="inlineStr"/>
    </row>
    <row r="55">
      <c r="A55" t="n">
        <v>23</v>
      </c>
      <c r="B55" t="inlineStr"/>
      <c r="C55" t="inlineStr"/>
      <c r="D55" t="inlineStr"/>
      <c r="E55" t="inlineStr"/>
    </row>
    <row r="56">
      <c r="A56" t="n">
        <v>24</v>
      </c>
      <c r="B56" t="inlineStr"/>
      <c r="C56" t="inlineStr"/>
      <c r="D56" t="inlineStr"/>
      <c r="E56" t="inlineStr"/>
    </row>
    <row r="57">
      <c r="A57" t="n">
        <v>25</v>
      </c>
      <c r="B57" t="inlineStr"/>
      <c r="C57" t="inlineStr"/>
      <c r="D57" t="inlineStr"/>
      <c r="E57" t="inlineStr"/>
    </row>
    <row r="58">
      <c r="A58" t="n">
        <v>26</v>
      </c>
      <c r="B58" t="inlineStr"/>
      <c r="C58" t="inlineStr"/>
      <c r="D58" t="inlineStr"/>
      <c r="E58" t="inlineStr"/>
    </row>
    <row r="59">
      <c r="A59" t="n">
        <v>27</v>
      </c>
      <c r="B59" t="inlineStr"/>
      <c r="C59" t="inlineStr"/>
      <c r="D59" t="inlineStr"/>
      <c r="E59" t="inlineStr"/>
    </row>
    <row r="60">
      <c r="A60" t="n">
        <v>28</v>
      </c>
      <c r="B60" t="inlineStr"/>
      <c r="C60" t="inlineStr"/>
      <c r="D60" t="inlineStr"/>
      <c r="E60" t="inlineStr"/>
    </row>
    <row r="61">
      <c r="A61" t="n">
        <v>29</v>
      </c>
      <c r="B61" t="inlineStr"/>
      <c r="C61" t="inlineStr"/>
      <c r="D61" t="inlineStr"/>
      <c r="E61" t="inlineStr"/>
    </row>
    <row r="62">
      <c r="A62" t="n">
        <v>30</v>
      </c>
      <c r="B62" t="inlineStr"/>
      <c r="C62" t="inlineStr"/>
      <c r="D62" t="inlineStr"/>
      <c r="E62" t="inlineStr"/>
    </row>
    <row r="63">
      <c r="A63" t="n">
        <v>31</v>
      </c>
      <c r="B63" t="inlineStr"/>
      <c r="C63" t="inlineStr"/>
      <c r="D63" t="inlineStr"/>
      <c r="E63" t="inlineStr"/>
    </row>
    <row r="64">
      <c r="A64" t="n">
        <v>32</v>
      </c>
      <c r="B64" t="inlineStr"/>
      <c r="C64" t="inlineStr"/>
      <c r="D64" t="inlineStr"/>
      <c r="E64" t="inlineStr"/>
    </row>
    <row r="65">
      <c r="A65" t="n">
        <v>33</v>
      </c>
      <c r="B65" t="inlineStr"/>
      <c r="C65" t="inlineStr"/>
      <c r="D65" t="inlineStr"/>
      <c r="E65" t="inlineStr"/>
    </row>
    <row r="66">
      <c r="A66" t="n">
        <v>34</v>
      </c>
      <c r="B66" t="inlineStr"/>
      <c r="C66" t="inlineStr"/>
      <c r="D66" t="inlineStr"/>
      <c r="E66" t="inlineStr"/>
    </row>
    <row r="67">
      <c r="A67" t="n">
        <v>35</v>
      </c>
      <c r="B67" t="inlineStr"/>
      <c r="C67" t="inlineStr"/>
      <c r="D67" t="inlineStr"/>
      <c r="E67" t="inlineStr"/>
    </row>
    <row r="68">
      <c r="A68" t="n">
        <v>36</v>
      </c>
      <c r="B68" t="inlineStr"/>
      <c r="C68" t="inlineStr"/>
      <c r="D68" t="inlineStr"/>
      <c r="E68" t="inlineStr"/>
    </row>
    <row r="69">
      <c r="A69" t="n">
        <v>37</v>
      </c>
      <c r="B69" t="inlineStr"/>
      <c r="C69" t="inlineStr"/>
      <c r="D69" t="inlineStr"/>
      <c r="E69" t="inlineStr"/>
    </row>
    <row r="70">
      <c r="A70" t="n">
        <v>38</v>
      </c>
      <c r="B70" t="inlineStr"/>
      <c r="C70" t="inlineStr"/>
      <c r="D70" t="inlineStr"/>
      <c r="E70" t="inlineStr"/>
    </row>
    <row r="71">
      <c r="A71" t="n">
        <v>39</v>
      </c>
      <c r="B71" t="inlineStr"/>
      <c r="C71" t="inlineStr"/>
      <c r="D71" t="inlineStr"/>
      <c r="E71" t="inlineStr"/>
    </row>
    <row r="72">
      <c r="A72" t="n">
        <v>40</v>
      </c>
      <c r="B72" t="inlineStr"/>
      <c r="C72" t="inlineStr"/>
      <c r="D72" t="inlineStr"/>
      <c r="E72" t="inlineStr"/>
    </row>
    <row r="73">
      <c r="A73" t="inlineStr">
        <is>
          <t># One bank per row: slot | cert | name | group | active. Add a bank = fill a free slot row + re-run the runner (no rebuild). Remove = active FALSE or clear the row (the slot blanks on the next run).</t>
        </is>
      </c>
    </row>
    <row r="74">
      <c r="A74" t="inlineStr">
        <is>
          <t># CERT provenance: 628, 3511 and 639 are verified against the FDIC's own spec/captured response; ALL OTHER seeded CERTs are illustrative -- verify each with: python runner.py --lookup "&lt;bank name&gt;" before a live run.</t>
        </is>
      </c>
    </row>
    <row r="76">
      <c r="A76" s="28" t="inlineStr">
        <is>
          <t>[SERIES]</t>
        </is>
      </c>
    </row>
    <row r="77">
      <c r="A77" t="inlineStr">
        <is>
          <t>id</t>
        </is>
      </c>
      <c r="B77" t="inlineStr">
        <is>
          <t>title</t>
        </is>
      </c>
      <c r="C77" t="inlineStr">
        <is>
          <t>category</t>
        </is>
      </c>
      <c r="D77" t="inlineStr">
        <is>
          <t>lane</t>
        </is>
      </c>
      <c r="E77" t="inlineStr">
        <is>
          <t>metric_type</t>
        </is>
      </c>
      <c r="F77" t="inlineStr">
        <is>
          <t>frequency</t>
        </is>
      </c>
      <c r="G77" t="inlineStr">
        <is>
          <t>sa_nsa</t>
        </is>
      </c>
      <c r="H77" t="inlineStr">
        <is>
          <t>units</t>
        </is>
      </c>
      <c r="I77" t="inlineStr">
        <is>
          <t>level_rate_index</t>
        </is>
      </c>
      <c r="J77" t="inlineStr">
        <is>
          <t>geo_segment</t>
        </is>
      </c>
      <c r="K77" t="inlineStr">
        <is>
          <t>source_class</t>
        </is>
      </c>
      <c r="L77" t="inlineStr">
        <is>
          <t>dashboard_capable</t>
        </is>
      </c>
      <c r="M77" t="inlineStr">
        <is>
          <t>watchlist_capable</t>
        </is>
      </c>
      <c r="N77" t="inlineStr">
        <is>
          <t>source_url</t>
        </is>
      </c>
      <c r="O77" t="inlineStr">
        <is>
          <t>table_id</t>
        </is>
      </c>
      <c r="P77" t="inlineStr">
        <is>
          <t>sheet</t>
        </is>
      </c>
      <c r="Q77" t="inlineStr">
        <is>
          <t>series_label</t>
        </is>
      </c>
      <c r="R77" t="inlineStr">
        <is>
          <t>transform</t>
        </is>
      </c>
      <c r="S77" t="inlineStr">
        <is>
          <t>notes</t>
        </is>
      </c>
    </row>
    <row r="78">
      <c r="A78" t="inlineStr">
        <is>
          <t>NCLNLSR</t>
        </is>
      </c>
      <c r="B78" t="inlineStr">
        <is>
          <t>Noncurrent loans / loans</t>
        </is>
      </c>
      <c r="C78" t="inlineStr">
        <is>
          <t>asset_quality</t>
        </is>
      </c>
      <c r="D78" t="inlineStr">
        <is>
          <t>dashboard</t>
        </is>
      </c>
      <c r="E78" t="inlineStr">
        <is>
          <t>asset_quality</t>
        </is>
      </c>
      <c r="F78" t="inlineStr">
        <is>
          <t>quarterly</t>
        </is>
      </c>
      <c r="G78" t="inlineStr">
        <is>
          <t>NSA</t>
        </is>
      </c>
      <c r="H78" t="inlineStr">
        <is>
          <t>pct</t>
        </is>
      </c>
      <c r="I78" t="inlineStr">
        <is>
          <t>rate</t>
        </is>
      </c>
      <c r="J78" t="inlineStr">
        <is>
          <t>entity</t>
        </is>
      </c>
      <c r="K78" t="inlineStr">
        <is>
          <t>A</t>
        </is>
      </c>
      <c r="L78" t="inlineStr">
        <is>
          <t>TRUE</t>
        </is>
      </c>
      <c r="M78" t="inlineStr">
        <is>
          <t>TRUE</t>
        </is>
      </c>
      <c r="N78" t="inlineStr">
        <is>
          <t>https://api.fdic.gov/banks/docs</t>
        </is>
      </c>
      <c r="O78" t="inlineStr">
        <is>
          <t>risview</t>
        </is>
      </c>
      <c r="P78" t="inlineStr"/>
      <c r="Q78" t="inlineStr">
        <is>
          <t>NCLNLSR</t>
        </is>
      </c>
      <c r="R78" t="inlineStr">
        <is>
          <t>direct</t>
        </is>
      </c>
      <c r="S78" t="inlineStr">
        <is>
          <t>Direct API ratio (pct). Heuristic bands vs QBP context.</t>
        </is>
      </c>
    </row>
    <row r="79">
      <c r="A79" t="inlineStr">
        <is>
          <t>NTLNLSQR</t>
        </is>
      </c>
      <c r="B79" t="inlineStr">
        <is>
          <t>Net charge-offs / loans (quarterly)</t>
        </is>
      </c>
      <c r="C79" t="inlineStr">
        <is>
          <t>asset_quality</t>
        </is>
      </c>
      <c r="D79" t="inlineStr">
        <is>
          <t>dashboard</t>
        </is>
      </c>
      <c r="E79" t="inlineStr">
        <is>
          <t>asset_quality</t>
        </is>
      </c>
      <c r="F79" t="inlineStr">
        <is>
          <t>quarterly</t>
        </is>
      </c>
      <c r="G79" t="inlineStr">
        <is>
          <t>NSA</t>
        </is>
      </c>
      <c r="H79" t="inlineStr">
        <is>
          <t>pct</t>
        </is>
      </c>
      <c r="I79" t="inlineStr">
        <is>
          <t>rate</t>
        </is>
      </c>
      <c r="J79" t="inlineStr">
        <is>
          <t>entity</t>
        </is>
      </c>
      <c r="K79" t="inlineStr">
        <is>
          <t>A</t>
        </is>
      </c>
      <c r="L79" t="inlineStr">
        <is>
          <t>TRUE</t>
        </is>
      </c>
      <c r="M79" t="inlineStr">
        <is>
          <t>TRUE</t>
        </is>
      </c>
      <c r="N79" t="inlineStr">
        <is>
          <t>https://api.fdic.gov/banks/docs</t>
        </is>
      </c>
      <c r="O79" t="inlineStr">
        <is>
          <t>risview</t>
        </is>
      </c>
      <c r="P79" t="inlineStr"/>
      <c r="Q79" t="inlineStr">
        <is>
          <t>NTLNLSQR</t>
        </is>
      </c>
      <c r="R79" t="inlineStr">
        <is>
          <t>direct</t>
        </is>
      </c>
      <c r="S79" t="inlineStr">
        <is>
          <t>QUARTERLY variant (trap F1: NTLNLSR is YTD-annualized). Q4 is seasonally heavy (cleanup) -- compare YoY, not just QoQ (F7). QBP Q1'26 industry NCO 0.59pct.</t>
        </is>
      </c>
    </row>
    <row r="80">
      <c r="A80" t="inlineStr">
        <is>
          <t>PD3089R</t>
        </is>
      </c>
      <c r="B80" t="inlineStr">
        <is>
          <t>30-89 day past due / loans</t>
        </is>
      </c>
      <c r="C80" t="inlineStr">
        <is>
          <t>asset_quality</t>
        </is>
      </c>
      <c r="D80" t="inlineStr">
        <is>
          <t>dashboard</t>
        </is>
      </c>
      <c r="E80" t="inlineStr">
        <is>
          <t>asset_quality</t>
        </is>
      </c>
      <c r="F80" t="inlineStr">
        <is>
          <t>quarterly</t>
        </is>
      </c>
      <c r="G80" t="inlineStr">
        <is>
          <t>NSA</t>
        </is>
      </c>
      <c r="H80" t="inlineStr">
        <is>
          <t>pct</t>
        </is>
      </c>
      <c r="I80" t="inlineStr">
        <is>
          <t>rate</t>
        </is>
      </c>
      <c r="J80" t="inlineStr">
        <is>
          <t>entity</t>
        </is>
      </c>
      <c r="K80" t="inlineStr">
        <is>
          <t>A</t>
        </is>
      </c>
      <c r="L80" t="inlineStr">
        <is>
          <t>TRUE</t>
        </is>
      </c>
      <c r="M80" t="inlineStr">
        <is>
          <t>TRUE</t>
        </is>
      </c>
      <c r="N80" t="inlineStr">
        <is>
          <t>https://api.fdic.gov/banks/docs</t>
        </is>
      </c>
      <c r="O80" t="inlineStr">
        <is>
          <t>risview</t>
        </is>
      </c>
      <c r="P80" t="inlineStr"/>
      <c r="Q80" t="inlineStr">
        <is>
          <t>P3LNLS/LNLSGR</t>
        </is>
      </c>
      <c r="R80" t="inlineStr">
        <is>
          <t>derived</t>
        </is>
      </c>
      <c r="S80" t="inlineStr">
        <is>
          <t>No API ratio field exists -- computed P3LNLS/LNLSGR*100 (both $000). The early-delinquency pipeline ahead of noncurrent.</t>
        </is>
      </c>
    </row>
    <row r="81">
      <c r="A81" t="inlineStr">
        <is>
          <t>LNATRESR</t>
        </is>
      </c>
      <c r="B81" t="inlineStr">
        <is>
          <t>Loss allowance / loans</t>
        </is>
      </c>
      <c r="C81" t="inlineStr">
        <is>
          <t>asset_quality</t>
        </is>
      </c>
      <c r="D81" t="inlineStr">
        <is>
          <t>dashboard</t>
        </is>
      </c>
      <c r="E81" t="inlineStr">
        <is>
          <t>asset_quality</t>
        </is>
      </c>
      <c r="F81" t="inlineStr">
        <is>
          <t>quarterly</t>
        </is>
      </c>
      <c r="G81" t="inlineStr">
        <is>
          <t>NSA</t>
        </is>
      </c>
      <c r="H81" t="inlineStr">
        <is>
          <t>pct</t>
        </is>
      </c>
      <c r="I81" t="inlineStr">
        <is>
          <t>rate</t>
        </is>
      </c>
      <c r="J81" t="inlineStr">
        <is>
          <t>entity</t>
        </is>
      </c>
      <c r="K81" t="inlineStr">
        <is>
          <t>A</t>
        </is>
      </c>
      <c r="L81" t="inlineStr">
        <is>
          <t>TRUE</t>
        </is>
      </c>
      <c r="M81" t="inlineStr">
        <is>
          <t>TRUE</t>
        </is>
      </c>
      <c r="N81" t="inlineStr">
        <is>
          <t>https://api.fdic.gov/banks/docs</t>
        </is>
      </c>
      <c r="O81" t="inlineStr">
        <is>
          <t>risview</t>
        </is>
      </c>
      <c r="P81" t="inlineStr"/>
      <c r="Q81" t="inlineStr">
        <is>
          <t>LNATRESR</t>
        </is>
      </c>
      <c r="R81" t="inlineStr">
        <is>
          <t>direct</t>
        </is>
      </c>
      <c r="S81" t="inlineStr">
        <is>
          <t>Direct API ratio (pct); ALLL/ACL coverage of the book.</t>
        </is>
      </c>
    </row>
    <row r="82">
      <c r="A82" t="inlineStr">
        <is>
          <t>LNRESNCR</t>
        </is>
      </c>
      <c r="B82" t="inlineStr">
        <is>
          <t>Allowance / noncurrent (coverage)</t>
        </is>
      </c>
      <c r="C82" t="inlineStr">
        <is>
          <t>asset_quality</t>
        </is>
      </c>
      <c r="D82" t="inlineStr">
        <is>
          <t>dashboard</t>
        </is>
      </c>
      <c r="E82" t="inlineStr">
        <is>
          <t>asset_quality</t>
        </is>
      </c>
      <c r="F82" t="inlineStr">
        <is>
          <t>quarterly</t>
        </is>
      </c>
      <c r="G82" t="inlineStr">
        <is>
          <t>NSA</t>
        </is>
      </c>
      <c r="H82" t="inlineStr">
        <is>
          <t>pct</t>
        </is>
      </c>
      <c r="I82" t="inlineStr">
        <is>
          <t>rate</t>
        </is>
      </c>
      <c r="J82" t="inlineStr">
        <is>
          <t>entity</t>
        </is>
      </c>
      <c r="K82" t="inlineStr">
        <is>
          <t>A</t>
        </is>
      </c>
      <c r="L82" t="inlineStr">
        <is>
          <t>TRUE</t>
        </is>
      </c>
      <c r="M82" t="inlineStr">
        <is>
          <t>TRUE</t>
        </is>
      </c>
      <c r="N82" t="inlineStr">
        <is>
          <t>https://api.fdic.gov/banks/docs</t>
        </is>
      </c>
      <c r="O82" t="inlineStr">
        <is>
          <t>risview</t>
        </is>
      </c>
      <c r="P82" t="inlineStr"/>
      <c r="Q82" t="inlineStr">
        <is>
          <t>LNRESNCR</t>
        </is>
      </c>
      <c r="R82" t="inlineStr">
        <is>
          <t>direct</t>
        </is>
      </c>
      <c r="S82" t="inlineStr">
        <is>
          <t>Direct API ratio (pct); below-is-bad -- thin coverage of noncurrents is the stress signal.</t>
        </is>
      </c>
    </row>
    <row r="83">
      <c r="A83" t="inlineStr">
        <is>
          <t>TEXAS</t>
        </is>
      </c>
      <c r="B83" t="inlineStr">
        <is>
          <t>Texas ratio (VARIANT)</t>
        </is>
      </c>
      <c r="C83" t="inlineStr">
        <is>
          <t>composite</t>
        </is>
      </c>
      <c r="D83" t="inlineStr">
        <is>
          <t>dashboard</t>
        </is>
      </c>
      <c r="E83" t="inlineStr">
        <is>
          <t>composite</t>
        </is>
      </c>
      <c r="F83" t="inlineStr">
        <is>
          <t>quarterly</t>
        </is>
      </c>
      <c r="G83" t="inlineStr">
        <is>
          <t>NSA</t>
        </is>
      </c>
      <c r="H83" t="inlineStr">
        <is>
          <t>pct</t>
        </is>
      </c>
      <c r="I83" t="inlineStr">
        <is>
          <t>rate</t>
        </is>
      </c>
      <c r="J83" t="inlineStr">
        <is>
          <t>entity</t>
        </is>
      </c>
      <c r="K83" t="inlineStr">
        <is>
          <t>A</t>
        </is>
      </c>
      <c r="L83" t="inlineStr">
        <is>
          <t>TRUE</t>
        </is>
      </c>
      <c r="M83" t="inlineStr">
        <is>
          <t>TRUE</t>
        </is>
      </c>
      <c r="N83" t="inlineStr">
        <is>
          <t>https://api.fdic.gov/banks/docs</t>
        </is>
      </c>
      <c r="O83" t="inlineStr">
        <is>
          <t>risview</t>
        </is>
      </c>
      <c r="P83" t="inlineStr"/>
      <c r="Q83" t="inlineStr">
        <is>
          <t>NCLNLS/(EQ+LNATRES)</t>
        </is>
      </c>
      <c r="R83" t="inlineStr">
        <is>
          <t>derived</t>
        </is>
      </c>
      <c r="S83" t="inlineStr">
        <is>
          <t>Documented VARIANT: NCLNLS/(EQ+LNATRES)*100 from verified fields only. Canonical adds OREO to the numerator and nets intangibles from equity -- ORE/INTAN field ids UNVERIFIED, pending first live run (Open Q). Authority: Cassidy/RBC; StL Fed 2025.</t>
        </is>
      </c>
    </row>
    <row r="84">
      <c r="A84" t="inlineStr">
        <is>
          <t>RBC1AAJ</t>
        </is>
      </c>
      <c r="B84" t="inlineStr">
        <is>
          <t>Tier 1 leverage ratio</t>
        </is>
      </c>
      <c r="C84" t="inlineStr">
        <is>
          <t>capital</t>
        </is>
      </c>
      <c r="D84" t="inlineStr">
        <is>
          <t>dashboard</t>
        </is>
      </c>
      <c r="E84" t="inlineStr">
        <is>
          <t>capital</t>
        </is>
      </c>
      <c r="F84" t="inlineStr">
        <is>
          <t>quarterly</t>
        </is>
      </c>
      <c r="G84" t="inlineStr">
        <is>
          <t>NSA</t>
        </is>
      </c>
      <c r="H84" t="inlineStr">
        <is>
          <t>pct</t>
        </is>
      </c>
      <c r="I84" t="inlineStr">
        <is>
          <t>rate</t>
        </is>
      </c>
      <c r="J84" t="inlineStr">
        <is>
          <t>entity</t>
        </is>
      </c>
      <c r="K84" t="inlineStr">
        <is>
          <t>A</t>
        </is>
      </c>
      <c r="L84" t="inlineStr">
        <is>
          <t>TRUE</t>
        </is>
      </c>
      <c r="M84" t="inlineStr">
        <is>
          <t>TRUE</t>
        </is>
      </c>
      <c r="N84" t="inlineStr">
        <is>
          <t>https://api.fdic.gov/banks/docs</t>
        </is>
      </c>
      <c r="O84" t="inlineStr">
        <is>
          <t>risview</t>
        </is>
      </c>
      <c r="P84" t="inlineStr"/>
      <c r="Q84" t="inlineStr">
        <is>
          <t>RBC1AAJ</t>
        </is>
      </c>
      <c r="R84" t="inlineStr">
        <is>
          <t>direct</t>
        </is>
      </c>
      <c r="S84" t="inlineStr">
        <is>
          <t>Universal (CBLR electors included). CBLR floor 9pct -&gt; 8pct effective 7/1/2026 (F8); PCA well-cap leverage 5pct.</t>
        </is>
      </c>
    </row>
    <row r="85">
      <c r="A85" t="inlineStr">
        <is>
          <t>RBCRWAJ</t>
        </is>
      </c>
      <c r="B85" t="inlineStr">
        <is>
          <t>Total risk-based capital ratio</t>
        </is>
      </c>
      <c r="C85" t="inlineStr">
        <is>
          <t>capital</t>
        </is>
      </c>
      <c r="D85" t="inlineStr">
        <is>
          <t>dashboard</t>
        </is>
      </c>
      <c r="E85" t="inlineStr">
        <is>
          <t>capital</t>
        </is>
      </c>
      <c r="F85" t="inlineStr">
        <is>
          <t>quarterly</t>
        </is>
      </c>
      <c r="G85" t="inlineStr">
        <is>
          <t>NSA</t>
        </is>
      </c>
      <c r="H85" t="inlineStr">
        <is>
          <t>pct</t>
        </is>
      </c>
      <c r="I85" t="inlineStr">
        <is>
          <t>rate</t>
        </is>
      </c>
      <c r="J85" t="inlineStr">
        <is>
          <t>entity</t>
        </is>
      </c>
      <c r="K85" t="inlineStr">
        <is>
          <t>A</t>
        </is>
      </c>
      <c r="L85" t="inlineStr">
        <is>
          <t>TRUE</t>
        </is>
      </c>
      <c r="M85" t="inlineStr">
        <is>
          <t>TRUE</t>
        </is>
      </c>
      <c r="N85" t="inlineStr">
        <is>
          <t>https://api.fdic.gov/banks/docs</t>
        </is>
      </c>
      <c r="O85" t="inlineStr">
        <is>
          <t>risview</t>
        </is>
      </c>
      <c r="P85" t="inlineStr"/>
      <c r="Q85" t="inlineStr">
        <is>
          <t>RBCRWAJ</t>
        </is>
      </c>
      <c r="R85" t="inlineStr">
        <is>
          <t>direct</t>
        </is>
      </c>
      <c r="S85" t="inlineStr">
        <is>
          <t>JSON null for CBLR electors (trap F3: null is NOT zero) -- cell renders blank, never 0. PCA well-cap 10pct.</t>
        </is>
      </c>
    </row>
    <row r="86">
      <c r="A86" t="inlineStr">
        <is>
          <t>EQV</t>
        </is>
      </c>
      <c r="B86" t="inlineStr">
        <is>
          <t>Equity / assets</t>
        </is>
      </c>
      <c r="C86" t="inlineStr">
        <is>
          <t>capital</t>
        </is>
      </c>
      <c r="D86" t="inlineStr">
        <is>
          <t>dashboard</t>
        </is>
      </c>
      <c r="E86" t="inlineStr">
        <is>
          <t>capital</t>
        </is>
      </c>
      <c r="F86" t="inlineStr">
        <is>
          <t>quarterly</t>
        </is>
      </c>
      <c r="G86" t="inlineStr">
        <is>
          <t>NSA</t>
        </is>
      </c>
      <c r="H86" t="inlineStr">
        <is>
          <t>pct</t>
        </is>
      </c>
      <c r="I86" t="inlineStr">
        <is>
          <t>rate</t>
        </is>
      </c>
      <c r="J86" t="inlineStr">
        <is>
          <t>entity</t>
        </is>
      </c>
      <c r="K86" t="inlineStr">
        <is>
          <t>A</t>
        </is>
      </c>
      <c r="L86" t="inlineStr">
        <is>
          <t>TRUE</t>
        </is>
      </c>
      <c r="M86" t="inlineStr">
        <is>
          <t>TRUE</t>
        </is>
      </c>
      <c r="N86" t="inlineStr">
        <is>
          <t>https://api.fdic.gov/banks/docs</t>
        </is>
      </c>
      <c r="O86" t="inlineStr">
        <is>
          <t>risview</t>
        </is>
      </c>
      <c r="P86" t="inlineStr"/>
      <c r="Q86" t="inlineStr">
        <is>
          <t>EQV</t>
        </is>
      </c>
      <c r="R86" t="inlineStr">
        <is>
          <t>direct</t>
        </is>
      </c>
      <c r="S86" t="inlineStr">
        <is>
          <t>Direct API ratio (pct); GAAP equity, includes AOCI where applicable.</t>
        </is>
      </c>
    </row>
    <row r="87">
      <c r="A87" t="inlineStr">
        <is>
          <t>ROAQ</t>
        </is>
      </c>
      <c r="B87" t="inlineStr">
        <is>
          <t>Return on assets (quarterly)</t>
        </is>
      </c>
      <c r="C87" t="inlineStr">
        <is>
          <t>earnings</t>
        </is>
      </c>
      <c r="D87" t="inlineStr">
        <is>
          <t>dashboard</t>
        </is>
      </c>
      <c r="E87" t="inlineStr">
        <is>
          <t>earnings</t>
        </is>
      </c>
      <c r="F87" t="inlineStr">
        <is>
          <t>quarterly</t>
        </is>
      </c>
      <c r="G87" t="inlineStr">
        <is>
          <t>NSA</t>
        </is>
      </c>
      <c r="H87" t="inlineStr">
        <is>
          <t>pct</t>
        </is>
      </c>
      <c r="I87" t="inlineStr">
        <is>
          <t>rate</t>
        </is>
      </c>
      <c r="J87" t="inlineStr">
        <is>
          <t>entity</t>
        </is>
      </c>
      <c r="K87" t="inlineStr">
        <is>
          <t>A</t>
        </is>
      </c>
      <c r="L87" t="inlineStr">
        <is>
          <t>TRUE</t>
        </is>
      </c>
      <c r="M87" t="inlineStr">
        <is>
          <t>TRUE</t>
        </is>
      </c>
      <c r="N87" t="inlineStr">
        <is>
          <t>https://api.fdic.gov/banks/docs</t>
        </is>
      </c>
      <c r="O87" t="inlineStr">
        <is>
          <t>risview</t>
        </is>
      </c>
      <c r="P87" t="inlineStr"/>
      <c r="Q87" t="inlineStr">
        <is>
          <t>ROAQ</t>
        </is>
      </c>
      <c r="R87" t="inlineStr">
        <is>
          <t>direct</t>
        </is>
      </c>
      <c r="S87" t="inlineStr">
        <is>
          <t>QUARTERLY variant (trap F1: ROA is YTD-annualized). QBP Q1'26 industry ROA 1.26pct.</t>
        </is>
      </c>
    </row>
    <row r="88">
      <c r="A88" t="inlineStr">
        <is>
          <t>NIMY</t>
        </is>
      </c>
      <c r="B88" t="inlineStr">
        <is>
          <t>Net interest margin</t>
        </is>
      </c>
      <c r="C88" t="inlineStr">
        <is>
          <t>earnings</t>
        </is>
      </c>
      <c r="D88" t="inlineStr">
        <is>
          <t>dashboard</t>
        </is>
      </c>
      <c r="E88" t="inlineStr">
        <is>
          <t>earnings</t>
        </is>
      </c>
      <c r="F88" t="inlineStr">
        <is>
          <t>quarterly</t>
        </is>
      </c>
      <c r="G88" t="inlineStr">
        <is>
          <t>NSA</t>
        </is>
      </c>
      <c r="H88" t="inlineStr">
        <is>
          <t>pct</t>
        </is>
      </c>
      <c r="I88" t="inlineStr">
        <is>
          <t>rate</t>
        </is>
      </c>
      <c r="J88" t="inlineStr">
        <is>
          <t>entity</t>
        </is>
      </c>
      <c r="K88" t="inlineStr">
        <is>
          <t>A</t>
        </is>
      </c>
      <c r="L88" t="inlineStr">
        <is>
          <t>TRUE</t>
        </is>
      </c>
      <c r="M88" t="inlineStr">
        <is>
          <t>TRUE</t>
        </is>
      </c>
      <c r="N88" t="inlineStr">
        <is>
          <t>https://api.fdic.gov/banks/docs</t>
        </is>
      </c>
      <c r="O88" t="inlineStr">
        <is>
          <t>risview</t>
        </is>
      </c>
      <c r="P88" t="inlineStr"/>
      <c r="Q88" t="inlineStr">
        <is>
          <t>NIMY</t>
        </is>
      </c>
      <c r="R88" t="inlineStr">
        <is>
          <t>direct</t>
        </is>
      </c>
      <c r="S88" t="inlineStr">
        <is>
          <t>QBP Q1'26 industry NIM 3.31pct.</t>
        </is>
      </c>
    </row>
    <row r="89">
      <c r="A89" t="inlineStr">
        <is>
          <t>EEFFR</t>
        </is>
      </c>
      <c r="B89" t="inlineStr">
        <is>
          <t>Efficiency ratio</t>
        </is>
      </c>
      <c r="C89" t="inlineStr">
        <is>
          <t>earnings</t>
        </is>
      </c>
      <c r="D89" t="inlineStr">
        <is>
          <t>dashboard</t>
        </is>
      </c>
      <c r="E89" t="inlineStr">
        <is>
          <t>earnings</t>
        </is>
      </c>
      <c r="F89" t="inlineStr">
        <is>
          <t>quarterly</t>
        </is>
      </c>
      <c r="G89" t="inlineStr">
        <is>
          <t>NSA</t>
        </is>
      </c>
      <c r="H89" t="inlineStr">
        <is>
          <t>pct</t>
        </is>
      </c>
      <c r="I89" t="inlineStr">
        <is>
          <t>rate</t>
        </is>
      </c>
      <c r="J89" t="inlineStr">
        <is>
          <t>entity</t>
        </is>
      </c>
      <c r="K89" t="inlineStr">
        <is>
          <t>A</t>
        </is>
      </c>
      <c r="L89" t="inlineStr">
        <is>
          <t>TRUE</t>
        </is>
      </c>
      <c r="M89" t="inlineStr">
        <is>
          <t>TRUE</t>
        </is>
      </c>
      <c r="N89" t="inlineStr">
        <is>
          <t>https://api.fdic.gov/banks/docs</t>
        </is>
      </c>
      <c r="O89" t="inlineStr">
        <is>
          <t>risview</t>
        </is>
      </c>
      <c r="P89" t="inlineStr"/>
      <c r="Q89" t="inlineStr">
        <is>
          <t>EEFFR</t>
        </is>
      </c>
      <c r="R89" t="inlineStr">
        <is>
          <t>direct</t>
        </is>
      </c>
      <c r="S89" t="inlineStr">
        <is>
          <t>Above-is-bad: expense per dollar of revenue.</t>
        </is>
      </c>
    </row>
    <row r="90">
      <c r="A90" t="inlineStr">
        <is>
          <t>LNDEPR</t>
        </is>
      </c>
      <c r="B90" t="inlineStr">
        <is>
          <t>Loans / deposits</t>
        </is>
      </c>
      <c r="C90" t="inlineStr">
        <is>
          <t>funding</t>
        </is>
      </c>
      <c r="D90" t="inlineStr">
        <is>
          <t>dashboard</t>
        </is>
      </c>
      <c r="E90" t="inlineStr">
        <is>
          <t>funding</t>
        </is>
      </c>
      <c r="F90" t="inlineStr">
        <is>
          <t>quarterly</t>
        </is>
      </c>
      <c r="G90" t="inlineStr">
        <is>
          <t>NSA</t>
        </is>
      </c>
      <c r="H90" t="inlineStr">
        <is>
          <t>pct</t>
        </is>
      </c>
      <c r="I90" t="inlineStr">
        <is>
          <t>rate</t>
        </is>
      </c>
      <c r="J90" t="inlineStr">
        <is>
          <t>entity</t>
        </is>
      </c>
      <c r="K90" t="inlineStr">
        <is>
          <t>A</t>
        </is>
      </c>
      <c r="L90" t="inlineStr">
        <is>
          <t>TRUE</t>
        </is>
      </c>
      <c r="M90" t="inlineStr">
        <is>
          <t>TRUE</t>
        </is>
      </c>
      <c r="N90" t="inlineStr">
        <is>
          <t>https://api.fdic.gov/banks/docs</t>
        </is>
      </c>
      <c r="O90" t="inlineStr">
        <is>
          <t>risview</t>
        </is>
      </c>
      <c r="P90" t="inlineStr"/>
      <c r="Q90" t="inlineStr">
        <is>
          <t>LNLSNET/DEP</t>
        </is>
      </c>
      <c r="R90" t="inlineStr">
        <is>
          <t>derived</t>
        </is>
      </c>
      <c r="S90" t="inlineStr">
        <is>
          <t>Computed LNLSNET/DEP*100 (both $000). Heuristic bands.</t>
        </is>
      </c>
    </row>
    <row r="91">
      <c r="A91" t="inlineStr">
        <is>
          <t>BRODEPR</t>
        </is>
      </c>
      <c r="B91" t="inlineStr">
        <is>
          <t>Brokered deposits / deposits</t>
        </is>
      </c>
      <c r="C91" t="inlineStr">
        <is>
          <t>funding</t>
        </is>
      </c>
      <c r="D91" t="inlineStr">
        <is>
          <t>dashboard</t>
        </is>
      </c>
      <c r="E91" t="inlineStr">
        <is>
          <t>funding</t>
        </is>
      </c>
      <c r="F91" t="inlineStr">
        <is>
          <t>quarterly</t>
        </is>
      </c>
      <c r="G91" t="inlineStr">
        <is>
          <t>NSA</t>
        </is>
      </c>
      <c r="H91" t="inlineStr">
        <is>
          <t>pct</t>
        </is>
      </c>
      <c r="I91" t="inlineStr">
        <is>
          <t>rate</t>
        </is>
      </c>
      <c r="J91" t="inlineStr">
        <is>
          <t>entity</t>
        </is>
      </c>
      <c r="K91" t="inlineStr">
        <is>
          <t>A</t>
        </is>
      </c>
      <c r="L91" t="inlineStr">
        <is>
          <t>TRUE</t>
        </is>
      </c>
      <c r="M91" t="inlineStr">
        <is>
          <t>TRUE</t>
        </is>
      </c>
      <c r="N91" t="inlineStr">
        <is>
          <t>https://api.fdic.gov/banks/docs</t>
        </is>
      </c>
      <c r="O91" t="inlineStr">
        <is>
          <t>risview</t>
        </is>
      </c>
      <c r="P91" t="inlineStr"/>
      <c r="Q91" t="inlineStr">
        <is>
          <t>BRO/DEP</t>
        </is>
      </c>
      <c r="R91" t="inlineStr">
        <is>
          <t>derived</t>
        </is>
      </c>
      <c r="S91" t="inlineStr">
        <is>
          <t>Computed BRO/DEP*100 (both $000; BRO may be null -- blank, never 0). Regulatory salience: FDI Act s29 / 12 CFR 337.6 restricts brokered deposits below well-capitalized; healthy-bank bands are heuristic.</t>
        </is>
      </c>
    </row>
    <row r="92">
      <c r="A92" t="inlineStr">
        <is>
          <t>CRECONR</t>
        </is>
      </c>
      <c r="B92" t="inlineStr">
        <is>
          <t>CRE concentration (PROXY)</t>
        </is>
      </c>
      <c r="C92" t="inlineStr">
        <is>
          <t>concentration</t>
        </is>
      </c>
      <c r="D92" t="inlineStr">
        <is>
          <t>dashboard</t>
        </is>
      </c>
      <c r="E92" t="inlineStr">
        <is>
          <t>concentration</t>
        </is>
      </c>
      <c r="F92" t="inlineStr">
        <is>
          <t>quarterly</t>
        </is>
      </c>
      <c r="G92" t="inlineStr">
        <is>
          <t>NSA</t>
        </is>
      </c>
      <c r="H92" t="inlineStr">
        <is>
          <t>pct</t>
        </is>
      </c>
      <c r="I92" t="inlineStr">
        <is>
          <t>rate</t>
        </is>
      </c>
      <c r="J92" t="inlineStr">
        <is>
          <t>entity</t>
        </is>
      </c>
      <c r="K92" t="inlineStr">
        <is>
          <t>A</t>
        </is>
      </c>
      <c r="L92" t="inlineStr">
        <is>
          <t>TRUE</t>
        </is>
      </c>
      <c r="M92" t="inlineStr">
        <is>
          <t>TRUE</t>
        </is>
      </c>
      <c r="N92" t="inlineStr">
        <is>
          <t>https://api.fdic.gov/banks/docs</t>
        </is>
      </c>
      <c r="O92" t="inlineStr">
        <is>
          <t>risview</t>
        </is>
      </c>
      <c r="P92" t="inlineStr"/>
      <c r="Q92" t="inlineStr">
        <is>
          <t>(LNRECONS+LNRENRES+LNREMULT)/(EQ+LNATRES)</t>
        </is>
      </c>
      <c r="R92" t="inlineStr">
        <is>
          <t>derived</t>
        </is>
      </c>
      <c r="S92" t="inlineStr">
        <is>
          <t>2006 interagency guidance screens total CRE vs total RBC (300pct); CBLR electors report no risk-based capital, so v1 uses the documented PROXY denominator EQ+LNATRES until the tier-1 dollar field is verified. 36-month growth leg omitted (merger-distorted, F6).</t>
        </is>
      </c>
    </row>
    <row r="94">
      <c r="A94" t="inlineStr">
        <is>
          <t># [SERIES] is the bank-agnostic METRIC dictionary (geo_segment=entity, expanded at run time to cert:NNN per active peer). The gates admit only Class A CERT-keyed rows; aggregates/name-only rows are refused by name.</t>
        </is>
      </c>
    </row>
    <row r="95">
      <c r="A95" t="inlineStr">
        <is>
          <t># OUT of v1 (fields UNVERIFIED -- never silently approximated): uninsured-deposit share, unrealized HTM/AOCI losses, OREO in the Texas numerator, intangibles netting.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A1369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#!/usr/bin/env python3</t>
        </is>
      </c>
    </row>
    <row r="2">
      <c r="A2" s="29" t="inlineStr">
        <is>
          <t>"""Bank Counterparty &amp; Peer Monitor -- runner (the data path).</t>
        </is>
      </c>
    </row>
    <row r="3">
      <c r="A3" s="29" t="inlineStr"/>
    </row>
    <row r="4">
      <c r="A4" s="29" t="inlineStr">
        <is>
          <t>Single source of truth for the data path; embedded verbatim into the workbook's</t>
        </is>
      </c>
    </row>
    <row r="5">
      <c r="A5" s="29" t="inlineStr">
        <is>
          <t>_code_py tab. The VBA ExtractFiles macro writes this back out as runner.py and</t>
        </is>
      </c>
    </row>
    <row r="6">
      <c r="A6" s="29" t="inlineStr">
        <is>
          <t>the user runs it from PowerShell against the CLOSED workbook (openpyxl backend).</t>
        </is>
      </c>
    </row>
    <row r="7">
      <c r="A7" s="29" t="inlineStr"/>
    </row>
    <row r="8">
      <c r="A8" s="29" t="inlineStr">
        <is>
          <t>Built to BUILD_SPEC_FDIC.md. THE INVERSION: rows are BANKS, not series types --</t>
        </is>
      </c>
    </row>
    <row r="9">
      <c r="A9" s="29" t="inlineStr">
        <is>
          <t>the hand-picked [PEERS] list IS the watchlist, keyed by FDIC CERT, and [SERIES]</t>
        </is>
      </c>
    </row>
    <row r="10">
      <c r="A10" s="29" t="inlineStr">
        <is>
          <t>is a bank-agnostic 15-metric dictionary expanded at run time into units</t>
        </is>
      </c>
    </row>
    <row r="11">
      <c r="A11" s="29" t="inlineStr">
        <is>
          <t>s{slot:02d}_{METRIC}. Raw anchors depend ONLY on (slot, field), so editing</t>
        </is>
      </c>
    </row>
    <row r="12">
      <c r="A12" s="29" t="inlineStr">
        <is>
          <t>WHICH bank occupies a slot moves no formula (the flexible-peers USER</t>
        </is>
      </c>
    </row>
    <row r="13">
      <c r="A13" s="29" t="inlineStr">
        <is>
          <t>REQUIREMENT: add/remove = edit a [PEERS] line + re-run, never a rebuild).</t>
        </is>
      </c>
    </row>
    <row r="14">
      <c r="A14" s="29" t="inlineStr"/>
    </row>
    <row r="15">
      <c r="A15" s="29" t="inlineStr">
        <is>
          <t>Clean seams (BUILD SPEC 0.3 / 1a):</t>
        </is>
      </c>
    </row>
    <row r="16">
      <c r="A16" s="29" t="inlineStr">
        <is>
          <t xml:space="preserve">  * ADAPTER SEAM -- fetch_series(spec, secret) -&gt; list[NormalizedRow], FIXED</t>
        </is>
      </c>
    </row>
    <row r="17">
      <c r="A17" s="29" t="inlineStr">
        <is>
          <t xml:space="preserve">    schema. Two Class A providers: FdicProvider (live, plain urllib, KEYLESS</t>
        </is>
      </c>
    </row>
    <row r="18">
      <c r="A18" s="29" t="inlineStr">
        <is>
          <t xml:space="preserve">    -- the FDIC BankFind API needs no API key) + FdicDemoProvider (offline</t>
        </is>
      </c>
    </row>
    <row r="19">
      <c r="A19" s="29" t="inlineStr">
        <is>
          <t xml:space="preserve">    deterministic, all tests). One in-process Class C stub proves the seam</t>
        </is>
      </c>
    </row>
    <row r="20">
      <c r="A20" s="29" t="inlineStr">
        <is>
          <t xml:space="preserve">    contract; note the gates admit ONLY class "A".</t>
        </is>
      </c>
    </row>
    <row r="21">
      <c r="A21" s="29" t="inlineStr">
        <is>
          <t xml:space="preserve">  * METRIC REGISTRY -- named PURE derived-ratio functions (PD3089R, TEXAS,</t>
        </is>
      </c>
    </row>
    <row r="22">
      <c r="A22" s="29" t="inlineStr">
        <is>
          <t xml:space="preserve">    LNDEPR, BRODEPR, CRECONR) defined IDENTICALLY here and in the Excel</t>
        </is>
      </c>
    </row>
    <row r="23">
      <c r="A23" s="29" t="inlineStr">
        <is>
          <t xml:space="preserve">    formulas (trap F5, parity-tested). None-tolerant: a missing field yields</t>
        </is>
      </c>
    </row>
    <row r="24">
      <c r="A24" s="29" t="inlineStr">
        <is>
          <t xml:space="preserve">    blank, never zero (trap F3: JSON null != 0).</t>
        </is>
      </c>
    </row>
    <row r="25">
      <c r="A25" s="29" t="inlineStr">
        <is>
          <t xml:space="preserve">  * THRESHOLD ENGINE -- config-driven OK/WATCH/ALERT, direction-aware.</t>
        </is>
      </c>
    </row>
    <row r="26">
      <c r="A26" s="29" t="inlineStr">
        <is>
          <t xml:space="preserve">  * WATCHLIST VALIDATOR -- DEFAULT-DENY (BUILD SPEC 0.1 / sec 3): only rows</t>
        </is>
      </c>
    </row>
    <row r="27">
      <c r="A27" s="29" t="inlineStr">
        <is>
          <t xml:space="preserve">    carrying a genuine entity key (cert:NNNNNNN) are admitted; blank/malformed</t>
        </is>
      </c>
    </row>
    <row r="28">
      <c r="A28" s="29" t="inlineStr">
        <is>
          <t xml:space="preserve">    CERTs are refused BY NAME with a --lookup hint; non-Class-A metric rows</t>
        </is>
      </c>
    </row>
    <row r="29">
      <c r="A29" s="29" t="inlineStr">
        <is>
          <t xml:space="preserve">    refuse the run.</t>
        </is>
      </c>
    </row>
    <row r="30">
      <c r="A30" s="29" t="inlineStr">
        <is>
          <t xml:space="preserve">  * STALENESS GUARD (BUILD SPEC 0.6) -- merged-away banks return stale</t>
        </is>
      </c>
    </row>
    <row r="31">
      <c r="A31" s="29" t="inlineStr">
        <is>
          <t xml:space="preserve">    REPDTEs with no error (trap F2): a bank whose latest REPDTE lags the</t>
        </is>
      </c>
    </row>
    <row r="32">
      <c r="A32" s="29" t="inlineStr">
        <is>
          <t xml:space="preserve">    peer-set max by more than stale_multiplier quarters is STALE, excluded</t>
        </is>
      </c>
    </row>
    <row r="33">
      <c r="A33" s="29" t="inlineStr">
        <is>
          <t xml:space="preserve">    from digest alert counts, and surfaced for a merger/closure check.</t>
        </is>
      </c>
    </row>
    <row r="34">
      <c r="A34" s="29" t="inlineStr"/>
    </row>
    <row r="35">
      <c r="A35" s="29" t="inlineStr">
        <is>
          <t>No AI/LLM anywhere; every computation is deterministic (BUILD SPEC 0.5).</t>
        </is>
      </c>
    </row>
    <row r="36">
      <c r="A36" s="29" t="inlineStr">
        <is>
          <t>Pure ASCII (L3).</t>
        </is>
      </c>
    </row>
    <row r="37">
      <c r="A37" s="29" t="inlineStr">
        <is>
          <t>"""</t>
        </is>
      </c>
    </row>
    <row r="38">
      <c r="A38" s="29" t="inlineStr">
        <is>
          <t>from __future__ import annotations</t>
        </is>
      </c>
    </row>
    <row r="39">
      <c r="A39" s="29" t="inlineStr"/>
    </row>
    <row r="40">
      <c r="A40" s="29" t="inlineStr">
        <is>
          <t>import argparse</t>
        </is>
      </c>
    </row>
    <row r="41">
      <c r="A41" s="29" t="inlineStr">
        <is>
          <t>import json</t>
        </is>
      </c>
    </row>
    <row r="42">
      <c r="A42" s="29" t="inlineStr">
        <is>
          <t>import math</t>
        </is>
      </c>
    </row>
    <row r="43">
      <c r="A43" s="29" t="inlineStr">
        <is>
          <t>import os</t>
        </is>
      </c>
    </row>
    <row r="44">
      <c r="A44" s="29" t="inlineStr">
        <is>
          <t>import re</t>
        </is>
      </c>
    </row>
    <row r="45">
      <c r="A45" s="29" t="inlineStr">
        <is>
          <t>import sys</t>
        </is>
      </c>
    </row>
    <row r="46">
      <c r="A46" s="29" t="inlineStr">
        <is>
          <t>import time</t>
        </is>
      </c>
    </row>
    <row r="47">
      <c r="A47" s="29" t="inlineStr">
        <is>
          <t>from dataclasses import dataclass, field</t>
        </is>
      </c>
    </row>
    <row r="48">
      <c r="A48" s="29" t="inlineStr">
        <is>
          <t>from datetime import date, datetime</t>
        </is>
      </c>
    </row>
    <row r="49">
      <c r="A49" s="29" t="inlineStr">
        <is>
          <t>from typing import Dict, List, Optional, Sequence, Tuple</t>
        </is>
      </c>
    </row>
    <row r="50">
      <c r="A50" s="29" t="inlineStr"/>
    </row>
    <row r="51">
      <c r="A51" s="29" t="inlineStr">
        <is>
          <t>import pandas as pd</t>
        </is>
      </c>
    </row>
    <row r="52">
      <c r="A52" s="29" t="inlineStr"/>
    </row>
    <row r="53">
      <c r="A53" s="29" t="inlineStr">
        <is>
          <t># Fixed raw-block geometry: ONE block per PEER SLOT in Raw_FDIC, quarters as</t>
        </is>
      </c>
    </row>
    <row r="54">
      <c r="A54" s="29" t="inlineStr">
        <is>
          <t># rows (newest first), fields as columns. Anchors depend only on (slot, field)</t>
        </is>
      </c>
    </row>
    <row r="55">
      <c r="A55" s="29" t="inlineStr">
        <is>
          <t># -- never on which bank occupies the slot -- so dashboard formulas survive</t>
        </is>
      </c>
    </row>
    <row r="56">
      <c r="A56" s="29" t="inlineStr">
        <is>
          <t># any [PEERS] edit.</t>
        </is>
      </c>
    </row>
    <row r="57">
      <c r="A57" s="29" t="inlineStr">
        <is>
          <t>RAW_TAB = "Raw_FDIC"</t>
        </is>
      </c>
    </row>
    <row r="58">
      <c r="A58" s="29" t="inlineStr">
        <is>
          <t>RAW_SLOTS_DEFAULT = 16         # quarters kept per bank (newest-first)</t>
        </is>
      </c>
    </row>
    <row r="59">
      <c r="A59" s="29" t="inlineStr">
        <is>
          <t>PEER_SLOTS_DEFAULT = 40        # BUILT peer capacity (make_workbook.py --peer-slots)</t>
        </is>
      </c>
    </row>
    <row r="60">
      <c r="A60" s="29" t="inlineStr">
        <is>
          <t>RAW_HEADER_ROWS = 2</t>
        </is>
      </c>
    </row>
    <row r="61">
      <c r="A61" s="29" t="inlineStr">
        <is>
          <t>RAW_GAP_ROWS = 2</t>
        </is>
      </c>
    </row>
    <row r="62">
      <c r="A62" s="29" t="inlineStr">
        <is>
          <t>RAW_FIRST_ROW = 2</t>
        </is>
      </c>
    </row>
    <row r="63">
      <c r="A63" s="29" t="inlineStr">
        <is>
          <t>RAW_PERIOD_COL = 1             # column A = REPDTE (ISO)</t>
        </is>
      </c>
    </row>
    <row r="64">
      <c r="A64" s="29" t="inlineStr"/>
    </row>
    <row r="65">
      <c r="A65" s="29" t="inlineStr">
        <is>
          <t># Status panel column on each dashboard (free of any merged masthead cells).</t>
        </is>
      </c>
    </row>
    <row r="66">
      <c r="A66" s="29" t="inlineStr">
        <is>
          <t>STATUS_COL = 12                # column L</t>
        </is>
      </c>
    </row>
    <row r="67">
      <c r="A67" s="29" t="inlineStr"/>
    </row>
    <row r="68">
      <c r="A68" s="29" t="inlineStr">
        <is>
          <t>DASH_TABS = ("Dashboard_AssetQuality", "Dashboard_Capital_Earnings",</t>
        </is>
      </c>
    </row>
    <row r="69">
      <c r="A69" s="29" t="inlineStr">
        <is>
          <t xml:space="preserve">             "Dashboard_Funding_Concentration")</t>
        </is>
      </c>
    </row>
    <row r="70">
      <c r="A70" s="29" t="inlineStr"/>
    </row>
    <row r="71">
      <c r="A71" s="29" t="inlineStr">
        <is>
          <t># Every raw field landed per bank (the audit trail: each derived metric's</t>
        </is>
      </c>
    </row>
    <row r="72">
      <c r="A72" s="29" t="inlineStr">
        <is>
          <t># inputs are visible in Raw_FDIC). Verified names from risview_properties.yaml</t>
        </is>
      </c>
    </row>
    <row r="73">
      <c r="A73" s="29" t="inlineStr">
        <is>
          <t># / the captured response -- COVERAGE_RESEARCH_FDIC.md. Mixed units per record</t>
        </is>
      </c>
    </row>
    <row r="74">
      <c r="A74" s="29" t="inlineStr">
        <is>
          <t># (trap F4): dollar fields are $ THOUSANDS, ratio fields are PERCENT.</t>
        </is>
      </c>
    </row>
    <row r="75">
      <c r="A75" s="29" t="inlineStr">
        <is>
          <t>RAW_FIELDS = [</t>
        </is>
      </c>
    </row>
    <row r="76">
      <c r="A76" s="29" t="inlineStr">
        <is>
          <t xml:space="preserve">    "ASSET", "DEP", "LNLSGR", "LNLSNET", "BRO", "EQ",           # $000</t>
        </is>
      </c>
    </row>
    <row r="77">
      <c r="A77" s="29" t="inlineStr">
        <is>
          <t xml:space="preserve">    "NCLNLS", "LNATRES", "P3LNLS",                              # $000</t>
        </is>
      </c>
    </row>
    <row r="78">
      <c r="A78" s="29" t="inlineStr">
        <is>
          <t xml:space="preserve">    "LNRECONS", "LNRENRES", "LNREMULT",                         # $000</t>
        </is>
      </c>
    </row>
    <row r="79">
      <c r="A79" s="29" t="inlineStr">
        <is>
          <t xml:space="preserve">    "NCLNLSR", "NTLNLSQR", "LNATRESR", "LNRESNCR",              # pct</t>
        </is>
      </c>
    </row>
    <row r="80">
      <c r="A80" s="29" t="inlineStr">
        <is>
          <t xml:space="preserve">    "RBC1AAJ", "RBCRWAJ", "EQV", "ROAQ", "NIMY", "EEFFR",       # pct</t>
        </is>
      </c>
    </row>
    <row r="81">
      <c r="A81" s="29" t="inlineStr">
        <is>
          <t>]</t>
        </is>
      </c>
    </row>
    <row r="82">
      <c r="A82" s="29" t="inlineStr">
        <is>
          <t>DOLLAR_FIELDS = set(RAW_FIELDS[:12])</t>
        </is>
      </c>
    </row>
    <row r="83">
      <c r="A83" s="29" t="inlineStr">
        <is>
          <t>FIELD_UNITS = {f: ("USD_thousands" if f in DOLLAR_FIELDS else "pct")</t>
        </is>
      </c>
    </row>
    <row r="84">
      <c r="A84" s="29" t="inlineStr">
        <is>
          <t xml:space="preserve">               for f in RAW_FIELDS}</t>
        </is>
      </c>
    </row>
    <row r="85">
      <c r="A85" s="29" t="inlineStr"/>
    </row>
    <row r="86">
      <c r="A86" s="29" t="inlineStr">
        <is>
          <t># The watchlist join-key whitelist (BUILD SPEC 0.1 / sec 3): default-deny.</t>
        </is>
      </c>
    </row>
    <row r="87">
      <c r="A87" s="29" t="inlineStr">
        <is>
          <t># Only a literal FDIC certificate key passes; aggregates, name-only rows and</t>
        </is>
      </c>
    </row>
    <row r="88">
      <c r="A88" s="29" t="inlineStr">
        <is>
          <t># unanticipated key forms are refused (holding-company/RSSD promotion is a</t>
        </is>
      </c>
    </row>
    <row r="89">
      <c r="A89" s="29" t="inlineStr">
        <is>
          <t># spec change, not a config edit).</t>
        </is>
      </c>
    </row>
    <row r="90">
      <c r="A90" s="29" t="inlineStr">
        <is>
          <t>ENTITY_KEY_PATTERN = r"^cert:[0-9]{1,7}$"</t>
        </is>
      </c>
    </row>
    <row r="91">
      <c r="A91" s="29" t="inlineStr"/>
    </row>
    <row r="92">
      <c r="A92" s="29" t="inlineStr">
        <is>
          <t>QUARTER_DAYS = 92              # generous quarter length for the staleness math</t>
        </is>
      </c>
    </row>
    <row r="93">
      <c r="A93" s="29" t="inlineStr"/>
    </row>
    <row r="94">
      <c r="A94" s="29" t="inlineStr">
        <is>
          <t>FDIC_FIN_URL = "https://api.fdic.gov/banks/financials"</t>
        </is>
      </c>
    </row>
    <row r="95">
      <c r="A95" s="29" t="inlineStr">
        <is>
          <t>FDIC_INST_URL = "https://api.fdic.gov/banks/institutions"</t>
        </is>
      </c>
    </row>
    <row r="96">
      <c r="A96" s="29" t="inlineStr"/>
    </row>
    <row r="97">
      <c r="A97" s="29" t="inlineStr"/>
    </row>
    <row r="98">
      <c r="A98" s="29" t="inlineStr">
        <is>
          <t>def field_col(fname: str) -&gt; int:</t>
        </is>
      </c>
    </row>
    <row r="99">
      <c r="A99" s="29" t="inlineStr">
        <is>
          <t xml:space="preserve">    """Raw_FDIC column for a field: B onward, in RAW_FIELDS order (fixed)."""</t>
        </is>
      </c>
    </row>
    <row r="100">
      <c r="A100" s="29" t="inlineStr">
        <is>
          <t xml:space="preserve">    return 2 + RAW_FIELDS.index(fname)</t>
        </is>
      </c>
    </row>
    <row r="101">
      <c r="A101" s="29" t="inlineStr"/>
    </row>
    <row r="102">
      <c r="A102" s="29" t="inlineStr"/>
    </row>
    <row r="103">
      <c r="A103" s="29" t="inlineStr">
        <is>
          <t>def slot_label(slot: int) -&gt; str:</t>
        </is>
      </c>
    </row>
    <row r="104">
      <c r="A104" s="29" t="inlineStr">
        <is>
          <t xml:space="preserve">    return f"slot{slot:02d}"</t>
        </is>
      </c>
    </row>
    <row r="105">
      <c r="A105" s="29" t="inlineStr"/>
    </row>
    <row r="106">
      <c r="A106" s="29" t="inlineStr"/>
    </row>
    <row r="107">
      <c r="A107" s="29" t="inlineStr">
        <is>
          <t># ---------------------------------------------------------------------------</t>
        </is>
      </c>
    </row>
    <row r="108">
      <c r="A108" s="29" t="inlineStr">
        <is>
          <t># CONFIG MODEL (parsed from the `_config` tab; backend-agnostic)</t>
        </is>
      </c>
    </row>
    <row r="109">
      <c r="A109" s="29" t="inlineStr">
        <is>
          <t># ---------------------------------------------------------------------------</t>
        </is>
      </c>
    </row>
    <row r="110">
      <c r="A110" s="29" t="inlineStr">
        <is>
          <t>SERIES_HEADER = [</t>
        </is>
      </c>
    </row>
    <row r="111">
      <c r="A111" s="29" t="inlineStr">
        <is>
          <t xml:space="preserve">    "id", "title", "category", "lane", "metric_type", "frequency", "sa_nsa",</t>
        </is>
      </c>
    </row>
    <row r="112">
      <c r="A112" s="29" t="inlineStr">
        <is>
          <t xml:space="preserve">    "units", "level_rate_index", "geo_segment", "source_class",</t>
        </is>
      </c>
    </row>
    <row r="113">
      <c r="A113" s="29" t="inlineStr">
        <is>
          <t xml:space="preserve">    "dashboard_capable", "watchlist_capable", "source_url", "table_id", "sheet",</t>
        </is>
      </c>
    </row>
    <row r="114">
      <c r="A114" s="29" t="inlineStr">
        <is>
          <t xml:space="preserve">    "series_label", "transform", "notes",</t>
        </is>
      </c>
    </row>
    <row r="115">
      <c r="A115" s="29" t="inlineStr">
        <is>
          <t>]</t>
        </is>
      </c>
    </row>
    <row r="116">
      <c r="A116" s="29" t="inlineStr"/>
    </row>
    <row r="117">
      <c r="A117" s="29" t="inlineStr">
        <is>
          <t>PEER_HEADER = ["slot", "cert", "name", "group", "active"]</t>
        </is>
      </c>
    </row>
    <row r="118">
      <c r="A118" s="29" t="inlineStr"/>
    </row>
    <row r="119">
      <c r="A119" s="29" t="inlineStr"/>
    </row>
    <row r="120">
      <c r="A120" s="29" t="inlineStr">
        <is>
          <t>@dataclass</t>
        </is>
      </c>
    </row>
    <row r="121">
      <c r="A121" s="29" t="inlineStr">
        <is>
          <t>class SeriesSpec:</t>
        </is>
      </c>
    </row>
    <row r="122">
      <c r="A122" s="29" t="inlineStr">
        <is>
          <t xml:space="preserve">    id: str</t>
        </is>
      </c>
    </row>
    <row r="123">
      <c r="A123" s="29" t="inlineStr">
        <is>
          <t xml:space="preserve">    title: str</t>
        </is>
      </c>
    </row>
    <row r="124">
      <c r="A124" s="29" t="inlineStr">
        <is>
          <t xml:space="preserve">    category: str</t>
        </is>
      </c>
    </row>
    <row r="125">
      <c r="A125" s="29" t="inlineStr">
        <is>
          <t xml:space="preserve">    lane: str</t>
        </is>
      </c>
    </row>
    <row r="126">
      <c r="A126" s="29" t="inlineStr">
        <is>
          <t xml:space="preserve">    metric_type: str</t>
        </is>
      </c>
    </row>
    <row r="127">
      <c r="A127" s="29" t="inlineStr">
        <is>
          <t xml:space="preserve">    frequency: str</t>
        </is>
      </c>
    </row>
    <row r="128">
      <c r="A128" s="29" t="inlineStr">
        <is>
          <t xml:space="preserve">    sa_nsa: str</t>
        </is>
      </c>
    </row>
    <row r="129">
      <c r="A129" s="29" t="inlineStr">
        <is>
          <t xml:space="preserve">    units: str</t>
        </is>
      </c>
    </row>
    <row r="130">
      <c r="A130" s="29" t="inlineStr">
        <is>
          <t xml:space="preserve">    level_rate_index: str</t>
        </is>
      </c>
    </row>
    <row r="131">
      <c r="A131" s="29" t="inlineStr">
        <is>
          <t xml:space="preserve">    geo_segment: str</t>
        </is>
      </c>
    </row>
    <row r="132">
      <c r="A132" s="29" t="inlineStr">
        <is>
          <t xml:space="preserve">    source_class: str</t>
        </is>
      </c>
    </row>
    <row r="133">
      <c r="A133" s="29" t="inlineStr">
        <is>
          <t xml:space="preserve">    dashboard_capable: bool</t>
        </is>
      </c>
    </row>
    <row r="134">
      <c r="A134" s="29" t="inlineStr">
        <is>
          <t xml:space="preserve">    watchlist_capable: bool</t>
        </is>
      </c>
    </row>
    <row r="135">
      <c r="A135" s="29" t="inlineStr">
        <is>
          <t xml:space="preserve">    source_url: str</t>
        </is>
      </c>
    </row>
    <row r="136">
      <c r="A136" s="29" t="inlineStr">
        <is>
          <t xml:space="preserve">    table_id: str</t>
        </is>
      </c>
    </row>
    <row r="137">
      <c r="A137" s="29" t="inlineStr">
        <is>
          <t xml:space="preserve">    sheet: str</t>
        </is>
      </c>
    </row>
    <row r="138">
      <c r="A138" s="29" t="inlineStr">
        <is>
          <t xml:space="preserve">    series_label: str</t>
        </is>
      </c>
    </row>
    <row r="139">
      <c r="A139" s="29" t="inlineStr">
        <is>
          <t xml:space="preserve">    transform: str</t>
        </is>
      </c>
    </row>
    <row r="140">
      <c r="A140" s="29" t="inlineStr">
        <is>
          <t xml:space="preserve">    notes: str</t>
        </is>
      </c>
    </row>
    <row r="141">
      <c r="A141" s="29" t="inlineStr"/>
    </row>
    <row r="142">
      <c r="A142" s="29" t="inlineStr"/>
    </row>
    <row r="143">
      <c r="A143" s="29" t="inlineStr">
        <is>
          <t>@dataclass</t>
        </is>
      </c>
    </row>
    <row r="144">
      <c r="A144" s="29" t="inlineStr">
        <is>
          <t>class PeerRow:</t>
        </is>
      </c>
    </row>
    <row r="145">
      <c r="A145" s="29" t="inlineStr">
        <is>
          <t xml:space="preserve">    """One [PEERS] line: the flexible peer list (USER REQUIREMENT). An empty</t>
        </is>
      </c>
    </row>
    <row r="146">
      <c r="A146" s="29" t="inlineStr">
        <is>
          <t xml:space="preserve">    row (slot number only) is provisioned headroom the user fills by hand."""</t>
        </is>
      </c>
    </row>
    <row r="147">
      <c r="A147" s="29" t="inlineStr">
        <is>
          <t xml:space="preserve">    slot: Optional[int]</t>
        </is>
      </c>
    </row>
    <row r="148">
      <c r="A148" s="29" t="inlineStr">
        <is>
          <t xml:space="preserve">    cert: str              # normalized digit string; "" when blank</t>
        </is>
      </c>
    </row>
    <row r="149">
      <c r="A149" s="29" t="inlineStr">
        <is>
          <t xml:space="preserve">    name: str</t>
        </is>
      </c>
    </row>
    <row r="150">
      <c r="A150" s="29" t="inlineStr">
        <is>
          <t xml:space="preserve">    group: str             # peer | counterparty | self (free text, rendered)</t>
        </is>
      </c>
    </row>
    <row r="151">
      <c r="A151" s="29" t="inlineStr">
        <is>
          <t xml:space="preserve">    active: bool</t>
        </is>
      </c>
    </row>
    <row r="152">
      <c r="A152" s="29" t="inlineStr"/>
    </row>
    <row r="153">
      <c r="A153" s="29" t="inlineStr">
        <is>
          <t xml:space="preserve">    @property</t>
        </is>
      </c>
    </row>
    <row r="154">
      <c r="A154" s="29" t="inlineStr">
        <is>
          <t xml:space="preserve">    def has_bank(self) -&gt; bool:</t>
        </is>
      </c>
    </row>
    <row r="155">
      <c r="A155" s="29" t="inlineStr">
        <is>
          <t xml:space="preserve">        return bool(self.cert or self.name)</t>
        </is>
      </c>
    </row>
    <row r="156">
      <c r="A156" s="29" t="inlineStr"/>
    </row>
    <row r="157">
      <c r="A157" s="29" t="inlineStr">
        <is>
          <t xml:space="preserve">    @property</t>
        </is>
      </c>
    </row>
    <row r="158">
      <c r="A158" s="29" t="inlineStr">
        <is>
          <t xml:space="preserve">    def entity_key(self) -&gt; str:</t>
        </is>
      </c>
    </row>
    <row r="159">
      <c r="A159" s="29" t="inlineStr">
        <is>
          <t xml:space="preserve">        """The join key the gate whitelists: cert:NNN built from the cert cell."""</t>
        </is>
      </c>
    </row>
    <row r="160">
      <c r="A160" s="29" t="inlineStr">
        <is>
          <t xml:space="preserve">        return f"cert:{self.cert}"</t>
        </is>
      </c>
    </row>
    <row r="161">
      <c r="A161" s="29" t="inlineStr"/>
    </row>
    <row r="162">
      <c r="A162" s="29" t="inlineStr"/>
    </row>
    <row r="163">
      <c r="A163" s="29" t="inlineStr">
        <is>
          <t>@dataclass</t>
        </is>
      </c>
    </row>
    <row r="164">
      <c r="A164" s="29" t="inlineStr">
        <is>
          <t>class Threshold:</t>
        </is>
      </c>
    </row>
    <row r="165">
      <c r="A165" s="29" t="inlineStr">
        <is>
          <t xml:space="preserve">    watch: Optional[float]</t>
        </is>
      </c>
    </row>
    <row r="166">
      <c r="A166" s="29" t="inlineStr">
        <is>
          <t xml:space="preserve">    alert: Optional[float]</t>
        </is>
      </c>
    </row>
    <row r="167">
      <c r="A167" s="29" t="inlineStr">
        <is>
          <t xml:space="preserve">    direction: str          # "above" | "below"</t>
        </is>
      </c>
    </row>
    <row r="168">
      <c r="A168" s="29" t="inlineStr"/>
    </row>
    <row r="169">
      <c r="A169" s="29" t="inlineStr"/>
    </row>
    <row r="170">
      <c r="A170" s="29" t="inlineStr">
        <is>
          <t>@dataclass</t>
        </is>
      </c>
    </row>
    <row r="171">
      <c r="A171" s="29" t="inlineStr">
        <is>
          <t>class Config:</t>
        </is>
      </c>
    </row>
    <row r="172">
      <c r="A172" s="29" t="inlineStr">
        <is>
          <t xml:space="preserve">    settings: Dict[str, str] = field(default_factory=dict)</t>
        </is>
      </c>
    </row>
    <row r="173">
      <c r="A173" s="29" t="inlineStr">
        <is>
          <t xml:space="preserve">    thresholds: Dict[str, Threshold] = field(default_factory=dict)</t>
        </is>
      </c>
    </row>
    <row r="174">
      <c r="A174" s="29" t="inlineStr">
        <is>
          <t xml:space="preserve">    series: List[SeriesSpec] = field(default_factory=list)</t>
        </is>
      </c>
    </row>
    <row r="175">
      <c r="A175" s="29" t="inlineStr">
        <is>
          <t xml:space="preserve">    peers: List[PeerRow] = field(default_factory=list)</t>
        </is>
      </c>
    </row>
    <row r="176">
      <c r="A176" s="29" t="inlineStr"/>
    </row>
    <row r="177">
      <c r="A177" s="29" t="inlineStr">
        <is>
          <t xml:space="preserve">    def setting(self, key, default=None):</t>
        </is>
      </c>
    </row>
    <row r="178">
      <c r="A178" s="29" t="inlineStr">
        <is>
          <t xml:space="preserve">        return self.settings.get(key, default)</t>
        </is>
      </c>
    </row>
    <row r="179">
      <c r="A179" s="29" t="inlineStr"/>
    </row>
    <row r="180">
      <c r="A180" s="29" t="inlineStr">
        <is>
          <t xml:space="preserve">    @property</t>
        </is>
      </c>
    </row>
    <row r="181">
      <c r="A181" s="29" t="inlineStr">
        <is>
          <t xml:space="preserve">    def raw_slots(self) -&gt; int:</t>
        </is>
      </c>
    </row>
    <row r="182">
      <c r="A182" s="29" t="inlineStr">
        <is>
          <t xml:space="preserve">        return int(float(self.settings.get("raw_slots", RAW_SLOTS_DEFAULT)))</t>
        </is>
      </c>
    </row>
    <row r="183">
      <c r="A183" s="29" t="inlineStr"/>
    </row>
    <row r="184">
      <c r="A184" s="29" t="inlineStr">
        <is>
          <t xml:space="preserve">    @property</t>
        </is>
      </c>
    </row>
    <row r="185">
      <c r="A185" s="29" t="inlineStr">
        <is>
          <t xml:space="preserve">    def peer_slots(self) -&gt; int:</t>
        </is>
      </c>
    </row>
    <row r="186">
      <c r="A186" s="29" t="inlineStr">
        <is>
          <t xml:space="preserve">        """The BUILT slot capacity. Informational here -- the raw-layout check</t>
        </is>
      </c>
    </row>
    <row r="187">
      <c r="A187" s="29" t="inlineStr">
        <is>
          <t xml:space="preserve">        (slot header labels) is the hard guard against a stale value."""</t>
        </is>
      </c>
    </row>
    <row r="188">
      <c r="A188" s="29" t="inlineStr">
        <is>
          <t xml:space="preserve">        return int(float(self.settings.get("peer_slots", PEER_SLOTS_DEFAULT)))</t>
        </is>
      </c>
    </row>
    <row r="189">
      <c r="A189" s="29" t="inlineStr"/>
    </row>
    <row r="190">
      <c r="A190" s="29" t="inlineStr">
        <is>
          <t xml:space="preserve">    @property</t>
        </is>
      </c>
    </row>
    <row r="191">
      <c r="A191" s="29" t="inlineStr">
        <is>
          <t xml:space="preserve">    def stale_multiplier(self) -&gt; float:</t>
        </is>
      </c>
    </row>
    <row r="192">
      <c r="A192" s="29" t="inlineStr">
        <is>
          <t xml:space="preserve">        v = _as_float(self.settings.get("stale_multiplier", "2.0"))</t>
        </is>
      </c>
    </row>
    <row r="193">
      <c r="A193" s="29" t="inlineStr">
        <is>
          <t xml:space="preserve">        return 2.0 if v is None else v</t>
        </is>
      </c>
    </row>
    <row r="194">
      <c r="A194" s="29" t="inlineStr"/>
    </row>
    <row r="195">
      <c r="A195" s="29" t="inlineStr"/>
    </row>
    <row r="196">
      <c r="A196" s="29" t="inlineStr">
        <is>
          <t>def _as_bool(v) -&gt; bool:</t>
        </is>
      </c>
    </row>
    <row r="197">
      <c r="A197" s="29" t="inlineStr">
        <is>
          <t xml:space="preserve">    return str(v).strip().lower() in ("true", "1", "yes", "y", "t")</t>
        </is>
      </c>
    </row>
    <row r="198">
      <c r="A198" s="29" t="inlineStr"/>
    </row>
    <row r="199">
      <c r="A199" s="29" t="inlineStr"/>
    </row>
    <row r="200">
      <c r="A200" s="29" t="inlineStr">
        <is>
          <t>def _as_float(v):</t>
        </is>
      </c>
    </row>
    <row r="201">
      <c r="A201" s="29" t="inlineStr">
        <is>
          <t xml:space="preserve">    try:</t>
        </is>
      </c>
    </row>
    <row r="202">
      <c r="A202" s="29" t="inlineStr">
        <is>
          <t xml:space="preserve">        s = str(v).strip()</t>
        </is>
      </c>
    </row>
    <row r="203">
      <c r="A203" s="29" t="inlineStr">
        <is>
          <t xml:space="preserve">        return float(s) if s != "" else None</t>
        </is>
      </c>
    </row>
    <row r="204">
      <c r="A204" s="29" t="inlineStr">
        <is>
          <t xml:space="preserve">    except (TypeError, ValueError):</t>
        </is>
      </c>
    </row>
    <row r="205">
      <c r="A205" s="29" t="inlineStr">
        <is>
          <t xml:space="preserve">        return None</t>
        </is>
      </c>
    </row>
    <row r="206">
      <c r="A206" s="29" t="inlineStr"/>
    </row>
    <row r="207">
      <c r="A207" s="29" t="inlineStr"/>
    </row>
    <row r="208">
      <c r="A208" s="29" t="inlineStr">
        <is>
          <t>def _norm_cert(v) -&gt; str:</t>
        </is>
      </c>
    </row>
    <row r="209">
      <c r="A209" s="29" t="inlineStr">
        <is>
          <t xml:space="preserve">    """Normalize a [PEERS] cert cell to a plain digit string. Excel hands</t>
        </is>
      </c>
    </row>
    <row r="210">
      <c r="A210" s="29" t="inlineStr">
        <is>
          <t xml:space="preserve">    numeric cells over as int/float (628 or 628.0); text stays as typed so a</t>
        </is>
      </c>
    </row>
    <row r="211">
      <c r="A211" s="29" t="inlineStr">
        <is>
          <t xml:space="preserve">    malformed value ('ABC', '12-34') reaches the gate and is refused, never</t>
        </is>
      </c>
    </row>
    <row r="212">
      <c r="A212" s="29" t="inlineStr">
        <is>
          <t xml:space="preserve">    silently coerced."""</t>
        </is>
      </c>
    </row>
    <row r="213">
      <c r="A213" s="29" t="inlineStr">
        <is>
          <t xml:space="preserve">    if v is None:</t>
        </is>
      </c>
    </row>
    <row r="214">
      <c r="A214" s="29" t="inlineStr">
        <is>
          <t xml:space="preserve">        return ""</t>
        </is>
      </c>
    </row>
    <row r="215">
      <c r="A215" s="29" t="inlineStr">
        <is>
          <t xml:space="preserve">    if isinstance(v, float) and v.is_integer():</t>
        </is>
      </c>
    </row>
    <row r="216">
      <c r="A216" s="29" t="inlineStr">
        <is>
          <t xml:space="preserve">        return str(int(v))</t>
        </is>
      </c>
    </row>
    <row r="217">
      <c r="A217" s="29" t="inlineStr">
        <is>
          <t xml:space="preserve">    if isinstance(v, int):</t>
        </is>
      </c>
    </row>
    <row r="218">
      <c r="A218" s="29" t="inlineStr">
        <is>
          <t xml:space="preserve">        return str(v)</t>
        </is>
      </c>
    </row>
    <row r="219">
      <c r="A219" s="29" t="inlineStr">
        <is>
          <t xml:space="preserve">    return str(v).strip()</t>
        </is>
      </c>
    </row>
    <row r="220">
      <c r="A220" s="29" t="inlineStr"/>
    </row>
    <row r="221">
      <c r="A221" s="29" t="inlineStr"/>
    </row>
    <row r="222">
      <c r="A222" s="29" t="inlineStr">
        <is>
          <t>def _norm_slot(v) -&gt; Optional[int]:</t>
        </is>
      </c>
    </row>
    <row r="223">
      <c r="A223" s="29" t="inlineStr">
        <is>
          <t xml:space="preserve">    try:</t>
        </is>
      </c>
    </row>
    <row r="224">
      <c r="A224" s="29" t="inlineStr">
        <is>
          <t xml:space="preserve">        s = str(v).strip()</t>
        </is>
      </c>
    </row>
    <row r="225">
      <c r="A225" s="29" t="inlineStr">
        <is>
          <t xml:space="preserve">        return int(float(s)) if s != "" else None</t>
        </is>
      </c>
    </row>
    <row r="226">
      <c r="A226" s="29" t="inlineStr">
        <is>
          <t xml:space="preserve">    except (TypeError, ValueError):</t>
        </is>
      </c>
    </row>
    <row r="227">
      <c r="A227" s="29" t="inlineStr">
        <is>
          <t xml:space="preserve">        return None</t>
        </is>
      </c>
    </row>
    <row r="228">
      <c r="A228" s="29" t="inlineStr"/>
    </row>
    <row r="229">
      <c r="A229" s="29" t="inlineStr"/>
    </row>
    <row r="230">
      <c r="A230" s="29" t="inlineStr">
        <is>
          <t>def parse_config(rows: Sequence[Sequence]) -&gt; Config:</t>
        </is>
      </c>
    </row>
    <row r="231">
      <c r="A231" s="29" t="inlineStr">
        <is>
          <t xml:space="preserve">    """Parse the `_config` sheet (list of row value-lists). Sections in col A:</t>
        </is>
      </c>
    </row>
    <row r="232">
      <c r="A232" s="29" t="inlineStr">
        <is>
          <t xml:space="preserve">    [SETTINGS], [THRESHOLDS], [PEERS], [SERIES]. The [PEERS] section is this</t>
        </is>
      </c>
    </row>
    <row r="233">
      <c r="A233" s="29" t="inlineStr">
        <is>
          <t xml:space="preserve">    template's addition; the other three parse contract-identically."""</t>
        </is>
      </c>
    </row>
    <row r="234">
      <c r="A234" s="29" t="inlineStr">
        <is>
          <t xml:space="preserve">    cfg = Config()</t>
        </is>
      </c>
    </row>
    <row r="235">
      <c r="A235" s="29" t="inlineStr">
        <is>
          <t xml:space="preserve">    section = None</t>
        </is>
      </c>
    </row>
    <row r="236">
      <c r="A236" s="29" t="inlineStr">
        <is>
          <t xml:space="preserve">    series_header = None</t>
        </is>
      </c>
    </row>
    <row r="237">
      <c r="A237" s="29" t="inlineStr">
        <is>
          <t xml:space="preserve">    thr_header = None</t>
        </is>
      </c>
    </row>
    <row r="238">
      <c r="A238" s="29" t="inlineStr">
        <is>
          <t xml:space="preserve">    peer_header = None</t>
        </is>
      </c>
    </row>
    <row r="239">
      <c r="A239" s="29" t="inlineStr">
        <is>
          <t xml:space="preserve">    for raw in rows:</t>
        </is>
      </c>
    </row>
    <row r="240">
      <c r="A240" s="29" t="inlineStr">
        <is>
          <t xml:space="preserve">        a = ("" if not raw or raw[0] is None else str(raw[0])).strip()</t>
        </is>
      </c>
    </row>
    <row r="241">
      <c r="A241" s="29" t="inlineStr">
        <is>
          <t xml:space="preserve">        if a.startswith("[") and a.endswith("]"):</t>
        </is>
      </c>
    </row>
    <row r="242">
      <c r="A242" s="29" t="inlineStr">
        <is>
          <t xml:space="preserve">            section = a.strip("[]").strip().upper()</t>
        </is>
      </c>
    </row>
    <row r="243">
      <c r="A243" s="29" t="inlineStr">
        <is>
          <t xml:space="preserve">            series_header = None</t>
        </is>
      </c>
    </row>
    <row r="244">
      <c r="A244" s="29" t="inlineStr">
        <is>
          <t xml:space="preserve">            thr_header = None</t>
        </is>
      </c>
    </row>
    <row r="245">
      <c r="A245" s="29" t="inlineStr">
        <is>
          <t xml:space="preserve">            peer_header = None</t>
        </is>
      </c>
    </row>
    <row r="246">
      <c r="A246" s="29" t="inlineStr">
        <is>
          <t xml:space="preserve">            continue</t>
        </is>
      </c>
    </row>
    <row r="247">
      <c r="A247" s="29" t="inlineStr">
        <is>
          <t xml:space="preserve">        if not a:</t>
        </is>
      </c>
    </row>
    <row r="248">
      <c r="A248" s="29" t="inlineStr">
        <is>
          <t xml:space="preserve">            continue</t>
        </is>
      </c>
    </row>
    <row r="249">
      <c r="A249" s="29" t="inlineStr">
        <is>
          <t xml:space="preserve">        if a.startswith("#"):          # in-sheet comment line, never data</t>
        </is>
      </c>
    </row>
    <row r="250">
      <c r="A250" s="29" t="inlineStr">
        <is>
          <t xml:space="preserve">            continue</t>
        </is>
      </c>
    </row>
    <row r="251">
      <c r="A251" s="29" t="inlineStr">
        <is>
          <t xml:space="preserve">        if section == "SETTINGS":</t>
        </is>
      </c>
    </row>
    <row r="252">
      <c r="A252" s="29" t="inlineStr">
        <is>
          <t xml:space="preserve">            if a.lower() in ("key", "name"):</t>
        </is>
      </c>
    </row>
    <row r="253">
      <c r="A253" s="29" t="inlineStr">
        <is>
          <t xml:space="preserve">                continue</t>
        </is>
      </c>
    </row>
    <row r="254">
      <c r="A254" s="29" t="inlineStr">
        <is>
          <t xml:space="preserve">            val = "" if len(raw) &lt; 2 or raw[1] is None else raw[1]</t>
        </is>
      </c>
    </row>
    <row r="255">
      <c r="A255" s="29" t="inlineStr">
        <is>
          <t xml:space="preserve">            cfg.settings[a] = str(val).strip()</t>
        </is>
      </c>
    </row>
    <row r="256">
      <c r="A256" s="29" t="inlineStr">
        <is>
          <t xml:space="preserve">        elif section == "THRESHOLDS":</t>
        </is>
      </c>
    </row>
    <row r="257">
      <c r="A257" s="29" t="inlineStr">
        <is>
          <t xml:space="preserve">            if thr_header is None and a.lower() == "id":</t>
        </is>
      </c>
    </row>
    <row r="258">
      <c r="A258" s="29" t="inlineStr">
        <is>
          <t xml:space="preserve">                thr_header = [str(c).strip().lower() for c in raw]</t>
        </is>
      </c>
    </row>
    <row r="259">
      <c r="A259" s="29" t="inlineStr">
        <is>
          <t xml:space="preserve">                continue</t>
        </is>
      </c>
    </row>
    <row r="260">
      <c r="A260" s="29" t="inlineStr">
        <is>
          <t xml:space="preserve">            cells = {h: ("" if i &gt;= len(raw) or raw[i] is None else raw[i])</t>
        </is>
      </c>
    </row>
    <row r="261">
      <c r="A261" s="29" t="inlineStr">
        <is>
          <t xml:space="preserve">                     for i, h in enumerate(thr_header or</t>
        </is>
      </c>
    </row>
    <row r="262">
      <c r="A262" s="29" t="inlineStr">
        <is>
          <t xml:space="preserve">                                           ["id", "watch", "alert", "direction"])}</t>
        </is>
      </c>
    </row>
    <row r="263">
      <c r="A263" s="29" t="inlineStr">
        <is>
          <t xml:space="preserve">            cfg.thresholds[a] = Threshold(</t>
        </is>
      </c>
    </row>
    <row r="264">
      <c r="A264" s="29" t="inlineStr">
        <is>
          <t xml:space="preserve">                watch=_as_float(cells.get("watch")),</t>
        </is>
      </c>
    </row>
    <row r="265">
      <c r="A265" s="29" t="inlineStr">
        <is>
          <t xml:space="preserve">                alert=_as_float(cells.get("alert")),</t>
        </is>
      </c>
    </row>
    <row r="266">
      <c r="A266" s="29" t="inlineStr">
        <is>
          <t xml:space="preserve">                direction=str(cells.get("direction", "above")).strip().lower()</t>
        </is>
      </c>
    </row>
    <row r="267">
      <c r="A267" s="29" t="inlineStr">
        <is>
          <t xml:space="preserve">                or "above")</t>
        </is>
      </c>
    </row>
    <row r="268">
      <c r="A268" s="29" t="inlineStr">
        <is>
          <t xml:space="preserve">        elif section == "PEERS":</t>
        </is>
      </c>
    </row>
    <row r="269">
      <c r="A269" s="29" t="inlineStr">
        <is>
          <t xml:space="preserve">            if peer_header is None and a.lower() == "slot":</t>
        </is>
      </c>
    </row>
    <row r="270">
      <c r="A270" s="29" t="inlineStr">
        <is>
          <t xml:space="preserve">                peer_header = [str(c).strip().lower() for c in raw]</t>
        </is>
      </c>
    </row>
    <row r="271">
      <c r="A271" s="29" t="inlineStr">
        <is>
          <t xml:space="preserve">                continue</t>
        </is>
      </c>
    </row>
    <row r="272">
      <c r="A272" s="29" t="inlineStr">
        <is>
          <t xml:space="preserve">            v = {h: (None if i &gt;= len(raw) else raw[i])</t>
        </is>
      </c>
    </row>
    <row r="273">
      <c r="A273" s="29" t="inlineStr">
        <is>
          <t xml:space="preserve">                 for i, h in enumerate(peer_header or PEER_HEADER)}</t>
        </is>
      </c>
    </row>
    <row r="274">
      <c r="A274" s="29" t="inlineStr">
        <is>
          <t xml:space="preserve">            cfg.peers.append(PeerRow(</t>
        </is>
      </c>
    </row>
    <row r="275">
      <c r="A275" s="29" t="inlineStr">
        <is>
          <t xml:space="preserve">                slot=_norm_slot(v.get("slot")),</t>
        </is>
      </c>
    </row>
    <row r="276">
      <c r="A276" s="29" t="inlineStr">
        <is>
          <t xml:space="preserve">                cert=_norm_cert(v.get("cert")),</t>
        </is>
      </c>
    </row>
    <row r="277">
      <c r="A277" s="29" t="inlineStr">
        <is>
          <t xml:space="preserve">                name=("" if v.get("name") is None else str(v.get("name")).strip()),</t>
        </is>
      </c>
    </row>
    <row r="278">
      <c r="A278" s="29" t="inlineStr">
        <is>
          <t xml:space="preserve">                group=("" if v.get("group") is None</t>
        </is>
      </c>
    </row>
    <row r="279">
      <c r="A279" s="29" t="inlineStr">
        <is>
          <t xml:space="preserve">                       else str(v.get("group")).strip().lower()),</t>
        </is>
      </c>
    </row>
    <row r="280">
      <c r="A280" s="29" t="inlineStr">
        <is>
          <t xml:space="preserve">                active=_as_bool(v.get("active"))))</t>
        </is>
      </c>
    </row>
    <row r="281">
      <c r="A281" s="29" t="inlineStr">
        <is>
          <t xml:space="preserve">        elif section == "SERIES":</t>
        </is>
      </c>
    </row>
    <row r="282">
      <c r="A282" s="29" t="inlineStr">
        <is>
          <t xml:space="preserve">            if series_header is None:</t>
        </is>
      </c>
    </row>
    <row r="283">
      <c r="A283" s="29" t="inlineStr">
        <is>
          <t xml:space="preserve">                series_header = [str(c).strip() for c in raw]</t>
        </is>
      </c>
    </row>
    <row r="284">
      <c r="A284" s="29" t="inlineStr">
        <is>
          <t xml:space="preserve">                continue</t>
        </is>
      </c>
    </row>
    <row r="285">
      <c r="A285" s="29" t="inlineStr">
        <is>
          <t xml:space="preserve">            v = {h: ("" if i &gt;= len(raw) or raw[i] is None else raw[i])</t>
        </is>
      </c>
    </row>
    <row r="286">
      <c r="A286" s="29" t="inlineStr">
        <is>
          <t xml:space="preserve">                 for i, h in enumerate(series_header)}</t>
        </is>
      </c>
    </row>
    <row r="287">
      <c r="A287" s="29" t="inlineStr">
        <is>
          <t xml:space="preserve">            cfg.series.append(SeriesSpec(</t>
        </is>
      </c>
    </row>
    <row r="288">
      <c r="A288" s="29" t="inlineStr">
        <is>
          <t xml:space="preserve">                id=str(v.get("id", "")).strip(),</t>
        </is>
      </c>
    </row>
    <row r="289">
      <c r="A289" s="29" t="inlineStr">
        <is>
          <t xml:space="preserve">                title=str(v.get("title", "")).strip(),</t>
        </is>
      </c>
    </row>
    <row r="290">
      <c r="A290" s="29" t="inlineStr">
        <is>
          <t xml:space="preserve">                category=str(v.get("category", "")).strip(),</t>
        </is>
      </c>
    </row>
    <row r="291">
      <c r="A291" s="29" t="inlineStr">
        <is>
          <t xml:space="preserve">                lane=str(v.get("lane", "")).strip().lower(),</t>
        </is>
      </c>
    </row>
    <row r="292">
      <c r="A292" s="29" t="inlineStr">
        <is>
          <t xml:space="preserve">                metric_type=str(v.get("metric_type", "")).strip(),</t>
        </is>
      </c>
    </row>
    <row r="293">
      <c r="A293" s="29" t="inlineStr">
        <is>
          <t xml:space="preserve">                frequency=str(v.get("frequency", "")).strip(),</t>
        </is>
      </c>
    </row>
    <row r="294">
      <c r="A294" s="29" t="inlineStr">
        <is>
          <t xml:space="preserve">                sa_nsa=str(v.get("sa_nsa", "")).strip(),</t>
        </is>
      </c>
    </row>
    <row r="295">
      <c r="A295" s="29" t="inlineStr">
        <is>
          <t xml:space="preserve">                units=str(v.get("units", "")).strip(),</t>
        </is>
      </c>
    </row>
    <row r="296">
      <c r="A296" s="29" t="inlineStr">
        <is>
          <t xml:space="preserve">                level_rate_index=str(v.get("level_rate_index", "")).strip().lower(),</t>
        </is>
      </c>
    </row>
    <row r="297">
      <c r="A297" s="29" t="inlineStr">
        <is>
          <t xml:space="preserve">                geo_segment=str(v.get("geo_segment", "")).strip(),</t>
        </is>
      </c>
    </row>
    <row r="298">
      <c r="A298" s="29" t="inlineStr">
        <is>
          <t xml:space="preserve">                source_class=str(v.get("source_class", "")).strip().upper(),</t>
        </is>
      </c>
    </row>
    <row r="299">
      <c r="A299" s="29" t="inlineStr">
        <is>
          <t xml:space="preserve">                dashboard_capable=_as_bool(v.get("dashboard_capable", "")),</t>
        </is>
      </c>
    </row>
    <row r="300">
      <c r="A300" s="29" t="inlineStr">
        <is>
          <t xml:space="preserve">                watchlist_capable=_as_bool(v.get("watchlist_capable", "")),</t>
        </is>
      </c>
    </row>
    <row r="301">
      <c r="A301" s="29" t="inlineStr">
        <is>
          <t xml:space="preserve">                source_url=str(v.get("source_url", "")).strip(),</t>
        </is>
      </c>
    </row>
    <row r="302">
      <c r="A302" s="29" t="inlineStr">
        <is>
          <t xml:space="preserve">                table_id=str(v.get("table_id", "")).strip(),</t>
        </is>
      </c>
    </row>
    <row r="303">
      <c r="A303" s="29" t="inlineStr">
        <is>
          <t xml:space="preserve">                sheet=str(v.get("sheet", "")).strip(),</t>
        </is>
      </c>
    </row>
    <row r="304">
      <c r="A304" s="29" t="inlineStr">
        <is>
          <t xml:space="preserve">                series_label=str(v.get("series_label", "")).strip(),</t>
        </is>
      </c>
    </row>
    <row r="305">
      <c r="A305" s="29" t="inlineStr">
        <is>
          <t xml:space="preserve">                transform=str(v.get("transform", "direct")).strip().lower(),</t>
        </is>
      </c>
    </row>
    <row r="306">
      <c r="A306" s="29" t="inlineStr">
        <is>
          <t xml:space="preserve">                notes=str(v.get("notes", "")).strip()))</t>
        </is>
      </c>
    </row>
    <row r="307">
      <c r="A307" s="29" t="inlineStr">
        <is>
          <t xml:space="preserve">    return cfg</t>
        </is>
      </c>
    </row>
    <row r="308">
      <c r="A308" s="29" t="inlineStr"/>
    </row>
    <row r="309">
      <c r="A309" s="29" t="inlineStr"/>
    </row>
    <row r="310">
      <c r="A310" s="29" t="inlineStr">
        <is>
          <t># ---------------------------------------------------------------------------</t>
        </is>
      </c>
    </row>
    <row r="311">
      <c r="A311" s="29" t="inlineStr">
        <is>
          <t># METRIC REGISTRY -- named PURE functions of the landed fields (BUILD SPEC 0.5</t>
        </is>
      </c>
    </row>
    <row r="312">
      <c r="A312" s="29" t="inlineStr">
        <is>
          <t># / sec 2). Defined IDENTICALLY in the Excel formulas (build_workbook.py) --</t>
        </is>
      </c>
    </row>
    <row r="313">
      <c r="A313" s="29" t="inlineStr">
        <is>
          <t># parity is tested, never assumed (trap F5). None-tolerant everywhere: a</t>
        </is>
      </c>
    </row>
    <row r="314">
      <c r="A314" s="29" t="inlineStr">
        <is>
          <t># missing/null field yields None (blank), NEVER zero (trap F3).</t>
        </is>
      </c>
    </row>
    <row r="315">
      <c r="A315" s="29" t="inlineStr">
        <is>
          <t># ---------------------------------------------------------------------------</t>
        </is>
      </c>
    </row>
    <row r="316">
      <c r="A316" s="29" t="inlineStr">
        <is>
          <t>def _ratio(num: Optional[float], den: Optional[float]) -&gt; Optional[float]:</t>
        </is>
      </c>
    </row>
    <row r="317">
      <c r="A317" s="29" t="inlineStr">
        <is>
          <t xml:space="preserve">    """num/den*100 -- None on any missing input or a zero denominator, exactly</t>
        </is>
      </c>
    </row>
    <row r="318">
      <c r="A318" s="29" t="inlineStr">
        <is>
          <t xml:space="preserve">    like the Excel form IF(OR(n="",d=""),"",IF(d=0,"",n/d*100))."""</t>
        </is>
      </c>
    </row>
    <row r="319">
      <c r="A319" s="29" t="inlineStr">
        <is>
          <t xml:space="preserve">    if num is None or den is None or den == 0:</t>
        </is>
      </c>
    </row>
    <row r="320">
      <c r="A320" s="29" t="inlineStr">
        <is>
          <t xml:space="preserve">        return None</t>
        </is>
      </c>
    </row>
    <row r="321">
      <c r="A321" s="29" t="inlineStr">
        <is>
          <t xml:space="preserve">    return num / den * 100.0</t>
        </is>
      </c>
    </row>
    <row r="322">
      <c r="A322" s="29" t="inlineStr"/>
    </row>
    <row r="323">
      <c r="A323" s="29" t="inlineStr"/>
    </row>
    <row r="324">
      <c r="A324" s="29" t="inlineStr">
        <is>
          <t>def _sum(*vals) -&gt; Optional[float]:</t>
        </is>
      </c>
    </row>
    <row r="325">
      <c r="A325" s="29" t="inlineStr">
        <is>
          <t xml:space="preserve">    """None-propagating sum: a null component (e.g. LNREMULT) blanks the</t>
        </is>
      </c>
    </row>
    <row r="326">
      <c r="A326" s="29" t="inlineStr">
        <is>
          <t xml:space="preserve">    composite rather than understating it as zero (trap F3)."""</t>
        </is>
      </c>
    </row>
    <row r="327">
      <c r="A327" s="29" t="inlineStr">
        <is>
          <t xml:space="preserve">    total = 0.0</t>
        </is>
      </c>
    </row>
    <row r="328">
      <c r="A328" s="29" t="inlineStr">
        <is>
          <t xml:space="preserve">    for v in vals:</t>
        </is>
      </c>
    </row>
    <row r="329">
      <c r="A329" s="29" t="inlineStr">
        <is>
          <t xml:space="preserve">        if v is None:</t>
        </is>
      </c>
    </row>
    <row r="330">
      <c r="A330" s="29" t="inlineStr">
        <is>
          <t xml:space="preserve">            return None</t>
        </is>
      </c>
    </row>
    <row r="331">
      <c r="A331" s="29" t="inlineStr">
        <is>
          <t xml:space="preserve">        total += v</t>
        </is>
      </c>
    </row>
    <row r="332">
      <c r="A332" s="29" t="inlineStr">
        <is>
          <t xml:space="preserve">    return total</t>
        </is>
      </c>
    </row>
    <row r="333">
      <c r="A333" s="29" t="inlineStr"/>
    </row>
    <row r="334">
      <c r="A334" s="29" t="inlineStr"/>
    </row>
    <row r="335">
      <c r="A335" s="29" t="inlineStr">
        <is>
          <t>def d_pd3089r(f):</t>
        </is>
      </c>
    </row>
    <row r="336">
      <c r="A336" s="29" t="inlineStr">
        <is>
          <t xml:space="preserve">    """30-89 day past due %: P3LNLS/LNLSGR*100 (no API ratio field exists)."""</t>
        </is>
      </c>
    </row>
    <row r="337">
      <c r="A337" s="29" t="inlineStr">
        <is>
          <t xml:space="preserve">    return _ratio(f.get("P3LNLS"), f.get("LNLSGR"))</t>
        </is>
      </c>
    </row>
    <row r="338">
      <c r="A338" s="29" t="inlineStr"/>
    </row>
    <row r="339">
      <c r="A339" s="29" t="inlineStr"/>
    </row>
    <row r="340">
      <c r="A340" s="29" t="inlineStr">
        <is>
          <t>def d_texas(f):</t>
        </is>
      </c>
    </row>
    <row r="341">
      <c r="A341" s="29" t="inlineStr">
        <is>
          <t xml:space="preserve">    """Texas ratio VARIANT: NCLNLS/(EQ+LNATRES)*100. Canonical adds OREO and</t>
        </is>
      </c>
    </row>
    <row r="342">
      <c r="A342" s="29" t="inlineStr">
        <is>
          <t xml:space="preserve">    nets intangibles -- ORE/INTAN field ids are UNVERIFIED (Open Q), so v1</t>
        </is>
      </c>
    </row>
    <row r="343">
      <c r="A343" s="29" t="inlineStr">
        <is>
          <t xml:space="preserve">    computes the documented variant from verified fields only."""</t>
        </is>
      </c>
    </row>
    <row r="344">
      <c r="A344" s="29" t="inlineStr">
        <is>
          <t xml:space="preserve">    return _ratio(f.get("NCLNLS"), _sum(f.get("EQ"), f.get("LNATRES")))</t>
        </is>
      </c>
    </row>
    <row r="345">
      <c r="A345" s="29" t="inlineStr"/>
    </row>
    <row r="346">
      <c r="A346" s="29" t="inlineStr"/>
    </row>
    <row r="347">
      <c r="A347" s="29" t="inlineStr">
        <is>
          <t>def d_lndepr(f):</t>
        </is>
      </c>
    </row>
    <row r="348">
      <c r="A348" s="29" t="inlineStr">
        <is>
          <t xml:space="preserve">    """Loans/deposits %: LNLSNET/DEP*100."""</t>
        </is>
      </c>
    </row>
    <row r="349">
      <c r="A349" s="29" t="inlineStr">
        <is>
          <t xml:space="preserve">    return _ratio(f.get("LNLSNET"), f.get("DEP"))</t>
        </is>
      </c>
    </row>
    <row r="350">
      <c r="A350" s="29" t="inlineStr"/>
    </row>
    <row r="351">
      <c r="A351" s="29" t="inlineStr"/>
    </row>
    <row r="352">
      <c r="A352" s="29" t="inlineStr">
        <is>
          <t>def d_brodepr(f):</t>
        </is>
      </c>
    </row>
    <row r="353">
      <c r="A353" s="29" t="inlineStr">
        <is>
          <t xml:space="preserve">    """Brokered deposit share %: BRO/DEP*100 (BRO null -&gt; blank, never 0)."""</t>
        </is>
      </c>
    </row>
    <row r="354">
      <c r="A354" s="29" t="inlineStr">
        <is>
          <t xml:space="preserve">    return _ratio(f.get("BRO"), f.get("DEP"))</t>
        </is>
      </c>
    </row>
    <row r="355">
      <c r="A355" s="29" t="inlineStr"/>
    </row>
    <row r="356">
      <c r="A356" s="29" t="inlineStr"/>
    </row>
    <row r="357">
      <c r="A357" s="29" t="inlineStr">
        <is>
          <t>def d_creconr(f):</t>
        </is>
      </c>
    </row>
    <row r="358">
      <c r="A358" s="29" t="inlineStr">
        <is>
          <t xml:space="preserve">    """CRE concentration PROXY: (LNRECONS+LNRENRES+LNREMULT)/(EQ+LNATRES)*100.</t>
        </is>
      </c>
    </row>
    <row r="359">
      <c r="A359" s="29" t="inlineStr">
        <is>
          <t xml:space="preserve">    Guidance uses total risk-based capital; CBLR electors lack it, so the</t>
        </is>
      </c>
    </row>
    <row r="360">
      <c r="A360" s="29" t="inlineStr">
        <is>
          <t xml:space="preserve">    documented proxy denominator stands until the tier-1 dollar field is</t>
        </is>
      </c>
    </row>
    <row r="361">
      <c r="A361" s="29" t="inlineStr">
        <is>
          <t xml:space="preserve">    verified live."""</t>
        </is>
      </c>
    </row>
    <row r="362">
      <c r="A362" s="29" t="inlineStr">
        <is>
          <t xml:space="preserve">    return _ratio(_sum(f.get("LNRECONS"), f.get("LNRENRES"), f.get("LNREMULT")),</t>
        </is>
      </c>
    </row>
    <row r="363">
      <c r="A363" s="29" t="inlineStr">
        <is>
          <t xml:space="preserve">                  _sum(f.get("EQ"), f.get("LNATRES")))</t>
        </is>
      </c>
    </row>
    <row r="364">
      <c r="A364" s="29" t="inlineStr"/>
    </row>
    <row r="365">
      <c r="A365" s="29" t="inlineStr"/>
    </row>
    <row r="366">
      <c r="A366" s="29" t="inlineStr">
        <is>
          <t># metric id -&gt; (fields consumed, derived fn or None for a direct API ratio)</t>
        </is>
      </c>
    </row>
    <row r="367">
      <c r="A367" s="29" t="inlineStr">
        <is>
          <t>METRICS = {</t>
        </is>
      </c>
    </row>
    <row r="368">
      <c r="A368" s="29" t="inlineStr">
        <is>
          <t xml:space="preserve">    "NCLNLSR": (("NCLNLSR",), None),</t>
        </is>
      </c>
    </row>
    <row r="369">
      <c r="A369" s="29" t="inlineStr">
        <is>
          <t xml:space="preserve">    "NTLNLSQR": (("NTLNLSQR",), None),</t>
        </is>
      </c>
    </row>
    <row r="370">
      <c r="A370" s="29" t="inlineStr">
        <is>
          <t xml:space="preserve">    "PD3089R": (("P3LNLS", "LNLSGR"), d_pd3089r),</t>
        </is>
      </c>
    </row>
    <row r="371">
      <c r="A371" s="29" t="inlineStr">
        <is>
          <t xml:space="preserve">    "LNATRESR": (("LNATRESR",), None),</t>
        </is>
      </c>
    </row>
    <row r="372">
      <c r="A372" s="29" t="inlineStr">
        <is>
          <t xml:space="preserve">    "LNRESNCR": (("LNRESNCR",), None),</t>
        </is>
      </c>
    </row>
    <row r="373">
      <c r="A373" s="29" t="inlineStr">
        <is>
          <t xml:space="preserve">    "TEXAS": (("NCLNLS", "EQ", "LNATRES"), d_texas),</t>
        </is>
      </c>
    </row>
    <row r="374">
      <c r="A374" s="29" t="inlineStr">
        <is>
          <t xml:space="preserve">    "RBC1AAJ": (("RBC1AAJ",), None),</t>
        </is>
      </c>
    </row>
    <row r="375">
      <c r="A375" s="29" t="inlineStr">
        <is>
          <t xml:space="preserve">    "RBCRWAJ": (("RBCRWAJ",), None),</t>
        </is>
      </c>
    </row>
    <row r="376">
      <c r="A376" s="29" t="inlineStr">
        <is>
          <t xml:space="preserve">    "EQV": (("EQV",), None),</t>
        </is>
      </c>
    </row>
    <row r="377">
      <c r="A377" s="29" t="inlineStr">
        <is>
          <t xml:space="preserve">    "ROAQ": (("ROAQ",), None),</t>
        </is>
      </c>
    </row>
    <row r="378">
      <c r="A378" s="29" t="inlineStr">
        <is>
          <t xml:space="preserve">    "NIMY": (("NIMY",), None),</t>
        </is>
      </c>
    </row>
    <row r="379">
      <c r="A379" s="29" t="inlineStr">
        <is>
          <t xml:space="preserve">    "EEFFR": (("EEFFR",), None),</t>
        </is>
      </c>
    </row>
    <row r="380">
      <c r="A380" s="29" t="inlineStr">
        <is>
          <t xml:space="preserve">    "LNDEPR": (("LNLSNET", "DEP"), d_lndepr),</t>
        </is>
      </c>
    </row>
    <row r="381">
      <c r="A381" s="29" t="inlineStr">
        <is>
          <t xml:space="preserve">    "BRODEPR": (("BRO", "DEP"), d_brodepr),</t>
        </is>
      </c>
    </row>
    <row r="382">
      <c r="A382" s="29" t="inlineStr">
        <is>
          <t xml:space="preserve">    "CRECONR": (("LNRECONS", "LNRENRES", "LNREMULT", "EQ", "LNATRES"),</t>
        </is>
      </c>
    </row>
    <row r="383">
      <c r="A383" s="29" t="inlineStr">
        <is>
          <t xml:space="preserve">                d_creconr),</t>
        </is>
      </c>
    </row>
    <row r="384">
      <c r="A384" s="29" t="inlineStr">
        <is>
          <t>}</t>
        </is>
      </c>
    </row>
    <row r="385">
      <c r="A385" s="29" t="inlineStr"/>
    </row>
    <row r="386">
      <c r="A386" s="29" t="inlineStr"/>
    </row>
    <row r="387">
      <c r="A387" s="29" t="inlineStr">
        <is>
          <t>class MetricError(Exception):</t>
        </is>
      </c>
    </row>
    <row r="388">
      <c r="A388" s="29" t="inlineStr">
        <is>
          <t xml:space="preserve">    pass</t>
        </is>
      </c>
    </row>
    <row r="389">
      <c r="A389" s="29" t="inlineStr"/>
    </row>
    <row r="390">
      <c r="A390" s="29" t="inlineStr"/>
    </row>
    <row r="391">
      <c r="A391" s="29" t="inlineStr">
        <is>
          <t>def validate_metrics(series: Sequence[SeriesSpec]) -&gt; None:</t>
        </is>
      </c>
    </row>
    <row r="392">
      <c r="A392" s="29" t="inlineStr">
        <is>
          <t xml:space="preserve">    """Every [SERIES] row must be a registered metric whose transform column</t>
        </is>
      </c>
    </row>
    <row r="393">
      <c r="A393" s="29" t="inlineStr">
        <is>
          <t xml:space="preserve">    agrees with the registry (direct field vs named derived function), and</t>
        </is>
      </c>
    </row>
    <row r="394">
      <c r="A394" s="29" t="inlineStr">
        <is>
          <t xml:space="preserve">    must consume only landed RAW_FIELDS -- config drift refuses, not guesses."""</t>
        </is>
      </c>
    </row>
    <row r="395">
      <c r="A395" s="29" t="inlineStr">
        <is>
          <t xml:space="preserve">    for s in series:</t>
        </is>
      </c>
    </row>
    <row r="396">
      <c r="A396" s="29" t="inlineStr">
        <is>
          <t xml:space="preserve">        if s.id not in METRICS:</t>
        </is>
      </c>
    </row>
    <row r="397">
      <c r="A397" s="29" t="inlineStr">
        <is>
          <t xml:space="preserve">            raise MetricError(f"Series '{s.id}' is not a registered metric; "</t>
        </is>
      </c>
    </row>
    <row r="398">
      <c r="A398" s="29" t="inlineStr">
        <is>
          <t xml:space="preserve">                              f"known metrics: {', '.join(sorted(METRICS))}.")</t>
        </is>
      </c>
    </row>
    <row r="399">
      <c r="A399" s="29" t="inlineStr">
        <is>
          <t xml:space="preserve">        flds, fn = METRICS[s.id]</t>
        </is>
      </c>
    </row>
    <row r="400">
      <c r="A400" s="29" t="inlineStr">
        <is>
          <t xml:space="preserve">        expected = "direct" if fn is None else "derived"</t>
        </is>
      </c>
    </row>
    <row r="401">
      <c r="A401" s="29" t="inlineStr">
        <is>
          <t xml:space="preserve">        if s.transform != expected:</t>
        </is>
      </c>
    </row>
    <row r="402">
      <c r="A402" s="29" t="inlineStr">
        <is>
          <t xml:space="preserve">            raise MetricError(f"Series '{s.id}' declares transform "</t>
        </is>
      </c>
    </row>
    <row r="403">
      <c r="A403" s="29" t="inlineStr">
        <is>
          <t xml:space="preserve">                              f"'{s.transform}' but the registry defines it as "</t>
        </is>
      </c>
    </row>
    <row r="404">
      <c r="A404" s="29" t="inlineStr">
        <is>
          <t xml:space="preserve">                              f"'{expected}'.")</t>
        </is>
      </c>
    </row>
    <row r="405">
      <c r="A405" s="29" t="inlineStr">
        <is>
          <t xml:space="preserve">        for f in flds:</t>
        </is>
      </c>
    </row>
    <row r="406">
      <c r="A406" s="29" t="inlineStr">
        <is>
          <t xml:space="preserve">            if f not in RAW_FIELDS:</t>
        </is>
      </c>
    </row>
    <row r="407">
      <c r="A407" s="29" t="inlineStr">
        <is>
          <t xml:space="preserve">                raise MetricError(f"Series '{s.id}' consumes unlanded field "</t>
        </is>
      </c>
    </row>
    <row r="408">
      <c r="A408" s="29" t="inlineStr">
        <is>
          <t xml:space="preserve">                                  f"'{f}'.")</t>
        </is>
      </c>
    </row>
    <row r="409">
      <c r="A409" s="29" t="inlineStr"/>
    </row>
    <row r="410">
      <c r="A410" s="29" t="inlineStr"/>
    </row>
    <row r="411">
      <c r="A411" s="29" t="inlineStr">
        <is>
          <t>def metric_value(metric_id: str, fields: Dict[str, Optional[float]]):</t>
        </is>
      </c>
    </row>
    <row r="412">
      <c r="A412" s="29" t="inlineStr">
        <is>
          <t xml:space="preserve">    """The single headline computation: latest-quarter fields -&gt; metric value.</t>
        </is>
      </c>
    </row>
    <row r="413">
      <c r="A413" s="29" t="inlineStr">
        <is>
          <t xml:space="preserve">    Identical to the Excel formula off the same Raw_FDIC cells."""</t>
        </is>
      </c>
    </row>
    <row r="414">
      <c r="A414" s="29" t="inlineStr">
        <is>
          <t xml:space="preserve">    flds, fn = METRICS[metric_id]</t>
        </is>
      </c>
    </row>
    <row r="415">
      <c r="A415" s="29" t="inlineStr">
        <is>
          <t xml:space="preserve">    if fn is None:</t>
        </is>
      </c>
    </row>
    <row r="416">
      <c r="A416" s="29" t="inlineStr">
        <is>
          <t xml:space="preserve">        return fields.get(flds[0])</t>
        </is>
      </c>
    </row>
    <row r="417">
      <c r="A417" s="29" t="inlineStr">
        <is>
          <t xml:space="preserve">    return fn(fields)</t>
        </is>
      </c>
    </row>
    <row r="418">
      <c r="A418" s="29" t="inlineStr"/>
    </row>
    <row r="419">
      <c r="A419" s="29" t="inlineStr"/>
    </row>
    <row r="420">
      <c r="A420" s="29" t="inlineStr">
        <is>
          <t># ---------------------------------------------------------------------------</t>
        </is>
      </c>
    </row>
    <row r="421">
      <c r="A421" s="29" t="inlineStr">
        <is>
          <t># THE WATCHLIST VALIDATOR -- DEFAULT-DENY (BUILD SPEC 0.1 / sec 3).</t>
        </is>
      </c>
    </row>
    <row r="422">
      <c r="A422" s="29" t="inlineStr">
        <is>
          <t># Gate 1: the peer slot is active=TRUE (inactive = EXCLUDED, slot blanked).</t>
        </is>
      </c>
    </row>
    <row r="423">
      <c r="A423" s="29" t="inlineStr">
        <is>
          <t># Gate 2: every metric row is Class A (a non-A row refuses the whole run --</t>
        </is>
      </c>
    </row>
    <row r="424">
      <c r="A424" s="29" t="inlineStr">
        <is>
          <t>#         it would poison every bank's counts).</t>
        </is>
      </c>
    </row>
    <row r="425">
      <c r="A425" s="29" t="inlineStr">
        <is>
          <t># Gate 3: the entity key built from the [PEERS] cert cell matches</t>
        </is>
      </c>
    </row>
    <row r="426">
      <c r="A426" s="29" t="inlineStr">
        <is>
          <t>#         ^cert:[0-9]{1,7}$ (blank/malformed cert = refused BY NAME).</t>
        </is>
      </c>
    </row>
    <row r="427">
      <c r="A427" s="29" t="inlineStr">
        <is>
          <t># ---------------------------------------------------------------------------</t>
        </is>
      </c>
    </row>
    <row r="428">
      <c r="A428" s="29" t="inlineStr">
        <is>
          <t>class WatchlistRefused(Exception):</t>
        </is>
      </c>
    </row>
    <row r="429">
      <c r="A429" s="29" t="inlineStr">
        <is>
          <t xml:space="preserve">    """Raised by the hard gates; carries the interpolated refusal message."""</t>
        </is>
      </c>
    </row>
    <row r="430">
      <c r="A430" s="29" t="inlineStr"/>
    </row>
    <row r="431">
      <c r="A431" s="29" t="inlineStr"/>
    </row>
    <row r="432">
      <c r="A432" s="29" t="inlineStr">
        <is>
          <t>class PeerCapacityError(Exception):</t>
        </is>
      </c>
    </row>
    <row r="433">
      <c r="A433" s="29" t="inlineStr">
        <is>
          <t xml:space="preserve">    """More peers than BUILT slots: refuse with the rebuild command -- the</t>
        </is>
      </c>
    </row>
    <row r="434">
      <c r="A434" s="29" t="inlineStr">
        <is>
          <t xml:space="preserve">    runner never truncates a peer list (USER REQUIREMENT)."""</t>
        </is>
      </c>
    </row>
    <row r="435">
      <c r="A435" s="29" t="inlineStr"/>
    </row>
    <row r="436">
      <c r="A436" s="29" t="inlineStr"/>
    </row>
    <row r="437">
      <c r="A437" s="29" t="inlineStr">
        <is>
          <t>def peer_refusal_message(peer: PeerRow, reasons: List[str]) -&gt; str:</t>
        </is>
      </c>
    </row>
    <row r="438">
      <c r="A438" s="29" t="inlineStr">
        <is>
          <t xml:space="preserve">    return (</t>
        </is>
      </c>
    </row>
    <row r="439">
      <c r="A439" s="29" t="inlineStr">
        <is>
          <t xml:space="preserve">        f'WATCHLIST REFUSED: peer slot {peer.slot} "{peer.name or "(unnamed)"}" '</t>
        </is>
      </c>
    </row>
    <row r="440">
      <c r="A440" s="29" t="inlineStr">
        <is>
          <t xml:space="preserve">        f'has cert="{peer.cert}", active={"TRUE" if peer.active else "FALSE"}. '</t>
        </is>
      </c>
    </row>
    <row r="441">
      <c r="A441" s="29" t="inlineStr">
        <is>
          <t xml:space="preserve">        + " ".join(reasons) +</t>
        </is>
      </c>
    </row>
    <row r="442">
      <c r="A442" s="29" t="inlineStr">
        <is>
          <t xml:space="preserve">        " Only CERT-keyed FDIC institutions can be monitored as counterparties;"</t>
        </is>
      </c>
    </row>
    <row r="443">
      <c r="A443" s="29" t="inlineStr">
        <is>
          <t xml:space="preserve">        " aggregates, holding companies and name-only rows cannot. Find the"</t>
        </is>
      </c>
    </row>
    <row r="444">
      <c r="A444" s="29" t="inlineStr">
        <is>
          <t xml:space="preserve">        f' CERT with: python runner.py --lookup "{peer.name or "&lt;bank name&gt;"}".')</t>
        </is>
      </c>
    </row>
    <row r="445">
      <c r="A445" s="29" t="inlineStr"/>
    </row>
    <row r="446">
      <c r="A446" s="29" t="inlineStr"/>
    </row>
    <row r="447">
      <c r="A447" s="29" t="inlineStr">
        <is>
          <t>def metric_refusal_message(spec: SeriesSpec, reasons: List[str]) -&gt; str:</t>
        </is>
      </c>
    </row>
    <row r="448">
      <c r="A448" s="29" t="inlineStr">
        <is>
          <t xml:space="preserve">    return (</t>
        </is>
      </c>
    </row>
    <row r="449">
      <c r="A449" s="29" t="inlineStr">
        <is>
          <t xml:space="preserve">        f'WATCHLIST REFUSED: series "{spec.id}" has '</t>
        </is>
      </c>
    </row>
    <row r="450">
      <c r="A450" s="29" t="inlineStr">
        <is>
          <t xml:space="preserve">        f'source_class="{spec.source_class}", '</t>
        </is>
      </c>
    </row>
    <row r="451">
      <c r="A451" s="29" t="inlineStr">
        <is>
          <t xml:space="preserve">        f'watchlist_capable={"TRUE" if spec.watchlist_capable else "FALSE"}. '</t>
        </is>
      </c>
    </row>
    <row r="452">
      <c r="A452" s="29" t="inlineStr">
        <is>
          <t xml:space="preserve">        + " ".join(reasons) +</t>
        </is>
      </c>
    </row>
    <row r="453">
      <c r="A453" s="29" t="inlineStr">
        <is>
          <t xml:space="preserve">        " This template admits only the public FDIC BankFind adapter"</t>
        </is>
      </c>
    </row>
    <row r="454">
      <c r="A454" s="29" t="inlineStr">
        <is>
          <t xml:space="preserve">        " (Class A); any other class requires its own review before"</t>
        </is>
      </c>
    </row>
    <row r="455">
      <c r="A455" s="29" t="inlineStr">
        <is>
          <t xml:space="preserve">        " admission.")</t>
        </is>
      </c>
    </row>
    <row r="456">
      <c r="A456" s="29" t="inlineStr"/>
    </row>
    <row r="457">
      <c r="A457" s="29" t="inlineStr"/>
    </row>
    <row r="458">
      <c r="A458" s="29" t="inlineStr">
        <is>
          <t>def gate_peer_row(peer: PeerRow) -&gt; List[str]:</t>
        </is>
      </c>
    </row>
    <row r="459">
      <c r="A459" s="29" t="inlineStr">
        <is>
          <t xml:space="preserve">    """Failed-gate reasons for an ACTIVE peer row carrying a bank. Empty list</t>
        </is>
      </c>
    </row>
    <row r="460">
      <c r="A460" s="29" t="inlineStr">
        <is>
          <t xml:space="preserve">    == a genuinely CERT-keyed row."""</t>
        </is>
      </c>
    </row>
    <row r="461">
      <c r="A461" s="29" t="inlineStr">
        <is>
          <t xml:space="preserve">    reasons = []</t>
        </is>
      </c>
    </row>
    <row r="462">
      <c r="A462" s="29" t="inlineStr">
        <is>
          <t xml:space="preserve">    if not re.match(ENTITY_KEY_PATTERN, peer.entity_key):</t>
        </is>
      </c>
    </row>
    <row r="463">
      <c r="A463" s="29" t="inlineStr">
        <is>
          <t xml:space="preserve">        reasons.append(</t>
        </is>
      </c>
    </row>
    <row r="464">
      <c r="A464" s="29" t="inlineStr">
        <is>
          <t xml:space="preserve">            f"Gate3: entity key '{peer.entity_key}' does not match the "</t>
        </is>
      </c>
    </row>
    <row r="465">
      <c r="A465" s="29" t="inlineStr">
        <is>
          <t xml:space="preserve">            f"join-key whitelist pattern {ENTITY_KEY_PATTERN} (default-deny; "</t>
        </is>
      </c>
    </row>
    <row r="466">
      <c r="A466" s="29" t="inlineStr">
        <is>
          <t xml:space="preserve">            "a blank or malformed CERT cannot be fetched).")</t>
        </is>
      </c>
    </row>
    <row r="467">
      <c r="A467" s="29" t="inlineStr">
        <is>
          <t xml:space="preserve">    return reasons</t>
        </is>
      </c>
    </row>
    <row r="468">
      <c r="A468" s="29" t="inlineStr"/>
    </row>
    <row r="469">
      <c r="A469" s="29" t="inlineStr"/>
    </row>
    <row r="470">
      <c r="A470" s="29" t="inlineStr">
        <is>
          <t>def gate_metric_row(spec: SeriesSpec) -&gt; List[str]:</t>
        </is>
      </c>
    </row>
    <row r="471">
      <c r="A471" s="29" t="inlineStr">
        <is>
          <t xml:space="preserve">    reasons = []</t>
        </is>
      </c>
    </row>
    <row r="472">
      <c r="A472" s="29" t="inlineStr">
        <is>
          <t xml:space="preserve">    if not spec.watchlist_capable:</t>
        </is>
      </c>
    </row>
    <row r="473">
      <c r="A473" s="29" t="inlineStr">
        <is>
          <t xml:space="preserve">        reasons.append("Gate1: watchlist_capable is not TRUE.")</t>
        </is>
      </c>
    </row>
    <row r="474">
      <c r="A474" s="29" t="inlineStr">
        <is>
          <t xml:space="preserve">    if spec.source_class != "A":</t>
        </is>
      </c>
    </row>
    <row r="475">
      <c r="A475" s="29" t="inlineStr">
        <is>
          <t xml:space="preserve">        reasons.append("Gate2: source_class is not A -- this template's only "</t>
        </is>
      </c>
    </row>
    <row r="476">
      <c r="A476" s="29" t="inlineStr">
        <is>
          <t xml:space="preserve">                       "admitted class is the keyless public FDIC adapter; "</t>
        </is>
      </c>
    </row>
    <row r="477">
      <c r="A477" s="29" t="inlineStr">
        <is>
          <t xml:space="preserve">                       "any other class (including a future licensed swap) "</t>
        </is>
      </c>
    </row>
    <row r="478">
      <c r="A478" s="29" t="inlineStr">
        <is>
          <t xml:space="preserve">                       "requires its own review before admission.")</t>
        </is>
      </c>
    </row>
    <row r="479">
      <c r="A479" s="29" t="inlineStr">
        <is>
          <t xml:space="preserve">    return reasons</t>
        </is>
      </c>
    </row>
    <row r="480">
      <c r="A480" s="29" t="inlineStr"/>
    </row>
    <row r="481">
      <c r="A481" s="29" t="inlineStr"/>
    </row>
    <row r="482">
      <c r="A482" s="29" t="inlineStr">
        <is>
          <t>def assert_metrics_admissible(series: Sequence[SeriesSpec]) -&gt; None:</t>
        </is>
      </c>
    </row>
    <row r="483">
      <c r="A483" s="29" t="inlineStr">
        <is>
          <t xml:space="preserve">    """Hard gate (build-time AND run start): a fabricated non-Class-A metric</t>
        </is>
      </c>
    </row>
    <row r="484">
      <c r="A484" s="29" t="inlineStr">
        <is>
          <t xml:space="preserve">    row refuses everything, series-named -- defense in depth behind gate 2."""</t>
        </is>
      </c>
    </row>
    <row r="485">
      <c r="A485" s="29" t="inlineStr">
        <is>
          <t xml:space="preserve">    for s in series:</t>
        </is>
      </c>
    </row>
    <row r="486">
      <c r="A486" s="29" t="inlineStr">
        <is>
          <t xml:space="preserve">        reasons = gate_metric_row(s)</t>
        </is>
      </c>
    </row>
    <row r="487">
      <c r="A487" s="29" t="inlineStr">
        <is>
          <t xml:space="preserve">        if reasons:</t>
        </is>
      </c>
    </row>
    <row r="488">
      <c r="A488" s="29" t="inlineStr">
        <is>
          <t xml:space="preserve">            raise WatchlistRefused(metric_refusal_message(s, reasons))</t>
        </is>
      </c>
    </row>
    <row r="489">
      <c r="A489" s="29" t="inlineStr"/>
    </row>
    <row r="490">
      <c r="A490" s="29" t="inlineStr"/>
    </row>
    <row r="491">
      <c r="A491" s="29" t="inlineStr">
        <is>
          <t>def evaluate_peers(cfg: Config):</t>
        </is>
      </c>
    </row>
    <row r="492">
      <c r="A492" s="29" t="inlineStr">
        <is>
          <t xml:space="preserve">    """Apply the default-deny gates to every [PEERS] row carrying a bank.</t>
        </is>
      </c>
    </row>
    <row r="493">
      <c r="A493" s="29" t="inlineStr">
        <is>
          <t xml:space="preserve">    Returns (admitted, refusals, excluded): admitted peers are fetched and</t>
        </is>
      </c>
    </row>
    <row r="494">
      <c r="A494" s="29" t="inlineStr">
        <is>
          <t xml:space="preserve">    landed; refusals is [(peer, message)] -- those slots are never fetched and</t>
        </is>
      </c>
    </row>
    <row r="495">
      <c r="A495" s="29" t="inlineStr">
        <is>
          <t xml:space="preserve">    are blanked; excluded is the active=FALSE list (blanked, not refused)."""</t>
        </is>
      </c>
    </row>
    <row r="496">
      <c r="A496" s="29" t="inlineStr">
        <is>
          <t xml:space="preserve">    admitted, refusals, excluded = [], [], []</t>
        </is>
      </c>
    </row>
    <row r="497">
      <c r="A497" s="29" t="inlineStr">
        <is>
          <t xml:space="preserve">    for peer in cfg.peers:</t>
        </is>
      </c>
    </row>
    <row r="498">
      <c r="A498" s="29" t="inlineStr">
        <is>
          <t xml:space="preserve">        if not peer.has_bank:</t>
        </is>
      </c>
    </row>
    <row r="499">
      <c r="A499" s="29" t="inlineStr">
        <is>
          <t xml:space="preserve">            continue                       # provisioned empty slot</t>
        </is>
      </c>
    </row>
    <row r="500">
      <c r="A500" s="29" t="inlineStr">
        <is>
          <t xml:space="preserve">        if not peer.active:</t>
        </is>
      </c>
    </row>
    <row r="501">
      <c r="A501" s="29" t="inlineStr">
        <is>
          <t xml:space="preserve">            excluded.append(peer)          # gate 1: exclusion, not refusal</t>
        </is>
      </c>
    </row>
    <row r="502">
      <c r="A502" s="29" t="inlineStr">
        <is>
          <t xml:space="preserve">            continue</t>
        </is>
      </c>
    </row>
    <row r="503">
      <c r="A503" s="29" t="inlineStr">
        <is>
          <t xml:space="preserve">        reasons = gate_peer_row(peer)</t>
        </is>
      </c>
    </row>
    <row r="504">
      <c r="A504" s="29" t="inlineStr">
        <is>
          <t xml:space="preserve">        if reasons:</t>
        </is>
      </c>
    </row>
    <row r="505">
      <c r="A505" s="29" t="inlineStr">
        <is>
          <t xml:space="preserve">            refusals.append((peer, peer_refusal_message(peer, reasons)))</t>
        </is>
      </c>
    </row>
    <row r="506">
      <c r="A506" s="29" t="inlineStr">
        <is>
          <t xml:space="preserve">        else:</t>
        </is>
      </c>
    </row>
    <row r="507">
      <c r="A507" s="29" t="inlineStr">
        <is>
          <t xml:space="preserve">            admitted.append(peer)</t>
        </is>
      </c>
    </row>
    <row r="508">
      <c r="A508" s="29" t="inlineStr">
        <is>
          <t xml:space="preserve">    return admitted, refusals, excluded</t>
        </is>
      </c>
    </row>
    <row r="509">
      <c r="A509" s="29" t="inlineStr"/>
    </row>
    <row r="510">
      <c r="A510" s="29" t="inlineStr"/>
    </row>
    <row r="511">
      <c r="A511" s="29" t="inlineStr">
        <is>
          <t>def assert_entity_gates(cfg: Config) -&gt; None:</t>
        </is>
      </c>
    </row>
    <row r="512">
      <c r="A512" s="29" t="inlineStr">
        <is>
          <t xml:space="preserve">    """BUILD-TIME hard gate backing the runtime gates (BUILD SPEC 0.1/sec 3):</t>
        </is>
      </c>
    </row>
    <row r="513">
      <c r="A513" s="29" t="inlineStr">
        <is>
          <t xml:space="preserve">    a bad metric row or a bad SEED peer cannot even be built into the lane.</t>
        </is>
      </c>
    </row>
    <row r="514">
      <c r="A514" s="29" t="inlineStr">
        <is>
          <t xml:space="preserve">    (At run time the per-peer gate refuses-and-continues so one typo does not</t>
        </is>
      </c>
    </row>
    <row r="515">
      <c r="A515" s="29" t="inlineStr">
        <is>
          <t xml:space="preserve">    kill the whole refresh; the refusal is rendered, the slot blanked.)"""</t>
        </is>
      </c>
    </row>
    <row r="516">
      <c r="A516" s="29" t="inlineStr">
        <is>
          <t xml:space="preserve">    assert_metrics_admissible(cfg.series)</t>
        </is>
      </c>
    </row>
    <row r="517">
      <c r="A517" s="29" t="inlineStr">
        <is>
          <t xml:space="preserve">    _, refusals, _ = evaluate_peers(cfg)</t>
        </is>
      </c>
    </row>
    <row r="518">
      <c r="A518" s="29" t="inlineStr">
        <is>
          <t xml:space="preserve">    if refusals:</t>
        </is>
      </c>
    </row>
    <row r="519">
      <c r="A519" s="29" t="inlineStr">
        <is>
          <t xml:space="preserve">        raise WatchlistRefused(refusals[0][1])</t>
        </is>
      </c>
    </row>
    <row r="520">
      <c r="A520" s="29" t="inlineStr"/>
    </row>
    <row r="521">
      <c r="A521" s="29" t="inlineStr"/>
    </row>
    <row r="522">
      <c r="A522" s="29" t="inlineStr">
        <is>
          <t>def validate_peer_capacity(cfg: Config) -&gt; None:</t>
        </is>
      </c>
    </row>
    <row r="523">
      <c r="A523" s="29" t="inlineStr">
        <is>
          <t xml:space="preserve">    """The flexible-peers guard: every bank-carrying row needs a slot inside</t>
        </is>
      </c>
    </row>
    <row r="524">
      <c r="A524" s="29" t="inlineStr">
        <is>
          <t xml:space="preserve">    the BUILT capacity, unique. Over capacity is REFUSED with the rebuild</t>
        </is>
      </c>
    </row>
    <row r="525">
      <c r="A525" s="29" t="inlineStr">
        <is>
          <t xml:space="preserve">    command -- never truncated (USER REQUIREMENT)."""</t>
        </is>
      </c>
    </row>
    <row r="526">
      <c r="A526" s="29" t="inlineStr">
        <is>
          <t xml:space="preserve">    cap = cfg.peer_slots</t>
        </is>
      </c>
    </row>
    <row r="527">
      <c r="A527" s="29" t="inlineStr">
        <is>
          <t xml:space="preserve">    banked = [p for p in cfg.peers if p.has_bank]</t>
        </is>
      </c>
    </row>
    <row r="528">
      <c r="A528" s="29" t="inlineStr">
        <is>
          <t xml:space="preserve">    seen: Dict[int, PeerRow] = {}</t>
        </is>
      </c>
    </row>
    <row r="529">
      <c r="A529" s="29" t="inlineStr">
        <is>
          <t xml:space="preserve">    bad = []</t>
        </is>
      </c>
    </row>
    <row r="530">
      <c r="A530" s="29" t="inlineStr">
        <is>
          <t xml:space="preserve">    for p in banked:</t>
        </is>
      </c>
    </row>
    <row r="531">
      <c r="A531" s="29" t="inlineStr">
        <is>
          <t xml:space="preserve">        if p.slot is None or p.slot &lt; 1 or p.slot &gt; cap:</t>
        </is>
      </c>
    </row>
    <row r="532">
      <c r="A532" s="29" t="inlineStr">
        <is>
          <t xml:space="preserve">            bad.append(p)</t>
        </is>
      </c>
    </row>
    <row r="533">
      <c r="A533" s="29" t="inlineStr">
        <is>
          <t xml:space="preserve">        elif p.slot in seen:</t>
        </is>
      </c>
    </row>
    <row r="534">
      <c r="A534" s="29" t="inlineStr">
        <is>
          <t xml:space="preserve">            raise PeerCapacityError(</t>
        </is>
      </c>
    </row>
    <row r="535">
      <c r="A535" s="29" t="inlineStr">
        <is>
          <t xml:space="preserve">                f"[PEERS] slot {p.slot} is listed twice "</t>
        </is>
      </c>
    </row>
    <row r="536">
      <c r="A536" s="29" t="inlineStr">
        <is>
          <t xml:space="preserve">                f'("{seen[p.slot].name}" and "{p.name}"); slots must be '</t>
        </is>
      </c>
    </row>
    <row r="537">
      <c r="A537" s="29" t="inlineStr">
        <is>
          <t xml:space="preserve">                "unique -- fix the [PEERS] table.")</t>
        </is>
      </c>
    </row>
    <row r="538">
      <c r="A538" s="29" t="inlineStr">
        <is>
          <t xml:space="preserve">        else:</t>
        </is>
      </c>
    </row>
    <row r="539">
      <c r="A539" s="29" t="inlineStr">
        <is>
          <t xml:space="preserve">            seen[p.slot] = p</t>
        </is>
      </c>
    </row>
    <row r="540">
      <c r="A540" s="29" t="inlineStr">
        <is>
          <t xml:space="preserve">    if bad:</t>
        </is>
      </c>
    </row>
    <row r="541">
      <c r="A541" s="29" t="inlineStr">
        <is>
          <t xml:space="preserve">        need = max(len(banked), max((p.slot or 0) for p in banked))</t>
        </is>
      </c>
    </row>
    <row r="542">
      <c r="A542" s="29" t="inlineStr">
        <is>
          <t xml:space="preserve">        names = ", ".join(f'"{p.name or p.cert}" (slot {p.slot})' for p in bad)</t>
        </is>
      </c>
    </row>
    <row r="543">
      <c r="A543" s="29" t="inlineStr">
        <is>
          <t xml:space="preserve">        raise PeerCapacityError(</t>
        </is>
      </c>
    </row>
    <row r="544">
      <c r="A544" s="29" t="inlineStr">
        <is>
          <t xml:space="preserve">            f"[PEERS] lists more peers than the workbook was built for: "</t>
        </is>
      </c>
    </row>
    <row r="545">
      <c r="A545" s="29" t="inlineStr">
        <is>
          <t xml:space="preserve">            f"{names} outside the built capacity of {cap} slots. The runner "</t>
        </is>
      </c>
    </row>
    <row r="546">
      <c r="A546" s="29" t="inlineStr">
        <is>
          <t xml:space="preserve">            f"never truncates a peer list -- rebuild with "</t>
        </is>
      </c>
    </row>
    <row r="547">
      <c r="A547" s="29" t="inlineStr">
        <is>
          <t xml:space="preserve">            f"--peer-slots {max(need, cap + 1)} "</t>
        </is>
      </c>
    </row>
    <row r="548">
      <c r="A548" s="29" t="inlineStr">
        <is>
          <t xml:space="preserve">            f"(python make_workbook.py --peer-slots {max(need, cap + 1)}).")</t>
        </is>
      </c>
    </row>
    <row r="549">
      <c r="A549" s="29" t="inlineStr"/>
    </row>
    <row r="550">
      <c r="A550" s="29" t="inlineStr"/>
    </row>
    <row r="551">
      <c r="A551" s="29" t="inlineStr">
        <is>
          <t># ---------------------------------------------------------------------------</t>
        </is>
      </c>
    </row>
    <row r="552">
      <c r="A552" s="29" t="inlineStr">
        <is>
          <t># THRESHOLD ENGINE -- config-driven OK/WATCH/ALERT, direction-aware</t>
        </is>
      </c>
    </row>
    <row r="553">
      <c r="A553" s="29" t="inlineStr">
        <is>
          <t># ---------------------------------------------------------------------------</t>
        </is>
      </c>
    </row>
    <row r="554">
      <c r="A554" s="29" t="inlineStr">
        <is>
          <t>def status_for(value: Optional[float], thr: Optional[Threshold]) -&gt; str:</t>
        </is>
      </c>
    </row>
    <row r="555">
      <c r="A555" s="29" t="inlineStr">
        <is>
          <t xml:space="preserve">    """direction='above': flag when value &gt;= bound; 'below': value &lt;= bound</t>
        </is>
      </c>
    </row>
    <row r="556">
      <c r="A556" s="29" t="inlineStr">
        <is>
          <t xml:space="preserve">    (capital/coverage/earnings run below-is-bad). Blank value -&gt; OK (blank is</t>
        </is>
      </c>
    </row>
    <row r="557">
      <c r="A557" s="29" t="inlineStr">
        <is>
          <t xml:space="preserve">    surfaced by the staleness/error paths, never fabricated into a flag)."""</t>
        </is>
      </c>
    </row>
    <row r="558">
      <c r="A558" s="29" t="inlineStr">
        <is>
          <t xml:space="preserve">    if value is None or thr is None or (isinstance(value, float)</t>
        </is>
      </c>
    </row>
    <row r="559">
      <c r="A559" s="29" t="inlineStr">
        <is>
          <t xml:space="preserve">                                        and math.isnan(value)):</t>
        </is>
      </c>
    </row>
    <row r="560">
      <c r="A560" s="29" t="inlineStr">
        <is>
          <t xml:space="preserve">        return "OK"</t>
        </is>
      </c>
    </row>
    <row r="561">
      <c r="A561" s="29" t="inlineStr">
        <is>
          <t xml:space="preserve">    above = thr.direction != "below"</t>
        </is>
      </c>
    </row>
    <row r="562">
      <c r="A562" s="29" t="inlineStr"/>
    </row>
    <row r="563">
      <c r="A563" s="29" t="inlineStr">
        <is>
          <t xml:space="preserve">    def hit(bound):</t>
        </is>
      </c>
    </row>
    <row r="564">
      <c r="A564" s="29" t="inlineStr">
        <is>
          <t xml:space="preserve">        if bound is None:</t>
        </is>
      </c>
    </row>
    <row r="565">
      <c r="A565" s="29" t="inlineStr">
        <is>
          <t xml:space="preserve">            return False</t>
        </is>
      </c>
    </row>
    <row r="566">
      <c r="A566" s="29" t="inlineStr">
        <is>
          <t xml:space="preserve">        return value &gt;= bound if above else value &lt;= bound</t>
        </is>
      </c>
    </row>
    <row r="567">
      <c r="A567" s="29" t="inlineStr"/>
    </row>
    <row r="568">
      <c r="A568" s="29" t="inlineStr">
        <is>
          <t xml:space="preserve">    if hit(thr.alert):</t>
        </is>
      </c>
    </row>
    <row r="569">
      <c r="A569" s="29" t="inlineStr">
        <is>
          <t xml:space="preserve">        return "ALERT"</t>
        </is>
      </c>
    </row>
    <row r="570">
      <c r="A570" s="29" t="inlineStr">
        <is>
          <t xml:space="preserve">    if hit(thr.watch):</t>
        </is>
      </c>
    </row>
    <row r="571">
      <c r="A571" s="29" t="inlineStr">
        <is>
          <t xml:space="preserve">        return "WATCH"</t>
        </is>
      </c>
    </row>
    <row r="572">
      <c r="A572" s="29" t="inlineStr">
        <is>
          <t xml:space="preserve">    return "OK"</t>
        </is>
      </c>
    </row>
    <row r="573">
      <c r="A573" s="29" t="inlineStr"/>
    </row>
    <row r="574">
      <c r="A574" s="29" t="inlineStr"/>
    </row>
    <row r="575">
      <c r="A575" s="29" t="inlineStr">
        <is>
          <t># ---------------------------------------------------------------------------</t>
        </is>
      </c>
    </row>
    <row r="576">
      <c r="A576" s="29" t="inlineStr">
        <is>
          <t># STALENESS GUARD (BUILD SPEC 0.6 -- trap F2, the merged-bank lesson)</t>
        </is>
      </c>
    </row>
    <row r="577">
      <c r="A577" s="29" t="inlineStr">
        <is>
          <t># ---------------------------------------------------------------------------</t>
        </is>
      </c>
    </row>
    <row r="578">
      <c r="A578" s="29" t="inlineStr">
        <is>
          <t>def is_stale_bank(last_period: Optional[str], set_max_period: Optional[str],</t>
        </is>
      </c>
    </row>
    <row r="579">
      <c r="A579" s="29" t="inlineStr">
        <is>
          <t xml:space="preserve">                  stale_multiplier: float) -&gt; bool:</t>
        </is>
      </c>
    </row>
    <row r="580">
      <c r="A580" s="29" t="inlineStr">
        <is>
          <t xml:space="preserve">    """Fetch success is NOT data currency: a merged-away bank keeps returning</t>
        </is>
      </c>
    </row>
    <row r="581">
      <c r="A581" s="29" t="inlineStr">
        <is>
          <t xml:space="preserve">    its final REPDTE with no error. A bank is STALE when its latest REPDTE</t>
        </is>
      </c>
    </row>
    <row r="582">
      <c r="A582" s="29" t="inlineStr">
        <is>
          <t xml:space="preserve">    lags the PEER-SET max by more than stale_multiplier quarters (generous</t>
        </is>
      </c>
    </row>
    <row r="583">
      <c r="A583" s="29" t="inlineStr">
        <is>
          <t xml:space="preserve">    92-day quarters). Valueless bank -&gt; stale."""</t>
        </is>
      </c>
    </row>
    <row r="584">
      <c r="A584" s="29" t="inlineStr">
        <is>
          <t xml:space="preserve">    if last_period is None:</t>
        </is>
      </c>
    </row>
    <row r="585">
      <c r="A585" s="29" t="inlineStr">
        <is>
          <t xml:space="preserve">        return True</t>
        </is>
      </c>
    </row>
    <row r="586">
      <c r="A586" s="29" t="inlineStr">
        <is>
          <t xml:space="preserve">    if set_max_period is None:</t>
        </is>
      </c>
    </row>
    <row r="587">
      <c r="A587" s="29" t="inlineStr">
        <is>
          <t xml:space="preserve">        return False                      # nothing landed anywhere: no baseline</t>
        </is>
      </c>
    </row>
    <row r="588">
      <c r="A588" s="29" t="inlineStr">
        <is>
          <t xml:space="preserve">    try:</t>
        </is>
      </c>
    </row>
    <row r="589">
      <c r="A589" s="29" t="inlineStr">
        <is>
          <t xml:space="preserve">        last = date.fromisoformat(str(last_period)[:10])</t>
        </is>
      </c>
    </row>
    <row r="590">
      <c r="A590" s="29" t="inlineStr">
        <is>
          <t xml:space="preserve">        mx = date.fromisoformat(str(set_max_period)[:10])</t>
        </is>
      </c>
    </row>
    <row r="591">
      <c r="A591" s="29" t="inlineStr">
        <is>
          <t xml:space="preserve">    except ValueError:</t>
        </is>
      </c>
    </row>
    <row r="592">
      <c r="A592" s="29" t="inlineStr">
        <is>
          <t xml:space="preserve">        return True</t>
        </is>
      </c>
    </row>
    <row r="593">
      <c r="A593" s="29" t="inlineStr">
        <is>
          <t xml:space="preserve">    return (mx - last).days &gt; stale_multiplier * QUARTER_DAYS</t>
        </is>
      </c>
    </row>
    <row r="594">
      <c r="A594" s="29" t="inlineStr"/>
    </row>
    <row r="595">
      <c r="A595" s="29" t="inlineStr"/>
    </row>
    <row r="596">
      <c r="A596" s="29" t="inlineStr">
        <is>
          <t># ---------------------------------------------------------------------------</t>
        </is>
      </c>
    </row>
    <row r="597">
      <c r="A597" s="29" t="inlineStr">
        <is>
          <t># THE ADAPTER SEAM (BUILD SPEC sec 1a) -- the only provider-specific code</t>
        </is>
      </c>
    </row>
    <row r="598">
      <c r="A598" s="29" t="inlineStr">
        <is>
          <t># ---------------------------------------------------------------------------</t>
        </is>
      </c>
    </row>
    <row r="599">
      <c r="A599" s="29" t="inlineStr">
        <is>
          <t>@dataclass</t>
        </is>
      </c>
    </row>
    <row r="600">
      <c r="A600" s="29" t="inlineStr">
        <is>
          <t>class NormalizedRow:</t>
        </is>
      </c>
    </row>
    <row r="601">
      <c r="A601" s="29" t="inlineStr">
        <is>
          <t xml:space="preserve">    id: str</t>
        </is>
      </c>
    </row>
    <row r="602">
      <c r="A602" s="29" t="inlineStr">
        <is>
          <t xml:space="preserve">    period: str            # ISO date string (quarter-end REPDTE)</t>
        </is>
      </c>
    </row>
    <row r="603">
      <c r="A603" s="29" t="inlineStr">
        <is>
          <t xml:space="preserve">    value: Optional[float]</t>
        </is>
      </c>
    </row>
    <row r="604">
      <c r="A604" s="29" t="inlineStr">
        <is>
          <t xml:space="preserve">    geo_segment: str       # the ENTITY key: cert:NNN</t>
        </is>
      </c>
    </row>
    <row r="605">
      <c r="A605" s="29" t="inlineStr">
        <is>
          <t xml:space="preserve">    source_class: str</t>
        </is>
      </c>
    </row>
    <row r="606">
      <c r="A606" s="29" t="inlineStr">
        <is>
          <t xml:space="preserve">    units: str = ""</t>
        </is>
      </c>
    </row>
    <row r="607">
      <c r="A607" s="29" t="inlineStr"/>
    </row>
    <row r="608">
      <c r="A608" s="29" t="inlineStr"/>
    </row>
    <row r="609">
      <c r="A609" s="29" t="inlineStr">
        <is>
          <t>@dataclass</t>
        </is>
      </c>
    </row>
    <row r="610">
      <c r="A610" s="29" t="inlineStr">
        <is>
          <t>class FieldSpec:</t>
        </is>
      </c>
    </row>
    <row r="611">
      <c r="A611" s="29" t="inlineStr">
        <is>
          <t xml:space="preserve">    """One expanded fetch/land unit: (peer slot, cert) x raw field. The id</t>
        </is>
      </c>
    </row>
    <row r="612">
      <c r="A612" s="29" t="inlineStr">
        <is>
          <t xml:space="preserve">    scheme s{slot:02d}_{FIELD} mirrors the digest's s{slot:02d}_{METRIC}</t>
        </is>
      </c>
    </row>
    <row r="613">
      <c r="A613" s="29" t="inlineStr">
        <is>
          <t xml:space="preserve">    units; anchors derive from (slot, field) alone."""</t>
        </is>
      </c>
    </row>
    <row r="614">
      <c r="A614" s="29" t="inlineStr">
        <is>
          <t xml:space="preserve">    slot: int</t>
        </is>
      </c>
    </row>
    <row r="615">
      <c r="A615" s="29" t="inlineStr">
        <is>
          <t xml:space="preserve">    cert: str</t>
        </is>
      </c>
    </row>
    <row r="616">
      <c r="A616" s="29" t="inlineStr">
        <is>
          <t xml:space="preserve">    fname: str</t>
        </is>
      </c>
    </row>
    <row r="617">
      <c r="A617" s="29" t="inlineStr">
        <is>
          <t xml:space="preserve">    id: str</t>
        </is>
      </c>
    </row>
    <row r="618">
      <c r="A618" s="29" t="inlineStr">
        <is>
          <t xml:space="preserve">    geo_segment: str</t>
        </is>
      </c>
    </row>
    <row r="619">
      <c r="A619" s="29" t="inlineStr">
        <is>
          <t xml:space="preserve">    units: str</t>
        </is>
      </c>
    </row>
    <row r="620">
      <c r="A620" s="29" t="inlineStr">
        <is>
          <t xml:space="preserve">    source_class: str = "A"</t>
        </is>
      </c>
    </row>
    <row r="621">
      <c r="A621" s="29" t="inlineStr"/>
    </row>
    <row r="622">
      <c r="A622" s="29" t="inlineStr"/>
    </row>
    <row r="623">
      <c r="A623" s="29" t="inlineStr">
        <is>
          <t>def make_field_spec(peer: PeerRow, fname: str) -&gt; FieldSpec:</t>
        </is>
      </c>
    </row>
    <row r="624">
      <c r="A624" s="29" t="inlineStr">
        <is>
          <t xml:space="preserve">    return FieldSpec(slot=peer.slot, cert=peer.cert, fname=fname,</t>
        </is>
      </c>
    </row>
    <row r="625">
      <c r="A625" s="29" t="inlineStr">
        <is>
          <t xml:space="preserve">                     id=f"s{peer.slot:02d}_{fname}",</t>
        </is>
      </c>
    </row>
    <row r="626">
      <c r="A626" s="29" t="inlineStr">
        <is>
          <t xml:space="preserve">                     geo_segment=peer.entity_key, units=FIELD_UNITS[fname])</t>
        </is>
      </c>
    </row>
    <row r="627">
      <c r="A627" s="29" t="inlineStr"/>
    </row>
    <row r="628">
      <c r="A628" s="29" t="inlineStr"/>
    </row>
    <row r="629">
      <c r="A629" s="29" t="inlineStr">
        <is>
          <t>class Provider:</t>
        </is>
      </c>
    </row>
    <row r="630">
      <c r="A630" s="29" t="inlineStr">
        <is>
          <t xml:space="preserve">    """Adapter interface: prime(certs, asof) once per run (the ONE bulk call),</t>
        </is>
      </c>
    </row>
    <row r="631">
      <c r="A631" s="29" t="inlineStr">
        <is>
          <t xml:space="preserve">    then fetch_series(spec, secret) -&gt; [NormalizedRow] slices per unit."""</t>
        </is>
      </c>
    </row>
    <row r="632">
      <c r="A632" s="29" t="inlineStr"/>
    </row>
    <row r="633">
      <c r="A633" s="29" t="inlineStr">
        <is>
          <t xml:space="preserve">    source_class = "A"</t>
        </is>
      </c>
    </row>
    <row r="634">
      <c r="A634" s="29" t="inlineStr">
        <is>
          <t xml:space="preserve">    vintage: Optional[str] = None      # meta.index.createTimestamp (data age)</t>
        </is>
      </c>
    </row>
    <row r="635">
      <c r="A635" s="29" t="inlineStr"/>
    </row>
    <row r="636">
      <c r="A636" s="29" t="inlineStr">
        <is>
          <t xml:space="preserve">    def __init__(self):</t>
        </is>
      </c>
    </row>
    <row r="637">
      <c r="A637" s="29" t="inlineStr">
        <is>
          <t xml:space="preserve">        self.roster: Dict[str, dict] = {}</t>
        </is>
      </c>
    </row>
    <row r="638">
      <c r="A638" s="29" t="inlineStr"/>
    </row>
    <row r="639">
      <c r="A639" s="29" t="inlineStr">
        <is>
          <t xml:space="preserve">    def prime(self, certs: Sequence[str], asof: date,</t>
        </is>
      </c>
    </row>
    <row r="640">
      <c r="A640" s="29" t="inlineStr">
        <is>
          <t xml:space="preserve">              names: Optional[Dict[str, str]] = None) -&gt; None:  # pragma: no cover</t>
        </is>
      </c>
    </row>
    <row r="641">
      <c r="A641" s="29" t="inlineStr">
        <is>
          <t xml:space="preserve">        raise NotImplementedError</t>
        </is>
      </c>
    </row>
    <row r="642">
      <c r="A642" s="29" t="inlineStr"/>
    </row>
    <row r="643">
      <c r="A643" s="29" t="inlineStr">
        <is>
          <t xml:space="preserve">    def fetch_series(self, spec: FieldSpec, secret=None) -&gt; List[NormalizedRow]:  # pragma: no cover</t>
        </is>
      </c>
    </row>
    <row r="644">
      <c r="A644" s="29" t="inlineStr">
        <is>
          <t xml:space="preserve">        raise NotImplementedError</t>
        </is>
      </c>
    </row>
    <row r="645">
      <c r="A645" s="29" t="inlineStr"/>
    </row>
    <row r="646">
      <c r="A646" s="29" t="inlineStr"/>
    </row>
    <row r="647">
      <c r="A647" s="29" t="inlineStr">
        <is>
          <t>class FdicDemoProvider(Provider):</t>
        </is>
      </c>
    </row>
    <row r="648">
      <c r="A648" s="29" t="inlineStr">
        <is>
          <t xml:space="preserve">    """Deterministic offline stand-in (BUILD SPEC 0.7). Seeded per (cert,</t>
        </is>
      </c>
    </row>
    <row r="649">
      <c r="A649" s="29" t="inlineStr">
        <is>
          <t xml:space="preserve">    field) -- the SAME bank yields the SAME history in any slot, so a [PEERS]</t>
        </is>
      </c>
    </row>
    <row r="650">
      <c r="A650" s="29" t="inlineStr">
        <is>
          <t xml:space="preserve">    swap visibly moves data between slots (the flexibility test). Realistic</t>
        </is>
      </c>
    </row>
    <row r="651">
      <c r="A651" s="29" t="inlineStr">
        <is>
          <t xml:space="preserve">    ranges per metric; the seed profile puts one illustrative bank in a</t>
        </is>
      </c>
    </row>
    <row r="652">
      <c r="A652" s="29" t="inlineStr">
        <is>
          <t xml:space="preserve">    Texas-ALERT tier and one in a Texas-WATCH tier; one bank's BRO is null</t>
        </is>
      </c>
    </row>
    <row r="653">
      <c r="A653" s="29" t="inlineStr">
        <is>
          <t xml:space="preserve">    for the whole series (trap F3); every series carries one interior None.</t>
        </is>
      </c>
    </row>
    <row r="654">
      <c r="A654" s="29" t="inlineStr">
        <is>
          <t xml:space="preserve">    NO network, NO key; never stale at its own asof."""</t>
        </is>
      </c>
    </row>
    <row r="655">
      <c r="A655" s="29" t="inlineStr"/>
    </row>
    <row r="656">
      <c r="A656" s="29" t="inlineStr">
        <is>
          <t xml:space="preserve">    source_class = "A"</t>
        </is>
      </c>
    </row>
    <row r="657">
      <c r="A657" s="29" t="inlineStr"/>
    </row>
    <row r="658">
      <c r="A658" s="29" t="inlineStr">
        <is>
          <t xml:space="preserve">    def __init__(self, asof: Optional[date] = None,</t>
        </is>
      </c>
    </row>
    <row r="659">
      <c r="A659" s="29" t="inlineStr">
        <is>
          <t xml:space="preserve">                 raw_slots: int = RAW_SLOTS_DEFAULT):</t>
        </is>
      </c>
    </row>
    <row r="660">
      <c r="A660" s="29" t="inlineStr">
        <is>
          <t xml:space="preserve">        super().__init__()</t>
        </is>
      </c>
    </row>
    <row r="661">
      <c r="A661" s="29" t="inlineStr">
        <is>
          <t xml:space="preserve">        self.asof = asof or date(2026, 3, 31)</t>
        </is>
      </c>
    </row>
    <row r="662">
      <c r="A662" s="29" t="inlineStr">
        <is>
          <t xml:space="preserve">        self.raw_slots = raw_slots</t>
        </is>
      </c>
    </row>
    <row r="663">
      <c r="A663" s="29" t="inlineStr">
        <is>
          <t xml:space="preserve">        self.vintage = "demo data (FdicDemoProvider -- no live vintage)"</t>
        </is>
      </c>
    </row>
    <row r="664">
      <c r="A664" s="29" t="inlineStr">
        <is>
          <t xml:space="preserve">        self._profiles: Dict[str, List[Tuple[str, Dict[str, Optional[float]]]]] = {}</t>
        </is>
      </c>
    </row>
    <row r="665">
      <c r="A665" s="29" t="inlineStr"/>
    </row>
    <row r="666">
      <c r="A666" s="29" t="inlineStr">
        <is>
          <t xml:space="preserve">    def prime(self, certs, asof=None, names=None):</t>
        </is>
      </c>
    </row>
    <row r="667">
      <c r="A667" s="29" t="inlineStr">
        <is>
          <t xml:space="preserve">        names = names or {}</t>
        </is>
      </c>
    </row>
    <row r="668">
      <c r="A668" s="29" t="inlineStr">
        <is>
          <t xml:space="preserve">        for c in certs:</t>
        </is>
      </c>
    </row>
    <row r="669">
      <c r="A669" s="29" t="inlineStr">
        <is>
          <t xml:space="preserve">            self.roster[str(c)] = {</t>
        </is>
      </c>
    </row>
    <row r="670">
      <c r="A670" s="29" t="inlineStr">
        <is>
          <t xml:space="preserve">                "CERT": str(c), "NAME": names.get(str(c), f"Bank {c}"),</t>
        </is>
      </c>
    </row>
    <row r="671">
      <c r="A671" s="29" t="inlineStr">
        <is>
          <t xml:space="preserve">                "ACTIVE": 1, "BKCLASS": "N", "ENDEFYMD": None,</t>
        </is>
      </c>
    </row>
    <row r="672">
      <c r="A672" s="29" t="inlineStr">
        <is>
          <t xml:space="preserve">                "FED_RSSD": None}</t>
        </is>
      </c>
    </row>
    <row r="673">
      <c r="A673" s="29" t="inlineStr"/>
    </row>
    <row r="674">
      <c r="A674" s="29" t="inlineStr">
        <is>
          <t xml:space="preserve">    @staticmethod</t>
        </is>
      </c>
    </row>
    <row r="675">
      <c r="A675" s="29" t="inlineStr">
        <is>
          <t xml:space="preserve">    def _seed(cert: str) -&gt; int:</t>
        </is>
      </c>
    </row>
    <row r="676">
      <c r="A676" s="29" t="inlineStr">
        <is>
          <t xml:space="preserve">        try:</t>
        </is>
      </c>
    </row>
    <row r="677">
      <c r="A677" s="29" t="inlineStr">
        <is>
          <t xml:space="preserve">            n = int(cert)</t>
        </is>
      </c>
    </row>
    <row r="678">
      <c r="A678" s="29" t="inlineStr">
        <is>
          <t xml:space="preserve">        except ValueError:</t>
        </is>
      </c>
    </row>
    <row r="679">
      <c r="A679" s="29" t="inlineStr">
        <is>
          <t xml:space="preserve">            n = sum((i + 1) * ord(c) for i, c in enumerate(cert))</t>
        </is>
      </c>
    </row>
    <row r="680">
      <c r="A680" s="29" t="inlineStr">
        <is>
          <t xml:space="preserve">        return (n * 2654435761) % (2 ** 32)</t>
        </is>
      </c>
    </row>
    <row r="681">
      <c r="A681" s="29" t="inlineStr"/>
    </row>
    <row r="682">
      <c r="A682" s="29" t="inlineStr">
        <is>
          <t xml:space="preserve">    def _periods(self) -&gt; List[str]:</t>
        </is>
      </c>
    </row>
    <row r="683">
      <c r="A683" s="29" t="inlineStr">
        <is>
          <t xml:space="preserve">        idx = pd.period_range(end=pd.Period(self.asof, freq="Q"),</t>
        </is>
      </c>
    </row>
    <row r="684">
      <c r="A684" s="29" t="inlineStr">
        <is>
          <t xml:space="preserve">                              periods=self.raw_slots, freq="Q")</t>
        </is>
      </c>
    </row>
    <row r="685">
      <c r="A685" s="29" t="inlineStr">
        <is>
          <t xml:space="preserve">        return [p.to_timestamp(how="end").date().isoformat() for p in idx]</t>
        </is>
      </c>
    </row>
    <row r="686">
      <c r="A686" s="29" t="inlineStr"/>
    </row>
    <row r="687">
      <c r="A687" s="29" t="inlineStr">
        <is>
          <t xml:space="preserve">    def _profile(self, cert: str):</t>
        </is>
      </c>
    </row>
    <row r="688">
      <c r="A688" s="29" t="inlineStr">
        <is>
          <t xml:space="preserve">        """Full consistent quarter-by-quarter field history for one bank:</t>
        </is>
      </c>
    </row>
    <row r="689">
      <c r="A689" s="29" t="inlineStr">
        <is>
          <t xml:space="preserve">        dollar fields derive from the SAME wobbled ratios the ratio fields</t>
        </is>
      </c>
    </row>
    <row r="690">
      <c r="A690" s="29" t="inlineStr">
        <is>
          <t xml:space="preserve">        report, so every derived metric (Texas, coverage, CRE) is internally</t>
        </is>
      </c>
    </row>
    <row r="691">
      <c r="A691" s="29" t="inlineStr">
        <is>
          <t xml:space="preserve">        consistent -- the parity tests lean on that."""</t>
        </is>
      </c>
    </row>
    <row r="692">
      <c r="A692" s="29" t="inlineStr">
        <is>
          <t xml:space="preserve">        if cert in self._profiles:</t>
        </is>
      </c>
    </row>
    <row r="693">
      <c r="A693" s="29" t="inlineStr">
        <is>
          <t xml:space="preserve">            return self._profiles[cert]</t>
        </is>
      </c>
    </row>
    <row r="694">
      <c r="A694" s="29" t="inlineStr">
        <is>
          <t xml:space="preserve">        s = self._seed(cert)</t>
        </is>
      </c>
    </row>
    <row r="695">
      <c r="A695" s="29" t="inlineStr">
        <is>
          <t xml:space="preserve">        n = self.raw_slots</t>
        </is>
      </c>
    </row>
    <row r="696">
      <c r="A696" s="29" t="inlineStr">
        <is>
          <t xml:space="preserve">        tier = s % 13                       # 0 = ALERT tier, 1 = WATCH tier</t>
        </is>
      </c>
    </row>
    <row r="697">
      <c r="A697" s="29" t="inlineStr">
        <is>
          <t xml:space="preserve">        # newest-quarter targets per tier (ratios in percent)</t>
        </is>
      </c>
    </row>
    <row r="698">
      <c r="A698" s="29" t="inlineStr">
        <is>
          <t xml:space="preserve">        if tier == 0:      # deep-stress illustrative bank: Texas &gt; 100</t>
        </is>
      </c>
    </row>
    <row r="699">
      <c r="A699" s="29" t="inlineStr">
        <is>
          <t xml:space="preserve">            eq_r, ncl, res_r, p3, nco = 0.035, 13.0, 6.5, 3.4, 2.3</t>
        </is>
      </c>
    </row>
    <row r="700">
      <c r="A700" s="29" t="inlineStr">
        <is>
          <t xml:space="preserve">            roaq, nimy, eeffr = -0.6, 1.9, 88.0</t>
        </is>
      </c>
    </row>
    <row r="701">
      <c r="A701" s="29" t="inlineStr">
        <is>
          <t xml:space="preserve">        elif tier == 1:    # stressed illustrative bank: Texas 50-100</t>
        </is>
      </c>
    </row>
    <row r="702">
      <c r="A702" s="29" t="inlineStr">
        <is>
          <t xml:space="preserve">            eq_r, ncl, res_r, p3, nco = 0.055, 8.6, 6.4, 2.1, 1.3</t>
        </is>
      </c>
    </row>
    <row r="703">
      <c r="A703" s="29" t="inlineStr">
        <is>
          <t xml:space="preserve">            roaq, nimy, eeffr = 0.3, 2.35, 74.0</t>
        </is>
      </c>
    </row>
    <row r="704">
      <c r="A704" s="29" t="inlineStr">
        <is>
          <t xml:space="preserve">        else:              # healthy ranges</t>
        </is>
      </c>
    </row>
    <row r="705">
      <c r="A705" s="29" t="inlineStr">
        <is>
          <t xml:space="preserve">            eq_r = 0.092 + (s % 25) * 0.001</t>
        </is>
      </c>
    </row>
    <row r="706">
      <c r="A706" s="29" t="inlineStr">
        <is>
          <t xml:space="preserve">            ncl = 0.35 + (s % 14) * 0.09</t>
        </is>
      </c>
    </row>
    <row r="707">
      <c r="A707" s="29" t="inlineStr">
        <is>
          <t xml:space="preserve">            res_r = 1.05 + (s % 9) * 0.09</t>
        </is>
      </c>
    </row>
    <row r="708">
      <c r="A708" s="29" t="inlineStr">
        <is>
          <t xml:space="preserve">            p3 = 0.5 + (s % 9) * 0.1</t>
        </is>
      </c>
    </row>
    <row r="709">
      <c r="A709" s="29" t="inlineStr">
        <is>
          <t xml:space="preserve">            nco = 0.12 + (s % 10) * 0.05</t>
        </is>
      </c>
    </row>
    <row r="710">
      <c r="A710" s="29" t="inlineStr">
        <is>
          <t xml:space="preserve">            roaq = 0.85 + (s % 8) * 0.09</t>
        </is>
      </c>
    </row>
    <row r="711">
      <c r="A711" s="29" t="inlineStr">
        <is>
          <t xml:space="preserve">            nimy = 2.65 + (s % 14) * 0.11</t>
        </is>
      </c>
    </row>
    <row r="712">
      <c r="A712" s="29" t="inlineStr">
        <is>
          <t xml:space="preserve">            eeffr = 52.0 + (s % 17)</t>
        </is>
      </c>
    </row>
    <row r="713">
      <c r="A713" s="29" t="inlineStr">
        <is>
          <t xml:space="preserve">        asset0 = 2.0e6 + (s % 400) * 1.0e6          # $000: $2B - $402B</t>
        </is>
      </c>
    </row>
    <row r="714">
      <c r="A714" s="29" t="inlineStr">
        <is>
          <t xml:space="preserve">        loans_r = 0.55 + (s % 18) * 0.01</t>
        </is>
      </c>
    </row>
    <row r="715">
      <c r="A715" s="29" t="inlineStr">
        <is>
          <t xml:space="preserve">        dep_r = 0.72 + (s % 9) * 0.01</t>
        </is>
      </c>
    </row>
    <row r="716">
      <c r="A716" s="29" t="inlineStr">
        <is>
          <t xml:space="preserve">        bro_r = ((s &gt;&gt; 4) % 29) / 200.0     # 0-14%: a couple of WATCHes, no ALERT</t>
        </is>
      </c>
    </row>
    <row r="717">
      <c r="A717" s="29" t="inlineStr">
        <is>
          <t xml:space="preserve">        bro_none = (s % 17) == 3                     # whole-series null BRO</t>
        </is>
      </c>
    </row>
    <row r="718">
      <c r="A718" s="29" t="inlineStr">
        <is>
          <t xml:space="preserve">        cre_c = 0.02 + (s % 6) * 0.005</t>
        </is>
      </c>
    </row>
    <row r="719">
      <c r="A719" s="29" t="inlineStr">
        <is>
          <t xml:space="preserve">        cre_n = 0.10 + (s % 12) * 0.01</t>
        </is>
      </c>
    </row>
    <row r="720">
      <c r="A720" s="29" t="inlineStr">
        <is>
          <t xml:space="preserve">        cre_m = 0.03 + (s % 7) * 0.01</t>
        </is>
      </c>
    </row>
    <row r="721">
      <c r="A721" s="29" t="inlineStr">
        <is>
          <t xml:space="preserve">        periods = self._periods()</t>
        </is>
      </c>
    </row>
    <row r="722">
      <c r="A722" s="29" t="inlineStr">
        <is>
          <t xml:space="preserve">        quarters = []</t>
        </is>
      </c>
    </row>
    <row r="723">
      <c r="A723" s="29" t="inlineStr">
        <is>
          <t xml:space="preserve">        for i, iso in enumerate(periods):            # i=0 oldest .. n-1 newest</t>
        </is>
      </c>
    </row>
    <row r="724">
      <c r="A724" s="29" t="inlineStr">
        <is>
          <t xml:space="preserve">            ramp = 0.7 + 0.3 * (i / max(1, n - 1))   # deterioration narrative</t>
        </is>
      </c>
    </row>
    <row r="725">
      <c r="A725" s="29" t="inlineStr">
        <is>
          <t xml:space="preserve">            wob = 1.0 + 0.04 * math.sin((i + s % 7) / 2.1)</t>
        </is>
      </c>
    </row>
    <row r="726">
      <c r="A726" s="29" t="inlineStr">
        <is>
          <t xml:space="preserve">            a = asset0 * ((1.009) ** i) * (1.0 + 0.008 * math.sin((i + s % 9) / 2.7))</t>
        </is>
      </c>
    </row>
    <row r="727">
      <c r="A727" s="29" t="inlineStr">
        <is>
          <t xml:space="preserve">            loans = loans_r * a</t>
        </is>
      </c>
    </row>
    <row r="728">
      <c r="A728" s="29" t="inlineStr">
        <is>
          <t xml:space="preserve">            ncl_i = ncl * ramp * wob</t>
        </is>
      </c>
    </row>
    <row r="729">
      <c r="A729" s="29" t="inlineStr">
        <is>
          <t xml:space="preserve">            res_i = res_r * (0.9 + 0.1 * ramp) * wob</t>
        </is>
      </c>
    </row>
    <row r="730">
      <c r="A730" s="29" t="inlineStr">
        <is>
          <t xml:space="preserve">            f: Dict[str, Optional[float]] = {}</t>
        </is>
      </c>
    </row>
    <row r="731">
      <c r="A731" s="29" t="inlineStr">
        <is>
          <t xml:space="preserve">            f["ASSET"] = round(a)</t>
        </is>
      </c>
    </row>
    <row r="732">
      <c r="A732" s="29" t="inlineStr">
        <is>
          <t xml:space="preserve">            f["DEP"] = round(dep_r * a)</t>
        </is>
      </c>
    </row>
    <row r="733">
      <c r="A733" s="29" t="inlineStr">
        <is>
          <t xml:space="preserve">            f["LNLSGR"] = round(loans)</t>
        </is>
      </c>
    </row>
    <row r="734">
      <c r="A734" s="29" t="inlineStr">
        <is>
          <t xml:space="preserve">            f["LNLSNET"] = round(loans * (1.0 - res_i / 100.0))</t>
        </is>
      </c>
    </row>
    <row r="735">
      <c r="A735" s="29" t="inlineStr">
        <is>
          <t xml:space="preserve">            f["BRO"] = None if bro_none else round(bro_r * dep_r * a)</t>
        </is>
      </c>
    </row>
    <row r="736">
      <c r="A736" s="29" t="inlineStr">
        <is>
          <t xml:space="preserve">            f["EQ"] = round(eq_r * a)</t>
        </is>
      </c>
    </row>
    <row r="737">
      <c r="A737" s="29" t="inlineStr">
        <is>
          <t xml:space="preserve">            f["NCLNLS"] = round(ncl_i / 100.0 * loans)</t>
        </is>
      </c>
    </row>
    <row r="738">
      <c r="A738" s="29" t="inlineStr">
        <is>
          <t xml:space="preserve">            f["LNATRES"] = round(res_i / 100.0 * loans)</t>
        </is>
      </c>
    </row>
    <row r="739">
      <c r="A739" s="29" t="inlineStr">
        <is>
          <t xml:space="preserve">            f["P3LNLS"] = round(p3 * ramp / 100.0 * loans)</t>
        </is>
      </c>
    </row>
    <row r="740">
      <c r="A740" s="29" t="inlineStr">
        <is>
          <t xml:space="preserve">            f["LNRECONS"] = round(cre_c * loans)</t>
        </is>
      </c>
    </row>
    <row r="741">
      <c r="A741" s="29" t="inlineStr">
        <is>
          <t xml:space="preserve">            f["LNRENRES"] = round(cre_n * loans)</t>
        </is>
      </c>
    </row>
    <row r="742">
      <c r="A742" s="29" t="inlineStr">
        <is>
          <t xml:space="preserve">            f["LNREMULT"] = round(cre_m * loans)</t>
        </is>
      </c>
    </row>
    <row r="743">
      <c r="A743" s="29" t="inlineStr">
        <is>
          <t xml:space="preserve">            f["NCLNLSR"] = round(ncl_i, 4)</t>
        </is>
      </c>
    </row>
    <row r="744">
      <c r="A744" s="29" t="inlineStr">
        <is>
          <t xml:space="preserve">            f["NTLNLSQR"] = round(nco * ramp * wob, 4)</t>
        </is>
      </c>
    </row>
    <row r="745">
      <c r="A745" s="29" t="inlineStr">
        <is>
          <t xml:space="preserve">            f["LNATRESR"] = round(res_i, 4)</t>
        </is>
      </c>
    </row>
    <row r="746">
      <c r="A746" s="29" t="inlineStr">
        <is>
          <t xml:space="preserve">            f["LNRESNCR"] = round(res_i / ncl_i * 100.0, 4)</t>
        </is>
      </c>
    </row>
    <row r="747">
      <c r="A747" s="29" t="inlineStr">
        <is>
          <t xml:space="preserve">            f["RBC1AAJ"] = round(eq_r * 100.0 - 0.3 + 0.2 * math.sin(i + s), 4)</t>
        </is>
      </c>
    </row>
    <row r="748">
      <c r="A748" s="29" t="inlineStr">
        <is>
          <t xml:space="preserve">            # CBLR-elector shape: risk-based ratio can be null (trap F3)</t>
        </is>
      </c>
    </row>
    <row r="749">
      <c r="A749" s="29" t="inlineStr">
        <is>
          <t xml:space="preserve">            f["RBCRWAJ"] = round(eq_r * 100.0 + 5.2 + 0.3 * math.sin(i + s), 4)</t>
        </is>
      </c>
    </row>
    <row r="750">
      <c r="A750" s="29" t="inlineStr">
        <is>
          <t xml:space="preserve">            f["EQV"] = round(eq_r * 100.0, 4)</t>
        </is>
      </c>
    </row>
    <row r="751">
      <c r="A751" s="29" t="inlineStr">
        <is>
          <t xml:space="preserve">            f["ROAQ"] = round(roaq * (0.85 + 0.15 * ramp) * wob, 4)</t>
        </is>
      </c>
    </row>
    <row r="752">
      <c r="A752" s="29" t="inlineStr">
        <is>
          <t xml:space="preserve">            f["NIMY"] = round(nimy * wob, 4)</t>
        </is>
      </c>
    </row>
    <row r="753">
      <c r="A753" s="29" t="inlineStr">
        <is>
          <t xml:space="preserve">            f["EEFFR"] = round(eeffr * wob, 4)</t>
        </is>
      </c>
    </row>
    <row r="754">
      <c r="A754" s="29" t="inlineStr">
        <is>
          <t xml:space="preserve">            quarters.append((iso, f))</t>
        </is>
      </c>
    </row>
    <row r="755">
      <c r="A755" s="29" t="inlineStr">
        <is>
          <t xml:space="preserve">        # one interior None per (cert, field) series -- exercises the</t>
        </is>
      </c>
    </row>
    <row r="756">
      <c r="A756" s="29" t="inlineStr">
        <is>
          <t xml:space="preserve">        # missing-value path deterministically, at offsets &gt;= 2 from newest so</t>
        </is>
      </c>
    </row>
    <row r="757">
      <c r="A757" s="29" t="inlineStr">
        <is>
          <t xml:space="preserve">        # the latest-quarter headline formulas never see it.</t>
        </is>
      </c>
    </row>
    <row r="758">
      <c r="A758" s="29" t="inlineStr">
        <is>
          <t xml:space="preserve">        n_q = len(quarters)</t>
        </is>
      </c>
    </row>
    <row r="759">
      <c r="A759" s="29" t="inlineStr">
        <is>
          <t xml:space="preserve">        if n_q &gt;= 6:</t>
        </is>
      </c>
    </row>
    <row r="760">
      <c r="A760" s="29" t="inlineStr">
        <is>
          <t xml:space="preserve">            for j, fname in enumerate(RAW_FIELDS):</t>
        </is>
      </c>
    </row>
    <row r="761">
      <c r="A761" s="29" t="inlineStr">
        <is>
          <t xml:space="preserve">                k_from_new = 2 + (s + 7 * j) % (n_q - 3)</t>
        </is>
      </c>
    </row>
    <row r="762">
      <c r="A762" s="29" t="inlineStr">
        <is>
          <t xml:space="preserve">                quarters[n_q - 1 - k_from_new][1][fname] = None</t>
        </is>
      </c>
    </row>
    <row r="763">
      <c r="A763" s="29" t="inlineStr">
        <is>
          <t xml:space="preserve">        self._profiles[cert] = quarters</t>
        </is>
      </c>
    </row>
    <row r="764">
      <c r="A764" s="29" t="inlineStr">
        <is>
          <t xml:space="preserve">        return quarters</t>
        </is>
      </c>
    </row>
    <row r="765">
      <c r="A765" s="29" t="inlineStr"/>
    </row>
    <row r="766">
      <c r="A766" s="29" t="inlineStr">
        <is>
          <t xml:space="preserve">    def fetch_series(self, spec: FieldSpec, secret=None) -&gt; List[NormalizedRow]:</t>
        </is>
      </c>
    </row>
    <row r="767">
      <c r="A767" s="29" t="inlineStr">
        <is>
          <t xml:space="preserve">        quarters = self._profile(spec.cert)          # oldest-first</t>
        </is>
      </c>
    </row>
    <row r="768">
      <c r="A768" s="29" t="inlineStr">
        <is>
          <t xml:space="preserve">        return [NormalizedRow(id=spec.id, period=iso, value=f[spec.fname],</t>
        </is>
      </c>
    </row>
    <row r="769">
      <c r="A769" s="29" t="inlineStr">
        <is>
          <t xml:space="preserve">                              geo_segment=spec.geo_segment,</t>
        </is>
      </c>
    </row>
    <row r="770">
      <c r="A770" s="29" t="inlineStr">
        <is>
          <t xml:space="preserve">                              source_class=self.source_class, units=spec.units)</t>
        </is>
      </c>
    </row>
    <row r="771">
      <c r="A771" s="29" t="inlineStr">
        <is>
          <t xml:space="preserve">                for iso, f in quarters]</t>
        </is>
      </c>
    </row>
    <row r="772">
      <c r="A772" s="29" t="inlineStr"/>
    </row>
    <row r="773">
      <c r="A773" s="29" t="inlineStr"/>
    </row>
    <row r="774">
      <c r="A774" s="29" t="inlineStr">
        <is>
          <t>class FdicProvider(Provider):</t>
        </is>
      </c>
    </row>
    <row r="775">
      <c r="A775" s="29" t="inlineStr">
        <is>
          <t xml:space="preserve">    """Live Class A provider: plain urllib REST against api.fdic.gov (BUILD</t>
        </is>
      </c>
    </row>
    <row r="776">
      <c r="A776" s="29" t="inlineStr">
        <is>
          <t xml:space="preserve">    SPEC 0.3 -- KEYLESS: the FDIC BankFind API needs no API key; swagger marks</t>
        </is>
      </c>
    </row>
    <row r="777">
      <c r="A777" s="29" t="inlineStr">
        <is>
          <t xml:space="preserve">    api_key optional and every observed client is keyless). ONE bulk</t>
        </is>
      </c>
    </row>
    <row r="778">
      <c r="A778" s="29" t="inlineStr">
        <is>
          <t xml:space="preserve">    /financials request per refresh covers the whole peer set (30 banks x</t>
        </is>
      </c>
    </row>
    <row r="779">
      <c r="A779" s="29" t="inlineStr">
        <is>
          <t xml:space="preserve">    ~24 fields x 16 quarters &lt;&lt; the 10,000-row cap), plus one /institutions</t>
        </is>
      </c>
    </row>
    <row r="780">
      <c r="A780" s="29" t="inlineStr">
        <is>
          <t xml:space="preserve">    roster call for identity + merger detection (trap F2). Rate limit is</t>
        </is>
      </c>
    </row>
    <row r="781">
      <c r="A781" s="29" t="inlineStr">
        <is>
          <t xml:space="preserve">    UNDOCUMENTED -- be polite: min_interval throttle, 429/5xx backoff,</t>
        </is>
      </c>
    </row>
    <row r="782">
      <c r="A782" s="29" t="inlineStr">
        <is>
          <t xml:space="preserve">    per-URL cache."""</t>
        </is>
      </c>
    </row>
    <row r="783">
      <c r="A783" s="29" t="inlineStr"/>
    </row>
    <row r="784">
      <c r="A784" s="29" t="inlineStr">
        <is>
          <t xml:space="preserve">    source_class = "A"</t>
        </is>
      </c>
    </row>
    <row r="785">
      <c r="A785" s="29" t="inlineStr"/>
    </row>
    <row r="786">
      <c r="A786" s="29" t="inlineStr">
        <is>
          <t xml:space="preserve">    def __init__(self, min_interval: float = 0.6, max_retries: int = 4,</t>
        </is>
      </c>
    </row>
    <row r="787">
      <c r="A787" s="29" t="inlineStr">
        <is>
          <t xml:space="preserve">                 raw_slots: int = RAW_SLOTS_DEFAULT, limit: int = 10000):</t>
        </is>
      </c>
    </row>
    <row r="788">
      <c r="A788" s="29" t="inlineStr">
        <is>
          <t xml:space="preserve">        super().__init__()</t>
        </is>
      </c>
    </row>
    <row r="789">
      <c r="A789" s="29" t="inlineStr">
        <is>
          <t xml:space="preserve">        self._min_interval = float(min_interval)</t>
        </is>
      </c>
    </row>
    <row r="790">
      <c r="A790" s="29" t="inlineStr">
        <is>
          <t xml:space="preserve">        self._max_retries = int(max_retries)</t>
        </is>
      </c>
    </row>
    <row r="791">
      <c r="A791" s="29" t="inlineStr">
        <is>
          <t xml:space="preserve">        self._raw_slots = int(raw_slots)</t>
        </is>
      </c>
    </row>
    <row r="792">
      <c r="A792" s="29" t="inlineStr">
        <is>
          <t xml:space="preserve">        self._limit = int(limit)</t>
        </is>
      </c>
    </row>
    <row r="793">
      <c r="A793" s="29" t="inlineStr">
        <is>
          <t xml:space="preserve">        self._last = 0.0</t>
        </is>
      </c>
    </row>
    <row r="794">
      <c r="A794" s="29" t="inlineStr">
        <is>
          <t xml:space="preserve">        self._cache: Dict[str, bytes] = {}</t>
        </is>
      </c>
    </row>
    <row r="795">
      <c r="A795" s="29" t="inlineStr">
        <is>
          <t xml:space="preserve">        self._bulk: Optional[Dict[str, Dict[str, Dict[str, Optional[float]]]]] = None</t>
        </is>
      </c>
    </row>
    <row r="796">
      <c r="A796" s="29" t="inlineStr"/>
    </row>
    <row r="797">
      <c r="A797" s="29" t="inlineStr">
        <is>
          <t xml:space="preserve">    def _throttle(self):</t>
        </is>
      </c>
    </row>
    <row r="798">
      <c r="A798" s="29" t="inlineStr">
        <is>
          <t xml:space="preserve">        gap = time.time() - self._last</t>
        </is>
      </c>
    </row>
    <row r="799">
      <c r="A799" s="29" t="inlineStr">
        <is>
          <t xml:space="preserve">        if gap &lt; self._min_interval:</t>
        </is>
      </c>
    </row>
    <row r="800">
      <c r="A800" s="29" t="inlineStr">
        <is>
          <t xml:space="preserve">            time.sleep(self._min_interval - gap)</t>
        </is>
      </c>
    </row>
    <row r="801">
      <c r="A801" s="29" t="inlineStr">
        <is>
          <t xml:space="preserve">        self._last = time.time()</t>
        </is>
      </c>
    </row>
    <row r="802">
      <c r="A802" s="29" t="inlineStr"/>
    </row>
    <row r="803">
      <c r="A803" s="29" t="inlineStr">
        <is>
          <t xml:space="preserve">    def _http_get(self, url: str) -&gt; bytes:</t>
        </is>
      </c>
    </row>
    <row r="804">
      <c r="A804" s="29" t="inlineStr">
        <is>
          <t xml:space="preserve">        """The one real network call -- isolated so tests can stub it."""</t>
        </is>
      </c>
    </row>
    <row r="805">
      <c r="A805" s="29" t="inlineStr">
        <is>
          <t xml:space="preserve">        import urllib.request</t>
        </is>
      </c>
    </row>
    <row r="806">
      <c r="A806" s="29" t="inlineStr">
        <is>
          <t xml:space="preserve">        with urllib.request.urlopen(url, timeout=60) as resp:</t>
        </is>
      </c>
    </row>
    <row r="807">
      <c r="A807" s="29" t="inlineStr">
        <is>
          <t xml:space="preserve">            return resp.read()</t>
        </is>
      </c>
    </row>
    <row r="808">
      <c r="A808" s="29" t="inlineStr"/>
    </row>
    <row r="809">
      <c r="A809" s="29" t="inlineStr">
        <is>
          <t xml:space="preserve">    def _download(self, url: str, label: str) -&gt; bytes:</t>
        </is>
      </c>
    </row>
    <row r="810">
      <c r="A810" s="29" t="inlineStr">
        <is>
          <t xml:space="preserve">        """Cache + throttle + backoff. 429/5xx retry with backoff; other HTTP</t>
        </is>
      </c>
    </row>
    <row r="811">
      <c r="A811" s="29" t="inlineStr">
        <is>
          <t xml:space="preserve">        codes fail fast (bad filter syntax / bad field name)."""</t>
        </is>
      </c>
    </row>
    <row r="812">
      <c r="A812" s="29" t="inlineStr">
        <is>
          <t xml:space="preserve">        if url in self._cache:                       # repeat fetch == cache hit</t>
        </is>
      </c>
    </row>
    <row r="813">
      <c r="A813" s="29" t="inlineStr">
        <is>
          <t xml:space="preserve">            return self._cache[url]</t>
        </is>
      </c>
    </row>
    <row r="814">
      <c r="A814" s="29" t="inlineStr">
        <is>
          <t xml:space="preserve">        import urllib.error</t>
        </is>
      </c>
    </row>
    <row r="815">
      <c r="A815" s="29" t="inlineStr">
        <is>
          <t xml:space="preserve">        for attempt in range(self._max_retries + 1):</t>
        </is>
      </c>
    </row>
    <row r="816">
      <c r="A816" s="29" t="inlineStr">
        <is>
          <t xml:space="preserve">            self._throttle()</t>
        </is>
      </c>
    </row>
    <row r="817">
      <c r="A817" s="29" t="inlineStr">
        <is>
          <t xml:space="preserve">            try:</t>
        </is>
      </c>
    </row>
    <row r="818">
      <c r="A818" s="29" t="inlineStr">
        <is>
          <t xml:space="preserve">                data = self._http_get(url)</t>
        </is>
      </c>
    </row>
    <row r="819">
      <c r="A819" s="29" t="inlineStr">
        <is>
          <t xml:space="preserve">                self._cache[url] = data</t>
        </is>
      </c>
    </row>
    <row r="820">
      <c r="A820" s="29" t="inlineStr">
        <is>
          <t xml:space="preserve">                return data</t>
        </is>
      </c>
    </row>
    <row r="821">
      <c r="A821" s="29" t="inlineStr">
        <is>
          <t xml:space="preserve">            except urllib.error.HTTPError as exc:</t>
        </is>
      </c>
    </row>
    <row r="822">
      <c r="A822" s="29" t="inlineStr">
        <is>
          <t xml:space="preserve">                if exc.code == 429 or exc.code &gt;= 500:</t>
        </is>
      </c>
    </row>
    <row r="823">
      <c r="A823" s="29" t="inlineStr">
        <is>
          <t xml:space="preserve">                    if attempt &lt; self._max_retries:</t>
        </is>
      </c>
    </row>
    <row r="824">
      <c r="A824" s="29" t="inlineStr">
        <is>
          <t xml:space="preserve">                        time.sleep(2.0 * (attempt + 1))</t>
        </is>
      </c>
    </row>
    <row r="825">
      <c r="A825" s="29" t="inlineStr">
        <is>
          <t xml:space="preserve">                        continue</t>
        </is>
      </c>
    </row>
    <row r="826">
      <c r="A826" s="29" t="inlineStr">
        <is>
          <t xml:space="preserve">                raise RuntimeError(f"FDIC fetch failed for {label}: "</t>
        </is>
      </c>
    </row>
    <row r="827">
      <c r="A827" s="29" t="inlineStr">
        <is>
          <t xml:space="preserve">                                   f"HTTP {exc.code}")</t>
        </is>
      </c>
    </row>
    <row r="828">
      <c r="A828" s="29" t="inlineStr">
        <is>
          <t xml:space="preserve">            except Exception as exc:</t>
        </is>
      </c>
    </row>
    <row r="829">
      <c r="A829" s="29" t="inlineStr">
        <is>
          <t xml:space="preserve">                if attempt &lt; self._max_retries:</t>
        </is>
      </c>
    </row>
    <row r="830">
      <c r="A830" s="29" t="inlineStr">
        <is>
          <t xml:space="preserve">                    time.sleep(2.0 * (attempt + 1))</t>
        </is>
      </c>
    </row>
    <row r="831">
      <c r="A831" s="29" t="inlineStr">
        <is>
          <t xml:space="preserve">                    continue</t>
        </is>
      </c>
    </row>
    <row r="832">
      <c r="A832" s="29" t="inlineStr">
        <is>
          <t xml:space="preserve">                raise RuntimeError(f"FDIC fetch failed for {label}: "</t>
        </is>
      </c>
    </row>
    <row r="833">
      <c r="A833" s="29" t="inlineStr">
        <is>
          <t xml:space="preserve">                                   f"{type(exc).__name__}")</t>
        </is>
      </c>
    </row>
    <row r="834">
      <c r="A834" s="29" t="inlineStr"/>
    </row>
    <row r="835">
      <c r="A835" s="29" t="inlineStr">
        <is>
          <t xml:space="preserve">    @staticmethod</t>
        </is>
      </c>
    </row>
    <row r="836">
      <c r="A836" s="29" t="inlineStr">
        <is>
          <t xml:space="preserve">    def _iso(repdte: str) -&gt; str:</t>
        </is>
      </c>
    </row>
    <row r="837">
      <c r="A837" s="29" t="inlineStr">
        <is>
          <t xml:space="preserve">        r = str(repdte).strip()</t>
        </is>
      </c>
    </row>
    <row r="838">
      <c r="A838" s="29" t="inlineStr">
        <is>
          <t xml:space="preserve">        if len(r) == 8 and r.isdigit():              # "20260331" -&gt; ISO</t>
        </is>
      </c>
    </row>
    <row r="839">
      <c r="A839" s="29" t="inlineStr">
        <is>
          <t xml:space="preserve">            return f"{r[0:4]}-{r[4:6]}-{r[6:8]}"</t>
        </is>
      </c>
    </row>
    <row r="840">
      <c r="A840" s="29" t="inlineStr">
        <is>
          <t xml:space="preserve">        return r</t>
        </is>
      </c>
    </row>
    <row r="841">
      <c r="A841" s="29" t="inlineStr"/>
    </row>
    <row r="842">
      <c r="A842" s="29" t="inlineStr">
        <is>
          <t xml:space="preserve">    @staticmethod</t>
        </is>
      </c>
    </row>
    <row r="843">
      <c r="A843" s="29" t="inlineStr">
        <is>
          <t xml:space="preserve">    def _oldest_repdte(asof: date, raw_slots: int) -&gt; str:</t>
        </is>
      </c>
    </row>
    <row r="844">
      <c r="A844" s="29" t="inlineStr">
        <is>
          <t xml:space="preserve">        """Lower REPDTE bound: raw_slots quarters back from asof (fetch only</t>
        </is>
      </c>
    </row>
    <row r="845">
      <c r="A845" s="29" t="inlineStr">
        <is>
          <t xml:space="preserve">        what lands)."""</t>
        </is>
      </c>
    </row>
    <row r="846">
      <c r="A846" s="29" t="inlineStr">
        <is>
          <t xml:space="preserve">        months = raw_slots * 3</t>
        </is>
      </c>
    </row>
    <row r="847">
      <c r="A847" s="29" t="inlineStr">
        <is>
          <t xml:space="preserve">        y = asof.year - (months // 12)</t>
        </is>
      </c>
    </row>
    <row r="848">
      <c r="A848" s="29" t="inlineStr">
        <is>
          <t xml:space="preserve">        m = asof.month - (months % 12)</t>
        </is>
      </c>
    </row>
    <row r="849">
      <c r="A849" s="29" t="inlineStr">
        <is>
          <t xml:space="preserve">        if m &lt; 1:</t>
        </is>
      </c>
    </row>
    <row r="850">
      <c r="A850" s="29" t="inlineStr">
        <is>
          <t xml:space="preserve">            m += 12</t>
        </is>
      </c>
    </row>
    <row r="851">
      <c r="A851" s="29" t="inlineStr">
        <is>
          <t xml:space="preserve">            y -= 1</t>
        </is>
      </c>
    </row>
    <row r="852">
      <c r="A852" s="29" t="inlineStr">
        <is>
          <t xml:space="preserve">        return f"{y:04d}{m:02d}01"</t>
        </is>
      </c>
    </row>
    <row r="853">
      <c r="A853" s="29" t="inlineStr"/>
    </row>
    <row r="854">
      <c r="A854" s="29" t="inlineStr">
        <is>
          <t xml:space="preserve">    def prime(self, certs, asof, names=None):</t>
        </is>
      </c>
    </row>
    <row r="855">
      <c r="A855" s="29" t="inlineStr">
        <is>
          <t xml:space="preserve">        """The ONE bulk /financials call + the /institutions roster call.</t>
        </is>
      </c>
    </row>
    <row r="856">
      <c r="A856" s="29" t="inlineStr">
        <is>
          <t xml:space="preserve">        Guard: meta.total &gt; limit errors CLEARLY -- silent truncation would</t>
        </is>
      </c>
    </row>
    <row r="857">
      <c r="A857" s="29" t="inlineStr">
        <is>
          <t xml:space="preserve">        quietly drop whole banks (BUILD SPEC sec 1)."""</t>
        </is>
      </c>
    </row>
    <row r="858">
      <c r="A858" s="29" t="inlineStr">
        <is>
          <t xml:space="preserve">        certs = [str(c) for c in certs if str(c)]</t>
        </is>
      </c>
    </row>
    <row r="859">
      <c r="A859" s="29" t="inlineStr">
        <is>
          <t xml:space="preserve">        self._bulk = {}</t>
        </is>
      </c>
    </row>
    <row r="860">
      <c r="A860" s="29" t="inlineStr">
        <is>
          <t xml:space="preserve">        if not certs:</t>
        </is>
      </c>
    </row>
    <row r="861">
      <c r="A861" s="29" t="inlineStr">
        <is>
          <t xml:space="preserve">            return</t>
        </is>
      </c>
    </row>
    <row r="862">
      <c r="A862" s="29" t="inlineStr">
        <is>
          <t xml:space="preserve">        from urllib.parse import urlencode</t>
        </is>
      </c>
    </row>
    <row r="863">
      <c r="A863" s="29" t="inlineStr">
        <is>
          <t xml:space="preserve">        filt = ("CERT:(" + " OR ".join(certs) + ") AND REPDTE:["</t>
        </is>
      </c>
    </row>
    <row r="864">
      <c r="A864" s="29" t="inlineStr">
        <is>
          <t xml:space="preserve">                + self._oldest_repdte(asof, self._raw_slots) + " TO *]")</t>
        </is>
      </c>
    </row>
    <row r="865">
      <c r="A865" s="29" t="inlineStr">
        <is>
          <t xml:space="preserve">        url = FDIC_FIN_URL + "?" + urlencode({</t>
        </is>
      </c>
    </row>
    <row r="866">
      <c r="A866" s="29" t="inlineStr">
        <is>
          <t xml:space="preserve">            "filters": filt,</t>
        </is>
      </c>
    </row>
    <row r="867">
      <c r="A867" s="29" t="inlineStr">
        <is>
          <t xml:space="preserve">            "fields": "CERT,REPDTE," + ",".join(RAW_FIELDS),</t>
        </is>
      </c>
    </row>
    <row r="868">
      <c r="A868" s="29" t="inlineStr">
        <is>
          <t xml:space="preserve">            "sort_by": "REPDTE", "sort_order": "DESC",</t>
        </is>
      </c>
    </row>
    <row r="869">
      <c r="A869" s="29" t="inlineStr">
        <is>
          <t xml:space="preserve">            "limit": str(self._limit), "format": "json"})</t>
        </is>
      </c>
    </row>
    <row r="870">
      <c r="A870" s="29" t="inlineStr">
        <is>
          <t xml:space="preserve">        payload = json.loads(self._download(url, "financials bulk").decode("utf-8"))</t>
        </is>
      </c>
    </row>
    <row r="871">
      <c r="A871" s="29" t="inlineStr">
        <is>
          <t xml:space="preserve">        meta = payload.get("meta") or {}</t>
        </is>
      </c>
    </row>
    <row r="872">
      <c r="A872" s="29" t="inlineStr">
        <is>
          <t xml:space="preserve">        total = meta.get("total")</t>
        </is>
      </c>
    </row>
    <row r="873">
      <c r="A873" s="29" t="inlineStr">
        <is>
          <t xml:space="preserve">        if isinstance(total, dict):                  # ES-style nested total</t>
        </is>
      </c>
    </row>
    <row r="874">
      <c r="A874" s="29" t="inlineStr">
        <is>
          <t xml:space="preserve">            total = total.get("value")</t>
        </is>
      </c>
    </row>
    <row r="875">
      <c r="A875" s="29" t="inlineStr">
        <is>
          <t xml:space="preserve">        if total is not None and int(total) &gt; self._limit:</t>
        </is>
      </c>
    </row>
    <row r="876">
      <c r="A876" s="29" t="inlineStr">
        <is>
          <t xml:space="preserve">            raise RuntimeError(</t>
        </is>
      </c>
    </row>
    <row r="877">
      <c r="A877" s="29" t="inlineStr">
        <is>
          <t xml:space="preserve">                f"FDIC bulk response reports {total} rows but the request "</t>
        </is>
      </c>
    </row>
    <row r="878">
      <c r="A878" s="29" t="inlineStr">
        <is>
          <t xml:space="preserve">                f"limit is {self._limit}: the peer set x quarter window "</t>
        </is>
      </c>
    </row>
    <row r="879">
      <c r="A879" s="29" t="inlineStr">
        <is>
          <t xml:space="preserve">                f"exceeds one page. Narrow raw_slots or the peer list -- "</t>
        </is>
      </c>
    </row>
    <row r="880">
      <c r="A880" s="29" t="inlineStr">
        <is>
          <t xml:space="preserve">                f"refusing silent truncation.")</t>
        </is>
      </c>
    </row>
    <row r="881">
      <c r="A881" s="29" t="inlineStr">
        <is>
          <t xml:space="preserve">        self.vintage = str((meta.get("index") or {}).get("createTimestamp")</t>
        </is>
      </c>
    </row>
    <row r="882">
      <c r="A882" s="29" t="inlineStr">
        <is>
          <t xml:space="preserve">                           or "")</t>
        </is>
      </c>
    </row>
    <row r="883">
      <c r="A883" s="29" t="inlineStr">
        <is>
          <t xml:space="preserve">        for rec in payload.get("data", []):</t>
        </is>
      </c>
    </row>
    <row r="884">
      <c r="A884" s="29" t="inlineStr">
        <is>
          <t xml:space="preserve">            d = rec.get("data") or {}                # DOUBLE WRAP: data[i].data</t>
        </is>
      </c>
    </row>
    <row r="885">
      <c r="A885" s="29" t="inlineStr">
        <is>
          <t xml:space="preserve">            cert = _norm_cert(d.get("CERT"))</t>
        </is>
      </c>
    </row>
    <row r="886">
      <c r="A886" s="29" t="inlineStr">
        <is>
          <t xml:space="preserve">            iso = self._iso(d.get("REPDTE", ""))</t>
        </is>
      </c>
    </row>
    <row r="887">
      <c r="A887" s="29" t="inlineStr">
        <is>
          <t xml:space="preserve">            if not cert or not iso:</t>
        </is>
      </c>
    </row>
    <row r="888">
      <c r="A888" s="29" t="inlineStr">
        <is>
          <t xml:space="preserve">                continue</t>
        </is>
      </c>
    </row>
    <row r="889">
      <c r="A889" s="29" t="inlineStr">
        <is>
          <t xml:space="preserve">            entry = {}</t>
        </is>
      </c>
    </row>
    <row r="890">
      <c r="A890" s="29" t="inlineStr">
        <is>
          <t xml:space="preserve">            for f in RAW_FIELDS:</t>
        </is>
      </c>
    </row>
    <row r="891">
      <c r="A891" s="29" t="inlineStr">
        <is>
          <t xml:space="preserve">                v = d.get(f)</t>
        </is>
      </c>
    </row>
    <row r="892">
      <c r="A892" s="29" t="inlineStr">
        <is>
          <t xml:space="preserve">                # JSON null -&gt; None, NEVER zero (trap F3: CBLR risk-based</t>
        </is>
      </c>
    </row>
    <row r="893">
      <c r="A893" s="29" t="inlineStr">
        <is>
          <t xml:space="preserve">                # ratios and non-applicable items are genuinely null)</t>
        </is>
      </c>
    </row>
    <row r="894">
      <c r="A894" s="29" t="inlineStr">
        <is>
          <t xml:space="preserve">                entry[f] = None if v is None else float(v)</t>
        </is>
      </c>
    </row>
    <row r="895">
      <c r="A895" s="29" t="inlineStr">
        <is>
          <t xml:space="preserve">            self._bulk.setdefault(cert, {})[iso] = entry</t>
        </is>
      </c>
    </row>
    <row r="896">
      <c r="A896" s="29" t="inlineStr">
        <is>
          <t xml:space="preserve">        # roster: identity + merger detection (ACTIVE/ENDEFYMD -- trap F2)</t>
        </is>
      </c>
    </row>
    <row r="897">
      <c r="A897" s="29" t="inlineStr">
        <is>
          <t xml:space="preserve">        rurl = FDIC_INST_URL + "?" + urlencode({</t>
        </is>
      </c>
    </row>
    <row r="898">
      <c r="A898" s="29" t="inlineStr">
        <is>
          <t xml:space="preserve">            "filters": "CERT:(" + " OR ".join(certs) + ")",</t>
        </is>
      </c>
    </row>
    <row r="899">
      <c r="A899" s="29" t="inlineStr">
        <is>
          <t xml:space="preserve">            "fields": "CERT,NAME,FED_RSSD,ACTIVE,BKCLASS,ENDEFYMD",</t>
        </is>
      </c>
    </row>
    <row r="900">
      <c r="A900" s="29" t="inlineStr">
        <is>
          <t xml:space="preserve">            "limit": str(max(len(certs), 10)), "format": "json"})</t>
        </is>
      </c>
    </row>
    <row r="901">
      <c r="A901" s="29" t="inlineStr">
        <is>
          <t xml:space="preserve">        try:</t>
        </is>
      </c>
    </row>
    <row r="902">
      <c r="A902" s="29" t="inlineStr">
        <is>
          <t xml:space="preserve">            rp = json.loads(self._download(rurl, "institutions roster").decode("utf-8"))</t>
        </is>
      </c>
    </row>
    <row r="903">
      <c r="A903" s="29" t="inlineStr">
        <is>
          <t xml:space="preserve">            for rec in rp.get("data", []):</t>
        </is>
      </c>
    </row>
    <row r="904">
      <c r="A904" s="29" t="inlineStr">
        <is>
          <t xml:space="preserve">                d = rec.get("data") or {}</t>
        </is>
      </c>
    </row>
    <row r="905">
      <c r="A905" s="29" t="inlineStr">
        <is>
          <t xml:space="preserve">                c = _norm_cert(d.get("CERT"))</t>
        </is>
      </c>
    </row>
    <row r="906">
      <c r="A906" s="29" t="inlineStr">
        <is>
          <t xml:space="preserve">                if c:</t>
        </is>
      </c>
    </row>
    <row r="907">
      <c r="A907" s="29" t="inlineStr">
        <is>
          <t xml:space="preserve">                    self.roster[c] = d</t>
        </is>
      </c>
    </row>
    <row r="908">
      <c r="A908" s="29" t="inlineStr">
        <is>
          <t xml:space="preserve">        except Exception:</t>
        </is>
      </c>
    </row>
    <row r="909">
      <c r="A909" s="29" t="inlineStr">
        <is>
          <t xml:space="preserve">            # roster is advisory (merger notes); the financials landing and</t>
        </is>
      </c>
    </row>
    <row r="910">
      <c r="A910" s="29" t="inlineStr">
        <is>
          <t xml:space="preserve">            # the staleness guard still protect the run without it</t>
        </is>
      </c>
    </row>
    <row r="911">
      <c r="A911" s="29" t="inlineStr">
        <is>
          <t xml:space="preserve">            self.roster = self.roster or {}</t>
        </is>
      </c>
    </row>
    <row r="912">
      <c r="A912" s="29" t="inlineStr"/>
    </row>
    <row r="913">
      <c r="A913" s="29" t="inlineStr">
        <is>
          <t xml:space="preserve">    def fetch_series(self, spec: FieldSpec, secret=None) -&gt; List[NormalizedRow]:</t>
        </is>
      </c>
    </row>
    <row r="914">
      <c r="A914" s="29" t="inlineStr">
        <is>
          <t xml:space="preserve">        if self._bulk is None:</t>
        </is>
      </c>
    </row>
    <row r="915">
      <c r="A915" s="29" t="inlineStr">
        <is>
          <t xml:space="preserve">            raise RuntimeError("FdicProvider.fetch_series before prime(): the "</t>
        </is>
      </c>
    </row>
    <row r="916">
      <c r="A916" s="29" t="inlineStr">
        <is>
          <t xml:space="preserve">                               "bulk request must run once per refresh.")</t>
        </is>
      </c>
    </row>
    <row r="917">
      <c r="A917" s="29" t="inlineStr">
        <is>
          <t xml:space="preserve">        quarters = self._bulk.get(spec.cert, {})</t>
        </is>
      </c>
    </row>
    <row r="918">
      <c r="A918" s="29" t="inlineStr">
        <is>
          <t xml:space="preserve">        rows = []</t>
        </is>
      </c>
    </row>
    <row r="919">
      <c r="A919" s="29" t="inlineStr">
        <is>
          <t xml:space="preserve">        for iso in sorted(quarters):                 # oldest-first, like demo</t>
        </is>
      </c>
    </row>
    <row r="920">
      <c r="A920" s="29" t="inlineStr">
        <is>
          <t xml:space="preserve">            rows.append(NormalizedRow(</t>
        </is>
      </c>
    </row>
    <row r="921">
      <c r="A921" s="29" t="inlineStr">
        <is>
          <t xml:space="preserve">                id=spec.id, period=iso, value=quarters[iso].get(spec.fname),</t>
        </is>
      </c>
    </row>
    <row r="922">
      <c r="A922" s="29" t="inlineStr">
        <is>
          <t xml:space="preserve">                geo_segment=spec.geo_segment, source_class=self.source_class,</t>
        </is>
      </c>
    </row>
    <row r="923">
      <c r="A923" s="29" t="inlineStr">
        <is>
          <t xml:space="preserve">                units=spec.units))</t>
        </is>
      </c>
    </row>
    <row r="924">
      <c r="A924" s="29" t="inlineStr">
        <is>
          <t xml:space="preserve">        return rows</t>
        </is>
      </c>
    </row>
    <row r="925">
      <c r="A925" s="29" t="inlineStr"/>
    </row>
    <row r="926">
      <c r="A926" s="29" t="inlineStr">
        <is>
          <t xml:space="preserve">    def lookup(self, name: str) -&gt; List[dict]:</t>
        </is>
      </c>
    </row>
    <row r="927">
      <c r="A927" s="29" t="inlineStr">
        <is>
          <t xml:space="preserve">        """--lookup support (USER REQUIREMENT): fuzzy /institutions search so</t>
        </is>
      </c>
    </row>
    <row r="928">
      <c r="A928" s="29" t="inlineStr">
        <is>
          <t xml:space="preserve">        the user can find CERTs from PowerShell. LIVE-ONLY."""</t>
        </is>
      </c>
    </row>
    <row r="929">
      <c r="A929" s="29" t="inlineStr">
        <is>
          <t xml:space="preserve">        from urllib.parse import urlencode</t>
        </is>
      </c>
    </row>
    <row r="930">
      <c r="A930" s="29" t="inlineStr">
        <is>
          <t xml:space="preserve">        url = FDIC_INST_URL + "?" + urlencode({</t>
        </is>
      </c>
    </row>
    <row r="931">
      <c r="A931" s="29" t="inlineStr">
        <is>
          <t xml:space="preserve">            "search": name,</t>
        </is>
      </c>
    </row>
    <row r="932">
      <c r="A932" s="29" t="inlineStr">
        <is>
          <t xml:space="preserve">            "fields": "NAME,CERT,CITY,STALP,ASSET,ACTIVE",</t>
        </is>
      </c>
    </row>
    <row r="933">
      <c r="A933" s="29" t="inlineStr">
        <is>
          <t xml:space="preserve">            "limit": "15", "format": "json"})</t>
        </is>
      </c>
    </row>
    <row r="934">
      <c r="A934" s="29" t="inlineStr">
        <is>
          <t xml:space="preserve">        payload = json.loads(self._download(url, f'lookup "{name}"').decode("utf-8"))</t>
        </is>
      </c>
    </row>
    <row r="935">
      <c r="A935" s="29" t="inlineStr">
        <is>
          <t xml:space="preserve">        return [rec.get("data") or {} for rec in payload.get("data", [])]</t>
        </is>
      </c>
    </row>
    <row r="936">
      <c r="A936" s="29" t="inlineStr"/>
    </row>
    <row r="937">
      <c r="A937" s="29" t="inlineStr"/>
    </row>
    <row r="938">
      <c r="A938" s="29" t="inlineStr">
        <is>
          <t>class ClassCStubProvider(Provider):</t>
        </is>
      </c>
    </row>
    <row r="939">
      <c r="A939" s="29" t="inlineStr">
        <is>
          <t xml:space="preserve">    """In-process OAuth client_credentials STUB carried from the contract's</t>
        </is>
      </c>
    </row>
    <row r="940">
      <c r="A940" s="29" t="inlineStr">
        <is>
          <t xml:space="preserve">    seam rehearsal. Makes NO live request. NOTE: even a real Class C adapter</t>
        </is>
      </c>
    </row>
    <row r="941">
      <c r="A941" s="29" t="inlineStr">
        <is>
          <t xml:space="preserve">    is REFUSED by this template's gate 2 (only class "A" is admitted); a</t>
        </is>
      </c>
    </row>
    <row r="942">
      <c r="A942" s="29" t="inlineStr">
        <is>
          <t xml:space="preserve">    licensed swap requires its own review, not a config edit. secret_env</t>
        </is>
      </c>
    </row>
    <row r="943">
      <c r="A943" s="29" t="inlineStr">
        <is>
          <t xml:space="preserve">    stays wired per contract for a hypothetical authenticated v2."""</t>
        </is>
      </c>
    </row>
    <row r="944">
      <c r="A944" s="29" t="inlineStr"/>
    </row>
    <row r="945">
      <c r="A945" s="29" t="inlineStr">
        <is>
          <t xml:space="preserve">    source_class = "C"</t>
        </is>
      </c>
    </row>
    <row r="946">
      <c r="A946" s="29" t="inlineStr"/>
    </row>
    <row r="947">
      <c r="A947" s="29" t="inlineStr">
        <is>
          <t xml:space="preserve">    def __init__(self, secret_env: str):</t>
        </is>
      </c>
    </row>
    <row r="948">
      <c r="A948" s="29" t="inlineStr">
        <is>
          <t xml:space="preserve">        super().__init__()</t>
        </is>
      </c>
    </row>
    <row r="949">
      <c r="A949" s="29" t="inlineStr">
        <is>
          <t xml:space="preserve">        self.secret_env = secret_env</t>
        </is>
      </c>
    </row>
    <row r="950">
      <c r="A950" s="29" t="inlineStr">
        <is>
          <t xml:space="preserve">        self._token = None</t>
        </is>
      </c>
    </row>
    <row r="951">
      <c r="A951" s="29" t="inlineStr"/>
    </row>
    <row r="952">
      <c r="A952" s="29" t="inlineStr">
        <is>
          <t xml:space="preserve">    def _authenticate(self, secret):</t>
        </is>
      </c>
    </row>
    <row r="953">
      <c r="A953" s="29" t="inlineStr">
        <is>
          <t xml:space="preserve">        if not secret:</t>
        </is>
      </c>
    </row>
    <row r="954">
      <c r="A954" s="29" t="inlineStr">
        <is>
          <t xml:space="preserve">            raise PermissionError("HTTP 401: missing/invalid access token "</t>
        </is>
      </c>
    </row>
    <row r="955">
      <c r="A955" s="29" t="inlineStr">
        <is>
          <t xml:space="preserve">                                  "(client_credentials not supplied).")</t>
        </is>
      </c>
    </row>
    <row r="956">
      <c r="A956" s="29" t="inlineStr">
        <is>
          <t xml:space="preserve">        self._token = "stub-token"</t>
        </is>
      </c>
    </row>
    <row r="957">
      <c r="A957" s="29" t="inlineStr">
        <is>
          <t xml:space="preserve">        return self._token</t>
        </is>
      </c>
    </row>
    <row r="958">
      <c r="A958" s="29" t="inlineStr"/>
    </row>
    <row r="959">
      <c r="A959" s="29" t="inlineStr">
        <is>
          <t xml:space="preserve">    def prime(self, certs, asof, names=None):</t>
        </is>
      </c>
    </row>
    <row r="960">
      <c r="A960" s="29" t="inlineStr">
        <is>
          <t xml:space="preserve">        return None</t>
        </is>
      </c>
    </row>
    <row r="961">
      <c r="A961" s="29" t="inlineStr"/>
    </row>
    <row r="962">
      <c r="A962" s="29" t="inlineStr">
        <is>
          <t xml:space="preserve">    def fetch_series(self, spec: FieldSpec, secret=None) -&gt; List[NormalizedRow]:</t>
        </is>
      </c>
    </row>
    <row r="963">
      <c r="A963" s="29" t="inlineStr">
        <is>
          <t xml:space="preserve">        self._authenticate(secret)</t>
        </is>
      </c>
    </row>
    <row r="964">
      <c r="A964" s="29" t="inlineStr">
        <is>
          <t xml:space="preserve">        # schema-shaped, VALUELESS row: proves the seam contract without</t>
        </is>
      </c>
    </row>
    <row r="965">
      <c r="A965" s="29" t="inlineStr">
        <is>
          <t xml:space="preserve">        # fabricating licensed data.</t>
        </is>
      </c>
    </row>
    <row r="966">
      <c r="A966" s="29" t="inlineStr">
        <is>
          <t xml:space="preserve">        return [NormalizedRow(id=spec.id, period="1900-01-01", value=None,</t>
        </is>
      </c>
    </row>
    <row r="967">
      <c r="A967" s="29" t="inlineStr">
        <is>
          <t xml:space="preserve">                              geo_segment=spec.geo_segment, source_class="C",</t>
        </is>
      </c>
    </row>
    <row r="968">
      <c r="A968" s="29" t="inlineStr">
        <is>
          <t xml:space="preserve">                              units=spec.units)]</t>
        </is>
      </c>
    </row>
    <row r="969">
      <c r="A969" s="29" t="inlineStr"/>
    </row>
    <row r="970">
      <c r="A970" s="29" t="inlineStr"/>
    </row>
    <row r="971">
      <c r="A971" s="29" t="inlineStr">
        <is>
          <t>def resolve_secret(cfg: Config) -&gt; Optional[str]:</t>
        </is>
      </c>
    </row>
    <row r="972">
      <c r="A972" s="29" t="inlineStr">
        <is>
          <t xml:space="preserve">    """Class C secret from the env var whose NAME is recorded in _config;</t>
        </is>
      </c>
    </row>
    <row r="973">
      <c r="A973" s="29" t="inlineStr">
        <is>
          <t xml:space="preserve">    never hardcoded. Unused in v1 (the FDIC API is keyless)."""</t>
        </is>
      </c>
    </row>
    <row r="974">
      <c r="A974" s="29" t="inlineStr">
        <is>
          <t xml:space="preserve">    name = str(cfg.setting("secret_env", "") or "").strip()</t>
        </is>
      </c>
    </row>
    <row r="975">
      <c r="A975" s="29" t="inlineStr">
        <is>
          <t xml:space="preserve">    if not name:</t>
        </is>
      </c>
    </row>
    <row r="976">
      <c r="A976" s="29" t="inlineStr">
        <is>
          <t xml:space="preserve">        return None</t>
        </is>
      </c>
    </row>
    <row r="977">
      <c r="A977" s="29" t="inlineStr">
        <is>
          <t xml:space="preserve">    return os.environ.get(name)</t>
        </is>
      </c>
    </row>
    <row r="978">
      <c r="A978" s="29" t="inlineStr"/>
    </row>
    <row r="979">
      <c r="A979" s="29" t="inlineStr"/>
    </row>
    <row r="980">
      <c r="A980" s="29" t="inlineStr">
        <is>
          <t>def make_provider(cfg: Config, demo: bool, asof: Optional[date]) -&gt; Provider:</t>
        </is>
      </c>
    </row>
    <row r="981">
      <c r="A981" s="29" t="inlineStr">
        <is>
          <t xml:space="preserve">    if demo or _as_bool(cfg.setting("demo_mode", "false")):</t>
        </is>
      </c>
    </row>
    <row r="982">
      <c r="A982" s="29" t="inlineStr">
        <is>
          <t xml:space="preserve">        return FdicDemoProvider(asof=asof, raw_slots=cfg.raw_slots)</t>
        </is>
      </c>
    </row>
    <row r="983">
      <c r="A983" s="29" t="inlineStr">
        <is>
          <t xml:space="preserve">    # KEYLESS live provider -- no env var, no secret, nothing to fail fast on.</t>
        </is>
      </c>
    </row>
    <row r="984">
      <c r="A984" s="29" t="inlineStr">
        <is>
          <t xml:space="preserve">    return FdicProvider(</t>
        </is>
      </c>
    </row>
    <row r="985">
      <c r="A985" s="29" t="inlineStr">
        <is>
          <t xml:space="preserve">        min_interval=float(cfg.setting("http_min_interval", 0.6) or 0.6),</t>
        </is>
      </c>
    </row>
    <row r="986">
      <c r="A986" s="29" t="inlineStr">
        <is>
          <t xml:space="preserve">        max_retries=int(float(cfg.setting("fdic_max_retries", 4) or 4)),</t>
        </is>
      </c>
    </row>
    <row r="987">
      <c r="A987" s="29" t="inlineStr">
        <is>
          <t xml:space="preserve">        raw_slots=cfg.raw_slots)</t>
        </is>
      </c>
    </row>
    <row r="988">
      <c r="A988" s="29" t="inlineStr"/>
    </row>
    <row r="989">
      <c r="A989" s="29" t="inlineStr"/>
    </row>
    <row r="990">
      <c r="A990" s="29" t="inlineStr">
        <is>
          <t># ---------------------------------------------------------------------------</t>
        </is>
      </c>
    </row>
    <row r="991">
      <c r="A991" s="29" t="inlineStr">
        <is>
          <t># RAW LAYOUT -- fixed anchors shared with the builder. One block per SLOT:</t>
        </is>
      </c>
    </row>
    <row r="992">
      <c r="A992" s="29" t="inlineStr">
        <is>
          <t># quarters as rows (newest-first), fields as columns.</t>
        </is>
      </c>
    </row>
    <row r="993">
      <c r="A993" s="29" t="inlineStr">
        <is>
          <t># ---------------------------------------------------------------------------</t>
        </is>
      </c>
    </row>
    <row r="994">
      <c r="A994" s="29" t="inlineStr">
        <is>
          <t>@dataclass</t>
        </is>
      </c>
    </row>
    <row r="995">
      <c r="A995" s="29" t="inlineStr">
        <is>
          <t>class SlotBlock:</t>
        </is>
      </c>
    </row>
    <row r="996">
      <c r="A996" s="29" t="inlineStr">
        <is>
          <t xml:space="preserve">    slot: int</t>
        </is>
      </c>
    </row>
    <row r="997">
      <c r="A997" s="29" t="inlineStr">
        <is>
          <t xml:space="preserve">    header_row: int</t>
        </is>
      </c>
    </row>
    <row r="998">
      <c r="A998" s="29" t="inlineStr">
        <is>
          <t xml:space="preserve">    label_row: int</t>
        </is>
      </c>
    </row>
    <row r="999">
      <c r="A999" s="29" t="inlineStr">
        <is>
          <t xml:space="preserve">    first_data_row: int</t>
        </is>
      </c>
    </row>
    <row r="1000">
      <c r="A1000" s="29" t="inlineStr">
        <is>
          <t xml:space="preserve">    slots: int                 # quarter rows (raw_slots)</t>
        </is>
      </c>
    </row>
    <row r="1001">
      <c r="A1001" s="29" t="inlineStr"/>
    </row>
    <row r="1002">
      <c r="A1002" s="29" t="inlineStr"/>
    </row>
    <row r="1003">
      <c r="A1003" s="29" t="inlineStr">
        <is>
          <t>def slot_block(slot: int, raw_slots: int = RAW_SLOTS_DEFAULT) -&gt; SlotBlock:</t>
        </is>
      </c>
    </row>
    <row r="1004">
      <c r="A1004" s="29" t="inlineStr">
        <is>
          <t xml:space="preserve">    """Deterministic block placement: anchors depend ONLY on (slot, raw_slots)</t>
        </is>
      </c>
    </row>
    <row r="1005">
      <c r="A1005" s="29" t="inlineStr">
        <is>
          <t xml:space="preserve">    -- editing which bank occupies the slot moves nothing."""</t>
        </is>
      </c>
    </row>
    <row r="1006">
      <c r="A1006" s="29" t="inlineStr">
        <is>
          <t xml:space="preserve">    stride = RAW_HEADER_ROWS + raw_slots + RAW_GAP_ROWS</t>
        </is>
      </c>
    </row>
    <row r="1007">
      <c r="A1007" s="29" t="inlineStr">
        <is>
          <t xml:space="preserve">    header_row = RAW_FIRST_ROW + (slot - 1) * stride</t>
        </is>
      </c>
    </row>
    <row r="1008">
      <c r="A1008" s="29" t="inlineStr">
        <is>
          <t xml:space="preserve">    return SlotBlock(slot, header_row, header_row + 1,</t>
        </is>
      </c>
    </row>
    <row r="1009">
      <c r="A1009" s="29" t="inlineStr">
        <is>
          <t xml:space="preserve">                     header_row + RAW_HEADER_ROWS, raw_slots)</t>
        </is>
      </c>
    </row>
    <row r="1010">
      <c r="A1010" s="29" t="inlineStr"/>
    </row>
    <row r="1011">
      <c r="A1011" s="29" t="inlineStr"/>
    </row>
    <row r="1012">
      <c r="A1012" s="29" t="inlineStr">
        <is>
          <t>def assemble_quarters(field_rows: Dict[str, List[NormalizedRow]],</t>
        </is>
      </c>
    </row>
    <row r="1013">
      <c r="A1013" s="29" t="inlineStr">
        <is>
          <t xml:space="preserve">                      raw_slots: int):</t>
        </is>
      </c>
    </row>
    <row r="1014">
      <c r="A1014" s="29" t="inlineStr">
        <is>
          <t xml:space="preserve">    """Per-field NormalizedRows -&gt; newest-first [(iso, {field: value})] rows</t>
        </is>
      </c>
    </row>
    <row r="1015">
      <c r="A1015" s="29" t="inlineStr">
        <is>
          <t xml:space="preserve">    ready to land. Periods are unioned so a field missing one quarter still</t>
        </is>
      </c>
    </row>
    <row r="1016">
      <c r="A1016" s="29" t="inlineStr">
        <is>
          <t xml:space="preserve">    aligns (blank cell, not a shifted row)."""</t>
        </is>
      </c>
    </row>
    <row r="1017">
      <c r="A1017" s="29" t="inlineStr">
        <is>
          <t xml:space="preserve">    periods = sorted({r.period for rows in field_rows.values() for r in rows},</t>
        </is>
      </c>
    </row>
    <row r="1018">
      <c r="A1018" s="29" t="inlineStr">
        <is>
          <t xml:space="preserve">                     reverse=True)[:raw_slots]</t>
        </is>
      </c>
    </row>
    <row r="1019">
      <c r="A1019" s="29" t="inlineStr">
        <is>
          <t xml:space="preserve">    per: Dict[str, Dict[str, Optional[float]]] = {p: {} for p in periods}</t>
        </is>
      </c>
    </row>
    <row r="1020">
      <c r="A1020" s="29" t="inlineStr">
        <is>
          <t xml:space="preserve">    for fname, rows in field_rows.items():</t>
        </is>
      </c>
    </row>
    <row r="1021">
      <c r="A1021" s="29" t="inlineStr">
        <is>
          <t xml:space="preserve">        for r in rows:</t>
        </is>
      </c>
    </row>
    <row r="1022">
      <c r="A1022" s="29" t="inlineStr">
        <is>
          <t xml:space="preserve">            if r.period in per:</t>
        </is>
      </c>
    </row>
    <row r="1023">
      <c r="A1023" s="29" t="inlineStr">
        <is>
          <t xml:space="preserve">                per[r.period][fname] = r.value</t>
        </is>
      </c>
    </row>
    <row r="1024">
      <c r="A1024" s="29" t="inlineStr">
        <is>
          <t xml:space="preserve">    return [(p, {f: per[p].get(f) for f in RAW_FIELDS}) for p in periods]</t>
        </is>
      </c>
    </row>
    <row r="1025">
      <c r="A1025" s="29" t="inlineStr"/>
    </row>
    <row r="1026">
      <c r="A1026" s="29" t="inlineStr"/>
    </row>
    <row r="1027">
      <c r="A1027" s="29" t="inlineStr">
        <is>
          <t># ---------------------------------------------------------------------------</t>
        </is>
      </c>
    </row>
    <row r="1028">
      <c r="A1028" s="29" t="inlineStr">
        <is>
          <t># WRITE BACKEND -- openpyxl on the closed workbook (contract sec 4 / L2)</t>
        </is>
      </c>
    </row>
    <row r="1029">
      <c r="A1029" s="29" t="inlineStr">
        <is>
          <t># ---------------------------------------------------------------------------</t>
        </is>
      </c>
    </row>
    <row r="1030">
      <c r="A1030" s="29" t="inlineStr">
        <is>
          <t>class OpenpyxlBackend:</t>
        </is>
      </c>
    </row>
    <row r="1031">
      <c r="A1031" s="29" t="inlineStr">
        <is>
          <t xml:space="preserve">    def __init__(self, path: str):</t>
        </is>
      </c>
    </row>
    <row r="1032">
      <c r="A1032" s="29" t="inlineStr">
        <is>
          <t xml:space="preserve">        self.path = path</t>
        </is>
      </c>
    </row>
    <row r="1033">
      <c r="A1033" s="29" t="inlineStr">
        <is>
          <t xml:space="preserve">        import openpyxl</t>
        </is>
      </c>
    </row>
    <row r="1034">
      <c r="A1034" s="29" t="inlineStr">
        <is>
          <t xml:space="preserve">        # L2: keep_vba=True ONLY for .xlsm; on .xlsx it injects a dangling</t>
        </is>
      </c>
    </row>
    <row r="1035">
      <c r="A1035" s="29" t="inlineStr">
        <is>
          <t xml:space="preserve">        # vbaProject relationship Excel rejects as "format/extension not valid".</t>
        </is>
      </c>
    </row>
    <row r="1036">
      <c r="A1036" s="29" t="inlineStr">
        <is>
          <t xml:space="preserve">        keep_vba = path.lower().endswith(".xlsm")</t>
        </is>
      </c>
    </row>
    <row r="1037">
      <c r="A1037" s="29" t="inlineStr">
        <is>
          <t xml:space="preserve">        self._wb = openpyxl.load_workbook(path, keep_vba=keep_vba)</t>
        </is>
      </c>
    </row>
    <row r="1038">
      <c r="A1038" s="29" t="inlineStr"/>
    </row>
    <row r="1039">
      <c r="A1039" s="29" t="inlineStr">
        <is>
          <t xml:space="preserve">    def read_config(self) -&gt; Config:</t>
        </is>
      </c>
    </row>
    <row r="1040">
      <c r="A1040" s="29" t="inlineStr">
        <is>
          <t xml:space="preserve">        ws = self._wb["_config"]</t>
        </is>
      </c>
    </row>
    <row r="1041">
      <c r="A1041" s="29" t="inlineStr">
        <is>
          <t xml:space="preserve">        return parse_config([[c.value for c in row] for row in ws.iter_rows()])</t>
        </is>
      </c>
    </row>
    <row r="1042">
      <c r="A1042" s="29" t="inlineStr"/>
    </row>
    <row r="1043">
      <c r="A1043" s="29" t="inlineStr">
        <is>
          <t xml:space="preserve">    def _check_slot(self, block: SlotBlock):</t>
        </is>
      </c>
    </row>
    <row r="1044">
      <c r="A1044" s="29" t="inlineStr">
        <is>
          <t xml:space="preserve">        """Refuse to write into a workbook whose raw layout doesn't match the</t>
        </is>
      </c>
    </row>
    <row r="1045">
      <c r="A1045" s="29" t="inlineStr">
        <is>
          <t xml:space="preserve">        computed one (raw_slots/peer_slots edited after build): every</t>
        </is>
      </c>
    </row>
    <row r="1046">
      <c r="A1046" s="29" t="inlineStr">
        <is>
          <t xml:space="preserve">        dashboard and Watchlist formula is anchored to the BUILT layout, so a</t>
        </is>
      </c>
    </row>
    <row r="1047">
      <c r="A1047" s="29" t="inlineStr">
        <is>
          <t xml:space="preserve">        silent mismatch would make the whole workbook quietly wrong. The slot</t>
        </is>
      </c>
    </row>
    <row r="1048">
      <c r="A1048" s="29" t="inlineStr">
        <is>
          <t xml:space="preserve">        label is constant regardless of which bank occupies the slot, so</t>
        </is>
      </c>
    </row>
    <row r="1049">
      <c r="A1049" s="29" t="inlineStr">
        <is>
          <t xml:space="preserve">        [PEERS] edits never trip this."""</t>
        </is>
      </c>
    </row>
    <row r="1050">
      <c r="A1050" s="29" t="inlineStr">
        <is>
          <t xml:space="preserve">        ws = self._wb[RAW_TAB]</t>
        </is>
      </c>
    </row>
    <row r="1051">
      <c r="A1051" s="29" t="inlineStr">
        <is>
          <t xml:space="preserve">        existing = ws.cell(block.header_row, 1).value</t>
        </is>
      </c>
    </row>
    <row r="1052">
      <c r="A1052" s="29" t="inlineStr">
        <is>
          <t xml:space="preserve">        if existing is not None and str(existing).strip() not in (</t>
        </is>
      </c>
    </row>
    <row r="1053">
      <c r="A1053" s="29" t="inlineStr">
        <is>
          <t xml:space="preserve">                "", slot_label(block.slot)):</t>
        </is>
      </c>
    </row>
    <row r="1054">
      <c r="A1054" s="29" t="inlineStr">
        <is>
          <t xml:space="preserve">            raise RuntimeError(</t>
        </is>
      </c>
    </row>
    <row r="1055">
      <c r="A1055" s="29" t="inlineStr">
        <is>
          <t xml:space="preserve">                f"Raw layout mismatch in {RAW_TAB} at row {block.header_row}: "</t>
        </is>
      </c>
    </row>
    <row r="1056">
      <c r="A1056" s="29" t="inlineStr">
        <is>
          <t xml:space="preserve">                f"expected block '{slot_label(block.slot)}' but found "</t>
        </is>
      </c>
    </row>
    <row r="1057">
      <c r="A1057" s="29" t="inlineStr">
        <is>
          <t xml:space="preserve">                f"'{existing}'. The workbook was built with a different "</t>
        </is>
      </c>
    </row>
    <row r="1058">
      <c r="A1058" s="29" t="inlineStr">
        <is>
          <t xml:space="preserve">                f"raw_slots/peer_slots layout than _config now describes; "</t>
        </is>
      </c>
    </row>
    <row r="1059">
      <c r="A1059" s="29" t="inlineStr">
        <is>
          <t xml:space="preserve">                f"formulas are anchored to the built layout. Rebuild the "</t>
        </is>
      </c>
    </row>
    <row r="1060">
      <c r="A1060" s="29" t="inlineStr">
        <is>
          <t xml:space="preserve">                f"workbook (python make_workbook.py --peer-slots N) instead "</t>
        </is>
      </c>
    </row>
    <row r="1061">
      <c r="A1061" s="29" t="inlineStr">
        <is>
          <t xml:space="preserve">                f"of editing the layout settings in place.")</t>
        </is>
      </c>
    </row>
    <row r="1062">
      <c r="A1062" s="29" t="inlineStr"/>
    </row>
    <row r="1063">
      <c r="A1063" s="29" t="inlineStr">
        <is>
          <t xml:space="preserve">    def clear_slot_block(self, block: SlotBlock):</t>
        </is>
      </c>
    </row>
    <row r="1064">
      <c r="A1064" s="29" t="inlineStr">
        <is>
          <t xml:space="preserve">        """Blank a slot's bank identity AND data (stateless rebuild, BUILD</t>
        </is>
      </c>
    </row>
    <row r="1065">
      <c r="A1065" s="29" t="inlineStr">
        <is>
          <t xml:space="preserve">        SPEC 0.2): a deactivated/removed/failed bank must show empty, never</t>
        </is>
      </c>
    </row>
    <row r="1066">
      <c r="A1066" s="29" t="inlineStr">
        <is>
          <t xml:space="preserve">        last run's values masquerading as current."""</t>
        </is>
      </c>
    </row>
    <row r="1067">
      <c r="A1067" s="29" t="inlineStr">
        <is>
          <t xml:space="preserve">        self._check_slot(block)</t>
        </is>
      </c>
    </row>
    <row r="1068">
      <c r="A1068" s="29" t="inlineStr">
        <is>
          <t xml:space="preserve">        ws = self._wb[RAW_TAB]</t>
        </is>
      </c>
    </row>
    <row r="1069">
      <c r="A1069" s="29" t="inlineStr">
        <is>
          <t xml:space="preserve">        # NOTE: ws.cell(r, c, None) is a silent NO-OP in openpyxl (the value</t>
        </is>
      </c>
    </row>
    <row r="1070">
      <c r="A1070" s="29" t="inlineStr">
        <is>
          <t xml:space="preserve">        # arg is ignored when None) -- clearing MUST assign .value directly,</t>
        </is>
      </c>
    </row>
    <row r="1071">
      <c r="A1071" s="29" t="inlineStr">
        <is>
          <t xml:space="preserve">        # or a deactivated bank's data would survive as if current.</t>
        </is>
      </c>
    </row>
    <row r="1072">
      <c r="A1072" s="29" t="inlineStr">
        <is>
          <t xml:space="preserve">        for c in (2, 3, 4):                          # runtime identity cells</t>
        </is>
      </c>
    </row>
    <row r="1073">
      <c r="A1073" s="29" t="inlineStr">
        <is>
          <t xml:space="preserve">            ws.cell(block.header_row, c).value = None</t>
        </is>
      </c>
    </row>
    <row r="1074">
      <c r="A1074" s="29" t="inlineStr">
        <is>
          <t xml:space="preserve">        last_col = 1 + len(RAW_FIELDS)</t>
        </is>
      </c>
    </row>
    <row r="1075">
      <c r="A1075" s="29" t="inlineStr">
        <is>
          <t xml:space="preserve">        for r in range(block.first_data_row, block.first_data_row + block.slots):</t>
        </is>
      </c>
    </row>
    <row r="1076">
      <c r="A1076" s="29" t="inlineStr">
        <is>
          <t xml:space="preserve">            for c in range(1, last_col + 1):</t>
        </is>
      </c>
    </row>
    <row r="1077">
      <c r="A1077" s="29" t="inlineStr">
        <is>
          <t xml:space="preserve">                ws.cell(r, c).value = None</t>
        </is>
      </c>
    </row>
    <row r="1078">
      <c r="A1078" s="29" t="inlineStr"/>
    </row>
    <row r="1079">
      <c r="A1079" s="29" t="inlineStr">
        <is>
          <t xml:space="preserve">    def write_slot_block(self, block: SlotBlock, peer: PeerRow, quarters):</t>
        </is>
      </c>
    </row>
    <row r="1080">
      <c r="A1080" s="29" t="inlineStr">
        <is>
          <t xml:space="preserve">        self._check_slot(block)</t>
        </is>
      </c>
    </row>
    <row r="1081">
      <c r="A1081" s="29" t="inlineStr">
        <is>
          <t xml:space="preserve">        ws = self._wb[RAW_TAB]</t>
        </is>
      </c>
    </row>
    <row r="1082">
      <c r="A1082" s="29" t="inlineStr">
        <is>
          <t xml:space="preserve">        ws.cell(block.header_row, 1, slot_label(block.slot))</t>
        </is>
      </c>
    </row>
    <row r="1083">
      <c r="A1083" s="29" t="inlineStr">
        <is>
          <t xml:space="preserve">        ws.cell(block.header_row, 2,</t>
        </is>
      </c>
    </row>
    <row r="1084">
      <c r="A1084" s="29" t="inlineStr">
        <is>
          <t xml:space="preserve">                f"s{block.slot:02d} {peer.entity_key}")   # the unit key</t>
        </is>
      </c>
    </row>
    <row r="1085">
      <c r="A1085" s="29" t="inlineStr">
        <is>
          <t xml:space="preserve">        ws.cell(block.header_row, 3, peer.name)</t>
        </is>
      </c>
    </row>
    <row r="1086">
      <c r="A1086" s="29" t="inlineStr">
        <is>
          <t xml:space="preserve">        ws.cell(block.header_row, 4, f"group={peer.group}")</t>
        </is>
      </c>
    </row>
    <row r="1087">
      <c r="A1087" s="29" t="inlineStr">
        <is>
          <t xml:space="preserve">        for i, (iso, fvals) in enumerate(quarters[:block.slots]):</t>
        </is>
      </c>
    </row>
    <row r="1088">
      <c r="A1088" s="29" t="inlineStr">
        <is>
          <t xml:space="preserve">            r = block.first_data_row + i                 # newest-first</t>
        </is>
      </c>
    </row>
    <row r="1089">
      <c r="A1089" s="29" t="inlineStr">
        <is>
          <t xml:space="preserve">            ws.cell(r, 1, iso)</t>
        </is>
      </c>
    </row>
    <row r="1090">
      <c r="A1090" s="29" t="inlineStr">
        <is>
          <t xml:space="preserve">            for fname in RAW_FIELDS:</t>
        </is>
      </c>
    </row>
    <row r="1091">
      <c r="A1091" s="29" t="inlineStr">
        <is>
          <t xml:space="preserve">                v = fvals.get(fname)</t>
        </is>
      </c>
    </row>
    <row r="1092">
      <c r="A1092" s="29" t="inlineStr">
        <is>
          <t xml:space="preserve">                # explicit .value assignment: None must LAND as blank (the</t>
        </is>
      </c>
    </row>
    <row r="1093">
      <c r="A1093" s="29" t="inlineStr">
        <is>
          <t xml:space="preserve">                # ws.cell value arg silently drops None -- see clear above)</t>
        </is>
      </c>
    </row>
    <row r="1094">
      <c r="A1094" s="29" t="inlineStr">
        <is>
          <t xml:space="preserve">                ws.cell(r, field_col(fname)).value = \</t>
        </is>
      </c>
    </row>
    <row r="1095">
      <c r="A1095" s="29" t="inlineStr">
        <is>
          <t xml:space="preserve">                    None if v is None else float(v)</t>
        </is>
      </c>
    </row>
    <row r="1096">
      <c r="A1096" s="29" t="inlineStr"/>
    </row>
    <row r="1097">
      <c r="A1097" s="29" t="inlineStr">
        <is>
          <t xml:space="preserve">    def write_status(self, status: dict):</t>
        </is>
      </c>
    </row>
    <row r="1098">
      <c r="A1098" s="29" t="inlineStr">
        <is>
          <t xml:space="preserve">        line2 = (f"Banks {status.get('banks_landed', 0)}/"</t>
        </is>
      </c>
    </row>
    <row r="1099">
      <c r="A1099" s="29" t="inlineStr">
        <is>
          <t xml:space="preserve">                 f"{status.get('banks_active', 0)} - "</t>
        </is>
      </c>
    </row>
    <row r="1100">
      <c r="A1100" s="29" t="inlineStr">
        <is>
          <t xml:space="preserve">                 f"{status.get('alert_banks', 0)} ALERT / "</t>
        </is>
      </c>
    </row>
    <row r="1101">
      <c r="A1101" s="29" t="inlineStr">
        <is>
          <t xml:space="preserve">                 f"{status.get('watch_banks', 0)} WATCH / "</t>
        </is>
      </c>
    </row>
    <row r="1102">
      <c r="A1102" s="29" t="inlineStr">
        <is>
          <t xml:space="preserve">                 f"{status.get('stale_banks', 0)} STALE")</t>
        </is>
      </c>
    </row>
    <row r="1103">
      <c r="A1103" s="29" t="inlineStr">
        <is>
          <t xml:space="preserve">        n_ref = len(status.get("watchlist_refusals") or [])</t>
        </is>
      </c>
    </row>
    <row r="1104">
      <c r="A1104" s="29" t="inlineStr">
        <is>
          <t xml:space="preserve">        if n_ref:</t>
        </is>
      </c>
    </row>
    <row r="1105">
      <c r="A1105" s="29" t="inlineStr">
        <is>
          <t xml:space="preserve">            line2 += f" - {n_ref} REFUSED (see digest)"</t>
        </is>
      </c>
    </row>
    <row r="1106">
      <c r="A1106" s="29" t="inlineStr">
        <is>
          <t xml:space="preserve">        n_err = len(status.get("errors") or [])</t>
        </is>
      </c>
    </row>
    <row r="1107">
      <c r="A1107" s="29" t="inlineStr">
        <is>
          <t xml:space="preserve">        if n_err:</t>
        </is>
      </c>
    </row>
    <row r="1108">
      <c r="A1108" s="29" t="inlineStr">
        <is>
          <t xml:space="preserve">            line2 += f" - {n_err} FETCH ERRORS (slots blanked)"</t>
        </is>
      </c>
    </row>
    <row r="1109">
      <c r="A1109" s="29" t="inlineStr">
        <is>
          <t xml:space="preserve">        line3 = f"FDIC data vintage: {status.get('vintage') or 'n/a'}"</t>
        </is>
      </c>
    </row>
    <row r="1110">
      <c r="A1110" s="29" t="inlineStr">
        <is>
          <t xml:space="preserve">        for tab in DASH_TABS:</t>
        </is>
      </c>
    </row>
    <row r="1111">
      <c r="A1111" s="29" t="inlineStr">
        <is>
          <t xml:space="preserve">            if tab in self._wb.sheetnames:</t>
        </is>
      </c>
    </row>
    <row r="1112">
      <c r="A1112" s="29" t="inlineStr">
        <is>
          <t xml:space="preserve">                ws = self._wb[tab]</t>
        </is>
      </c>
    </row>
    <row r="1113">
      <c r="A1113" s="29" t="inlineStr">
        <is>
          <t xml:space="preserve">                ws.cell(1, STATUS_COL, "Last run  " + status.get("timestamp", "")</t>
        </is>
      </c>
    </row>
    <row r="1114">
      <c r="A1114" s="29" t="inlineStr">
        <is>
          <t xml:space="preserve">                        + f" ({status.get('mode', '')})")</t>
        </is>
      </c>
    </row>
    <row r="1115">
      <c r="A1115" s="29" t="inlineStr">
        <is>
          <t xml:space="preserve">                ws.cell(2, STATUS_COL, line2)</t>
        </is>
      </c>
    </row>
    <row r="1116">
      <c r="A1116" s="29" t="inlineStr">
        <is>
          <t xml:space="preserve">                ws.cell(3, STATUS_COL, line3)</t>
        </is>
      </c>
    </row>
    <row r="1117">
      <c r="A1117" s="29" t="inlineStr"/>
    </row>
    <row r="1118">
      <c r="A1118" s="29" t="inlineStr">
        <is>
          <t xml:space="preserve">    def finalize(self):</t>
        </is>
      </c>
    </row>
    <row r="1119">
      <c r="A1119" s="29" t="inlineStr">
        <is>
          <t xml:space="preserve">        self._wb.save(self.path)</t>
        </is>
      </c>
    </row>
    <row r="1120">
      <c r="A1120" s="29" t="inlineStr"/>
    </row>
    <row r="1121">
      <c r="A1121" s="29" t="inlineStr"/>
    </row>
    <row r="1122">
      <c r="A1122" s="29" t="inlineStr">
        <is>
          <t># ---------------------------------------------------------------------------</t>
        </is>
      </c>
    </row>
    <row r="1123">
      <c r="A1123" s="29" t="inlineStr">
        <is>
          <t># ORCHESTRATION</t>
        </is>
      </c>
    </row>
    <row r="1124">
      <c r="A1124" s="29" t="inlineStr">
        <is>
          <t># ---------------------------------------------------------------------------</t>
        </is>
      </c>
    </row>
    <row r="1125">
      <c r="A1125" s="29" t="inlineStr">
        <is>
          <t>def compute_digest(cfg: Config, landed: Dict[int, Tuple[PeerRow, list]],</t>
        </is>
      </c>
    </row>
    <row r="1126">
      <c r="A1126" s="29" t="inlineStr">
        <is>
          <t xml:space="preserve">                   roster: Dict[str, dict]) -&gt; dict:</t>
        </is>
      </c>
    </row>
    <row r="1127">
      <c r="A1127" s="29" t="inlineStr">
        <is>
          <t xml:space="preserve">    """Per-bank latest-quarter metric values + statuses + flag counts (the</t>
        </is>
      </c>
    </row>
    <row r="1128">
      <c r="A1128" s="29" t="inlineStr">
        <is>
          <t xml:space="preserve">    engine output consumed by the Watchlist parity tests and email-sim).</t>
        </is>
      </c>
    </row>
    <row r="1129">
      <c r="A1129" s="29" t="inlineStr">
        <is>
          <t xml:space="preserve">    Staleness (BUILD SPEC 0.6) is first-class: a stale bank's STATUS is</t>
        </is>
      </c>
    </row>
    <row r="1130">
      <c r="A1130" s="29" t="inlineStr">
        <is>
          <t xml:space="preserve">    forced to STALE and it never counts toward the alert/watch KPIs or the</t>
        </is>
      </c>
    </row>
    <row r="1131">
      <c r="A1131" s="29" t="inlineStr">
        <is>
          <t xml:space="preserve">    digest medians. NOTE the documented v1 divergence: the EXCEL median rows</t>
        </is>
      </c>
    </row>
    <row r="1132">
      <c r="A1132" s="29" t="inlineStr">
        <is>
          <t xml:space="preserve">    include stale banks' landed values (MEDIAN cannot see runtime staleness);</t>
        </is>
      </c>
    </row>
    <row r="1133">
      <c r="A1133" s="29" t="inlineStr">
        <is>
          <t xml:space="preserve">    the digest median excludes them -- see _readme."""</t>
        </is>
      </c>
    </row>
    <row r="1134">
      <c r="A1134" s="29" t="inlineStr">
        <is>
          <t xml:space="preserve">    per_bank_latest: Dict[int, Optional[str]] = {}</t>
        </is>
      </c>
    </row>
    <row r="1135">
      <c r="A1135" s="29" t="inlineStr">
        <is>
          <t xml:space="preserve">    for slot, (peer, quarters) in landed.items():</t>
        </is>
      </c>
    </row>
    <row r="1136">
      <c r="A1136" s="29" t="inlineStr">
        <is>
          <t xml:space="preserve">        last_p = next((p for p, f in quarters</t>
        </is>
      </c>
    </row>
    <row r="1137">
      <c r="A1137" s="29" t="inlineStr">
        <is>
          <t xml:space="preserve">                       if any(v is not None for v in f.values())), None)</t>
        </is>
      </c>
    </row>
    <row r="1138">
      <c r="A1138" s="29" t="inlineStr">
        <is>
          <t xml:space="preserve">        per_bank_latest[slot] = last_p</t>
        </is>
      </c>
    </row>
    <row r="1139">
      <c r="A1139" s="29" t="inlineStr">
        <is>
          <t xml:space="preserve">    set_max = max((p for p in per_bank_latest.values() if p), default=None)</t>
        </is>
      </c>
    </row>
    <row r="1140">
      <c r="A1140" s="29" t="inlineStr"/>
    </row>
    <row r="1141">
      <c r="A1141" s="29" t="inlineStr">
        <is>
          <t xml:space="preserve">    banks = []</t>
        </is>
      </c>
    </row>
    <row r="1142">
      <c r="A1142" s="29" t="inlineStr">
        <is>
          <t xml:space="preserve">    for slot in sorted(landed):</t>
        </is>
      </c>
    </row>
    <row r="1143">
      <c r="A1143" s="29" t="inlineStr">
        <is>
          <t xml:space="preserve">        peer, quarters = landed[slot]</t>
        </is>
      </c>
    </row>
    <row r="1144">
      <c r="A1144" s="29" t="inlineStr">
        <is>
          <t xml:space="preserve">        latest_fields = quarters[0][1] if quarters else {}</t>
        </is>
      </c>
    </row>
    <row r="1145">
      <c r="A1145" s="29" t="inlineStr">
        <is>
          <t xml:space="preserve">        last_p = per_bank_latest[slot]</t>
        </is>
      </c>
    </row>
    <row r="1146">
      <c r="A1146" s="29" t="inlineStr">
        <is>
          <t xml:space="preserve">        stale = is_stale_bank(last_p, set_max, cfg.stale_multiplier)</t>
        </is>
      </c>
    </row>
    <row r="1147">
      <c r="A1147" s="29" t="inlineStr">
        <is>
          <t xml:space="preserve">        metrics = {}</t>
        </is>
      </c>
    </row>
    <row r="1148">
      <c r="A1148" s="29" t="inlineStr">
        <is>
          <t xml:space="preserve">        alert_n = watch_n = 0</t>
        </is>
      </c>
    </row>
    <row r="1149">
      <c r="A1149" s="29" t="inlineStr">
        <is>
          <t xml:space="preserve">        for spec in cfg.series:</t>
        </is>
      </c>
    </row>
    <row r="1150">
      <c r="A1150" s="29" t="inlineStr">
        <is>
          <t xml:space="preserve">            v = metric_value(spec.id, latest_fields)</t>
        </is>
      </c>
    </row>
    <row r="1151">
      <c r="A1151" s="29" t="inlineStr">
        <is>
          <t xml:space="preserve">            st = status_for(v, cfg.thresholds.get(spec.id))</t>
        </is>
      </c>
    </row>
    <row r="1152">
      <c r="A1152" s="29" t="inlineStr">
        <is>
          <t xml:space="preserve">            if v is None:</t>
        </is>
      </c>
    </row>
    <row r="1153">
      <c r="A1153" s="29" t="inlineStr">
        <is>
          <t xml:space="preserve">                st = ""                       # blank cell -&gt; blank status (Excel parity)</t>
        </is>
      </c>
    </row>
    <row r="1154">
      <c r="A1154" s="29" t="inlineStr">
        <is>
          <t xml:space="preserve">            metrics[spec.id] = {"value": v, "status": st,</t>
        </is>
      </c>
    </row>
    <row r="1155">
      <c r="A1155" s="29" t="inlineStr">
        <is>
          <t xml:space="preserve">                                "dimension": spec.category}</t>
        </is>
      </c>
    </row>
    <row r="1156">
      <c r="A1156" s="29" t="inlineStr">
        <is>
          <t xml:space="preserve">            # flag counts mirror the Watchlist COUNTIF columns exactly --</t>
        </is>
      </c>
    </row>
    <row r="1157">
      <c r="A1157" s="29" t="inlineStr">
        <is>
          <t xml:space="preserve">            # computed for every landed bank (incl. stale; the top-level KPIs</t>
        </is>
      </c>
    </row>
    <row r="1158">
      <c r="A1158" s="29" t="inlineStr">
        <is>
          <t xml:space="preserve">            # below are where staleness excludes)</t>
        </is>
      </c>
    </row>
    <row r="1159">
      <c r="A1159" s="29" t="inlineStr">
        <is>
          <t xml:space="preserve">            if st == "ALERT":</t>
        </is>
      </c>
    </row>
    <row r="1160">
      <c r="A1160" s="29" t="inlineStr">
        <is>
          <t xml:space="preserve">                alert_n += 1</t>
        </is>
      </c>
    </row>
    <row r="1161">
      <c r="A1161" s="29" t="inlineStr">
        <is>
          <t xml:space="preserve">            elif st == "WATCH":</t>
        </is>
      </c>
    </row>
    <row r="1162">
      <c r="A1162" s="29" t="inlineStr">
        <is>
          <t xml:space="preserve">                watch_n += 1</t>
        </is>
      </c>
    </row>
    <row r="1163">
      <c r="A1163" s="29" t="inlineStr">
        <is>
          <t xml:space="preserve">        notes = []</t>
        </is>
      </c>
    </row>
    <row r="1164">
      <c r="A1164" s="29" t="inlineStr">
        <is>
          <t xml:space="preserve">        # trap F6: merger survivorship -- flag &gt;25% single-quarter asset jump</t>
        </is>
      </c>
    </row>
    <row r="1165">
      <c r="A1165" s="29" t="inlineStr">
        <is>
          <t xml:space="preserve">        if len(quarters) &gt;= 2:</t>
        </is>
      </c>
    </row>
    <row r="1166">
      <c r="A1166" s="29" t="inlineStr">
        <is>
          <t xml:space="preserve">            a0 = quarters[0][1].get("ASSET")</t>
        </is>
      </c>
    </row>
    <row r="1167">
      <c r="A1167" s="29" t="inlineStr">
        <is>
          <t xml:space="preserve">            a1 = quarters[1][1].get("ASSET")</t>
        </is>
      </c>
    </row>
    <row r="1168">
      <c r="A1168" s="29" t="inlineStr">
        <is>
          <t xml:space="preserve">            if a0 is not None and a1 not in (None, 0):</t>
        </is>
      </c>
    </row>
    <row r="1169">
      <c r="A1169" s="29" t="inlineStr">
        <is>
          <t xml:space="preserve">                jump = (a0 / a1 - 1.0) * 100.0</t>
        </is>
      </c>
    </row>
    <row r="1170">
      <c r="A1170" s="29" t="inlineStr">
        <is>
          <t xml:space="preserve">                if jump &gt; 25.0:</t>
        </is>
      </c>
    </row>
    <row r="1171">
      <c r="A1171" s="29" t="inlineStr">
        <is>
          <t xml:space="preserve">                    notes.append(f"ASSET +{jump:.0f}% in one quarter -- "</t>
        </is>
      </c>
    </row>
    <row r="1172">
      <c r="A1172" s="29" t="inlineStr">
        <is>
          <t xml:space="preserve">                                 "possible merger survivorship distortion "</t>
        </is>
      </c>
    </row>
    <row r="1173">
      <c r="A1173" s="29" t="inlineStr">
        <is>
          <t xml:space="preserve">                                 "(trap F6); ratios and CRE growth screens "</t>
        </is>
      </c>
    </row>
    <row r="1174">
      <c r="A1174" s="29" t="inlineStr">
        <is>
          <t xml:space="preserve">                                 "unreliable this quarter.")</t>
        </is>
      </c>
    </row>
    <row r="1175">
      <c r="A1175" s="29" t="inlineStr">
        <is>
          <t xml:space="preserve">        rr = roster.get(peer.cert) or {}</t>
        </is>
      </c>
    </row>
    <row r="1176">
      <c r="A1176" s="29" t="inlineStr">
        <is>
          <t xml:space="preserve">        if rr and str(rr.get("ACTIVE", "1")).strip() not in ("1", "True", "true"):</t>
        </is>
      </c>
    </row>
    <row r="1177">
      <c r="A1177" s="29" t="inlineStr">
        <is>
          <t xml:space="preserve">            notes.append(f"roster reports ACTIVE={rr.get('ACTIVE')} "</t>
        </is>
      </c>
    </row>
    <row r="1178">
      <c r="A1178" s="29" t="inlineStr">
        <is>
          <t xml:space="preserve">                         f"(ENDEFYMD={rr.get('ENDEFYMD')}) -- possible "</t>
        </is>
      </c>
    </row>
    <row r="1179">
      <c r="A1179" s="29" t="inlineStr">
        <is>
          <t xml:space="preserve">                         "merger/closure; check /institutions and /history.")</t>
        </is>
      </c>
    </row>
    <row r="1180">
      <c r="A1180" s="29" t="inlineStr">
        <is>
          <t xml:space="preserve">        if stale:</t>
        </is>
      </c>
    </row>
    <row r="1181">
      <c r="A1181" s="29" t="inlineStr">
        <is>
          <t xml:space="preserve">            notes.append("latest REPDTE lags the peer-set max by more than "</t>
        </is>
      </c>
    </row>
    <row r="1182">
      <c r="A1182" s="29" t="inlineStr">
        <is>
          <t xml:space="preserve">                         f"{cfg.stale_multiplier:g} quarters -- possible "</t>
        </is>
      </c>
    </row>
    <row r="1183">
      <c r="A1183" s="29" t="inlineStr">
        <is>
          <t xml:space="preserve">                         "merger/closure -- check /institutions ACTIVE, "</t>
        </is>
      </c>
    </row>
    <row r="1184">
      <c r="A1184" s="29" t="inlineStr">
        <is>
          <t xml:space="preserve">                         "/history (trap F2).")</t>
        </is>
      </c>
    </row>
    <row r="1185">
      <c r="A1185" s="29" t="inlineStr">
        <is>
          <t xml:space="preserve">        status = ("STALE" if stale else</t>
        </is>
      </c>
    </row>
    <row r="1186">
      <c r="A1186" s="29" t="inlineStr">
        <is>
          <t xml:space="preserve">                  "ALERT" if alert_n &gt; 0 else</t>
        </is>
      </c>
    </row>
    <row r="1187">
      <c r="A1187" s="29" t="inlineStr">
        <is>
          <t xml:space="preserve">                  "WATCH" if watch_n &gt; 0 else "OK")</t>
        </is>
      </c>
    </row>
    <row r="1188">
      <c r="A1188" s="29" t="inlineStr">
        <is>
          <t xml:space="preserve">        banks.append({</t>
        </is>
      </c>
    </row>
    <row r="1189">
      <c r="A1189" s="29" t="inlineStr">
        <is>
          <t xml:space="preserve">            "slot": slot, "id_prefix": f"s{slot:02d}", "cert": peer.cert,</t>
        </is>
      </c>
    </row>
    <row r="1190">
      <c r="A1190" s="29" t="inlineStr">
        <is>
          <t xml:space="preserve">            "name": peer.name, "group": peer.group,</t>
        </is>
      </c>
    </row>
    <row r="1191">
      <c r="A1191" s="29" t="inlineStr">
        <is>
          <t xml:space="preserve">            "entity_key": peer.entity_key, "asof_period": last_p,</t>
        </is>
      </c>
    </row>
    <row r="1192">
      <c r="A1192" s="29" t="inlineStr">
        <is>
          <t xml:space="preserve">            "stale": stale, "status": status,</t>
        </is>
      </c>
    </row>
    <row r="1193">
      <c r="A1193" s="29" t="inlineStr">
        <is>
          <t xml:space="preserve">            "alert_count": alert_n, "watch_count": watch_n,</t>
        </is>
      </c>
    </row>
    <row r="1194">
      <c r="A1194" s="29" t="inlineStr">
        <is>
          <t xml:space="preserve">            "texas": metrics.get("TEXAS", {}).get("value"),</t>
        </is>
      </c>
    </row>
    <row r="1195">
      <c r="A1195" s="29" t="inlineStr">
        <is>
          <t xml:space="preserve">            "metrics": metrics, "notes": notes,</t>
        </is>
      </c>
    </row>
    <row r="1196">
      <c r="A1196" s="29" t="inlineStr">
        <is>
          <t xml:space="preserve">        })</t>
        </is>
      </c>
    </row>
    <row r="1197">
      <c r="A1197" s="29" t="inlineStr"/>
    </row>
    <row r="1198">
      <c r="A1198" s="29" t="inlineStr">
        <is>
          <t xml:space="preserve">    # digest peer medians EXCLUDE stale banks (spec 0.6); Excel medians can't</t>
        </is>
      </c>
    </row>
    <row r="1199">
      <c r="A1199" s="29" t="inlineStr">
        <is>
          <t xml:space="preserve">    # -- the honest v1 divergence, documented in _readme.</t>
        </is>
      </c>
    </row>
    <row r="1200">
      <c r="A1200" s="29" t="inlineStr">
        <is>
          <t xml:space="preserve">    medians = {}</t>
        </is>
      </c>
    </row>
    <row r="1201">
      <c r="A1201" s="29" t="inlineStr">
        <is>
          <t xml:space="preserve">    for spec in cfg.series:</t>
        </is>
      </c>
    </row>
    <row r="1202">
      <c r="A1202" s="29" t="inlineStr">
        <is>
          <t xml:space="preserve">        vals = sorted(b["metrics"][spec.id]["value"] for b in banks</t>
        </is>
      </c>
    </row>
    <row r="1203">
      <c r="A1203" s="29" t="inlineStr">
        <is>
          <t xml:space="preserve">                      if not b["stale"]</t>
        </is>
      </c>
    </row>
    <row r="1204">
      <c r="A1204" s="29" t="inlineStr">
        <is>
          <t xml:space="preserve">                      and b["metrics"][spec.id]["value"] is not None)</t>
        </is>
      </c>
    </row>
    <row r="1205">
      <c r="A1205" s="29" t="inlineStr">
        <is>
          <t xml:space="preserve">        if not vals:</t>
        </is>
      </c>
    </row>
    <row r="1206">
      <c r="A1206" s="29" t="inlineStr">
        <is>
          <t xml:space="preserve">            medians[spec.id] = None</t>
        </is>
      </c>
    </row>
    <row r="1207">
      <c r="A1207" s="29" t="inlineStr">
        <is>
          <t xml:space="preserve">        else:</t>
        </is>
      </c>
    </row>
    <row r="1208">
      <c r="A1208" s="29" t="inlineStr">
        <is>
          <t xml:space="preserve">            k = len(vals)</t>
        </is>
      </c>
    </row>
    <row r="1209">
      <c r="A1209" s="29" t="inlineStr">
        <is>
          <t xml:space="preserve">            medians[spec.id] = (vals[k // 2] if k % 2 else</t>
        </is>
      </c>
    </row>
    <row r="1210">
      <c r="A1210" s="29" t="inlineStr">
        <is>
          <t xml:space="preserve">                                (vals[k // 2 - 1] + vals[k // 2]) / 2.0)</t>
        </is>
      </c>
    </row>
    <row r="1211">
      <c r="A1211" s="29" t="inlineStr">
        <is>
          <t xml:space="preserve">    return {"banks": banks, "medians": medians, "set_max_repdte": set_max}</t>
        </is>
      </c>
    </row>
    <row r="1212">
      <c r="A1212" s="29" t="inlineStr"/>
    </row>
    <row r="1213">
      <c r="A1213" s="29" t="inlineStr"/>
    </row>
    <row r="1214">
      <c r="A1214" s="29" t="inlineStr">
        <is>
          <t>def run(workbook_path: str, demo: bool = False, asof: Optional[date] = None,</t>
        </is>
      </c>
    </row>
    <row r="1215">
      <c r="A1215" s="29" t="inlineStr">
        <is>
          <t xml:space="preserve">        provider: Optional[Provider] = None) -&gt; dict:</t>
        </is>
      </c>
    </row>
    <row r="1216">
      <c r="A1216" s="29" t="inlineStr">
        <is>
          <t xml:space="preserve">    """One refresh against the CLOSED workbook. `provider` is injectable for</t>
        </is>
      </c>
    </row>
    <row r="1217">
      <c r="A1217" s="29" t="inlineStr">
        <is>
          <t xml:space="preserve">    tests (e.g. the frozen-bank staleness regression)."""</t>
        </is>
      </c>
    </row>
    <row r="1218">
      <c r="A1218" s="29" t="inlineStr">
        <is>
          <t xml:space="preserve">    asof = asof or date.today()</t>
        </is>
      </c>
    </row>
    <row r="1219">
      <c r="A1219" s="29" t="inlineStr">
        <is>
          <t xml:space="preserve">    backend = OpenpyxlBackend(workbook_path)</t>
        </is>
      </c>
    </row>
    <row r="1220">
      <c r="A1220" s="29" t="inlineStr">
        <is>
          <t xml:space="preserve">    cfg = backend.read_config()</t>
        </is>
      </c>
    </row>
    <row r="1221">
      <c r="A1221" s="29" t="inlineStr"/>
    </row>
    <row r="1222">
      <c r="A1222" s="29" t="inlineStr">
        <is>
          <t xml:space="preserve">    # Hard gates BEFORE any fetch (BUILD SPEC 0.1 / sec 3).</t>
        </is>
      </c>
    </row>
    <row r="1223">
      <c r="A1223" s="29" t="inlineStr">
        <is>
          <t xml:space="preserve">    validate_metrics(cfg.series)</t>
        </is>
      </c>
    </row>
    <row r="1224">
      <c r="A1224" s="29" t="inlineStr">
        <is>
          <t xml:space="preserve">    assert_metrics_admissible(cfg.series)</t>
        </is>
      </c>
    </row>
    <row r="1225">
      <c r="A1225" s="29" t="inlineStr">
        <is>
          <t xml:space="preserve">    validate_peer_capacity(cfg)</t>
        </is>
      </c>
    </row>
    <row r="1226">
      <c r="A1226" s="29" t="inlineStr">
        <is>
          <t xml:space="preserve">    admitted, refusals, excluded = evaluate_peers(cfg)</t>
        </is>
      </c>
    </row>
    <row r="1227">
      <c r="A1227" s="29" t="inlineStr"/>
    </row>
    <row r="1228">
      <c r="A1228" s="29" t="inlineStr">
        <is>
          <t xml:space="preserve">    if provider is None:</t>
        </is>
      </c>
    </row>
    <row r="1229">
      <c r="A1229" s="29" t="inlineStr">
        <is>
          <t xml:space="preserve">        provider = make_provider(cfg, demo, asof)</t>
        </is>
      </c>
    </row>
    <row r="1230">
      <c r="A1230" s="29" t="inlineStr">
        <is>
          <t xml:space="preserve">    mode = "demo" if isinstance(provider, FdicDemoProvider) else "live"</t>
        </is>
      </c>
    </row>
    <row r="1231">
      <c r="A1231" s="29" t="inlineStr"/>
    </row>
    <row r="1232">
      <c r="A1232" s="29" t="inlineStr">
        <is>
          <t xml:space="preserve">    # Stateless rebuild (BUILD SPEC 0.2): blank EVERY slot 1..capacity first</t>
        </is>
      </c>
    </row>
    <row r="1233">
      <c r="A1233" s="29" t="inlineStr">
        <is>
          <t xml:space="preserve">    # -- deactivated/refused/emptied slots show blank under the fresh</t>
        </is>
      </c>
    </row>
    <row r="1234">
      <c r="A1234" s="29" t="inlineStr">
        <is>
          <t xml:space="preserve">    # timestamp, never last run's bank. This also validates the workbook's</t>
        </is>
      </c>
    </row>
    <row r="1235">
      <c r="A1235" s="29" t="inlineStr">
        <is>
          <t xml:space="preserve">    # raw layout against _config before any fetch.</t>
        </is>
      </c>
    </row>
    <row r="1236">
      <c r="A1236" s="29" t="inlineStr">
        <is>
          <t xml:space="preserve">    for slot in range(1, cfg.peer_slots + 1):</t>
        </is>
      </c>
    </row>
    <row r="1237">
      <c r="A1237" s="29" t="inlineStr">
        <is>
          <t xml:space="preserve">        backend.clear_slot_block(slot_block(slot, cfg.raw_slots))</t>
        </is>
      </c>
    </row>
    <row r="1238">
      <c r="A1238" s="29" t="inlineStr"/>
    </row>
    <row r="1239">
      <c r="A1239" s="29" t="inlineStr">
        <is>
          <t xml:space="preserve">    errors: List[str] = []</t>
        </is>
      </c>
    </row>
    <row r="1240">
      <c r="A1240" s="29" t="inlineStr">
        <is>
          <t xml:space="preserve">    landed: Dict[int, Tuple[PeerRow, list]] = {}</t>
        </is>
      </c>
    </row>
    <row r="1241">
      <c r="A1241" s="29" t="inlineStr">
        <is>
          <t xml:space="preserve">    try:</t>
        </is>
      </c>
    </row>
    <row r="1242">
      <c r="A1242" s="29" t="inlineStr">
        <is>
          <t xml:space="preserve">        provider.prime([p.cert for p in admitted], asof,</t>
        </is>
      </c>
    </row>
    <row r="1243">
      <c r="A1243" s="29" t="inlineStr">
        <is>
          <t xml:space="preserve">                       names={p.cert: p.name for p in admitted})</t>
        </is>
      </c>
    </row>
    <row r="1244">
      <c r="A1244" s="29" t="inlineStr">
        <is>
          <t xml:space="preserve">    except Exception as exc:</t>
        </is>
      </c>
    </row>
    <row r="1245">
      <c r="A1245" s="29" t="inlineStr">
        <is>
          <t xml:space="preserve">        errors.append(f"bulk fetch: {exc}")</t>
        </is>
      </c>
    </row>
    <row r="1246">
      <c r="A1246" s="29" t="inlineStr">
        <is>
          <t xml:space="preserve">    else:</t>
        </is>
      </c>
    </row>
    <row r="1247">
      <c r="A1247" s="29" t="inlineStr">
        <is>
          <t xml:space="preserve">        for peer in admitted:</t>
        </is>
      </c>
    </row>
    <row r="1248">
      <c r="A1248" s="29" t="inlineStr">
        <is>
          <t xml:space="preserve">            try:</t>
        </is>
      </c>
    </row>
    <row r="1249">
      <c r="A1249" s="29" t="inlineStr">
        <is>
          <t xml:space="preserve">                field_rows = {f: provider.fetch_series(make_field_spec(peer, f))</t>
        </is>
      </c>
    </row>
    <row r="1250">
      <c r="A1250" s="29" t="inlineStr">
        <is>
          <t xml:space="preserve">                              for f in RAW_FIELDS}</t>
        </is>
      </c>
    </row>
    <row r="1251">
      <c r="A1251" s="29" t="inlineStr">
        <is>
          <t xml:space="preserve">                quarters = assemble_quarters(field_rows, cfg.raw_slots)</t>
        </is>
      </c>
    </row>
    <row r="1252">
      <c r="A1252" s="29" t="inlineStr">
        <is>
          <t xml:space="preserve">            except Exception as exc:</t>
        </is>
      </c>
    </row>
    <row r="1253">
      <c r="A1253" s="29" t="inlineStr">
        <is>
          <t xml:space="preserve">                errors.append(f"s{peer.slot:02d} cert:{peer.cert}: {exc}")</t>
        </is>
      </c>
    </row>
    <row r="1254">
      <c r="A1254" s="29" t="inlineStr">
        <is>
          <t xml:space="preserve">                continue</t>
        </is>
      </c>
    </row>
    <row r="1255">
      <c r="A1255" s="29" t="inlineStr">
        <is>
          <t xml:space="preserve">            backend.write_slot_block(slot_block(peer.slot, cfg.raw_slots),</t>
        </is>
      </c>
    </row>
    <row r="1256">
      <c r="A1256" s="29" t="inlineStr">
        <is>
          <t xml:space="preserve">                                     peer, quarters)</t>
        </is>
      </c>
    </row>
    <row r="1257">
      <c r="A1257" s="29" t="inlineStr">
        <is>
          <t xml:space="preserve">            landed[peer.slot] = (peer, quarters)</t>
        </is>
      </c>
    </row>
    <row r="1258">
      <c r="A1258" s="29" t="inlineStr"/>
    </row>
    <row r="1259">
      <c r="A1259" s="29" t="inlineStr">
        <is>
          <t xml:space="preserve">    digest = compute_digest(cfg, landed, provider.roster)</t>
        </is>
      </c>
    </row>
    <row r="1260">
      <c r="A1260" s="29" t="inlineStr">
        <is>
          <t xml:space="preserve">    fresh = [b for b in digest["banks"] if not b["stale"]]</t>
        </is>
      </c>
    </row>
    <row r="1261">
      <c r="A1261" s="29" t="inlineStr">
        <is>
          <t xml:space="preserve">    status = {</t>
        </is>
      </c>
    </row>
    <row r="1262">
      <c r="A1262" s="29" t="inlineStr">
        <is>
          <t xml:space="preserve">        "timestamp": asof.isoformat(),</t>
        </is>
      </c>
    </row>
    <row r="1263">
      <c r="A1263" s="29" t="inlineStr">
        <is>
          <t xml:space="preserve">        "mode": mode,</t>
        </is>
      </c>
    </row>
    <row r="1264">
      <c r="A1264" s="29" t="inlineStr">
        <is>
          <t xml:space="preserve">        "peer_slots": cfg.peer_slots,</t>
        </is>
      </c>
    </row>
    <row r="1265">
      <c r="A1265" s="29" t="inlineStr">
        <is>
          <t xml:space="preserve">        "banks_active": len(admitted) + len(refusals),</t>
        </is>
      </c>
    </row>
    <row r="1266">
      <c r="A1266" s="29" t="inlineStr">
        <is>
          <t xml:space="preserve">        "banks_landed": len(landed),</t>
        </is>
      </c>
    </row>
    <row r="1267">
      <c r="A1267" s="29" t="inlineStr">
        <is>
          <t xml:space="preserve">        "banks_excluded": len(excluded),</t>
        </is>
      </c>
    </row>
    <row r="1268">
      <c r="A1268" s="29" t="inlineStr">
        <is>
          <t xml:space="preserve">        # staleness excludes a bank from every alert KPI (BUILD SPEC 0.6)</t>
        </is>
      </c>
    </row>
    <row r="1269">
      <c r="A1269" s="29" t="inlineStr">
        <is>
          <t xml:space="preserve">        "alert_banks": sum(1 for b in fresh if b["status"] == "ALERT"),</t>
        </is>
      </c>
    </row>
    <row r="1270">
      <c r="A1270" s="29" t="inlineStr">
        <is>
          <t xml:space="preserve">        "watch_banks": sum(1 for b in fresh if b["status"] == "WATCH"),</t>
        </is>
      </c>
    </row>
    <row r="1271">
      <c r="A1271" s="29" t="inlineStr">
        <is>
          <t xml:space="preserve">        "stale_banks": sum(1 for b in digest["banks"] if b["stale"]),</t>
        </is>
      </c>
    </row>
    <row r="1272">
      <c r="A1272" s="29" t="inlineStr">
        <is>
          <t xml:space="preserve">        "alert_flags": sum(b["alert_count"] for b in fresh),</t>
        </is>
      </c>
    </row>
    <row r="1273">
      <c r="A1273" s="29" t="inlineStr">
        <is>
          <t xml:space="preserve">        "watch_flags": sum(b["watch_count"] for b in fresh),</t>
        </is>
      </c>
    </row>
    <row r="1274">
      <c r="A1274" s="29" t="inlineStr">
        <is>
          <t xml:space="preserve">        "vintage": provider.vintage,</t>
        </is>
      </c>
    </row>
    <row r="1275">
      <c r="A1275" s="29" t="inlineStr">
        <is>
          <t xml:space="preserve">        "digest": digest,</t>
        </is>
      </c>
    </row>
    <row r="1276">
      <c r="A1276" s="29" t="inlineStr">
        <is>
          <t xml:space="preserve">        "watchlist_refusals": [m for _, m in refusals],</t>
        </is>
      </c>
    </row>
    <row r="1277">
      <c r="A1277" s="29" t="inlineStr">
        <is>
          <t xml:space="preserve">        "watchlist_admitted": [f"s{p.slot:02d} {p.entity_key}" for p in admitted],</t>
        </is>
      </c>
    </row>
    <row r="1278">
      <c r="A1278" s="29" t="inlineStr">
        <is>
          <t xml:space="preserve">        "errors": errors[:25],</t>
        </is>
      </c>
    </row>
    <row r="1279">
      <c r="A1279" s="29" t="inlineStr">
        <is>
          <t xml:space="preserve">    }</t>
        </is>
      </c>
    </row>
    <row r="1280">
      <c r="A1280" s="29" t="inlineStr">
        <is>
          <t xml:space="preserve">    backend.write_status(status)</t>
        </is>
      </c>
    </row>
    <row r="1281">
      <c r="A1281" s="29" t="inlineStr">
        <is>
          <t xml:space="preserve">    backend.finalize()</t>
        </is>
      </c>
    </row>
    <row r="1282">
      <c r="A1282" s="29" t="inlineStr">
        <is>
          <t xml:space="preserve">    return status</t>
        </is>
      </c>
    </row>
    <row r="1283">
      <c r="A1283" s="29" t="inlineStr"/>
    </row>
    <row r="1284">
      <c r="A1284" s="29" t="inlineStr"/>
    </row>
    <row r="1285">
      <c r="A1285" s="29" t="inlineStr">
        <is>
          <t># ---------------------------------------------------------------------------</t>
        </is>
      </c>
    </row>
    <row r="1286">
      <c r="A1286" s="29" t="inlineStr">
        <is>
          <t># CLI (contract sec 4) + --lookup (USER REQUIREMENT, live-only)</t>
        </is>
      </c>
    </row>
    <row r="1287">
      <c r="A1287" s="29" t="inlineStr">
        <is>
          <t># ---------------------------------------------------------------------------</t>
        </is>
      </c>
    </row>
    <row r="1288">
      <c r="A1288" s="29" t="inlineStr">
        <is>
          <t>def do_lookup(name: str, demo: bool) -&gt; int:</t>
        </is>
      </c>
    </row>
    <row r="1289">
      <c r="A1289" s="29" t="inlineStr">
        <is>
          <t xml:space="preserve">    if demo:</t>
        </is>
      </c>
    </row>
    <row r="1290">
      <c r="A1290" s="29" t="inlineStr">
        <is>
          <t xml:space="preserve">        sys.stderr.write(</t>
        </is>
      </c>
    </row>
    <row r="1291">
      <c r="A1291" s="29" t="inlineStr">
        <is>
          <t xml:space="preserve">            "--lookup is LIVE-ONLY: it queries the FDIC BankFind API "</t>
        </is>
      </c>
    </row>
    <row r="1292">
      <c r="A1292" s="29" t="inlineStr">
        <is>
          <t xml:space="preserve">            "(https://api.fdic.gov/banks/institutions) and cannot run in "</t>
        </is>
      </c>
    </row>
    <row r="1293">
      <c r="A1293" s="29" t="inlineStr">
        <is>
          <t xml:space="preserve">            "--demo/offline mode. Run it without --demo -- the API is "</t>
        </is>
      </c>
    </row>
    <row r="1294">
      <c r="A1294" s="29" t="inlineStr">
        <is>
          <t xml:space="preserve">            "keyless, no API key or account is needed:\n"</t>
        </is>
      </c>
    </row>
    <row r="1295">
      <c r="A1295" s="29" t="inlineStr">
        <is>
          <t xml:space="preserve">            '    python runner.py --lookup "' + name + '"\n')</t>
        </is>
      </c>
    </row>
    <row r="1296">
      <c r="A1296" s="29" t="inlineStr">
        <is>
          <t xml:space="preserve">        return 2</t>
        </is>
      </c>
    </row>
    <row r="1297">
      <c r="A1297" s="29" t="inlineStr">
        <is>
          <t xml:space="preserve">    prov = FdicProvider()</t>
        </is>
      </c>
    </row>
    <row r="1298">
      <c r="A1298" s="29" t="inlineStr">
        <is>
          <t xml:space="preserve">    try:</t>
        </is>
      </c>
    </row>
    <row r="1299">
      <c r="A1299" s="29" t="inlineStr">
        <is>
          <t xml:space="preserve">        hits = prov.lookup(name)</t>
        </is>
      </c>
    </row>
    <row r="1300">
      <c r="A1300" s="29" t="inlineStr">
        <is>
          <t xml:space="preserve">    except Exception as exc:</t>
        </is>
      </c>
    </row>
    <row r="1301">
      <c r="A1301" s="29" t="inlineStr">
        <is>
          <t xml:space="preserve">        sys.stderr.write(f"lookup failed: {exc}\n"</t>
        </is>
      </c>
    </row>
    <row r="1302">
      <c r="A1302" s="29" t="inlineStr">
        <is>
          <t xml:space="preserve">                         "Check network/proxy access to api.fdic.gov "</t>
        </is>
      </c>
    </row>
    <row r="1303">
      <c r="A1303" s="29" t="inlineStr">
        <is>
          <t xml:space="preserve">                         "(keyless; no API key needed).\n")</t>
        </is>
      </c>
    </row>
    <row r="1304">
      <c r="A1304" s="29" t="inlineStr">
        <is>
          <t xml:space="preserve">        return 1</t>
        </is>
      </c>
    </row>
    <row r="1305">
      <c r="A1305" s="29" t="inlineStr">
        <is>
          <t xml:space="preserve">    if not hits:</t>
        </is>
      </c>
    </row>
    <row r="1306">
      <c r="A1306" s="29" t="inlineStr">
        <is>
          <t xml:space="preserve">        print(f'No institutions matched "{name}".')</t>
        </is>
      </c>
    </row>
    <row r="1307">
      <c r="A1307" s="29" t="inlineStr">
        <is>
          <t xml:space="preserve">        return 0</t>
        </is>
      </c>
    </row>
    <row r="1308">
      <c r="A1308" s="29" t="inlineStr">
        <is>
          <t xml:space="preserve">    print(f'{"CERT":&gt;8}  {"ACTIVE":&gt;6}  {"ASSET($000)":&gt;14}  '</t>
        </is>
      </c>
    </row>
    <row r="1309">
      <c r="A1309" s="29" t="inlineStr">
        <is>
          <t xml:space="preserve">          f'{"CITY":&lt;20} {"ST":&lt;3} NAME')</t>
        </is>
      </c>
    </row>
    <row r="1310">
      <c r="A1310" s="29" t="inlineStr">
        <is>
          <t xml:space="preserve">    for d in hits:</t>
        </is>
      </c>
    </row>
    <row r="1311">
      <c r="A1311" s="29" t="inlineStr">
        <is>
          <t xml:space="preserve">        asset = d.get("ASSET")</t>
        </is>
      </c>
    </row>
    <row r="1312">
      <c r="A1312" s="29" t="inlineStr">
        <is>
          <t xml:space="preserve">        asset_s = "" if asset is None else f"{float(asset):,.0f}"</t>
        </is>
      </c>
    </row>
    <row r="1313">
      <c r="A1313" s="29" t="inlineStr">
        <is>
          <t xml:space="preserve">        print(f'{str(d.get("CERT", "")):&gt;8}  {str(d.get("ACTIVE", "")):&gt;6}  '</t>
        </is>
      </c>
    </row>
    <row r="1314">
      <c r="A1314" s="29" t="inlineStr">
        <is>
          <t xml:space="preserve">              f'{asset_s:&gt;14}  {str(d.get("CITY", "")):&lt;20} '</t>
        </is>
      </c>
    </row>
    <row r="1315">
      <c r="A1315" s="29" t="inlineStr">
        <is>
          <t xml:space="preserve">              f'{str(d.get("STALP", "")):&lt;3} {d.get("NAME", "")}')</t>
        </is>
      </c>
    </row>
    <row r="1316">
      <c r="A1316" s="29" t="inlineStr">
        <is>
          <t xml:space="preserve">    print("\nPut the CERT into the _config [PEERS] table "</t>
        </is>
      </c>
    </row>
    <row r="1317">
      <c r="A1317" s="29" t="inlineStr">
        <is>
          <t xml:space="preserve">          "(slot | cert | name | group | active) and re-run the runner -- "</t>
        </is>
      </c>
    </row>
    <row r="1318">
      <c r="A1318" s="29" t="inlineStr">
        <is>
          <t xml:space="preserve">          "no rebuild needed within the built slot capacity.")</t>
        </is>
      </c>
    </row>
    <row r="1319">
      <c r="A1319" s="29" t="inlineStr">
        <is>
          <t xml:space="preserve">    return 0</t>
        </is>
      </c>
    </row>
    <row r="1320">
      <c r="A1320" s="29" t="inlineStr"/>
    </row>
    <row r="1321">
      <c r="A1321" s="29" t="inlineStr"/>
    </row>
    <row r="1322">
      <c r="A1322" s="29" t="inlineStr">
        <is>
          <t>def main(argv: Optional[Sequence[str]] = None) -&gt; int:</t>
        </is>
      </c>
    </row>
    <row r="1323">
      <c r="A1323" s="29" t="inlineStr">
        <is>
          <t xml:space="preserve">    ap = argparse.ArgumentParser(</t>
        </is>
      </c>
    </row>
    <row r="1324">
      <c r="A1324" s="29" t="inlineStr">
        <is>
          <t xml:space="preserve">        description="Bank Counterparty &amp; Peer Monitor runner (FDIC BankFind)")</t>
        </is>
      </c>
    </row>
    <row r="1325">
      <c r="A1325" s="29" t="inlineStr">
        <is>
          <t xml:space="preserve">    ap.add_argument("--workbook", "-w", default=None,</t>
        </is>
      </c>
    </row>
    <row r="1326">
      <c r="A1326" s="29" t="inlineStr">
        <is>
          <t xml:space="preserve">                    help="path to the .xlsm (required unless --lookup)")</t>
        </is>
      </c>
    </row>
    <row r="1327">
      <c r="A1327" s="29" t="inlineStr">
        <is>
          <t xml:space="preserve">    ap.add_argument("--demo", action="store_true",</t>
        </is>
      </c>
    </row>
    <row r="1328">
      <c r="A1328" s="29" t="inlineStr">
        <is>
          <t xml:space="preserve">                    help="deterministic offline FdicDemoProvider "</t>
        </is>
      </c>
    </row>
    <row r="1329">
      <c r="A1329" s="29" t="inlineStr">
        <is>
          <t xml:space="preserve">                         "(no network; the live API is keyless anyway)")</t>
        </is>
      </c>
    </row>
    <row r="1330">
      <c r="A1330" s="29" t="inlineStr">
        <is>
          <t xml:space="preserve">    ap.add_argument("--asof", default=None, help="YYYY-MM-DD (testing)")</t>
        </is>
      </c>
    </row>
    <row r="1331">
      <c r="A1331" s="29" t="inlineStr">
        <is>
          <t xml:space="preserve">    ap.add_argument("--lookup", default=None, metavar="NAME",</t>
        </is>
      </c>
    </row>
    <row r="1332">
      <c r="A1332" s="29" t="inlineStr">
        <is>
          <t xml:space="preserve">                    help='find a bank\'s CERT by name (live-only): '</t>
        </is>
      </c>
    </row>
    <row r="1333">
      <c r="A1333" s="29" t="inlineStr">
        <is>
          <t xml:space="preserve">                         '--lookup "Wells Fargo"')</t>
        </is>
      </c>
    </row>
    <row r="1334">
      <c r="A1334" s="29" t="inlineStr">
        <is>
          <t xml:space="preserve">    args = ap.parse_args(argv)</t>
        </is>
      </c>
    </row>
    <row r="1335">
      <c r="A1335" s="29" t="inlineStr">
        <is>
          <t xml:space="preserve">    if args.lookup is not None:</t>
        </is>
      </c>
    </row>
    <row r="1336">
      <c r="A1336" s="29" t="inlineStr">
        <is>
          <t xml:space="preserve">        return do_lookup(args.lookup, args.demo)</t>
        </is>
      </c>
    </row>
    <row r="1337">
      <c r="A1337" s="29" t="inlineStr">
        <is>
          <t xml:space="preserve">    if not args.workbook:</t>
        </is>
      </c>
    </row>
    <row r="1338">
      <c r="A1338" s="29" t="inlineStr">
        <is>
          <t xml:space="preserve">        sys.stderr.write("--workbook is required (or use --lookup).\n")</t>
        </is>
      </c>
    </row>
    <row r="1339">
      <c r="A1339" s="29" t="inlineStr">
        <is>
          <t xml:space="preserve">        return 2</t>
        </is>
      </c>
    </row>
    <row r="1340">
      <c r="A1340" s="29" t="inlineStr">
        <is>
          <t xml:space="preserve">    asof = datetime.strptime(args.asof, "%Y-%m-%d").date() if args.asof else None</t>
        </is>
      </c>
    </row>
    <row r="1341">
      <c r="A1341" s="29" t="inlineStr">
        <is>
          <t xml:space="preserve">    try:</t>
        </is>
      </c>
    </row>
    <row r="1342">
      <c r="A1342" s="29" t="inlineStr">
        <is>
          <t xml:space="preserve">        status = run(args.workbook, demo=args.demo, asof=asof)</t>
        </is>
      </c>
    </row>
    <row r="1343">
      <c r="A1343" s="29" t="inlineStr">
        <is>
          <t xml:space="preserve">    except (WatchlistRefused, MetricError, PeerCapacityError) as exc:</t>
        </is>
      </c>
    </row>
    <row r="1344">
      <c r="A1344" s="29" t="inlineStr">
        <is>
          <t xml:space="preserve">        sys.stderr.write(f"GATE ERROR: {exc}\n")</t>
        </is>
      </c>
    </row>
    <row r="1345">
      <c r="A1345" s="29" t="inlineStr">
        <is>
          <t xml:space="preserve">        print(json.dumps({"ok": False, "error": str(exc)}))</t>
        </is>
      </c>
    </row>
    <row r="1346">
      <c r="A1346" s="29" t="inlineStr">
        <is>
          <t xml:space="preserve">        return 2</t>
        </is>
      </c>
    </row>
    <row r="1347">
      <c r="A1347" s="29" t="inlineStr">
        <is>
          <t xml:space="preserve">    except SystemExit as exc:</t>
        </is>
      </c>
    </row>
    <row r="1348">
      <c r="A1348" s="29" t="inlineStr">
        <is>
          <t xml:space="preserve">        sys.stderr.write(f"{exc}\n")</t>
        </is>
      </c>
    </row>
    <row r="1349">
      <c r="A1349" s="29" t="inlineStr">
        <is>
          <t xml:space="preserve">        print(json.dumps({"ok": False, "error": str(exc)}))</t>
        </is>
      </c>
    </row>
    <row r="1350">
      <c r="A1350" s="29" t="inlineStr">
        <is>
          <t xml:space="preserve">        return 3</t>
        </is>
      </c>
    </row>
    <row r="1351">
      <c r="A1351" s="29" t="inlineStr">
        <is>
          <t xml:space="preserve">    except Exception as exc:</t>
        </is>
      </c>
    </row>
    <row r="1352">
      <c r="A1352" s="29" t="inlineStr">
        <is>
          <t xml:space="preserve">        sys.stderr.write(f"RUN ERROR: {exc}\n")</t>
        </is>
      </c>
    </row>
    <row r="1353">
      <c r="A1353" s="29" t="inlineStr">
        <is>
          <t xml:space="preserve">        print(json.dumps({"ok": False, "error": str(exc)}))</t>
        </is>
      </c>
    </row>
    <row r="1354">
      <c r="A1354" s="29" t="inlineStr">
        <is>
          <t xml:space="preserve">        return 1</t>
        </is>
      </c>
    </row>
    <row r="1355">
      <c r="A1355" s="29" t="inlineStr">
        <is>
          <t xml:space="preserve">    print(json.dumps({"ok": True,</t>
        </is>
      </c>
    </row>
    <row r="1356">
      <c r="A1356" s="29" t="inlineStr">
        <is>
          <t xml:space="preserve">                      **{k: v for k, v in status.items() if k != "digest"}}))</t>
        </is>
      </c>
    </row>
    <row r="1357">
      <c r="A1357" s="29" t="inlineStr">
        <is>
          <t xml:space="preserve">    sys.stderr.write(</t>
        </is>
      </c>
    </row>
    <row r="1358">
      <c r="A1358" s="29" t="inlineStr">
        <is>
          <t xml:space="preserve">        f"OK ({status['mode']}): {status['banks_landed']}/"</t>
        </is>
      </c>
    </row>
    <row r="1359">
      <c r="A1359" s="29" t="inlineStr">
        <is>
          <t xml:space="preserve">        f"{status['banks_active']} banks landed, "</t>
        </is>
      </c>
    </row>
    <row r="1360">
      <c r="A1360" s="29" t="inlineStr">
        <is>
          <t xml:space="preserve">        f"{status['alert_banks']} ALERT / {status['watch_banks']} WATCH / "</t>
        </is>
      </c>
    </row>
    <row r="1361">
      <c r="A1361" s="29" t="inlineStr">
        <is>
          <t xml:space="preserve">        f"{status['stale_banks']} STALE banks "</t>
        </is>
      </c>
    </row>
    <row r="1362">
      <c r="A1362" s="29" t="inlineStr">
        <is>
          <t xml:space="preserve">        f"({status['alert_flags']} ALERT flags), "</t>
        </is>
      </c>
    </row>
    <row r="1363">
      <c r="A1363" s="29" t="inlineStr">
        <is>
          <t xml:space="preserve">        f"refused={len(status['watchlist_refusals'])}, "</t>
        </is>
      </c>
    </row>
    <row r="1364">
      <c r="A1364" s="29" t="inlineStr">
        <is>
          <t xml:space="preserve">        f"vintage={status['vintage']}.\n")</t>
        </is>
      </c>
    </row>
    <row r="1365">
      <c r="A1365" s="29" t="inlineStr">
        <is>
          <t xml:space="preserve">    return 0</t>
        </is>
      </c>
    </row>
    <row r="1366">
      <c r="A1366" s="29" t="inlineStr"/>
    </row>
    <row r="1367">
      <c r="A1367" s="29" t="inlineStr"/>
    </row>
    <row r="1368">
      <c r="A1368" s="29" t="inlineStr">
        <is>
          <t>if __name__ == "__main__":</t>
        </is>
      </c>
    </row>
    <row r="1369">
      <c r="A1369" s="29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A125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'================================================================================</t>
        </is>
      </c>
    </row>
    <row r="2">
      <c r="A2" s="29" t="inlineStr">
        <is>
          <t>' Bank Counterparty &amp; Peer Monitor (FDIC BankFind) -- extractor macro</t>
        </is>
      </c>
    </row>
    <row r="3">
      <c r="A3" s="29" t="inlineStr">
        <is>
          <t>' (BUILD_SPEC_FDIC.md Section 5: EXTRACT-ONLY).</t>
        </is>
      </c>
    </row>
    <row r="4">
      <c r="A4" s="29" t="inlineStr">
        <is>
          <t>'</t>
        </is>
      </c>
    </row>
    <row r="5">
      <c r="A5" s="29" t="inlineStr">
        <is>
          <t>' The workbook is already the finished product: every dashboard, formula and</t>
        </is>
      </c>
    </row>
    <row r="6">
      <c r="A6" s="29" t="inlineStr">
        <is>
          <t>' heat rule is built in, and the peer list lives in _config [PEERS]. The data</t>
        </is>
      </c>
    </row>
    <row r="7">
      <c r="A7" s="29" t="inlineStr">
        <is>
          <t>' is the only thing missing.</t>
        </is>
      </c>
    </row>
    <row r="8">
      <c r="A8" s="29" t="inlineStr">
        <is>
          <t>'</t>
        </is>
      </c>
    </row>
    <row r="9">
      <c r="A9" s="29" t="inlineStr">
        <is>
          <t>' "Extract" (run ExtractFiles, or the ExtractAndRun alias, via Alt+F8):</t>
        </is>
      </c>
    </row>
    <row r="10">
      <c r="A10" s="29" t="inlineStr">
        <is>
          <t>'   1. Writes runner.py from the _code_py tab into the workbook's folder.</t>
        </is>
      </c>
    </row>
    <row r="11">
      <c r="A11" s="29" t="inlineStr">
        <is>
          <t>'   2. Writes requirements.txt (the Python dependencies).</t>
        </is>
      </c>
    </row>
    <row r="12">
      <c r="A12" s="29" t="inlineStr">
        <is>
          <t>'   3. Writes RUN.txt (the exact PowerShell commands, incl. --lookup).</t>
        </is>
      </c>
    </row>
    <row r="13">
      <c r="A13" s="29" t="inlineStr">
        <is>
          <t>'</t>
        </is>
      </c>
    </row>
    <row r="14">
      <c r="A14" s="29" t="inlineStr">
        <is>
          <t>' NOTHING runs inside Excel (no shell-out, no xlwings, no save-from-VBA). After</t>
        </is>
      </c>
    </row>
    <row r="15">
      <c r="A15" s="29" t="inlineStr">
        <is>
          <t>' extracting: SAVE and CLOSE the workbook, then follow RUN.txt from PowerShell.</t>
        </is>
      </c>
    </row>
    <row r="16">
      <c r="A16" s="29" t="inlineStr">
        <is>
          <t>' runner.py writes the data into the CLOSED workbook via openpyxl. Reopen and</t>
        </is>
      </c>
    </row>
    <row r="17">
      <c r="A17" s="29" t="inlineStr">
        <is>
          <t>' the formulas recalc into the finished dashboards.</t>
        </is>
      </c>
    </row>
    <row r="18">
      <c r="A18" s="29" t="inlineStr">
        <is>
          <t>'</t>
        </is>
      </c>
    </row>
    <row r="19">
      <c r="A19" s="29" t="inlineStr">
        <is>
          <t>' This is a readable/portable reference copy; the identical text lives in the</t>
        </is>
      </c>
    </row>
    <row r="20">
      <c r="A20" s="29" t="inlineStr">
        <is>
          <t>' _code_vba tab so the workbook stays the single source of truth.</t>
        </is>
      </c>
    </row>
    <row r="21">
      <c r="A21" s="29" t="inlineStr">
        <is>
          <t>'================================================================================</t>
        </is>
      </c>
    </row>
    <row r="22">
      <c r="A22" s="29" t="inlineStr">
        <is>
          <t>Option Explicit</t>
        </is>
      </c>
    </row>
    <row r="23">
      <c r="A23" s="29" t="inlineStr"/>
    </row>
    <row r="24">
      <c r="A24" s="29" t="inlineStr">
        <is>
          <t>Private Const STATUS_SHEET As String = "Dashboard_AssetQuality"</t>
        </is>
      </c>
    </row>
    <row r="25">
      <c r="A25" s="29" t="inlineStr"/>
    </row>
    <row r="26">
      <c r="A26" s="29" t="inlineStr">
        <is>
          <t>' Kept as an alias so the old name / any assigned button still works.</t>
        </is>
      </c>
    </row>
    <row r="27">
      <c r="A27" s="29" t="inlineStr">
        <is>
          <t>Public Sub ExtractAndRun()</t>
        </is>
      </c>
    </row>
    <row r="28">
      <c r="A28" s="29" t="inlineStr">
        <is>
          <t xml:space="preserve">    ExtractFiles</t>
        </is>
      </c>
    </row>
    <row r="29">
      <c r="A29" s="29" t="inlineStr">
        <is>
          <t>End Sub</t>
        </is>
      </c>
    </row>
    <row r="30">
      <c r="A30" s="29" t="inlineStr"/>
    </row>
    <row r="31">
      <c r="A31" s="29" t="inlineStr">
        <is>
          <t>Public Sub ExtractFiles()</t>
        </is>
      </c>
    </row>
    <row r="32">
      <c r="A32" s="29" t="inlineStr">
        <is>
          <t xml:space="preserve">    Dim folder As String, sep As String</t>
        </is>
      </c>
    </row>
    <row r="33">
      <c r="A33" s="29" t="inlineStr">
        <is>
          <t xml:space="preserve">    On Error GoTo Fail</t>
        </is>
      </c>
    </row>
    <row r="34">
      <c r="A34" s="29" t="inlineStr"/>
    </row>
    <row r="35">
      <c r="A35" s="29" t="inlineStr">
        <is>
          <t xml:space="preserve">    folder = ThisWorkbook.Path</t>
        </is>
      </c>
    </row>
    <row r="36">
      <c r="A36" s="29" t="inlineStr">
        <is>
          <t xml:space="preserve">    If Len(folder) = 0 Then</t>
        </is>
      </c>
    </row>
    <row r="37">
      <c r="A37" s="29" t="inlineStr">
        <is>
          <t xml:space="preserve">        MsgBox "Save the workbook to a folder first, then run ExtractFiles.", vbExclamation</t>
        </is>
      </c>
    </row>
    <row r="38">
      <c r="A38" s="29" t="inlineStr">
        <is>
          <t xml:space="preserve">        Exit Sub</t>
        </is>
      </c>
    </row>
    <row r="39">
      <c r="A39" s="29" t="inlineStr">
        <is>
          <t xml:space="preserve">    End If</t>
        </is>
      </c>
    </row>
    <row r="40">
      <c r="A40" s="29" t="inlineStr">
        <is>
          <t xml:space="preserve">    sep = Application.PathSeparator</t>
        </is>
      </c>
    </row>
    <row r="41">
      <c r="A41" s="29" t="inlineStr"/>
    </row>
    <row r="42">
      <c r="A42" s="29" t="inlineStr">
        <is>
          <t xml:space="preserve">    WriteTabToFile "_code_py", folder &amp; sep &amp; "runner.py"          ' the data-path script</t>
        </is>
      </c>
    </row>
    <row r="43">
      <c r="A43" s="29" t="inlineStr">
        <is>
          <t xml:space="preserve">    WriteTextFile folder &amp; sep &amp; "requirements.txt", RequirementsText()</t>
        </is>
      </c>
    </row>
    <row r="44">
      <c r="A44" s="29" t="inlineStr">
        <is>
          <t xml:space="preserve">    WriteTextFile folder &amp; sep &amp; "RUN.txt", RunText()             ' the PowerShell commands</t>
        </is>
      </c>
    </row>
    <row r="45">
      <c r="A45" s="29" t="inlineStr"/>
    </row>
    <row r="46">
      <c r="A46" s="29" t="inlineStr">
        <is>
          <t xml:space="preserve">    SetStatus "Extracted", "runner.py + requirements.txt + RUN.txt written -- see RUN.txt."</t>
        </is>
      </c>
    </row>
    <row r="47">
      <c r="A47" s="29" t="inlineStr">
        <is>
          <t xml:space="preserve">    MsgBox "Extracted next to this workbook:" &amp; vbCrLf &amp; _</t>
        </is>
      </c>
    </row>
    <row r="48">
      <c r="A48" s="29" t="inlineStr">
        <is>
          <t xml:space="preserve">           "    runner.py" &amp; vbCrLf &amp; _</t>
        </is>
      </c>
    </row>
    <row r="49">
      <c r="A49" s="29" t="inlineStr">
        <is>
          <t xml:space="preserve">           "    requirements.txt" &amp; vbCrLf &amp; _</t>
        </is>
      </c>
    </row>
    <row r="50">
      <c r="A50" s="29" t="inlineStr">
        <is>
          <t xml:space="preserve">           "    RUN.txt   (the PowerShell commands)" &amp; vbCrLf &amp; vbCrLf &amp; _</t>
        </is>
      </c>
    </row>
    <row r="51">
      <c r="A51" s="29" t="inlineStr">
        <is>
          <t xml:space="preserve">           "Open RUN.txt and follow it: install the deps, then run runner.py from " &amp; _</t>
        </is>
      </c>
    </row>
    <row r="52">
      <c r="A52" s="29" t="inlineStr">
        <is>
          <t xml:space="preserve">           "PowerShell with this workbook CLOSED. Reopen to see the dashboards." &amp; vbCrLf &amp; vbCrLf &amp; _</t>
        </is>
      </c>
    </row>
    <row r="53">
      <c r="A53" s="29" t="inlineStr">
        <is>
          <t xml:space="preserve">           "Just trying it out? Use the --demo command in RUN.txt (offline). " &amp; _</t>
        </is>
      </c>
    </row>
    <row r="54">
      <c r="A54" s="29" t="inlineStr">
        <is>
          <t xml:space="preserve">           "Live pulls need NO API key -- the FDIC API is keyless.", _</t>
        </is>
      </c>
    </row>
    <row r="55">
      <c r="A55" s="29" t="inlineStr">
        <is>
          <t xml:space="preserve">           vbInformation, "Extract complete"</t>
        </is>
      </c>
    </row>
    <row r="56">
      <c r="A56" s="29" t="inlineStr">
        <is>
          <t xml:space="preserve">    Exit Sub</t>
        </is>
      </c>
    </row>
    <row r="57">
      <c r="A57" s="29" t="inlineStr"/>
    </row>
    <row r="58">
      <c r="A58" s="29" t="inlineStr">
        <is>
          <t>Fail:</t>
        </is>
      </c>
    </row>
    <row r="59">
      <c r="A59" s="29" t="inlineStr">
        <is>
          <t xml:space="preserve">    MsgBox "Extract failed: " &amp; Err.Description, vbCritical</t>
        </is>
      </c>
    </row>
    <row r="60">
      <c r="A60" s="29" t="inlineStr">
        <is>
          <t>End Sub</t>
        </is>
      </c>
    </row>
    <row r="61">
      <c r="A61" s="29" t="inlineStr"/>
    </row>
    <row r="62">
      <c r="A62" s="29" t="inlineStr">
        <is>
          <t>Private Function RequirementsText() As String</t>
        </is>
      </c>
    </row>
    <row r="63">
      <c r="A63" s="29" t="inlineStr">
        <is>
          <t xml:space="preserve">    Dim nl As String</t>
        </is>
      </c>
    </row>
    <row r="64">
      <c r="A64" s="29" t="inlineStr">
        <is>
          <t xml:space="preserve">    nl = vbCrLf</t>
        </is>
      </c>
    </row>
    <row r="65">
      <c r="A65" s="29" t="inlineStr">
        <is>
          <t xml:space="preserve">    RequirementsText = "pandas&gt;=1.5" &amp; nl &amp; "openpyxl&gt;=3.0" &amp; nl</t>
        </is>
      </c>
    </row>
    <row r="66">
      <c r="A66" s="29" t="inlineStr">
        <is>
          <t>End Function</t>
        </is>
      </c>
    </row>
    <row r="67">
      <c r="A67" s="29" t="inlineStr"/>
    </row>
    <row r="68">
      <c r="A68" s="29" t="inlineStr">
        <is>
          <t>Private Function RunText() As String</t>
        </is>
      </c>
    </row>
    <row r="69">
      <c r="A69" s="29" t="inlineStr">
        <is>
          <t xml:space="preserve">    Dim nl As String, q As String, wb As String</t>
        </is>
      </c>
    </row>
    <row r="70">
      <c r="A70" s="29" t="inlineStr">
        <is>
          <t xml:space="preserve">    nl = vbCrLf</t>
        </is>
      </c>
    </row>
    <row r="71">
      <c r="A71" s="29" t="inlineStr">
        <is>
          <t xml:space="preserve">    q = Chr(34)</t>
        </is>
      </c>
    </row>
    <row r="72">
      <c r="A72" s="29" t="inlineStr">
        <is>
          <t xml:space="preserve">    wb = ThisWorkbook.Name</t>
        </is>
      </c>
    </row>
    <row r="73">
      <c r="A73" s="29" t="inlineStr">
        <is>
          <t xml:space="preserve">    RunText = _</t>
        </is>
      </c>
    </row>
    <row r="74">
      <c r="A74" s="29" t="inlineStr">
        <is>
          <t xml:space="preserve">        "Bank Counterparty &amp; Peer Monitor -- run from PowerShell (workbook must be CLOSED)" &amp; nl &amp; nl &amp; _</t>
        </is>
      </c>
    </row>
    <row r="75">
      <c r="A75" s="29" t="inlineStr">
        <is>
          <t xml:space="preserve">        "1) Install dependencies (once):" &amp; nl &amp; _</t>
        </is>
      </c>
    </row>
    <row r="76">
      <c r="A76" s="29" t="inlineStr">
        <is>
          <t xml:space="preserve">        "   python -m pip install -r requirements.txt" &amp; nl &amp; nl &amp; _</t>
        </is>
      </c>
    </row>
    <row r="77">
      <c r="A77" s="29" t="inlineStr">
        <is>
          <t xml:space="preserve">        "2) Try-the-button demo data (offline, deterministic):" &amp; nl &amp; _</t>
        </is>
      </c>
    </row>
    <row r="78">
      <c r="A78" s="29" t="inlineStr">
        <is>
          <t xml:space="preserve">        "   python .\runner.py --workbook " &amp; q &amp; ".\" &amp; wb &amp; q &amp; " --demo" &amp; nl &amp; nl &amp; _</t>
        </is>
      </c>
    </row>
    <row r="79">
      <c r="A79" s="29" t="inlineStr">
        <is>
          <t xml:space="preserve">        "3) Live data (FDIC BankFind API -- KEYLESS, no API key or account needed):" &amp; nl &amp; _</t>
        </is>
      </c>
    </row>
    <row r="80">
      <c r="A80" s="29" t="inlineStr">
        <is>
          <t xml:space="preserve">        "   python .\runner.py --workbook " &amp; q &amp; ".\" &amp; wb &amp; q &amp; nl &amp; nl &amp; _</t>
        </is>
      </c>
    </row>
    <row r="81">
      <c r="A81" s="29" t="inlineStr">
        <is>
          <t xml:space="preserve">        "4) Find a bank's CERT to add to the _config [PEERS] table (live-only):" &amp; nl &amp; _</t>
        </is>
      </c>
    </row>
    <row r="82">
      <c r="A82" s="29" t="inlineStr">
        <is>
          <t xml:space="preserve">        "   python .\runner.py --lookup " &amp; q &amp; "Frost Bank" &amp; q &amp; nl &amp; nl &amp; _</t>
        </is>
      </c>
    </row>
    <row r="83">
      <c r="A83" s="29" t="inlineStr">
        <is>
          <t xml:space="preserve">        "The peer list is the _config [PEERS] table: slot | cert | name | group | active." &amp; nl &amp; _</t>
        </is>
      </c>
    </row>
    <row r="84">
      <c r="A84" s="29" t="inlineStr">
        <is>
          <t xml:space="preserve">        "Add a bank = fill a free slot row + re-run (no rebuild). Remove = active FALSE." &amp; nl &amp; _</t>
        </is>
      </c>
    </row>
    <row r="85">
      <c r="A85" s="29" t="inlineStr">
        <is>
          <t xml:space="preserve">        "More banks than built slots and the runner tells you the exact rebuild command." &amp; nl &amp; nl &amp; _</t>
        </is>
      </c>
    </row>
    <row r="86">
      <c r="A86" s="29" t="inlineStr">
        <is>
          <t xml:space="preserve">        "If 'python' is not found, use 'py' instead. Reopen the workbook afterward." &amp; nl</t>
        </is>
      </c>
    </row>
    <row r="87">
      <c r="A87" s="29" t="inlineStr">
        <is>
          <t>End Function</t>
        </is>
      </c>
    </row>
    <row r="88">
      <c r="A88" s="29" t="inlineStr"/>
    </row>
    <row r="89">
      <c r="A89" s="29" t="inlineStr">
        <is>
          <t>Private Sub WriteTextFile(filePath As String, content As String)</t>
        </is>
      </c>
    </row>
    <row r="90">
      <c r="A90" s="29" t="inlineStr">
        <is>
          <t xml:space="preserve">    Dim fso As Object, ts As Object</t>
        </is>
      </c>
    </row>
    <row r="91">
      <c r="A91" s="29" t="inlineStr">
        <is>
          <t xml:space="preserve">    Set fso = CreateObject("Scripting.FileSystemObject")</t>
        </is>
      </c>
    </row>
    <row r="92">
      <c r="A92" s="29" t="inlineStr">
        <is>
          <t xml:space="preserve">    Set ts = fso.CreateTextFile(filePath, True, False)</t>
        </is>
      </c>
    </row>
    <row r="93">
      <c r="A93" s="29" t="inlineStr">
        <is>
          <t xml:space="preserve">    ts.Write content</t>
        </is>
      </c>
    </row>
    <row r="94">
      <c r="A94" s="29" t="inlineStr">
        <is>
          <t xml:space="preserve">    ts.Close</t>
        </is>
      </c>
    </row>
    <row r="95">
      <c r="A95" s="29" t="inlineStr">
        <is>
          <t>End Sub</t>
        </is>
      </c>
    </row>
    <row r="96">
      <c r="A96" s="29" t="inlineStr"/>
    </row>
    <row r="97">
      <c r="A97" s="29" t="inlineStr">
        <is>
          <t>' Write one tab's column A (one source line per cell) to a UTF-8 text file.</t>
        </is>
      </c>
    </row>
    <row r="98">
      <c r="A98" s="29" t="inlineStr">
        <is>
          <t>' ADODB.Stream writes real UTF-8 (FSO would write ANSI, and Python, which reads</t>
        </is>
      </c>
    </row>
    <row r="99">
      <c r="A99" s="29" t="inlineStr">
        <is>
          <t>' source as UTF-8, would raise SyntaxError on any non-ASCII byte).</t>
        </is>
      </c>
    </row>
    <row r="100">
      <c r="A100" s="29" t="inlineStr">
        <is>
          <t>Private Sub WriteTabToFile(tabName As String, filePath As String)</t>
        </is>
      </c>
    </row>
    <row r="101">
      <c r="A101" s="29" t="inlineStr">
        <is>
          <t xml:space="preserve">    Dim ws As Worksheet, lastRow As Long, r As Long, body As String</t>
        </is>
      </c>
    </row>
    <row r="102">
      <c r="A102" s="29" t="inlineStr">
        <is>
          <t xml:space="preserve">    Set ws = ThisWorkbook.Worksheets(tabName)</t>
        </is>
      </c>
    </row>
    <row r="103">
      <c r="A103" s="29" t="inlineStr">
        <is>
          <t xml:space="preserve">    lastRow = ws.Cells(ws.Rows.Count, 1).End(xlUp).Row</t>
        </is>
      </c>
    </row>
    <row r="104">
      <c r="A104" s="29" t="inlineStr">
        <is>
          <t xml:space="preserve">    For r = 1 To lastRow</t>
        </is>
      </c>
    </row>
    <row r="105">
      <c r="A105" s="29" t="inlineStr">
        <is>
          <t xml:space="preserve">        body = body &amp; CStr(ws.Cells(r, 1).Value) &amp; vbLf</t>
        </is>
      </c>
    </row>
    <row r="106">
      <c r="A106" s="29" t="inlineStr">
        <is>
          <t xml:space="preserve">    Next r</t>
        </is>
      </c>
    </row>
    <row r="107">
      <c r="A107" s="29" t="inlineStr">
        <is>
          <t xml:space="preserve">    Dim stm As Object</t>
        </is>
      </c>
    </row>
    <row r="108">
      <c r="A108" s="29" t="inlineStr">
        <is>
          <t xml:space="preserve">    Set stm = CreateObject("ADODB.Stream")</t>
        </is>
      </c>
    </row>
    <row r="109">
      <c r="A109" s="29" t="inlineStr">
        <is>
          <t xml:space="preserve">    stm.Type = 2                 ' adTypeText</t>
        </is>
      </c>
    </row>
    <row r="110">
      <c r="A110" s="29" t="inlineStr">
        <is>
          <t xml:space="preserve">    stm.Charset = "utf-8"</t>
        </is>
      </c>
    </row>
    <row r="111">
      <c r="A111" s="29" t="inlineStr">
        <is>
          <t xml:space="preserve">    stm.Open</t>
        </is>
      </c>
    </row>
    <row r="112">
      <c r="A112" s="29" t="inlineStr">
        <is>
          <t xml:space="preserve">    stm.WriteText body</t>
        </is>
      </c>
    </row>
    <row r="113">
      <c r="A113" s="29" t="inlineStr">
        <is>
          <t xml:space="preserve">    stm.SaveToFile filePath, 2   ' adSaveCreateOverWrite</t>
        </is>
      </c>
    </row>
    <row r="114">
      <c r="A114" s="29" t="inlineStr">
        <is>
          <t xml:space="preserve">    stm.Close</t>
        </is>
      </c>
    </row>
    <row r="115">
      <c r="A115" s="29" t="inlineStr">
        <is>
          <t>End Sub</t>
        </is>
      </c>
    </row>
    <row r="116">
      <c r="A116" s="29" t="inlineStr"/>
    </row>
    <row r="117">
      <c r="A117" s="29" t="inlineStr">
        <is>
          <t>Private Sub SetStatus(state As String, msg As String)</t>
        </is>
      </c>
    </row>
    <row r="118">
      <c r="A118" s="29" t="inlineStr">
        <is>
          <t xml:space="preserve">    Dim ws As Worksheet</t>
        </is>
      </c>
    </row>
    <row r="119">
      <c r="A119" s="29" t="inlineStr">
        <is>
          <t xml:space="preserve">    On Error Resume Next</t>
        </is>
      </c>
    </row>
    <row r="120">
      <c r="A120" s="29" t="inlineStr">
        <is>
          <t xml:space="preserve">    Set ws = ThisWorkbook.Worksheets(STATUS_SHEET)</t>
        </is>
      </c>
    </row>
    <row r="121">
      <c r="A121" s="29" t="inlineStr">
        <is>
          <t xml:space="preserve">    If ws Is Nothing Then Exit Sub</t>
        </is>
      </c>
    </row>
    <row r="122">
      <c r="A122" s="29" t="inlineStr">
        <is>
          <t xml:space="preserve">    ' Column L (12), row 4 -- the masthead status panel (free of the merged</t>
        </is>
      </c>
    </row>
    <row r="123">
      <c r="A123" s="29" t="inlineStr">
        <is>
          <t xml:space="preserve">    ' banner/KPI cells; the runner fills rows 1-3).</t>
        </is>
      </c>
    </row>
    <row r="124">
      <c r="A124" s="29" t="inlineStr">
        <is>
          <t xml:space="preserve">    ws.Cells(4, 12).Value = state &amp; " -- " &amp; msg</t>
        </is>
      </c>
    </row>
    <row r="125">
      <c r="A125" s="29" t="inlineStr">
        <is>
          <t>End Sub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141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t="inlineStr">
        <is>
          <t>BANK COUNTERPARTY &amp; PEER MONITOR (FDIC BankFind) -- README</t>
        </is>
      </c>
    </row>
    <row r="2">
      <c r="A2" t="inlineStr">
        <is>
          <t>==========================================================</t>
        </is>
      </c>
    </row>
    <row r="3">
      <c r="A3" t="inlineStr"/>
    </row>
    <row r="4">
      <c r="A4" s="27" t="inlineStr">
        <is>
          <t>WHAT THIS IS</t>
        </is>
      </c>
    </row>
    <row r="5">
      <c r="A5" t="inlineStr">
        <is>
          <t xml:space="preserve">  A self-contained, reusable template for CREDIT-RISK REVIEW of BANKS: your</t>
        </is>
      </c>
    </row>
    <row r="6">
      <c r="A6" t="inlineStr">
        <is>
          <t xml:space="preserve">  hand-picked peer/counterparty list IS the watchlist, keyed by FDIC CERT.</t>
        </is>
      </c>
    </row>
    <row r="7">
      <c r="A7" t="inlineStr">
        <is>
          <t xml:space="preserve">  One workbook pulls quarterly Call-Report-derived metrics for every active</t>
        </is>
      </c>
    </row>
    <row r="8">
      <c r="A8" t="inlineStr">
        <is>
          <t xml:space="preserve">  bank in the _config [PEERS] table from the FDIC BankFind API (public</t>
        </is>
      </c>
    </row>
    <row r="9">
      <c r="A9" t="inlineStr">
        <is>
          <t xml:space="preserve">  domain, KEYLESS -- no API key, no account), lands every raw field as an</t>
        </is>
      </c>
    </row>
    <row r="10">
      <c r="A10" t="inlineStr">
        <is>
          <t xml:space="preserve">  audit trail, and presents banks-as-rows dashboards with per-metric</t>
        </is>
      </c>
    </row>
    <row r="11">
      <c r="A11" t="inlineStr">
        <is>
          <t xml:space="preserve">  threshold coloring, peer medians, and a ranked Watchlist.</t>
        </is>
      </c>
    </row>
    <row r="12">
      <c r="A12" t="inlineStr"/>
    </row>
    <row r="13">
      <c r="A13" t="inlineStr">
        <is>
          <t>THE FLEXIBLE PEER LIST (the point of this template)</t>
        </is>
      </c>
    </row>
    <row r="14">
      <c r="A14" t="inlineStr">
        <is>
          <t xml:space="preserve">  [PEERS] in _config: slot | cert | name | group | active.</t>
        </is>
      </c>
    </row>
    <row r="15">
      <c r="A15" t="inlineStr">
        <is>
          <t xml:space="preserve">  - ADD a bank: type its CERT/name/group/active=TRUE on a free slot row,</t>
        </is>
      </c>
    </row>
    <row r="16">
      <c r="A16" t="inlineStr">
        <is>
          <t xml:space="preserve">    re-run the runner. No rebuild. Find CERTs from PowerShell:</t>
        </is>
      </c>
    </row>
    <row r="17">
      <c r="A17" t="inlineStr">
        <is>
          <t xml:space="preserve">        python runner.py --lookup "Frost Bank"</t>
        </is>
      </c>
    </row>
    <row r="18">
      <c r="A18" t="inlineStr">
        <is>
          <t xml:space="preserve">  - REMOVE a bank: set active=FALSE (or clear the row); the slot blanks on</t>
        </is>
      </c>
    </row>
    <row r="19">
      <c r="A19" t="inlineStr">
        <is>
          <t xml:space="preserve">    the next run (stateless clearing -- never last run's values).</t>
        </is>
      </c>
    </row>
    <row r="20">
      <c r="A20" t="inlineStr">
        <is>
          <t xml:space="preserve">  - CAPACITY is built in (this workbook: see peer_slots in [SETTINGS]).</t>
        </is>
      </c>
    </row>
    <row r="21">
      <c r="A21" t="inlineStr">
        <is>
          <t xml:space="preserve">    More banks than slots = the runner REFUSES with the exact rebuild</t>
        </is>
      </c>
    </row>
    <row r="22">
      <c r="A22" t="inlineStr">
        <is>
          <t xml:space="preserve">    command (make_workbook.py --peer-slots N). It never truncates.</t>
        </is>
      </c>
    </row>
    <row r="23">
      <c r="A23" t="inlineStr">
        <is>
          <t xml:space="preserve">  Bank identity flows into every tab BY FORMULA from the [PEERS] cells, and</t>
        </is>
      </c>
    </row>
    <row r="24">
      <c r="A24" t="inlineStr">
        <is>
          <t xml:space="preserve">  raw-data anchors depend only on the SLOT -- so a swap re-labels and</t>
        </is>
      </c>
    </row>
    <row r="25">
      <c r="A25" t="inlineStr">
        <is>
          <t xml:space="preserve">  re-points everything on recalc.</t>
        </is>
      </c>
    </row>
    <row r="26">
      <c r="A26" t="inlineStr"/>
    </row>
    <row r="27">
      <c r="A27" t="inlineStr">
        <is>
          <t>PROVIDERS (the adapter seam -- one provider per class)</t>
        </is>
      </c>
    </row>
    <row r="28">
      <c r="A28" t="inlineStr">
        <is>
          <t xml:space="preserve">  Class A (public, KEYLESS):</t>
        </is>
      </c>
    </row>
    <row r="29">
      <c r="A29" t="inlineStr">
        <is>
          <t xml:space="preserve">    - FdicProvider     -- LIVE plain-urllib REST against api.fdic.gov/banks.</t>
        </is>
      </c>
    </row>
    <row r="30">
      <c r="A30" t="inlineStr">
        <is>
          <t xml:space="preserve">                          ONE bulk /financials request per refresh (whole</t>
        </is>
      </c>
    </row>
    <row r="31">
      <c r="A31" t="inlineStr">
        <is>
          <t xml:space="preserve">                          peer set), one /institutions roster call (merger</t>
        </is>
      </c>
    </row>
    <row r="32">
      <c r="A32" t="inlineStr">
        <is>
          <t xml:space="preserve">                          detection). Throttled 0.6s, backoff on 429/5xx.</t>
        </is>
      </c>
    </row>
    <row r="33">
      <c r="A33" t="inlineStr">
        <is>
          <t xml:space="preserve">                          NO API KEY NEEDED -- nothing to configure.</t>
        </is>
      </c>
    </row>
    <row r="34">
      <c r="A34" t="inlineStr">
        <is>
          <t xml:space="preserve">    - FdicDemoProvider -- deterministic OFFLINE stand-in; used by every test</t>
        </is>
      </c>
    </row>
    <row r="35">
      <c r="A35" t="inlineStr">
        <is>
          <t xml:space="preserve">                          and the --demo flag. Demo banks are illustrative:</t>
        </is>
      </c>
    </row>
    <row r="36">
      <c r="A36" t="inlineStr">
        <is>
          <t xml:space="preserve">                          the stressed ones are FICTION assigned by a hash,</t>
        </is>
      </c>
    </row>
    <row r="37">
      <c r="A37" t="inlineStr">
        <is>
          <t xml:space="preserve">                          not a statement about any real bank.</t>
        </is>
      </c>
    </row>
    <row r="38">
      <c r="A38" t="inlineStr">
        <is>
          <t xml:space="preserve">  Class C (licensed): NOT admitted anywhere in this template -- the gates</t>
        </is>
      </c>
    </row>
    <row r="39">
      <c r="A39" t="inlineStr">
        <is>
          <t xml:space="preserve">  admit only Class A, and a licensed swap requires its own review.</t>
        </is>
      </c>
    </row>
    <row r="40">
      <c r="A40" t="inlineStr"/>
    </row>
    <row r="41">
      <c r="A41" s="27" t="inlineStr">
        <is>
          <t>ONE-TIME SETUP</t>
        </is>
      </c>
    </row>
    <row r="42">
      <c r="A42" t="inlineStr">
        <is>
          <t xml:space="preserve">  1. Install Python 3 (add it to PATH) and the dependencies:</t>
        </is>
      </c>
    </row>
    <row r="43">
      <c r="A43" t="inlineStr">
        <is>
          <t xml:space="preserve">         pip install pandas openpyxl</t>
        </is>
      </c>
    </row>
    <row r="44">
      <c r="A44" t="inlineStr">
        <is>
          <t xml:space="preserve">  2. Enable macros when prompted (the Extract button needs them).</t>
        </is>
      </c>
    </row>
    <row r="45">
      <c r="A45" t="inlineStr">
        <is>
          <t xml:space="preserve">  That is all -- the live API needs NO key.</t>
        </is>
      </c>
    </row>
    <row r="46">
      <c r="A46" t="inlineStr"/>
    </row>
    <row r="47">
      <c r="A47" t="inlineStr">
        <is>
          <t>RUN IT  (the workbook is the finished product; you only add data)</t>
        </is>
      </c>
    </row>
    <row r="48">
      <c r="A48" t="inlineStr">
        <is>
          <t xml:space="preserve">  1. In Excel press Alt+F8 -&gt; run ExtractFiles. It writes runner.py (from</t>
        </is>
      </c>
    </row>
    <row r="49">
      <c r="A49" t="inlineStr">
        <is>
          <t xml:space="preserve">     _code_py), requirements.txt, and RUN.txt next to the workbook.</t>
        </is>
      </c>
    </row>
    <row r="50">
      <c r="A50" t="inlineStr">
        <is>
          <t xml:space="preserve">     NOTHING runs inside Excel.</t>
        </is>
      </c>
    </row>
    <row r="51">
      <c r="A51" t="inlineStr">
        <is>
          <t xml:space="preserve">  2. SAVE and CLOSE the workbook.</t>
        </is>
      </c>
    </row>
    <row r="52">
      <c r="A52" t="inlineStr">
        <is>
          <t xml:space="preserve">  3. From PowerShell (see RUN.txt):</t>
        </is>
      </c>
    </row>
    <row r="53">
      <c r="A53" t="inlineStr">
        <is>
          <t xml:space="preserve">       - Try-the-button (offline): python runner.py -w &lt;book&gt;.xlsm --demo</t>
        </is>
      </c>
    </row>
    <row r="54">
      <c r="A54" t="inlineStr">
        <is>
          <t xml:space="preserve">       - Live FDIC (keyless):      python runner.py -w &lt;book&gt;.xlsm</t>
        </is>
      </c>
    </row>
    <row r="55">
      <c r="A55" t="inlineStr">
        <is>
          <t xml:space="preserve">       - Find a CERT:              python runner.py --lookup "&lt;bank name&gt;"</t>
        </is>
      </c>
    </row>
    <row r="56">
      <c r="A56" t="inlineStr">
        <is>
          <t xml:space="preserve">  4. Reopen the workbook -- the formulas recalc into the populated tabs.</t>
        </is>
      </c>
    </row>
    <row r="57">
      <c r="A57" t="inlineStr"/>
    </row>
    <row r="58">
      <c r="A58" t="inlineStr">
        <is>
          <t>THE METRICS (authorities named; "heuristic" means exactly that)</t>
        </is>
      </c>
    </row>
    <row r="59">
      <c r="A59" t="inlineStr">
        <is>
          <t xml:space="preserve">  Asset quality: NCLNLSR (noncurrent %), NTLNLSQR (QUARTERLY net charge-off</t>
        </is>
      </c>
    </row>
    <row r="60">
      <c r="A60" t="inlineStr">
        <is>
          <t xml:space="preserve">    % -- the YTD variant is deliberately excluded, trap F1; Q4 is seasonally</t>
        </is>
      </c>
    </row>
    <row r="61">
      <c r="A61" t="inlineStr">
        <is>
          <t xml:space="preserve">    heavy, compare YoY -- F7), PD3089R = P3LNLS/LNLSGR*100 (computed; no API</t>
        </is>
      </c>
    </row>
    <row r="62">
      <c r="A62" t="inlineStr">
        <is>
          <t xml:space="preserve">    ratio exists), LNATRESR (allowance/loans), LNRESNCR (coverage of</t>
        </is>
      </c>
    </row>
    <row r="63">
      <c r="A63" t="inlineStr">
        <is>
          <t xml:space="preserve">    noncurrents; below-is-bad).</t>
        </is>
      </c>
    </row>
    <row r="64">
      <c r="A64" t="inlineStr">
        <is>
          <t xml:space="preserve">  TEXAS RATIO -- VARIANT (documented): NCLNLS/(EQ+LNATRES)*100. The</t>
        </is>
      </c>
    </row>
    <row r="65">
      <c r="A65" t="inlineStr">
        <is>
          <t xml:space="preserve">    canonical Cassidy/RBC formulation adds OREO to the numerator and nets</t>
        </is>
      </c>
    </row>
    <row r="66">
      <c r="A66" t="inlineStr">
        <is>
          <t xml:space="preserve">    intangibles from equity; the ORE/INTAN field ids are UNVERIFIED, so v1</t>
        </is>
      </c>
    </row>
    <row r="67">
      <c r="A67" t="inlineStr">
        <is>
          <t xml:space="preserve">    computes the variant from verified fields only. Bands: 50 WATCH / 100</t>
        </is>
      </c>
    </row>
    <row r="68">
      <c r="A68" t="inlineStr">
        <is>
          <t xml:space="preserve">    ALERT (StL Fed 2025: 50-100 significant stress, &gt;100 historic failure</t>
        </is>
      </c>
    </row>
    <row r="69">
      <c r="A69" t="inlineStr">
        <is>
          <t xml:space="preserve">    signal).</t>
        </is>
      </c>
    </row>
    <row r="70">
      <c r="A70" t="inlineStr">
        <is>
          <t xml:space="preserve">  Capital: RBC1AAJ (Tier 1 leverage -- universal incl. CBLR electors; PCA</t>
        </is>
      </c>
    </row>
    <row r="71">
      <c r="A71" t="inlineStr">
        <is>
          <t xml:space="preserve">    well-capitalized 5%; CBLR floor 8% EFFECTIVE JULY 1 2026 -- vintage</t>
        </is>
      </c>
    </row>
    <row r="72">
      <c r="A72" t="inlineStr">
        <is>
          <t xml:space="preserve">    dated, F8), RBCRWAJ (total risk-based; PCA well-cap 10%; JSON NULL for</t>
        </is>
      </c>
    </row>
    <row r="73">
      <c r="A73" t="inlineStr">
        <is>
          <t xml:space="preserve">    CBLR electors -- rendered blank, never zero, trap F3), EQV.</t>
        </is>
      </c>
    </row>
    <row r="74">
      <c r="A74" t="inlineStr">
        <is>
          <t xml:space="preserve">  Earnings: ROAQ (QUARTERLY ROA -- trap F1), NIMY, EEFFR (above-is-bad).</t>
        </is>
      </c>
    </row>
    <row r="75">
      <c r="A75" t="inlineStr">
        <is>
          <t xml:space="preserve">    QBP Q1'26 industry references: ROA 1.26%, NIM 3.31%, NCO 0.59%.</t>
        </is>
      </c>
    </row>
    <row r="76">
      <c r="A76" t="inlineStr">
        <is>
          <t xml:space="preserve">  Funding/concentration: LNDEPR = LNLSNET/DEP*100, BRODEPR = BRO/DEP*100</t>
        </is>
      </c>
    </row>
    <row r="77">
      <c r="A77" t="inlineStr">
        <is>
          <t xml:space="preserve">    (brokered deposits are restricted below well-capitalized -- FDI Act s29 /</t>
        </is>
      </c>
    </row>
    <row r="78">
      <c r="A78" t="inlineStr">
        <is>
          <t xml:space="preserve">    12 CFR 337.6; the healthy-bank bands are heuristic), CRECONR =</t>
        </is>
      </c>
    </row>
    <row r="79">
      <c r="A79" t="inlineStr">
        <is>
          <t xml:space="preserve">    (LNRECONS+LNRENRES+LNREMULT)/(EQ+LNATRES)*100 -- the 2006 interagency</t>
        </is>
      </c>
    </row>
    <row r="80">
      <c r="A80" t="inlineStr">
        <is>
          <t xml:space="preserve">    guidance screens total CRE &gt;= 300% of TOTAL RISK-BASED CAPITAL; CBLR</t>
        </is>
      </c>
    </row>
    <row r="81">
      <c r="A81" t="inlineStr">
        <is>
          <t xml:space="preserve">    electors report none, so v1 uses the documented PROXY denominator</t>
        </is>
      </c>
    </row>
    <row r="82">
      <c r="A82" t="inlineStr">
        <is>
          <t xml:space="preserve">    EQ+LNATRES until the tier-1 dollar field is verified live. The</t>
        </is>
      </c>
    </row>
    <row r="83">
      <c r="A83" t="inlineStr">
        <is>
          <t xml:space="preserve">    guidance's 36-month growth leg is omitted (merger-distorted, F6).</t>
        </is>
      </c>
    </row>
    <row r="84">
      <c r="A84" t="inlineStr"/>
    </row>
    <row r="85">
      <c r="A85" t="inlineStr">
        <is>
          <t>REGULATORY VINTAGES (dated -- trap F8)</t>
        </is>
      </c>
    </row>
    <row r="86">
      <c r="A86" t="inlineStr">
        <is>
          <t xml:space="preserve">  - CBLR floor lowered 9% -&gt; 8% effective July 1, 2026 (OCC NR 2026-30 /</t>
        </is>
      </c>
    </row>
    <row r="87">
      <c r="A87" t="inlineStr">
        <is>
          <t xml:space="preserve">    FDIC FIL). The RBC1AAJ WATCH band of 8 reflects the NEW floor.</t>
        </is>
      </c>
    </row>
    <row r="88">
      <c r="A88" t="inlineStr">
        <is>
          <t xml:space="preserve">  - UBPR peer groups changed Feb 26, 2026: commercial banks now 8 groups by</t>
        </is>
      </c>
    </row>
    <row r="89">
      <c r="A89" t="inlineStr">
        <is>
          <t xml:space="preserve">    asset size only. Any future peer-band logic must record this vintage.</t>
        </is>
      </c>
    </row>
    <row r="90">
      <c r="A90" t="inlineStr">
        <is>
          <t xml:space="preserve">  - PCA thresholds per 12 CFR 324.403 (well-capitalized: total RBC &gt;= 10,</t>
        </is>
      </c>
    </row>
    <row r="91">
      <c r="A91" t="inlineStr">
        <is>
          <t xml:space="preserve">    tier 1 &gt;= 8, CET1 &gt;= 6.5, leverage &gt;= 5).</t>
        </is>
      </c>
    </row>
    <row r="92">
      <c r="A92" t="inlineStr"/>
    </row>
    <row r="93">
      <c r="A93" t="inlineStr">
        <is>
          <t>STALENESS IS A FIRST-CLASS FAILURE (trap F2 -- the merged-bank lesson)</t>
        </is>
      </c>
    </row>
    <row r="94">
      <c r="A94" t="inlineStr">
        <is>
          <t xml:space="preserve">  A merged-away or closed bank keeps returning its FINAL REPDTE with no</t>
        </is>
      </c>
    </row>
    <row r="95">
      <c r="A95" t="inlineStr">
        <is>
          <t xml:space="preserve">  error. Every run, the runner compares each bank's latest REPDTE to the</t>
        </is>
      </c>
    </row>
    <row r="96">
      <c r="A96" t="inlineStr">
        <is>
          <t xml:space="preserve">  peer-set max; a bank more than stale_multiplier quarters behind is marked</t>
        </is>
      </c>
    </row>
    <row r="97">
      <c r="A97" t="inlineStr">
        <is>
          <t xml:space="preserve">  STALE in the digest and status line, EXCLUDED from the alert counts, and</t>
        </is>
      </c>
    </row>
    <row r="98">
      <c r="A98" t="inlineStr">
        <is>
          <t xml:space="preserve">  annotated "possible merger/closure -- check /institutions ACTIVE,</t>
        </is>
      </c>
    </row>
    <row r="99">
      <c r="A99" t="inlineStr">
        <is>
          <t xml:space="preserve">  /history". The roster call surfaces ACTIVE=0/ENDEFYMD directly.</t>
        </is>
      </c>
    </row>
    <row r="100">
      <c r="A100" t="inlineStr">
        <is>
          <t xml:space="preserve">  KNOWN v1 DIVERGENCE (deliberate, documented): the PEER MEDIAN rows in the</t>
        </is>
      </c>
    </row>
    <row r="101">
      <c r="A101" t="inlineStr">
        <is>
          <t xml:space="preserve">  dashboards are Excel MEDIAN() formulas over the landed slot rows -- Excel</t>
        </is>
      </c>
    </row>
    <row r="102">
      <c r="A102" t="inlineStr">
        <is>
          <t xml:space="preserve">  cannot see runtime staleness, so a STALE bank's last-landed values still</t>
        </is>
      </c>
    </row>
    <row r="103">
      <c r="A103" t="inlineStr">
        <is>
          <t xml:space="preserve">  enter the WORKBOOK medians, while the runner's DIGEST medians exclude</t>
        </is>
      </c>
    </row>
    <row r="104">
      <c r="A104" t="inlineStr">
        <is>
          <t xml:space="preserve">  them. The digest is authoritative for alerting; treat workbook medians as</t>
        </is>
      </c>
    </row>
    <row r="105">
      <c r="A105" t="inlineStr">
        <is>
          <t xml:space="preserve">  approximate whenever the status line shows STALE &gt; 0. (v1.1 candidate:</t>
        </is>
      </c>
    </row>
    <row r="106">
      <c r="A106" t="inlineStr">
        <is>
          <t xml:space="preserve">  blank stale slots' latest-quarter cells at land time.)</t>
        </is>
      </c>
    </row>
    <row r="107">
      <c r="A107" t="inlineStr"/>
    </row>
    <row r="108">
      <c r="A108" t="inlineStr">
        <is>
          <t>THE WATCHLIST BOUNDARY (default-deny, defense in depth)</t>
        </is>
      </c>
    </row>
    <row r="109">
      <c r="A109" t="inlineStr">
        <is>
          <t xml:space="preserve">  A [PEERS] row is admitted ONLY if: the slot is active=TRUE, every metric</t>
        </is>
      </c>
    </row>
    <row r="110">
      <c r="A110" t="inlineStr">
        <is>
          <t xml:space="preserve">  row is Class A, and the entity key built from the cert cell matches</t>
        </is>
      </c>
    </row>
    <row r="111">
      <c r="A111" t="inlineStr">
        <is>
          <t xml:space="preserve">  cert:NNNNNNN. Blank/malformed CERTs are refused BY NAME with the --lookup</t>
        </is>
      </c>
    </row>
    <row r="112">
      <c r="A112" t="inlineStr">
        <is>
          <t xml:space="preserve">  hint (and the Watchlist Status column shows REFUSED by formula).</t>
        </is>
      </c>
    </row>
    <row r="113">
      <c r="A113" t="inlineStr">
        <is>
          <t xml:space="preserve">  Aggregates, holding companies and name-only rows cannot be monitored as</t>
        </is>
      </c>
    </row>
    <row r="114">
      <c r="A114" t="inlineStr">
        <is>
          <t xml:space="preserve">  counterparties. A build-time hard gate backs the runtime gate.</t>
        </is>
      </c>
    </row>
    <row r="115">
      <c r="A115" t="inlineStr"/>
    </row>
    <row r="116">
      <c r="A116" t="inlineStr">
        <is>
          <t>NOT AVAILABLE (honestly out of scope -- verified)</t>
        </is>
      </c>
    </row>
    <row r="117">
      <c r="A117" t="inlineStr">
        <is>
          <t xml:space="preserve">  - CAMELS/UFIRS ratings: CONFIDENTIAL, never public. The quantitative</t>
        </is>
      </c>
    </row>
    <row r="118">
      <c r="A118" t="inlineStr">
        <is>
          <t xml:space="preserve">    lanes mirror C-A-E-L + concentration; M/S are not computable.</t>
        </is>
      </c>
    </row>
    <row r="119">
      <c r="A119" t="inlineStr">
        <is>
          <t xml:space="preserve">  - Problem-bank NAMES: the QBP publishes only the count (54 in Q1 2026).</t>
        </is>
      </c>
    </row>
    <row r="120">
      <c r="A120" t="inlineStr">
        <is>
          <t xml:space="preserve">  - Holding-company (FR Y-9C) consolidated data: FFIEC/Chicago Fed, not</t>
        </is>
      </c>
    </row>
    <row r="121">
      <c r="A121" t="inlineStr">
        <is>
          <t xml:space="preserve">    this API. This template monitors the BANK (CERT) level only.</t>
        </is>
      </c>
    </row>
    <row r="122">
      <c r="A122" t="inlineStr">
        <is>
          <t xml:space="preserve">  - Uninsured-deposit share and unrealized HTM/AOCI losses (the 2023-</t>
        </is>
      </c>
    </row>
    <row r="123">
      <c r="A123" t="inlineStr">
        <is>
          <t xml:space="preserve">    failure metrics): field ids UNVERIFIED -- v1.1 priority once confirmed</t>
        </is>
      </c>
    </row>
    <row r="124">
      <c r="A124" t="inlineStr">
        <is>
          <t xml:space="preserve">    live; never silently approximated.</t>
        </is>
      </c>
    </row>
    <row r="125">
      <c r="A125" t="inlineStr">
        <is>
          <t xml:space="preserve">  - Intraquarter data: none exists publicly; call reports land ~35-60 days</t>
        </is>
      </c>
    </row>
    <row r="126">
      <c r="A126" t="inlineStr">
        <is>
          <t xml:space="preserve">    after quarter-end.</t>
        </is>
      </c>
    </row>
    <row r="127">
      <c r="A127" t="inlineStr"/>
    </row>
    <row r="128">
      <c r="A128" t="inlineStr">
        <is>
          <t>DATA-QUALITY TRAPS (baked in -- F1-F8)</t>
        </is>
      </c>
    </row>
    <row r="129">
      <c r="A129" t="inlineStr">
        <is>
          <t xml:space="preserve">  F1 YTD-vs-quarterly variants (ROAQ/NTLNLSQR used, never ROA/NTLNLSR)</t>
        </is>
      </c>
    </row>
    <row r="130">
      <c r="A130" t="inlineStr">
        <is>
          <t xml:space="preserve">  F2 merged-bank stale REPDTEs (staleness guard + roster ACTIVE check)</t>
        </is>
      </c>
    </row>
    <row r="131">
      <c r="A131" t="inlineStr">
        <is>
          <t xml:space="preserve">  F3 JSON null != 0 (CBLR ratios, BRO) -- blank cells, never zeros</t>
        </is>
      </c>
    </row>
    <row r="132">
      <c r="A132" t="inlineStr">
        <is>
          <t xml:space="preserve">  F4 mixed units in one record ($000 vs %) -- units carried per field</t>
        </is>
      </c>
    </row>
    <row r="133">
      <c r="A133" t="inlineStr">
        <is>
          <t xml:space="preserve">  F5 computed-ratio parity (Python == Excel, machine-tested)</t>
        </is>
      </c>
    </row>
    <row r="134">
      <c r="A134" t="inlineStr">
        <is>
          <t xml:space="preserve">  F6 merger survivorship (&gt;25% single-quarter asset jump flagged in digest)</t>
        </is>
      </c>
    </row>
    <row r="135">
      <c r="A135" t="inlineStr">
        <is>
          <t xml:space="preserve">  F7 NCO Q4 seasonality (compare YoY -- subtitle note)</t>
        </is>
      </c>
    </row>
    <row r="136">
      <c r="A136" t="inlineStr">
        <is>
          <t xml:space="preserve">  F8 regulatory vintages dated (CBLR 8% 7/2026; UBPR 8-band 2/2026)</t>
        </is>
      </c>
    </row>
    <row r="137">
      <c r="A137" t="inlineStr"/>
    </row>
    <row r="138">
      <c r="A138" t="inlineStr">
        <is>
          <t>NO AI IS INVOLVED IN THE DATA PATH. The gates, metric functions, thresholds</t>
        </is>
      </c>
    </row>
    <row r="139">
      <c r="A139" t="inlineStr">
        <is>
          <t>and staleness guard are deterministic and config-driven: the same input</t>
        </is>
      </c>
    </row>
    <row r="140">
      <c r="A140" t="inlineStr">
        <is>
          <t>always yields the same workbook.</t>
        </is>
      </c>
    </row>
    <row r="141">
      <c r="A141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2026-07-02T18:22:48Z</dcterms:created>
  <dcterms:modified xsi:type="dcterms:W3CDTF">2026-07-02T18:22:48Z</dcterms:modified>
</cp:coreProperties>
</file>