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name="Dashboard_AssetQuality" sheetId="1" state="visible" r:id="rId1"/>
    <sheet name="Dashboard_Capital_Earnings" sheetId="2" state="visible" r:id="rId2"/>
    <sheet name="Dashboard_Funding_Concentration" sheetId="3" state="visible" r:id="rId3"/>
    <sheet name="Dashboard_LoanBook" sheetId="4" state="visible" r:id="rId4"/>
    <sheet name="Watchlist" sheetId="5" state="visible" r:id="rId5"/>
    <sheet name="Raw_FDIC" sheetId="6" state="visible" r:id="rId6"/>
    <sheet name="_config" sheetId="7" state="visible" r:id="rId7"/>
    <sheet name="_provenance" sheetId="8" state="visible" r:id="rId8"/>
    <sheet name="_code_py" sheetId="9" state="visible" r:id="rId9"/>
    <sheet name="_code_vba" sheetId="10" state="visible" r:id="rId10"/>
    <sheet name="_readme" sheetId="11" state="visible" r:id="rId11"/>
  </sheets>
  <definedNames/>
  <calcPr calcId="12451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4">
    <font>
      <name val="Calibri"/>
      <family val="2"/>
      <color theme="1"/>
      <sz val="11"/>
      <scheme val="minor"/>
    </font>
    <font>
      <name val="Calibri"/>
      <i val="1"/>
      <color rgb="0057534B"/>
      <sz val="9"/>
    </font>
    <font>
      <name val="Arial"/>
      <b val="1"/>
      <color rgb="000A0908"/>
    </font>
    <font>
      <name val="Calibri"/>
      <b val="1"/>
      <sz val="9"/>
    </font>
    <font>
      <name val="Arial"/>
      <b val="1"/>
      <color rgb="00FFFFFF"/>
      <sz val="11"/>
    </font>
    <font>
      <name val="Calibri"/>
      <color rgb="0016130F"/>
      <sz val="11"/>
    </font>
    <font>
      <name val="Consolas"/>
      <color rgb="0016130F"/>
      <sz val="9"/>
    </font>
    <font>
      <name val="Calibri"/>
      <color rgb="0057534B"/>
      <sz val="11"/>
    </font>
    <font>
      <name val="Arial"/>
      <b val="1"/>
      <color rgb="00FFFFFF"/>
      <sz val="16"/>
    </font>
    <font>
      <name val="Calibri"/>
      <color rgb="00B9B4AC"/>
      <sz val="11"/>
    </font>
    <font>
      <name val="Arial"/>
      <b val="1"/>
      <color rgb="0057534B"/>
      <sz val="9"/>
    </font>
    <font>
      <name val="Arial"/>
      <b val="1"/>
      <color rgb="000A0908"/>
      <sz val="20"/>
    </font>
    <font>
      <name val="Calibri"/>
      <b val="1"/>
      <color rgb="00960019"/>
      <sz val="9"/>
    </font>
    <font>
      <name val="Arial"/>
      <b val="1"/>
      <color rgb="00960019"/>
      <sz val="11"/>
    </font>
  </fonts>
  <fills count="6">
    <fill>
      <patternFill/>
    </fill>
    <fill>
      <patternFill patternType="gray125"/>
    </fill>
    <fill>
      <patternFill patternType="solid">
        <fgColor rgb="0016130F"/>
      </patternFill>
    </fill>
    <fill>
      <patternFill patternType="solid">
        <fgColor rgb="000A0908"/>
      </patternFill>
    </fill>
    <fill>
      <patternFill patternType="solid">
        <fgColor rgb="00F4F1EC"/>
      </patternFill>
    </fill>
    <fill>
      <patternFill patternType="solid">
        <fgColor rgb="00F7DEDE"/>
      </patternFill>
    </fill>
  </fills>
  <borders count="6">
    <border>
      <left/>
      <right/>
      <top/>
      <bottom/>
      <diagonal/>
    </border>
    <border>
      <bottom style="thin">
        <color rgb="00E7E2D8"/>
      </bottom>
    </border>
    <border>
      <bottom style="thin">
        <color rgb="0016130F"/>
      </bottom>
    </border>
    <border>
      <bottom style="medium">
        <color rgb="00CC0000"/>
      </bottom>
    </border>
    <border>
      <top style="medium">
        <color rgb="00CC0000"/>
      </top>
    </border>
    <border>
      <top style="medium">
        <color rgb="000A0908"/>
      </top>
    </border>
  </borders>
  <cellStyleXfs count="1">
    <xf numFmtId="0" fontId="0" fillId="0" borderId="0"/>
  </cellStyleXfs>
  <cellXfs count="34">
    <xf numFmtId="0" fontId="0" fillId="0" borderId="0" pivotButton="0" quotePrefix="0" xfId="0"/>
    <xf numFmtId="0" fontId="8" fillId="3" borderId="0" applyAlignment="1" pivotButton="0" quotePrefix="0" xfId="0">
      <alignment horizontal="left" vertical="center" indent="1"/>
    </xf>
    <xf numFmtId="0" fontId="7" fillId="0" borderId="0" applyAlignment="1" pivotButton="0" quotePrefix="0" xfId="0">
      <alignment horizontal="left" vertical="center"/>
    </xf>
    <xf numFmtId="0" fontId="9" fillId="3" borderId="3" applyAlignment="1" pivotButton="0" quotePrefix="0" xfId="0">
      <alignment horizontal="left" vertical="top" indent="1"/>
    </xf>
    <xf numFmtId="0" fontId="0" fillId="0" borderId="3" pivotButton="0" quotePrefix="0" xfId="0"/>
    <xf numFmtId="0" fontId="10" fillId="4" borderId="4" applyAlignment="1" pivotButton="0" quotePrefix="0" xfId="0">
      <alignment horizontal="left" vertical="center" indent="1"/>
    </xf>
    <xf numFmtId="0" fontId="0" fillId="0" borderId="4" pivotButton="0" quotePrefix="0" xfId="0"/>
    <xf numFmtId="0" fontId="10" fillId="4" borderId="5" applyAlignment="1" pivotButton="0" quotePrefix="0" xfId="0">
      <alignment horizontal="left" vertical="center" indent="1"/>
    </xf>
    <xf numFmtId="0" fontId="0" fillId="0" borderId="5" pivotButton="0" quotePrefix="0" xfId="0"/>
    <xf numFmtId="0" fontId="11" fillId="4" borderId="0" applyAlignment="1" pivotButton="0" quotePrefix="0" xfId="0">
      <alignment horizontal="left" vertical="center" indent="1"/>
    </xf>
    <xf numFmtId="0" fontId="1" fillId="0" borderId="0" applyAlignment="1" pivotButton="0" quotePrefix="0" xfId="0">
      <alignment horizontal="left" vertical="center"/>
    </xf>
    <xf numFmtId="0" fontId="7" fillId="4" borderId="0" applyAlignment="1" pivotButton="0" quotePrefix="0" xfId="0">
      <alignment horizontal="left" vertical="center" indent="1"/>
    </xf>
    <xf numFmtId="0" fontId="4" fillId="3" borderId="2" applyAlignment="1" pivotButton="0" quotePrefix="0" xfId="0">
      <alignment horizontal="left" vertical="center"/>
    </xf>
    <xf numFmtId="0" fontId="4" fillId="3" borderId="2" applyAlignment="1" pivotButton="0" quotePrefix="0" xfId="0">
      <alignment horizontal="right" vertical="center"/>
    </xf>
    <xf numFmtId="0" fontId="5" fillId="0" borderId="1" pivotButton="0" quotePrefix="0" xfId="0"/>
    <xf numFmtId="1" fontId="6" fillId="0" borderId="1" applyAlignment="1" pivotButton="0" quotePrefix="0" xfId="0">
      <alignment horizontal="right" vertical="center"/>
    </xf>
    <xf numFmtId="0" fontId="7" fillId="0" borderId="1" pivotButton="0" quotePrefix="0" xfId="0"/>
    <xf numFmtId="2" fontId="0" fillId="0" borderId="1" applyAlignment="1" pivotButton="0" quotePrefix="0" xfId="0">
      <alignment horizontal="right" vertical="center"/>
    </xf>
    <xf numFmtId="0" fontId="2" fillId="0" borderId="1" pivotButton="0" quotePrefix="0" xfId="0"/>
    <xf numFmtId="2" fontId="2" fillId="0" borderId="0" applyAlignment="1" pivotButton="0" quotePrefix="0" xfId="0">
      <alignment horizontal="right" vertical="center"/>
    </xf>
    <xf numFmtId="0" fontId="3" fillId="0" borderId="0" applyAlignment="1" pivotButton="0" quotePrefix="0" xfId="0">
      <alignment horizontal="left" vertical="center"/>
    </xf>
    <xf numFmtId="0" fontId="12" fillId="0" borderId="0" applyAlignment="1" pivotButton="0" quotePrefix="0" xfId="0">
      <alignment horizontal="left" vertical="center"/>
    </xf>
    <xf numFmtId="0" fontId="13" fillId="5" borderId="0" applyAlignment="1" pivotButton="0" quotePrefix="0" xfId="0">
      <alignment vertical="top" wrapText="1"/>
    </xf>
    <xf numFmtId="0" fontId="4" fillId="3" borderId="2" applyAlignment="1" pivotButton="0" quotePrefix="0" xfId="0">
      <alignment horizontal="center" vertical="center"/>
    </xf>
    <xf numFmtId="0" fontId="3" fillId="0" borderId="0" pivotButton="0" quotePrefix="0" xfId="0"/>
    <xf numFmtId="1" fontId="6" fillId="0" borderId="1" pivotButton="0" quotePrefix="0" xfId="0"/>
    <xf numFmtId="164" fontId="0" fillId="0" borderId="1" applyAlignment="1" pivotButton="0" quotePrefix="0" xfId="0">
      <alignment horizontal="right" vertical="center"/>
    </xf>
    <xf numFmtId="0" fontId="0" fillId="0" borderId="1" applyAlignment="1" pivotButton="0" quotePrefix="0" xfId="0">
      <alignment horizontal="center" vertical="center"/>
    </xf>
    <xf numFmtId="0" fontId="1" fillId="0" borderId="0" pivotButton="0" quotePrefix="0" xfId="0"/>
    <xf numFmtId="0" fontId="2" fillId="0" borderId="0" pivotButton="0" quotePrefix="0" xfId="0"/>
    <xf numFmtId="0" fontId="4" fillId="2" borderId="0" pivotButton="0" quotePrefix="0" xfId="0"/>
    <xf numFmtId="0" fontId="3" fillId="4" borderId="0" pivotButton="0" quotePrefix="0" xfId="0"/>
    <xf numFmtId="0" fontId="6" fillId="0" borderId="0" pivotButton="0" quotePrefix="0" xfId="0"/>
    <xf numFmtId="0" fontId="12" fillId="0" borderId="0" pivotButton="0" quotePrefix="0" xfId="0"/>
  </cellXfs>
  <cellStyles count="1">
    <cellStyle name="Normal" xfId="0" builtinId="0" hidden="0"/>
  </cellStyles>
  <dxfs count="2">
    <dxf>
      <font>
        <name val="Arial"/>
        <b val="1"/>
        <color rgb="00960019"/>
        <sz val="11"/>
      </font>
      <fill>
        <patternFill patternType="solid">
          <fgColor rgb="00F7DEDE"/>
        </patternFill>
      </fill>
    </dxf>
    <dxf>
      <font>
        <name val="Calibri"/>
        <b val="1"/>
        <color rgb="0057534B"/>
      </font>
      <fill>
        <patternFill patternType="solid">
          <fgColor rgb="00E4DFD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styles" Target="styles.xml" Id="rId12" /><Relationship Type="http://schemas.openxmlformats.org/officeDocument/2006/relationships/theme" Target="theme/theme1.xml" Id="rId13" /><Relationship Id="rIdVbaProject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L4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9" customWidth="1" min="2" max="2"/>
    <col width="13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40" customWidth="1" min="12" max="12"/>
  </cols>
  <sheetData>
    <row r="1" ht="27.6" customHeight="1">
      <c r="A1" s="1" t="inlineStr">
        <is>
          <t>Asset Quality Dashboard</t>
        </is>
      </c>
      <c r="L1" s="2" t="n"/>
    </row>
    <row r="2" ht="18.4" customHeight="1">
      <c r="A2" s="3" t="inlineStr">
        <is>
          <t>Noncurrent, quarterly NCO (seasonal: Q4 cleanup -- compare YoY, F7), 30-89 day pipeline, allowance, coverage, Texas ratio (VARIANT). QBP Q1'26 industry reference: NCO 0.59%.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L2" s="2" t="n"/>
    </row>
    <row r="3">
      <c r="A3" s="5" t="inlineStr">
        <is>
          <t>BANKS IN ALERT</t>
        </is>
      </c>
      <c r="B3" s="6" t="n"/>
      <c r="C3" s="6" t="n"/>
      <c r="D3" s="5" t="inlineStr">
        <is>
          <t>BANKS IN WATCH</t>
        </is>
      </c>
      <c r="E3" s="6" t="n"/>
      <c r="F3" s="6" t="n"/>
      <c r="G3" s="7" t="inlineStr">
        <is>
          <t>BANKS TRACKED</t>
        </is>
      </c>
      <c r="H3" s="8" t="n"/>
      <c r="I3" s="8" t="n"/>
      <c r="L3" s="2" t="n"/>
    </row>
    <row r="4" ht="26" customHeight="1">
      <c r="A4" s="9">
        <f>COUNTIF(Watchlist!$H$5:$H$44,"ALERT")</f>
        <v/>
      </c>
      <c r="D4" s="9">
        <f>COUNTIF(Watchlist!$H$5:$H$44,"WATCH")</f>
        <v/>
      </c>
      <c r="G4" s="9">
        <f>COUNTIF(Watchlist!$A$5:$A$44,"?*")</f>
        <v/>
      </c>
      <c r="L4" s="10" t="n"/>
    </row>
    <row r="5">
      <c r="A5" s="11" t="inlineStr">
        <is>
          <t>of 12 active</t>
        </is>
      </c>
      <c r="D5" s="11" t="inlineStr">
        <is>
          <t>elevated</t>
        </is>
      </c>
      <c r="G5" s="11" t="inlineStr">
        <is>
          <t>of 40 built slots</t>
        </is>
      </c>
    </row>
    <row r="6" ht="8" customHeight="1"/>
    <row r="7" ht="22" customHeight="1">
      <c r="A7" s="12" t="inlineStr">
        <is>
          <t>Bank</t>
        </is>
      </c>
      <c r="B7" s="12" t="inlineStr">
        <is>
          <t>CERT</t>
        </is>
      </c>
      <c r="C7" s="12" t="inlineStr">
        <is>
          <t>Group</t>
        </is>
      </c>
      <c r="D7" s="13" t="inlineStr">
        <is>
          <t>Noncurrent %</t>
        </is>
      </c>
      <c r="E7" s="13" t="inlineStr">
        <is>
          <t>NCO % (q)</t>
        </is>
      </c>
      <c r="F7" s="13" t="inlineStr">
        <is>
          <t>30-89 PD %</t>
        </is>
      </c>
      <c r="G7" s="13" t="inlineStr">
        <is>
          <t>ALLL/Loans %</t>
        </is>
      </c>
      <c r="H7" s="13" t="inlineStr">
        <is>
          <t>Coverage %</t>
        </is>
      </c>
      <c r="I7" s="13" t="inlineStr">
        <is>
          <t>Texas %</t>
        </is>
      </c>
    </row>
    <row r="8">
      <c r="A8" s="14">
        <f>IF(_config!$C$72="","",_config!$C$72)</f>
        <v/>
      </c>
      <c r="B8" s="15">
        <f>IF(_config!$B$72="","",_config!$B$72)</f>
        <v/>
      </c>
      <c r="C8" s="16">
        <f>IF(_config!$D$72="","",_config!$D$72)</f>
        <v/>
      </c>
      <c r="D8" s="17">
        <f>IF(Raw_FDIC!N4="","",Raw_FDIC!N4)</f>
        <v/>
      </c>
      <c r="E8" s="17">
        <f>IF(Raw_FDIC!O4="","",Raw_FDIC!O4)</f>
        <v/>
      </c>
      <c r="F8" s="17">
        <f>IF(OR(Raw_FDIC!J4="",Raw_FDIC!D4=""),"",IF(Raw_FDIC!D4=0,"",Raw_FDIC!J4/Raw_FDIC!D4*100))</f>
        <v/>
      </c>
      <c r="G8" s="17">
        <f>IF(Raw_FDIC!P4="","",Raw_FDIC!P4)</f>
        <v/>
      </c>
      <c r="H8" s="17">
        <f>IF(Raw_FDIC!Q4="","",Raw_FDIC!Q4)</f>
        <v/>
      </c>
      <c r="I8" s="17">
        <f>IF(OR(Raw_FDIC!H4="",Raw_FDIC!G4="",Raw_FDIC!I4=""),"",IF(Raw_FDIC!G4+Raw_FDIC!I4=0,"",Raw_FDIC!H4/(Raw_FDIC!G4+Raw_FDIC!I4)*100))</f>
        <v/>
      </c>
    </row>
    <row r="9">
      <c r="A9" s="14">
        <f>IF(_config!$C$73="","",_config!$C$73)</f>
        <v/>
      </c>
      <c r="B9" s="15">
        <f>IF(_config!$B$73="","",_config!$B$73)</f>
        <v/>
      </c>
      <c r="C9" s="16">
        <f>IF(_config!$D$73="","",_config!$D$73)</f>
        <v/>
      </c>
      <c r="D9" s="17">
        <f>IF(Raw_FDIC!N24="","",Raw_FDIC!N24)</f>
        <v/>
      </c>
      <c r="E9" s="17">
        <f>IF(Raw_FDIC!O24="","",Raw_FDIC!O24)</f>
        <v/>
      </c>
      <c r="F9" s="17">
        <f>IF(OR(Raw_FDIC!J24="",Raw_FDIC!D24=""),"",IF(Raw_FDIC!D24=0,"",Raw_FDIC!J24/Raw_FDIC!D24*100))</f>
        <v/>
      </c>
      <c r="G9" s="17">
        <f>IF(Raw_FDIC!P24="","",Raw_FDIC!P24)</f>
        <v/>
      </c>
      <c r="H9" s="17">
        <f>IF(Raw_FDIC!Q24="","",Raw_FDIC!Q24)</f>
        <v/>
      </c>
      <c r="I9" s="17">
        <f>IF(OR(Raw_FDIC!H24="",Raw_FDIC!G24="",Raw_FDIC!I24=""),"",IF(Raw_FDIC!G24+Raw_FDIC!I24=0,"",Raw_FDIC!H24/(Raw_FDIC!G24+Raw_FDIC!I24)*100))</f>
        <v/>
      </c>
    </row>
    <row r="10">
      <c r="A10" s="14">
        <f>IF(_config!$C$74="","",_config!$C$74)</f>
        <v/>
      </c>
      <c r="B10" s="15">
        <f>IF(_config!$B$74="","",_config!$B$74)</f>
        <v/>
      </c>
      <c r="C10" s="16">
        <f>IF(_config!$D$74="","",_config!$D$74)</f>
        <v/>
      </c>
      <c r="D10" s="17">
        <f>IF(Raw_FDIC!N44="","",Raw_FDIC!N44)</f>
        <v/>
      </c>
      <c r="E10" s="17">
        <f>IF(Raw_FDIC!O44="","",Raw_FDIC!O44)</f>
        <v/>
      </c>
      <c r="F10" s="17">
        <f>IF(OR(Raw_FDIC!J44="",Raw_FDIC!D44=""),"",IF(Raw_FDIC!D44=0,"",Raw_FDIC!J44/Raw_FDIC!D44*100))</f>
        <v/>
      </c>
      <c r="G10" s="17">
        <f>IF(Raw_FDIC!P44="","",Raw_FDIC!P44)</f>
        <v/>
      </c>
      <c r="H10" s="17">
        <f>IF(Raw_FDIC!Q44="","",Raw_FDIC!Q44)</f>
        <v/>
      </c>
      <c r="I10" s="17">
        <f>IF(OR(Raw_FDIC!H44="",Raw_FDIC!G44="",Raw_FDIC!I44=""),"",IF(Raw_FDIC!G44+Raw_FDIC!I44=0,"",Raw_FDIC!H44/(Raw_FDIC!G44+Raw_FDIC!I44)*100))</f>
        <v/>
      </c>
    </row>
    <row r="11">
      <c r="A11" s="14">
        <f>IF(_config!$C$75="","",_config!$C$75)</f>
        <v/>
      </c>
      <c r="B11" s="15">
        <f>IF(_config!$B$75="","",_config!$B$75)</f>
        <v/>
      </c>
      <c r="C11" s="16">
        <f>IF(_config!$D$75="","",_config!$D$75)</f>
        <v/>
      </c>
      <c r="D11" s="17">
        <f>IF(Raw_FDIC!N64="","",Raw_FDIC!N64)</f>
        <v/>
      </c>
      <c r="E11" s="17">
        <f>IF(Raw_FDIC!O64="","",Raw_FDIC!O64)</f>
        <v/>
      </c>
      <c r="F11" s="17">
        <f>IF(OR(Raw_FDIC!J64="",Raw_FDIC!D64=""),"",IF(Raw_FDIC!D64=0,"",Raw_FDIC!J64/Raw_FDIC!D64*100))</f>
        <v/>
      </c>
      <c r="G11" s="17">
        <f>IF(Raw_FDIC!P64="","",Raw_FDIC!P64)</f>
        <v/>
      </c>
      <c r="H11" s="17">
        <f>IF(Raw_FDIC!Q64="","",Raw_FDIC!Q64)</f>
        <v/>
      </c>
      <c r="I11" s="17">
        <f>IF(OR(Raw_FDIC!H64="",Raw_FDIC!G64="",Raw_FDIC!I64=""),"",IF(Raw_FDIC!G64+Raw_FDIC!I64=0,"",Raw_FDIC!H64/(Raw_FDIC!G64+Raw_FDIC!I64)*100))</f>
        <v/>
      </c>
    </row>
    <row r="12">
      <c r="A12" s="14">
        <f>IF(_config!$C$76="","",_config!$C$76)</f>
        <v/>
      </c>
      <c r="B12" s="15">
        <f>IF(_config!$B$76="","",_config!$B$76)</f>
        <v/>
      </c>
      <c r="C12" s="16">
        <f>IF(_config!$D$76="","",_config!$D$76)</f>
        <v/>
      </c>
      <c r="D12" s="17">
        <f>IF(Raw_FDIC!N84="","",Raw_FDIC!N84)</f>
        <v/>
      </c>
      <c r="E12" s="17">
        <f>IF(Raw_FDIC!O84="","",Raw_FDIC!O84)</f>
        <v/>
      </c>
      <c r="F12" s="17">
        <f>IF(OR(Raw_FDIC!J84="",Raw_FDIC!D84=""),"",IF(Raw_FDIC!D84=0,"",Raw_FDIC!J84/Raw_FDIC!D84*100))</f>
        <v/>
      </c>
      <c r="G12" s="17">
        <f>IF(Raw_FDIC!P84="","",Raw_FDIC!P84)</f>
        <v/>
      </c>
      <c r="H12" s="17">
        <f>IF(Raw_FDIC!Q84="","",Raw_FDIC!Q84)</f>
        <v/>
      </c>
      <c r="I12" s="17">
        <f>IF(OR(Raw_FDIC!H84="",Raw_FDIC!G84="",Raw_FDIC!I84=""),"",IF(Raw_FDIC!G84+Raw_FDIC!I84=0,"",Raw_FDIC!H84/(Raw_FDIC!G84+Raw_FDIC!I84)*100))</f>
        <v/>
      </c>
    </row>
    <row r="13">
      <c r="A13" s="14">
        <f>IF(_config!$C$77="","",_config!$C$77)</f>
        <v/>
      </c>
      <c r="B13" s="15">
        <f>IF(_config!$B$77="","",_config!$B$77)</f>
        <v/>
      </c>
      <c r="C13" s="16">
        <f>IF(_config!$D$77="","",_config!$D$77)</f>
        <v/>
      </c>
      <c r="D13" s="17">
        <f>IF(Raw_FDIC!N104="","",Raw_FDIC!N104)</f>
        <v/>
      </c>
      <c r="E13" s="17">
        <f>IF(Raw_FDIC!O104="","",Raw_FDIC!O104)</f>
        <v/>
      </c>
      <c r="F13" s="17">
        <f>IF(OR(Raw_FDIC!J104="",Raw_FDIC!D104=""),"",IF(Raw_FDIC!D104=0,"",Raw_FDIC!J104/Raw_FDIC!D104*100))</f>
        <v/>
      </c>
      <c r="G13" s="17">
        <f>IF(Raw_FDIC!P104="","",Raw_FDIC!P104)</f>
        <v/>
      </c>
      <c r="H13" s="17">
        <f>IF(Raw_FDIC!Q104="","",Raw_FDIC!Q104)</f>
        <v/>
      </c>
      <c r="I13" s="17">
        <f>IF(OR(Raw_FDIC!H104="",Raw_FDIC!G104="",Raw_FDIC!I104=""),"",IF(Raw_FDIC!G104+Raw_FDIC!I104=0,"",Raw_FDIC!H104/(Raw_FDIC!G104+Raw_FDIC!I104)*100))</f>
        <v/>
      </c>
    </row>
    <row r="14">
      <c r="A14" s="14">
        <f>IF(_config!$C$78="","",_config!$C$78)</f>
        <v/>
      </c>
      <c r="B14" s="15">
        <f>IF(_config!$B$78="","",_config!$B$78)</f>
        <v/>
      </c>
      <c r="C14" s="16">
        <f>IF(_config!$D$78="","",_config!$D$78)</f>
        <v/>
      </c>
      <c r="D14" s="17">
        <f>IF(Raw_FDIC!N124="","",Raw_FDIC!N124)</f>
        <v/>
      </c>
      <c r="E14" s="17">
        <f>IF(Raw_FDIC!O124="","",Raw_FDIC!O124)</f>
        <v/>
      </c>
      <c r="F14" s="17">
        <f>IF(OR(Raw_FDIC!J124="",Raw_FDIC!D124=""),"",IF(Raw_FDIC!D124=0,"",Raw_FDIC!J124/Raw_FDIC!D124*100))</f>
        <v/>
      </c>
      <c r="G14" s="17">
        <f>IF(Raw_FDIC!P124="","",Raw_FDIC!P124)</f>
        <v/>
      </c>
      <c r="H14" s="17">
        <f>IF(Raw_FDIC!Q124="","",Raw_FDIC!Q124)</f>
        <v/>
      </c>
      <c r="I14" s="17">
        <f>IF(OR(Raw_FDIC!H124="",Raw_FDIC!G124="",Raw_FDIC!I124=""),"",IF(Raw_FDIC!G124+Raw_FDIC!I124=0,"",Raw_FDIC!H124/(Raw_FDIC!G124+Raw_FDIC!I124)*100))</f>
        <v/>
      </c>
    </row>
    <row r="15">
      <c r="A15" s="14">
        <f>IF(_config!$C$79="","",_config!$C$79)</f>
        <v/>
      </c>
      <c r="B15" s="15">
        <f>IF(_config!$B$79="","",_config!$B$79)</f>
        <v/>
      </c>
      <c r="C15" s="16">
        <f>IF(_config!$D$79="","",_config!$D$79)</f>
        <v/>
      </c>
      <c r="D15" s="17">
        <f>IF(Raw_FDIC!N144="","",Raw_FDIC!N144)</f>
        <v/>
      </c>
      <c r="E15" s="17">
        <f>IF(Raw_FDIC!O144="","",Raw_FDIC!O144)</f>
        <v/>
      </c>
      <c r="F15" s="17">
        <f>IF(OR(Raw_FDIC!J144="",Raw_FDIC!D144=""),"",IF(Raw_FDIC!D144=0,"",Raw_FDIC!J144/Raw_FDIC!D144*100))</f>
        <v/>
      </c>
      <c r="G15" s="17">
        <f>IF(Raw_FDIC!P144="","",Raw_FDIC!P144)</f>
        <v/>
      </c>
      <c r="H15" s="17">
        <f>IF(Raw_FDIC!Q144="","",Raw_FDIC!Q144)</f>
        <v/>
      </c>
      <c r="I15" s="17">
        <f>IF(OR(Raw_FDIC!H144="",Raw_FDIC!G144="",Raw_FDIC!I144=""),"",IF(Raw_FDIC!G144+Raw_FDIC!I144=0,"",Raw_FDIC!H144/(Raw_FDIC!G144+Raw_FDIC!I144)*100))</f>
        <v/>
      </c>
    </row>
    <row r="16">
      <c r="A16" s="14">
        <f>IF(_config!$C$80="","",_config!$C$80)</f>
        <v/>
      </c>
      <c r="B16" s="15">
        <f>IF(_config!$B$80="","",_config!$B$80)</f>
        <v/>
      </c>
      <c r="C16" s="16">
        <f>IF(_config!$D$80="","",_config!$D$80)</f>
        <v/>
      </c>
      <c r="D16" s="17">
        <f>IF(Raw_FDIC!N164="","",Raw_FDIC!N164)</f>
        <v/>
      </c>
      <c r="E16" s="17">
        <f>IF(Raw_FDIC!O164="","",Raw_FDIC!O164)</f>
        <v/>
      </c>
      <c r="F16" s="17">
        <f>IF(OR(Raw_FDIC!J164="",Raw_FDIC!D164=""),"",IF(Raw_FDIC!D164=0,"",Raw_FDIC!J164/Raw_FDIC!D164*100))</f>
        <v/>
      </c>
      <c r="G16" s="17">
        <f>IF(Raw_FDIC!P164="","",Raw_FDIC!P164)</f>
        <v/>
      </c>
      <c r="H16" s="17">
        <f>IF(Raw_FDIC!Q164="","",Raw_FDIC!Q164)</f>
        <v/>
      </c>
      <c r="I16" s="17">
        <f>IF(OR(Raw_FDIC!H164="",Raw_FDIC!G164="",Raw_FDIC!I164=""),"",IF(Raw_FDIC!G164+Raw_FDIC!I164=0,"",Raw_FDIC!H164/(Raw_FDIC!G164+Raw_FDIC!I164)*100))</f>
        <v/>
      </c>
    </row>
    <row r="17">
      <c r="A17" s="14">
        <f>IF(_config!$C$81="","",_config!$C$81)</f>
        <v/>
      </c>
      <c r="B17" s="15">
        <f>IF(_config!$B$81="","",_config!$B$81)</f>
        <v/>
      </c>
      <c r="C17" s="16">
        <f>IF(_config!$D$81="","",_config!$D$81)</f>
        <v/>
      </c>
      <c r="D17" s="17">
        <f>IF(Raw_FDIC!N184="","",Raw_FDIC!N184)</f>
        <v/>
      </c>
      <c r="E17" s="17">
        <f>IF(Raw_FDIC!O184="","",Raw_FDIC!O184)</f>
        <v/>
      </c>
      <c r="F17" s="17">
        <f>IF(OR(Raw_FDIC!J184="",Raw_FDIC!D184=""),"",IF(Raw_FDIC!D184=0,"",Raw_FDIC!J184/Raw_FDIC!D184*100))</f>
        <v/>
      </c>
      <c r="G17" s="17">
        <f>IF(Raw_FDIC!P184="","",Raw_FDIC!P184)</f>
        <v/>
      </c>
      <c r="H17" s="17">
        <f>IF(Raw_FDIC!Q184="","",Raw_FDIC!Q184)</f>
        <v/>
      </c>
      <c r="I17" s="17">
        <f>IF(OR(Raw_FDIC!H184="",Raw_FDIC!G184="",Raw_FDIC!I184=""),"",IF(Raw_FDIC!G184+Raw_FDIC!I184=0,"",Raw_FDIC!H184/(Raw_FDIC!G184+Raw_FDIC!I184)*100))</f>
        <v/>
      </c>
    </row>
    <row r="18">
      <c r="A18" s="14">
        <f>IF(_config!$C$82="","",_config!$C$82)</f>
        <v/>
      </c>
      <c r="B18" s="15">
        <f>IF(_config!$B$82="","",_config!$B$82)</f>
        <v/>
      </c>
      <c r="C18" s="16">
        <f>IF(_config!$D$82="","",_config!$D$82)</f>
        <v/>
      </c>
      <c r="D18" s="17">
        <f>IF(Raw_FDIC!N204="","",Raw_FDIC!N204)</f>
        <v/>
      </c>
      <c r="E18" s="17">
        <f>IF(Raw_FDIC!O204="","",Raw_FDIC!O204)</f>
        <v/>
      </c>
      <c r="F18" s="17">
        <f>IF(OR(Raw_FDIC!J204="",Raw_FDIC!D204=""),"",IF(Raw_FDIC!D204=0,"",Raw_FDIC!J204/Raw_FDIC!D204*100))</f>
        <v/>
      </c>
      <c r="G18" s="17">
        <f>IF(Raw_FDIC!P204="","",Raw_FDIC!P204)</f>
        <v/>
      </c>
      <c r="H18" s="17">
        <f>IF(Raw_FDIC!Q204="","",Raw_FDIC!Q204)</f>
        <v/>
      </c>
      <c r="I18" s="17">
        <f>IF(OR(Raw_FDIC!H204="",Raw_FDIC!G204="",Raw_FDIC!I204=""),"",IF(Raw_FDIC!G204+Raw_FDIC!I204=0,"",Raw_FDIC!H204/(Raw_FDIC!G204+Raw_FDIC!I204)*100))</f>
        <v/>
      </c>
    </row>
    <row r="19">
      <c r="A19" s="14">
        <f>IF(_config!$C$83="","",_config!$C$83)</f>
        <v/>
      </c>
      <c r="B19" s="15">
        <f>IF(_config!$B$83="","",_config!$B$83)</f>
        <v/>
      </c>
      <c r="C19" s="16">
        <f>IF(_config!$D$83="","",_config!$D$83)</f>
        <v/>
      </c>
      <c r="D19" s="17">
        <f>IF(Raw_FDIC!N224="","",Raw_FDIC!N224)</f>
        <v/>
      </c>
      <c r="E19" s="17">
        <f>IF(Raw_FDIC!O224="","",Raw_FDIC!O224)</f>
        <v/>
      </c>
      <c r="F19" s="17">
        <f>IF(OR(Raw_FDIC!J224="",Raw_FDIC!D224=""),"",IF(Raw_FDIC!D224=0,"",Raw_FDIC!J224/Raw_FDIC!D224*100))</f>
        <v/>
      </c>
      <c r="G19" s="17">
        <f>IF(Raw_FDIC!P224="","",Raw_FDIC!P224)</f>
        <v/>
      </c>
      <c r="H19" s="17">
        <f>IF(Raw_FDIC!Q224="","",Raw_FDIC!Q224)</f>
        <v/>
      </c>
      <c r="I19" s="17">
        <f>IF(OR(Raw_FDIC!H224="",Raw_FDIC!G224="",Raw_FDIC!I224=""),"",IF(Raw_FDIC!G224+Raw_FDIC!I224=0,"",Raw_FDIC!H224/(Raw_FDIC!G224+Raw_FDIC!I224)*100))</f>
        <v/>
      </c>
    </row>
    <row r="20">
      <c r="A20" s="14">
        <f>IF(_config!$C$84="","",_config!$C$84)</f>
        <v/>
      </c>
      <c r="B20" s="15">
        <f>IF(_config!$B$84="","",_config!$B$84)</f>
        <v/>
      </c>
      <c r="C20" s="16">
        <f>IF(_config!$D$84="","",_config!$D$84)</f>
        <v/>
      </c>
      <c r="D20" s="17">
        <f>IF(Raw_FDIC!N244="","",Raw_FDIC!N244)</f>
        <v/>
      </c>
      <c r="E20" s="17">
        <f>IF(Raw_FDIC!O244="","",Raw_FDIC!O244)</f>
        <v/>
      </c>
      <c r="F20" s="17">
        <f>IF(OR(Raw_FDIC!J244="",Raw_FDIC!D244=""),"",IF(Raw_FDIC!D244=0,"",Raw_FDIC!J244/Raw_FDIC!D244*100))</f>
        <v/>
      </c>
      <c r="G20" s="17">
        <f>IF(Raw_FDIC!P244="","",Raw_FDIC!P244)</f>
        <v/>
      </c>
      <c r="H20" s="17">
        <f>IF(Raw_FDIC!Q244="","",Raw_FDIC!Q244)</f>
        <v/>
      </c>
      <c r="I20" s="17">
        <f>IF(OR(Raw_FDIC!H244="",Raw_FDIC!G244="",Raw_FDIC!I244=""),"",IF(Raw_FDIC!G244+Raw_FDIC!I244=0,"",Raw_FDIC!H244/(Raw_FDIC!G244+Raw_FDIC!I244)*100))</f>
        <v/>
      </c>
    </row>
    <row r="21">
      <c r="A21" s="14">
        <f>IF(_config!$C$85="","",_config!$C$85)</f>
        <v/>
      </c>
      <c r="B21" s="15">
        <f>IF(_config!$B$85="","",_config!$B$85)</f>
        <v/>
      </c>
      <c r="C21" s="16">
        <f>IF(_config!$D$85="","",_config!$D$85)</f>
        <v/>
      </c>
      <c r="D21" s="17">
        <f>IF(Raw_FDIC!N264="","",Raw_FDIC!N264)</f>
        <v/>
      </c>
      <c r="E21" s="17">
        <f>IF(Raw_FDIC!O264="","",Raw_FDIC!O264)</f>
        <v/>
      </c>
      <c r="F21" s="17">
        <f>IF(OR(Raw_FDIC!J264="",Raw_FDIC!D264=""),"",IF(Raw_FDIC!D264=0,"",Raw_FDIC!J264/Raw_FDIC!D264*100))</f>
        <v/>
      </c>
      <c r="G21" s="17">
        <f>IF(Raw_FDIC!P264="","",Raw_FDIC!P264)</f>
        <v/>
      </c>
      <c r="H21" s="17">
        <f>IF(Raw_FDIC!Q264="","",Raw_FDIC!Q264)</f>
        <v/>
      </c>
      <c r="I21" s="17">
        <f>IF(OR(Raw_FDIC!H264="",Raw_FDIC!G264="",Raw_FDIC!I264=""),"",IF(Raw_FDIC!G264+Raw_FDIC!I264=0,"",Raw_FDIC!H264/(Raw_FDIC!G264+Raw_FDIC!I264)*100))</f>
        <v/>
      </c>
    </row>
    <row r="22">
      <c r="A22" s="14">
        <f>IF(_config!$C$86="","",_config!$C$86)</f>
        <v/>
      </c>
      <c r="B22" s="15">
        <f>IF(_config!$B$86="","",_config!$B$86)</f>
        <v/>
      </c>
      <c r="C22" s="16">
        <f>IF(_config!$D$86="","",_config!$D$86)</f>
        <v/>
      </c>
      <c r="D22" s="17">
        <f>IF(Raw_FDIC!N284="","",Raw_FDIC!N284)</f>
        <v/>
      </c>
      <c r="E22" s="17">
        <f>IF(Raw_FDIC!O284="","",Raw_FDIC!O284)</f>
        <v/>
      </c>
      <c r="F22" s="17">
        <f>IF(OR(Raw_FDIC!J284="",Raw_FDIC!D284=""),"",IF(Raw_FDIC!D284=0,"",Raw_FDIC!J284/Raw_FDIC!D284*100))</f>
        <v/>
      </c>
      <c r="G22" s="17">
        <f>IF(Raw_FDIC!P284="","",Raw_FDIC!P284)</f>
        <v/>
      </c>
      <c r="H22" s="17">
        <f>IF(Raw_FDIC!Q284="","",Raw_FDIC!Q284)</f>
        <v/>
      </c>
      <c r="I22" s="17">
        <f>IF(OR(Raw_FDIC!H284="",Raw_FDIC!G284="",Raw_FDIC!I284=""),"",IF(Raw_FDIC!G284+Raw_FDIC!I284=0,"",Raw_FDIC!H284/(Raw_FDIC!G284+Raw_FDIC!I284)*100))</f>
        <v/>
      </c>
    </row>
    <row r="23">
      <c r="A23" s="14">
        <f>IF(_config!$C$87="","",_config!$C$87)</f>
        <v/>
      </c>
      <c r="B23" s="15">
        <f>IF(_config!$B$87="","",_config!$B$87)</f>
        <v/>
      </c>
      <c r="C23" s="16">
        <f>IF(_config!$D$87="","",_config!$D$87)</f>
        <v/>
      </c>
      <c r="D23" s="17">
        <f>IF(Raw_FDIC!N304="","",Raw_FDIC!N304)</f>
        <v/>
      </c>
      <c r="E23" s="17">
        <f>IF(Raw_FDIC!O304="","",Raw_FDIC!O304)</f>
        <v/>
      </c>
      <c r="F23" s="17">
        <f>IF(OR(Raw_FDIC!J304="",Raw_FDIC!D304=""),"",IF(Raw_FDIC!D304=0,"",Raw_FDIC!J304/Raw_FDIC!D304*100))</f>
        <v/>
      </c>
      <c r="G23" s="17">
        <f>IF(Raw_FDIC!P304="","",Raw_FDIC!P304)</f>
        <v/>
      </c>
      <c r="H23" s="17">
        <f>IF(Raw_FDIC!Q304="","",Raw_FDIC!Q304)</f>
        <v/>
      </c>
      <c r="I23" s="17">
        <f>IF(OR(Raw_FDIC!H304="",Raw_FDIC!G304="",Raw_FDIC!I304=""),"",IF(Raw_FDIC!G304+Raw_FDIC!I304=0,"",Raw_FDIC!H304/(Raw_FDIC!G304+Raw_FDIC!I304)*100))</f>
        <v/>
      </c>
    </row>
    <row r="24">
      <c r="A24" s="14">
        <f>IF(_config!$C$88="","",_config!$C$88)</f>
        <v/>
      </c>
      <c r="B24" s="15">
        <f>IF(_config!$B$88="","",_config!$B$88)</f>
        <v/>
      </c>
      <c r="C24" s="16">
        <f>IF(_config!$D$88="","",_config!$D$88)</f>
        <v/>
      </c>
      <c r="D24" s="17">
        <f>IF(Raw_FDIC!N324="","",Raw_FDIC!N324)</f>
        <v/>
      </c>
      <c r="E24" s="17">
        <f>IF(Raw_FDIC!O324="","",Raw_FDIC!O324)</f>
        <v/>
      </c>
      <c r="F24" s="17">
        <f>IF(OR(Raw_FDIC!J324="",Raw_FDIC!D324=""),"",IF(Raw_FDIC!D324=0,"",Raw_FDIC!J324/Raw_FDIC!D324*100))</f>
        <v/>
      </c>
      <c r="G24" s="17">
        <f>IF(Raw_FDIC!P324="","",Raw_FDIC!P324)</f>
        <v/>
      </c>
      <c r="H24" s="17">
        <f>IF(Raw_FDIC!Q324="","",Raw_FDIC!Q324)</f>
        <v/>
      </c>
      <c r="I24" s="17">
        <f>IF(OR(Raw_FDIC!H324="",Raw_FDIC!G324="",Raw_FDIC!I324=""),"",IF(Raw_FDIC!G324+Raw_FDIC!I324=0,"",Raw_FDIC!H324/(Raw_FDIC!G324+Raw_FDIC!I324)*100))</f>
        <v/>
      </c>
    </row>
    <row r="25">
      <c r="A25" s="14">
        <f>IF(_config!$C$89="","",_config!$C$89)</f>
        <v/>
      </c>
      <c r="B25" s="15">
        <f>IF(_config!$B$89="","",_config!$B$89)</f>
        <v/>
      </c>
      <c r="C25" s="16">
        <f>IF(_config!$D$89="","",_config!$D$89)</f>
        <v/>
      </c>
      <c r="D25" s="17">
        <f>IF(Raw_FDIC!N344="","",Raw_FDIC!N344)</f>
        <v/>
      </c>
      <c r="E25" s="17">
        <f>IF(Raw_FDIC!O344="","",Raw_FDIC!O344)</f>
        <v/>
      </c>
      <c r="F25" s="17">
        <f>IF(OR(Raw_FDIC!J344="",Raw_FDIC!D344=""),"",IF(Raw_FDIC!D344=0,"",Raw_FDIC!J344/Raw_FDIC!D344*100))</f>
        <v/>
      </c>
      <c r="G25" s="17">
        <f>IF(Raw_FDIC!P344="","",Raw_FDIC!P344)</f>
        <v/>
      </c>
      <c r="H25" s="17">
        <f>IF(Raw_FDIC!Q344="","",Raw_FDIC!Q344)</f>
        <v/>
      </c>
      <c r="I25" s="17">
        <f>IF(OR(Raw_FDIC!H344="",Raw_FDIC!G344="",Raw_FDIC!I344=""),"",IF(Raw_FDIC!G344+Raw_FDIC!I344=0,"",Raw_FDIC!H344/(Raw_FDIC!G344+Raw_FDIC!I344)*100))</f>
        <v/>
      </c>
    </row>
    <row r="26">
      <c r="A26" s="14">
        <f>IF(_config!$C$90="","",_config!$C$90)</f>
        <v/>
      </c>
      <c r="B26" s="15">
        <f>IF(_config!$B$90="","",_config!$B$90)</f>
        <v/>
      </c>
      <c r="C26" s="16">
        <f>IF(_config!$D$90="","",_config!$D$90)</f>
        <v/>
      </c>
      <c r="D26" s="17">
        <f>IF(Raw_FDIC!N364="","",Raw_FDIC!N364)</f>
        <v/>
      </c>
      <c r="E26" s="17">
        <f>IF(Raw_FDIC!O364="","",Raw_FDIC!O364)</f>
        <v/>
      </c>
      <c r="F26" s="17">
        <f>IF(OR(Raw_FDIC!J364="",Raw_FDIC!D364=""),"",IF(Raw_FDIC!D364=0,"",Raw_FDIC!J364/Raw_FDIC!D364*100))</f>
        <v/>
      </c>
      <c r="G26" s="17">
        <f>IF(Raw_FDIC!P364="","",Raw_FDIC!P364)</f>
        <v/>
      </c>
      <c r="H26" s="17">
        <f>IF(Raw_FDIC!Q364="","",Raw_FDIC!Q364)</f>
        <v/>
      </c>
      <c r="I26" s="17">
        <f>IF(OR(Raw_FDIC!H364="",Raw_FDIC!G364="",Raw_FDIC!I364=""),"",IF(Raw_FDIC!G364+Raw_FDIC!I364=0,"",Raw_FDIC!H364/(Raw_FDIC!G364+Raw_FDIC!I364)*100))</f>
        <v/>
      </c>
    </row>
    <row r="27">
      <c r="A27" s="14">
        <f>IF(_config!$C$91="","",_config!$C$91)</f>
        <v/>
      </c>
      <c r="B27" s="15">
        <f>IF(_config!$B$91="","",_config!$B$91)</f>
        <v/>
      </c>
      <c r="C27" s="16">
        <f>IF(_config!$D$91="","",_config!$D$91)</f>
        <v/>
      </c>
      <c r="D27" s="17">
        <f>IF(Raw_FDIC!N384="","",Raw_FDIC!N384)</f>
        <v/>
      </c>
      <c r="E27" s="17">
        <f>IF(Raw_FDIC!O384="","",Raw_FDIC!O384)</f>
        <v/>
      </c>
      <c r="F27" s="17">
        <f>IF(OR(Raw_FDIC!J384="",Raw_FDIC!D384=""),"",IF(Raw_FDIC!D384=0,"",Raw_FDIC!J384/Raw_FDIC!D384*100))</f>
        <v/>
      </c>
      <c r="G27" s="17">
        <f>IF(Raw_FDIC!P384="","",Raw_FDIC!P384)</f>
        <v/>
      </c>
      <c r="H27" s="17">
        <f>IF(Raw_FDIC!Q384="","",Raw_FDIC!Q384)</f>
        <v/>
      </c>
      <c r="I27" s="17">
        <f>IF(OR(Raw_FDIC!H384="",Raw_FDIC!G384="",Raw_FDIC!I384=""),"",IF(Raw_FDIC!G384+Raw_FDIC!I384=0,"",Raw_FDIC!H384/(Raw_FDIC!G384+Raw_FDIC!I384)*100))</f>
        <v/>
      </c>
    </row>
    <row r="28">
      <c r="A28" s="14">
        <f>IF(_config!$C$92="","",_config!$C$92)</f>
        <v/>
      </c>
      <c r="B28" s="15">
        <f>IF(_config!$B$92="","",_config!$B$92)</f>
        <v/>
      </c>
      <c r="C28" s="16">
        <f>IF(_config!$D$92="","",_config!$D$92)</f>
        <v/>
      </c>
      <c r="D28" s="17">
        <f>IF(Raw_FDIC!N404="","",Raw_FDIC!N404)</f>
        <v/>
      </c>
      <c r="E28" s="17">
        <f>IF(Raw_FDIC!O404="","",Raw_FDIC!O404)</f>
        <v/>
      </c>
      <c r="F28" s="17">
        <f>IF(OR(Raw_FDIC!J404="",Raw_FDIC!D404=""),"",IF(Raw_FDIC!D404=0,"",Raw_FDIC!J404/Raw_FDIC!D404*100))</f>
        <v/>
      </c>
      <c r="G28" s="17">
        <f>IF(Raw_FDIC!P404="","",Raw_FDIC!P404)</f>
        <v/>
      </c>
      <c r="H28" s="17">
        <f>IF(Raw_FDIC!Q404="","",Raw_FDIC!Q404)</f>
        <v/>
      </c>
      <c r="I28" s="17">
        <f>IF(OR(Raw_FDIC!H404="",Raw_FDIC!G404="",Raw_FDIC!I404=""),"",IF(Raw_FDIC!G404+Raw_FDIC!I404=0,"",Raw_FDIC!H404/(Raw_FDIC!G404+Raw_FDIC!I404)*100))</f>
        <v/>
      </c>
    </row>
    <row r="29">
      <c r="A29" s="14">
        <f>IF(_config!$C$93="","",_config!$C$93)</f>
        <v/>
      </c>
      <c r="B29" s="15">
        <f>IF(_config!$B$93="","",_config!$B$93)</f>
        <v/>
      </c>
      <c r="C29" s="16">
        <f>IF(_config!$D$93="","",_config!$D$93)</f>
        <v/>
      </c>
      <c r="D29" s="17">
        <f>IF(Raw_FDIC!N424="","",Raw_FDIC!N424)</f>
        <v/>
      </c>
      <c r="E29" s="17">
        <f>IF(Raw_FDIC!O424="","",Raw_FDIC!O424)</f>
        <v/>
      </c>
      <c r="F29" s="17">
        <f>IF(OR(Raw_FDIC!J424="",Raw_FDIC!D424=""),"",IF(Raw_FDIC!D424=0,"",Raw_FDIC!J424/Raw_FDIC!D424*100))</f>
        <v/>
      </c>
      <c r="G29" s="17">
        <f>IF(Raw_FDIC!P424="","",Raw_FDIC!P424)</f>
        <v/>
      </c>
      <c r="H29" s="17">
        <f>IF(Raw_FDIC!Q424="","",Raw_FDIC!Q424)</f>
        <v/>
      </c>
      <c r="I29" s="17">
        <f>IF(OR(Raw_FDIC!H424="",Raw_FDIC!G424="",Raw_FDIC!I424=""),"",IF(Raw_FDIC!G424+Raw_FDIC!I424=0,"",Raw_FDIC!H424/(Raw_FDIC!G424+Raw_FDIC!I424)*100))</f>
        <v/>
      </c>
    </row>
    <row r="30">
      <c r="A30" s="14">
        <f>IF(_config!$C$94="","",_config!$C$94)</f>
        <v/>
      </c>
      <c r="B30" s="15">
        <f>IF(_config!$B$94="","",_config!$B$94)</f>
        <v/>
      </c>
      <c r="C30" s="16">
        <f>IF(_config!$D$94="","",_config!$D$94)</f>
        <v/>
      </c>
      <c r="D30" s="17">
        <f>IF(Raw_FDIC!N444="","",Raw_FDIC!N444)</f>
        <v/>
      </c>
      <c r="E30" s="17">
        <f>IF(Raw_FDIC!O444="","",Raw_FDIC!O444)</f>
        <v/>
      </c>
      <c r="F30" s="17">
        <f>IF(OR(Raw_FDIC!J444="",Raw_FDIC!D444=""),"",IF(Raw_FDIC!D444=0,"",Raw_FDIC!J444/Raw_FDIC!D444*100))</f>
        <v/>
      </c>
      <c r="G30" s="17">
        <f>IF(Raw_FDIC!P444="","",Raw_FDIC!P444)</f>
        <v/>
      </c>
      <c r="H30" s="17">
        <f>IF(Raw_FDIC!Q444="","",Raw_FDIC!Q444)</f>
        <v/>
      </c>
      <c r="I30" s="17">
        <f>IF(OR(Raw_FDIC!H444="",Raw_FDIC!G444="",Raw_FDIC!I444=""),"",IF(Raw_FDIC!G444+Raw_FDIC!I444=0,"",Raw_FDIC!H444/(Raw_FDIC!G444+Raw_FDIC!I444)*100))</f>
        <v/>
      </c>
    </row>
    <row r="31">
      <c r="A31" s="14">
        <f>IF(_config!$C$95="","",_config!$C$95)</f>
        <v/>
      </c>
      <c r="B31" s="15">
        <f>IF(_config!$B$95="","",_config!$B$95)</f>
        <v/>
      </c>
      <c r="C31" s="16">
        <f>IF(_config!$D$95="","",_config!$D$95)</f>
        <v/>
      </c>
      <c r="D31" s="17">
        <f>IF(Raw_FDIC!N464="","",Raw_FDIC!N464)</f>
        <v/>
      </c>
      <c r="E31" s="17">
        <f>IF(Raw_FDIC!O464="","",Raw_FDIC!O464)</f>
        <v/>
      </c>
      <c r="F31" s="17">
        <f>IF(OR(Raw_FDIC!J464="",Raw_FDIC!D464=""),"",IF(Raw_FDIC!D464=0,"",Raw_FDIC!J464/Raw_FDIC!D464*100))</f>
        <v/>
      </c>
      <c r="G31" s="17">
        <f>IF(Raw_FDIC!P464="","",Raw_FDIC!P464)</f>
        <v/>
      </c>
      <c r="H31" s="17">
        <f>IF(Raw_FDIC!Q464="","",Raw_FDIC!Q464)</f>
        <v/>
      </c>
      <c r="I31" s="17">
        <f>IF(OR(Raw_FDIC!H464="",Raw_FDIC!G464="",Raw_FDIC!I464=""),"",IF(Raw_FDIC!G464+Raw_FDIC!I464=0,"",Raw_FDIC!H464/(Raw_FDIC!G464+Raw_FDIC!I464)*100))</f>
        <v/>
      </c>
    </row>
    <row r="32">
      <c r="A32" s="14">
        <f>IF(_config!$C$96="","",_config!$C$96)</f>
        <v/>
      </c>
      <c r="B32" s="15">
        <f>IF(_config!$B$96="","",_config!$B$96)</f>
        <v/>
      </c>
      <c r="C32" s="16">
        <f>IF(_config!$D$96="","",_config!$D$96)</f>
        <v/>
      </c>
      <c r="D32" s="17">
        <f>IF(Raw_FDIC!N484="","",Raw_FDIC!N484)</f>
        <v/>
      </c>
      <c r="E32" s="17">
        <f>IF(Raw_FDIC!O484="","",Raw_FDIC!O484)</f>
        <v/>
      </c>
      <c r="F32" s="17">
        <f>IF(OR(Raw_FDIC!J484="",Raw_FDIC!D484=""),"",IF(Raw_FDIC!D484=0,"",Raw_FDIC!J484/Raw_FDIC!D484*100))</f>
        <v/>
      </c>
      <c r="G32" s="17">
        <f>IF(Raw_FDIC!P484="","",Raw_FDIC!P484)</f>
        <v/>
      </c>
      <c r="H32" s="17">
        <f>IF(Raw_FDIC!Q484="","",Raw_FDIC!Q484)</f>
        <v/>
      </c>
      <c r="I32" s="17">
        <f>IF(OR(Raw_FDIC!H484="",Raw_FDIC!G484="",Raw_FDIC!I484=""),"",IF(Raw_FDIC!G484+Raw_FDIC!I484=0,"",Raw_FDIC!H484/(Raw_FDIC!G484+Raw_FDIC!I484)*100))</f>
        <v/>
      </c>
    </row>
    <row r="33">
      <c r="A33" s="14">
        <f>IF(_config!$C$97="","",_config!$C$97)</f>
        <v/>
      </c>
      <c r="B33" s="15">
        <f>IF(_config!$B$97="","",_config!$B$97)</f>
        <v/>
      </c>
      <c r="C33" s="16">
        <f>IF(_config!$D$97="","",_config!$D$97)</f>
        <v/>
      </c>
      <c r="D33" s="17">
        <f>IF(Raw_FDIC!N504="","",Raw_FDIC!N504)</f>
        <v/>
      </c>
      <c r="E33" s="17">
        <f>IF(Raw_FDIC!O504="","",Raw_FDIC!O504)</f>
        <v/>
      </c>
      <c r="F33" s="17">
        <f>IF(OR(Raw_FDIC!J504="",Raw_FDIC!D504=""),"",IF(Raw_FDIC!D504=0,"",Raw_FDIC!J504/Raw_FDIC!D504*100))</f>
        <v/>
      </c>
      <c r="G33" s="17">
        <f>IF(Raw_FDIC!P504="","",Raw_FDIC!P504)</f>
        <v/>
      </c>
      <c r="H33" s="17">
        <f>IF(Raw_FDIC!Q504="","",Raw_FDIC!Q504)</f>
        <v/>
      </c>
      <c r="I33" s="17">
        <f>IF(OR(Raw_FDIC!H504="",Raw_FDIC!G504="",Raw_FDIC!I504=""),"",IF(Raw_FDIC!G504+Raw_FDIC!I504=0,"",Raw_FDIC!H504/(Raw_FDIC!G504+Raw_FDIC!I504)*100))</f>
        <v/>
      </c>
    </row>
    <row r="34">
      <c r="A34" s="14">
        <f>IF(_config!$C$98="","",_config!$C$98)</f>
        <v/>
      </c>
      <c r="B34" s="15">
        <f>IF(_config!$B$98="","",_config!$B$98)</f>
        <v/>
      </c>
      <c r="C34" s="16">
        <f>IF(_config!$D$98="","",_config!$D$98)</f>
        <v/>
      </c>
      <c r="D34" s="17">
        <f>IF(Raw_FDIC!N524="","",Raw_FDIC!N524)</f>
        <v/>
      </c>
      <c r="E34" s="17">
        <f>IF(Raw_FDIC!O524="","",Raw_FDIC!O524)</f>
        <v/>
      </c>
      <c r="F34" s="17">
        <f>IF(OR(Raw_FDIC!J524="",Raw_FDIC!D524=""),"",IF(Raw_FDIC!D524=0,"",Raw_FDIC!J524/Raw_FDIC!D524*100))</f>
        <v/>
      </c>
      <c r="G34" s="17">
        <f>IF(Raw_FDIC!P524="","",Raw_FDIC!P524)</f>
        <v/>
      </c>
      <c r="H34" s="17">
        <f>IF(Raw_FDIC!Q524="","",Raw_FDIC!Q524)</f>
        <v/>
      </c>
      <c r="I34" s="17">
        <f>IF(OR(Raw_FDIC!H524="",Raw_FDIC!G524="",Raw_FDIC!I524=""),"",IF(Raw_FDIC!G524+Raw_FDIC!I524=0,"",Raw_FDIC!H524/(Raw_FDIC!G524+Raw_FDIC!I524)*100))</f>
        <v/>
      </c>
    </row>
    <row r="35">
      <c r="A35" s="14">
        <f>IF(_config!$C$99="","",_config!$C$99)</f>
        <v/>
      </c>
      <c r="B35" s="15">
        <f>IF(_config!$B$99="","",_config!$B$99)</f>
        <v/>
      </c>
      <c r="C35" s="16">
        <f>IF(_config!$D$99="","",_config!$D$99)</f>
        <v/>
      </c>
      <c r="D35" s="17">
        <f>IF(Raw_FDIC!N544="","",Raw_FDIC!N544)</f>
        <v/>
      </c>
      <c r="E35" s="17">
        <f>IF(Raw_FDIC!O544="","",Raw_FDIC!O544)</f>
        <v/>
      </c>
      <c r="F35" s="17">
        <f>IF(OR(Raw_FDIC!J544="",Raw_FDIC!D544=""),"",IF(Raw_FDIC!D544=0,"",Raw_FDIC!J544/Raw_FDIC!D544*100))</f>
        <v/>
      </c>
      <c r="G35" s="17">
        <f>IF(Raw_FDIC!P544="","",Raw_FDIC!P544)</f>
        <v/>
      </c>
      <c r="H35" s="17">
        <f>IF(Raw_FDIC!Q544="","",Raw_FDIC!Q544)</f>
        <v/>
      </c>
      <c r="I35" s="17">
        <f>IF(OR(Raw_FDIC!H544="",Raw_FDIC!G544="",Raw_FDIC!I544=""),"",IF(Raw_FDIC!G544+Raw_FDIC!I544=0,"",Raw_FDIC!H544/(Raw_FDIC!G544+Raw_FDIC!I544)*100))</f>
        <v/>
      </c>
    </row>
    <row r="36">
      <c r="A36" s="14">
        <f>IF(_config!$C$100="","",_config!$C$100)</f>
        <v/>
      </c>
      <c r="B36" s="15">
        <f>IF(_config!$B$100="","",_config!$B$100)</f>
        <v/>
      </c>
      <c r="C36" s="16">
        <f>IF(_config!$D$100="","",_config!$D$100)</f>
        <v/>
      </c>
      <c r="D36" s="17">
        <f>IF(Raw_FDIC!N564="","",Raw_FDIC!N564)</f>
        <v/>
      </c>
      <c r="E36" s="17">
        <f>IF(Raw_FDIC!O564="","",Raw_FDIC!O564)</f>
        <v/>
      </c>
      <c r="F36" s="17">
        <f>IF(OR(Raw_FDIC!J564="",Raw_FDIC!D564=""),"",IF(Raw_FDIC!D564=0,"",Raw_FDIC!J564/Raw_FDIC!D564*100))</f>
        <v/>
      </c>
      <c r="G36" s="17">
        <f>IF(Raw_FDIC!P564="","",Raw_FDIC!P564)</f>
        <v/>
      </c>
      <c r="H36" s="17">
        <f>IF(Raw_FDIC!Q564="","",Raw_FDIC!Q564)</f>
        <v/>
      </c>
      <c r="I36" s="17">
        <f>IF(OR(Raw_FDIC!H564="",Raw_FDIC!G564="",Raw_FDIC!I564=""),"",IF(Raw_FDIC!G564+Raw_FDIC!I564=0,"",Raw_FDIC!H564/(Raw_FDIC!G564+Raw_FDIC!I564)*100))</f>
        <v/>
      </c>
    </row>
    <row r="37">
      <c r="A37" s="14">
        <f>IF(_config!$C$101="","",_config!$C$101)</f>
        <v/>
      </c>
      <c r="B37" s="15">
        <f>IF(_config!$B$101="","",_config!$B$101)</f>
        <v/>
      </c>
      <c r="C37" s="16">
        <f>IF(_config!$D$101="","",_config!$D$101)</f>
        <v/>
      </c>
      <c r="D37" s="17">
        <f>IF(Raw_FDIC!N584="","",Raw_FDIC!N584)</f>
        <v/>
      </c>
      <c r="E37" s="17">
        <f>IF(Raw_FDIC!O584="","",Raw_FDIC!O584)</f>
        <v/>
      </c>
      <c r="F37" s="17">
        <f>IF(OR(Raw_FDIC!J584="",Raw_FDIC!D584=""),"",IF(Raw_FDIC!D584=0,"",Raw_FDIC!J584/Raw_FDIC!D584*100))</f>
        <v/>
      </c>
      <c r="G37" s="17">
        <f>IF(Raw_FDIC!P584="","",Raw_FDIC!P584)</f>
        <v/>
      </c>
      <c r="H37" s="17">
        <f>IF(Raw_FDIC!Q584="","",Raw_FDIC!Q584)</f>
        <v/>
      </c>
      <c r="I37" s="17">
        <f>IF(OR(Raw_FDIC!H584="",Raw_FDIC!G584="",Raw_FDIC!I584=""),"",IF(Raw_FDIC!G584+Raw_FDIC!I584=0,"",Raw_FDIC!H584/(Raw_FDIC!G584+Raw_FDIC!I584)*100))</f>
        <v/>
      </c>
    </row>
    <row r="38">
      <c r="A38" s="14">
        <f>IF(_config!$C$102="","",_config!$C$102)</f>
        <v/>
      </c>
      <c r="B38" s="15">
        <f>IF(_config!$B$102="","",_config!$B$102)</f>
        <v/>
      </c>
      <c r="C38" s="16">
        <f>IF(_config!$D$102="","",_config!$D$102)</f>
        <v/>
      </c>
      <c r="D38" s="17">
        <f>IF(Raw_FDIC!N604="","",Raw_FDIC!N604)</f>
        <v/>
      </c>
      <c r="E38" s="17">
        <f>IF(Raw_FDIC!O604="","",Raw_FDIC!O604)</f>
        <v/>
      </c>
      <c r="F38" s="17">
        <f>IF(OR(Raw_FDIC!J604="",Raw_FDIC!D604=""),"",IF(Raw_FDIC!D604=0,"",Raw_FDIC!J604/Raw_FDIC!D604*100))</f>
        <v/>
      </c>
      <c r="G38" s="17">
        <f>IF(Raw_FDIC!P604="","",Raw_FDIC!P604)</f>
        <v/>
      </c>
      <c r="H38" s="17">
        <f>IF(Raw_FDIC!Q604="","",Raw_FDIC!Q604)</f>
        <v/>
      </c>
      <c r="I38" s="17">
        <f>IF(OR(Raw_FDIC!H604="",Raw_FDIC!G604="",Raw_FDIC!I604=""),"",IF(Raw_FDIC!G604+Raw_FDIC!I604=0,"",Raw_FDIC!H604/(Raw_FDIC!G604+Raw_FDIC!I604)*100))</f>
        <v/>
      </c>
    </row>
    <row r="39">
      <c r="A39" s="14">
        <f>IF(_config!$C$103="","",_config!$C$103)</f>
        <v/>
      </c>
      <c r="B39" s="15">
        <f>IF(_config!$B$103="","",_config!$B$103)</f>
        <v/>
      </c>
      <c r="C39" s="16">
        <f>IF(_config!$D$103="","",_config!$D$103)</f>
        <v/>
      </c>
      <c r="D39" s="17">
        <f>IF(Raw_FDIC!N624="","",Raw_FDIC!N624)</f>
        <v/>
      </c>
      <c r="E39" s="17">
        <f>IF(Raw_FDIC!O624="","",Raw_FDIC!O624)</f>
        <v/>
      </c>
      <c r="F39" s="17">
        <f>IF(OR(Raw_FDIC!J624="",Raw_FDIC!D624=""),"",IF(Raw_FDIC!D624=0,"",Raw_FDIC!J624/Raw_FDIC!D624*100))</f>
        <v/>
      </c>
      <c r="G39" s="17">
        <f>IF(Raw_FDIC!P624="","",Raw_FDIC!P624)</f>
        <v/>
      </c>
      <c r="H39" s="17">
        <f>IF(Raw_FDIC!Q624="","",Raw_FDIC!Q624)</f>
        <v/>
      </c>
      <c r="I39" s="17">
        <f>IF(OR(Raw_FDIC!H624="",Raw_FDIC!G624="",Raw_FDIC!I624=""),"",IF(Raw_FDIC!G624+Raw_FDIC!I624=0,"",Raw_FDIC!H624/(Raw_FDIC!G624+Raw_FDIC!I624)*100))</f>
        <v/>
      </c>
    </row>
    <row r="40">
      <c r="A40" s="14">
        <f>IF(_config!$C$104="","",_config!$C$104)</f>
        <v/>
      </c>
      <c r="B40" s="15">
        <f>IF(_config!$B$104="","",_config!$B$104)</f>
        <v/>
      </c>
      <c r="C40" s="16">
        <f>IF(_config!$D$104="","",_config!$D$104)</f>
        <v/>
      </c>
      <c r="D40" s="17">
        <f>IF(Raw_FDIC!N644="","",Raw_FDIC!N644)</f>
        <v/>
      </c>
      <c r="E40" s="17">
        <f>IF(Raw_FDIC!O644="","",Raw_FDIC!O644)</f>
        <v/>
      </c>
      <c r="F40" s="17">
        <f>IF(OR(Raw_FDIC!J644="",Raw_FDIC!D644=""),"",IF(Raw_FDIC!D644=0,"",Raw_FDIC!J644/Raw_FDIC!D644*100))</f>
        <v/>
      </c>
      <c r="G40" s="17">
        <f>IF(Raw_FDIC!P644="","",Raw_FDIC!P644)</f>
        <v/>
      </c>
      <c r="H40" s="17">
        <f>IF(Raw_FDIC!Q644="","",Raw_FDIC!Q644)</f>
        <v/>
      </c>
      <c r="I40" s="17">
        <f>IF(OR(Raw_FDIC!H644="",Raw_FDIC!G644="",Raw_FDIC!I644=""),"",IF(Raw_FDIC!G644+Raw_FDIC!I644=0,"",Raw_FDIC!H644/(Raw_FDIC!G644+Raw_FDIC!I644)*100))</f>
        <v/>
      </c>
    </row>
    <row r="41">
      <c r="A41" s="14">
        <f>IF(_config!$C$105="","",_config!$C$105)</f>
        <v/>
      </c>
      <c r="B41" s="15">
        <f>IF(_config!$B$105="","",_config!$B$105)</f>
        <v/>
      </c>
      <c r="C41" s="16">
        <f>IF(_config!$D$105="","",_config!$D$105)</f>
        <v/>
      </c>
      <c r="D41" s="17">
        <f>IF(Raw_FDIC!N664="","",Raw_FDIC!N664)</f>
        <v/>
      </c>
      <c r="E41" s="17">
        <f>IF(Raw_FDIC!O664="","",Raw_FDIC!O664)</f>
        <v/>
      </c>
      <c r="F41" s="17">
        <f>IF(OR(Raw_FDIC!J664="",Raw_FDIC!D664=""),"",IF(Raw_FDIC!D664=0,"",Raw_FDIC!J664/Raw_FDIC!D664*100))</f>
        <v/>
      </c>
      <c r="G41" s="17">
        <f>IF(Raw_FDIC!P664="","",Raw_FDIC!P664)</f>
        <v/>
      </c>
      <c r="H41" s="17">
        <f>IF(Raw_FDIC!Q664="","",Raw_FDIC!Q664)</f>
        <v/>
      </c>
      <c r="I41" s="17">
        <f>IF(OR(Raw_FDIC!H664="",Raw_FDIC!G664="",Raw_FDIC!I664=""),"",IF(Raw_FDIC!G664+Raw_FDIC!I664=0,"",Raw_FDIC!H664/(Raw_FDIC!G664+Raw_FDIC!I664)*100))</f>
        <v/>
      </c>
    </row>
    <row r="42">
      <c r="A42" s="14">
        <f>IF(_config!$C$106="","",_config!$C$106)</f>
        <v/>
      </c>
      <c r="B42" s="15">
        <f>IF(_config!$B$106="","",_config!$B$106)</f>
        <v/>
      </c>
      <c r="C42" s="16">
        <f>IF(_config!$D$106="","",_config!$D$106)</f>
        <v/>
      </c>
      <c r="D42" s="17">
        <f>IF(Raw_FDIC!N684="","",Raw_FDIC!N684)</f>
        <v/>
      </c>
      <c r="E42" s="17">
        <f>IF(Raw_FDIC!O684="","",Raw_FDIC!O684)</f>
        <v/>
      </c>
      <c r="F42" s="17">
        <f>IF(OR(Raw_FDIC!J684="",Raw_FDIC!D684=""),"",IF(Raw_FDIC!D684=0,"",Raw_FDIC!J684/Raw_FDIC!D684*100))</f>
        <v/>
      </c>
      <c r="G42" s="17">
        <f>IF(Raw_FDIC!P684="","",Raw_FDIC!P684)</f>
        <v/>
      </c>
      <c r="H42" s="17">
        <f>IF(Raw_FDIC!Q684="","",Raw_FDIC!Q684)</f>
        <v/>
      </c>
      <c r="I42" s="17">
        <f>IF(OR(Raw_FDIC!H684="",Raw_FDIC!G684="",Raw_FDIC!I684=""),"",IF(Raw_FDIC!G684+Raw_FDIC!I684=0,"",Raw_FDIC!H684/(Raw_FDIC!G684+Raw_FDIC!I684)*100))</f>
        <v/>
      </c>
    </row>
    <row r="43">
      <c r="A43" s="14">
        <f>IF(_config!$C$107="","",_config!$C$107)</f>
        <v/>
      </c>
      <c r="B43" s="15">
        <f>IF(_config!$B$107="","",_config!$B$107)</f>
        <v/>
      </c>
      <c r="C43" s="16">
        <f>IF(_config!$D$107="","",_config!$D$107)</f>
        <v/>
      </c>
      <c r="D43" s="17">
        <f>IF(Raw_FDIC!N704="","",Raw_FDIC!N704)</f>
        <v/>
      </c>
      <c r="E43" s="17">
        <f>IF(Raw_FDIC!O704="","",Raw_FDIC!O704)</f>
        <v/>
      </c>
      <c r="F43" s="17">
        <f>IF(OR(Raw_FDIC!J704="",Raw_FDIC!D704=""),"",IF(Raw_FDIC!D704=0,"",Raw_FDIC!J704/Raw_FDIC!D704*100))</f>
        <v/>
      </c>
      <c r="G43" s="17">
        <f>IF(Raw_FDIC!P704="","",Raw_FDIC!P704)</f>
        <v/>
      </c>
      <c r="H43" s="17">
        <f>IF(Raw_FDIC!Q704="","",Raw_FDIC!Q704)</f>
        <v/>
      </c>
      <c r="I43" s="17">
        <f>IF(OR(Raw_FDIC!H704="",Raw_FDIC!G704="",Raw_FDIC!I704=""),"",IF(Raw_FDIC!G704+Raw_FDIC!I704=0,"",Raw_FDIC!H704/(Raw_FDIC!G704+Raw_FDIC!I704)*100))</f>
        <v/>
      </c>
    </row>
    <row r="44">
      <c r="A44" s="14">
        <f>IF(_config!$C$108="","",_config!$C$108)</f>
        <v/>
      </c>
      <c r="B44" s="15">
        <f>IF(_config!$B$108="","",_config!$B$108)</f>
        <v/>
      </c>
      <c r="C44" s="16">
        <f>IF(_config!$D$108="","",_config!$D$108)</f>
        <v/>
      </c>
      <c r="D44" s="17">
        <f>IF(Raw_FDIC!N724="","",Raw_FDIC!N724)</f>
        <v/>
      </c>
      <c r="E44" s="17">
        <f>IF(Raw_FDIC!O724="","",Raw_FDIC!O724)</f>
        <v/>
      </c>
      <c r="F44" s="17">
        <f>IF(OR(Raw_FDIC!J724="",Raw_FDIC!D724=""),"",IF(Raw_FDIC!D724=0,"",Raw_FDIC!J724/Raw_FDIC!D724*100))</f>
        <v/>
      </c>
      <c r="G44" s="17">
        <f>IF(Raw_FDIC!P724="","",Raw_FDIC!P724)</f>
        <v/>
      </c>
      <c r="H44" s="17">
        <f>IF(Raw_FDIC!Q724="","",Raw_FDIC!Q724)</f>
        <v/>
      </c>
      <c r="I44" s="17">
        <f>IF(OR(Raw_FDIC!H724="",Raw_FDIC!G724="",Raw_FDIC!I724=""),"",IF(Raw_FDIC!G724+Raw_FDIC!I724=0,"",Raw_FDIC!H724/(Raw_FDIC!G724+Raw_FDIC!I724)*100))</f>
        <v/>
      </c>
    </row>
    <row r="45">
      <c r="A45" s="14">
        <f>IF(_config!$C$109="","",_config!$C$109)</f>
        <v/>
      </c>
      <c r="B45" s="15">
        <f>IF(_config!$B$109="","",_config!$B$109)</f>
        <v/>
      </c>
      <c r="C45" s="16">
        <f>IF(_config!$D$109="","",_config!$D$109)</f>
        <v/>
      </c>
      <c r="D45" s="17">
        <f>IF(Raw_FDIC!N744="","",Raw_FDIC!N744)</f>
        <v/>
      </c>
      <c r="E45" s="17">
        <f>IF(Raw_FDIC!O744="","",Raw_FDIC!O744)</f>
        <v/>
      </c>
      <c r="F45" s="17">
        <f>IF(OR(Raw_FDIC!J744="",Raw_FDIC!D744=""),"",IF(Raw_FDIC!D744=0,"",Raw_FDIC!J744/Raw_FDIC!D744*100))</f>
        <v/>
      </c>
      <c r="G45" s="17">
        <f>IF(Raw_FDIC!P744="","",Raw_FDIC!P744)</f>
        <v/>
      </c>
      <c r="H45" s="17">
        <f>IF(Raw_FDIC!Q744="","",Raw_FDIC!Q744)</f>
        <v/>
      </c>
      <c r="I45" s="17">
        <f>IF(OR(Raw_FDIC!H744="",Raw_FDIC!G744="",Raw_FDIC!I744=""),"",IF(Raw_FDIC!G744+Raw_FDIC!I744=0,"",Raw_FDIC!H744/(Raw_FDIC!G744+Raw_FDIC!I744)*100))</f>
        <v/>
      </c>
    </row>
    <row r="46">
      <c r="A46" s="14">
        <f>IF(_config!$C$110="","",_config!$C$110)</f>
        <v/>
      </c>
      <c r="B46" s="15">
        <f>IF(_config!$B$110="","",_config!$B$110)</f>
        <v/>
      </c>
      <c r="C46" s="16">
        <f>IF(_config!$D$110="","",_config!$D$110)</f>
        <v/>
      </c>
      <c r="D46" s="17">
        <f>IF(Raw_FDIC!N764="","",Raw_FDIC!N764)</f>
        <v/>
      </c>
      <c r="E46" s="17">
        <f>IF(Raw_FDIC!O764="","",Raw_FDIC!O764)</f>
        <v/>
      </c>
      <c r="F46" s="17">
        <f>IF(OR(Raw_FDIC!J764="",Raw_FDIC!D764=""),"",IF(Raw_FDIC!D764=0,"",Raw_FDIC!J764/Raw_FDIC!D764*100))</f>
        <v/>
      </c>
      <c r="G46" s="17">
        <f>IF(Raw_FDIC!P764="","",Raw_FDIC!P764)</f>
        <v/>
      </c>
      <c r="H46" s="17">
        <f>IF(Raw_FDIC!Q764="","",Raw_FDIC!Q764)</f>
        <v/>
      </c>
      <c r="I46" s="17">
        <f>IF(OR(Raw_FDIC!H764="",Raw_FDIC!G764="",Raw_FDIC!I764=""),"",IF(Raw_FDIC!G764+Raw_FDIC!I764=0,"",Raw_FDIC!H764/(Raw_FDIC!G764+Raw_FDIC!I764)*100))</f>
        <v/>
      </c>
    </row>
    <row r="47">
      <c r="A47" s="14">
        <f>IF(_config!$C$111="","",_config!$C$111)</f>
        <v/>
      </c>
      <c r="B47" s="15">
        <f>IF(_config!$B$111="","",_config!$B$111)</f>
        <v/>
      </c>
      <c r="C47" s="16">
        <f>IF(_config!$D$111="","",_config!$D$111)</f>
        <v/>
      </c>
      <c r="D47" s="17">
        <f>IF(Raw_FDIC!N784="","",Raw_FDIC!N784)</f>
        <v/>
      </c>
      <c r="E47" s="17">
        <f>IF(Raw_FDIC!O784="","",Raw_FDIC!O784)</f>
        <v/>
      </c>
      <c r="F47" s="17">
        <f>IF(OR(Raw_FDIC!J784="",Raw_FDIC!D784=""),"",IF(Raw_FDIC!D784=0,"",Raw_FDIC!J784/Raw_FDIC!D784*100))</f>
        <v/>
      </c>
      <c r="G47" s="17">
        <f>IF(Raw_FDIC!P784="","",Raw_FDIC!P784)</f>
        <v/>
      </c>
      <c r="H47" s="17">
        <f>IF(Raw_FDIC!Q784="","",Raw_FDIC!Q784)</f>
        <v/>
      </c>
      <c r="I47" s="17">
        <f>IF(OR(Raw_FDIC!H784="",Raw_FDIC!G784="",Raw_FDIC!I784=""),"",IF(Raw_FDIC!G784+Raw_FDIC!I784=0,"",Raw_FDIC!H784/(Raw_FDIC!G784+Raw_FDIC!I784)*100))</f>
        <v/>
      </c>
    </row>
    <row r="48">
      <c r="A48" s="18" t="inlineStr">
        <is>
          <t>PEER MEDIAN (landed banks; includes stale -- see _readme)</t>
        </is>
      </c>
      <c r="D48" s="19">
        <f>IF(COUNT(D8:D47)=0,"",MEDIAN(D8:D47))</f>
        <v/>
      </c>
      <c r="E48" s="19">
        <f>IF(COUNT(E8:E47)=0,"",MEDIAN(E8:E47))</f>
        <v/>
      </c>
      <c r="F48" s="19">
        <f>IF(COUNT(F8:F47)=0,"",MEDIAN(F8:F47))</f>
        <v/>
      </c>
      <c r="G48" s="19">
        <f>IF(COUNT(G8:G47)=0,"",MEDIAN(G8:G47))</f>
        <v/>
      </c>
      <c r="H48" s="19">
        <f>IF(COUNT(H8:H47)=0,"",MEDIAN(H8:H47))</f>
        <v/>
      </c>
      <c r="I48" s="19">
        <f>IF(COUNT(I8:I47)=0,"",MEDIAN(I8:I47))</f>
        <v/>
      </c>
    </row>
  </sheetData>
  <mergeCells count="11">
    <mergeCell ref="A2:I2"/>
    <mergeCell ref="D5:F5"/>
    <mergeCell ref="A5:C5"/>
    <mergeCell ref="G5:I5"/>
    <mergeCell ref="D4:F4"/>
    <mergeCell ref="A1:I1"/>
    <mergeCell ref="D3:F3"/>
    <mergeCell ref="A3:C3"/>
    <mergeCell ref="G3:I3"/>
    <mergeCell ref="G4:I4"/>
    <mergeCell ref="A4:C4"/>
  </mergeCells>
  <conditionalFormatting sqref="D8:D47">
    <cfRule type="expression" priority="1" dxfId="0" stopIfTrue="1">
      <formula>AND(ISNUMBER(D8),D8&gt;=_config!$C$16)</formula>
    </cfRule>
    <cfRule type="expression" priority="2" dxfId="1" stopIfTrue="1">
      <formula>AND(ISNUMBER(D8),D8&gt;=_config!$B$16)</formula>
    </cfRule>
    <cfRule type="colorScale" priority="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E8:E47">
    <cfRule type="expression" priority="4" dxfId="0" stopIfTrue="1">
      <formula>AND(ISNUMBER(E8),E8&gt;=_config!$C$17)</formula>
    </cfRule>
    <cfRule type="expression" priority="5" dxfId="1" stopIfTrue="1">
      <formula>AND(ISNUMBER(E8),E8&gt;=_config!$B$17)</formula>
    </cfRule>
    <cfRule type="colorScale" priority="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F8:F47">
    <cfRule type="expression" priority="7" dxfId="0" stopIfTrue="1">
      <formula>AND(ISNUMBER(F8),F8&gt;=_config!$C$18)</formula>
    </cfRule>
    <cfRule type="expression" priority="8" dxfId="1" stopIfTrue="1">
      <formula>AND(ISNUMBER(F8),F8&gt;=_config!$B$18)</formula>
    </cfRule>
    <cfRule type="colorScale" priority="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G8:G47">
    <cfRule type="expression" priority="10" dxfId="0" stopIfTrue="1">
      <formula>AND(ISNUMBER(G8),G8&lt;=_config!$C$19)</formula>
    </cfRule>
    <cfRule type="expression" priority="11" dxfId="1" stopIfTrue="1">
      <formula>AND(ISNUMBER(G8),G8&lt;=_config!$B$19)</formula>
    </cfRule>
    <cfRule type="colorScale" priority="12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H8:H47">
    <cfRule type="expression" priority="13" dxfId="0" stopIfTrue="1">
      <formula>AND(ISNUMBER(H8),H8&lt;=_config!$C$20)</formula>
    </cfRule>
    <cfRule type="expression" priority="14" dxfId="1" stopIfTrue="1">
      <formula>AND(ISNUMBER(H8),H8&lt;=_config!$B$20)</formula>
    </cfRule>
    <cfRule type="colorScale" priority="15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I8:I47">
    <cfRule type="expression" priority="16" dxfId="0" stopIfTrue="1">
      <formula>AND(ISNUMBER(I8),I8&gt;=_config!$C$21)</formula>
    </cfRule>
    <cfRule type="expression" priority="17" dxfId="1" stopIfTrue="1">
      <formula>AND(ISNUMBER(I8),I8&gt;=_config!$B$21)</formula>
    </cfRule>
    <cfRule type="colorScale" priority="1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L4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9" customWidth="1" min="2" max="2"/>
    <col width="13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40" customWidth="1" min="12" max="12"/>
  </cols>
  <sheetData>
    <row r="1" ht="27.6" customHeight="1">
      <c r="A1" s="1" t="inlineStr">
        <is>
          <t>Capital &amp; Earnings Dashboard</t>
        </is>
      </c>
      <c r="L1" s="2" t="n"/>
    </row>
    <row r="2" ht="18.4" customHeight="1">
      <c r="A2" s="3" t="inlineStr">
        <is>
          <t>Tier 1 leverage (universal), total RBC (blank for CBLR electors -- null is not zero), equity/assets, quarterly ROA, NIM, efficiency. QBP Q1'26 industry reference: ROA 1.26%, NIM 3.31%.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L2" s="2" t="n"/>
    </row>
    <row r="3">
      <c r="A3" s="5" t="inlineStr">
        <is>
          <t>BANKS IN ALERT</t>
        </is>
      </c>
      <c r="B3" s="6" t="n"/>
      <c r="C3" s="6" t="n"/>
      <c r="D3" s="5" t="inlineStr">
        <is>
          <t>BANKS IN WATCH</t>
        </is>
      </c>
      <c r="E3" s="6" t="n"/>
      <c r="F3" s="6" t="n"/>
      <c r="G3" s="7" t="inlineStr">
        <is>
          <t>BANKS TRACKED</t>
        </is>
      </c>
      <c r="H3" s="8" t="n"/>
      <c r="I3" s="8" t="n"/>
      <c r="L3" s="2" t="n"/>
    </row>
    <row r="4" ht="26" customHeight="1">
      <c r="A4" s="9">
        <f>COUNTIF(Watchlist!$H$5:$H$44,"ALERT")</f>
        <v/>
      </c>
      <c r="D4" s="9">
        <f>COUNTIF(Watchlist!$H$5:$H$44,"WATCH")</f>
        <v/>
      </c>
      <c r="G4" s="9">
        <f>COUNTIF(Watchlist!$A$5:$A$44,"?*")</f>
        <v/>
      </c>
      <c r="L4" s="10" t="n"/>
    </row>
    <row r="5">
      <c r="A5" s="11" t="inlineStr">
        <is>
          <t>of 12 active</t>
        </is>
      </c>
      <c r="D5" s="11" t="inlineStr">
        <is>
          <t>elevated</t>
        </is>
      </c>
      <c r="G5" s="11" t="inlineStr">
        <is>
          <t>of 40 built slots</t>
        </is>
      </c>
    </row>
    <row r="6" ht="8" customHeight="1"/>
    <row r="7" ht="22" customHeight="1">
      <c r="A7" s="12" t="inlineStr">
        <is>
          <t>Bank</t>
        </is>
      </c>
      <c r="B7" s="12" t="inlineStr">
        <is>
          <t>CERT</t>
        </is>
      </c>
      <c r="C7" s="12" t="inlineStr">
        <is>
          <t>Group</t>
        </is>
      </c>
      <c r="D7" s="13" t="inlineStr">
        <is>
          <t>T1 Leverage</t>
        </is>
      </c>
      <c r="E7" s="13" t="inlineStr">
        <is>
          <t>Total RBC</t>
        </is>
      </c>
      <c r="F7" s="13" t="inlineStr">
        <is>
          <t>Equity/Assets</t>
        </is>
      </c>
      <c r="G7" s="13" t="inlineStr">
        <is>
          <t>ROA (q)</t>
        </is>
      </c>
      <c r="H7" s="13" t="inlineStr">
        <is>
          <t>NIM</t>
        </is>
      </c>
      <c r="I7" s="13" t="inlineStr">
        <is>
          <t>Efficiency</t>
        </is>
      </c>
    </row>
    <row r="8">
      <c r="A8" s="14">
        <f>IF(_config!$C$72="","",_config!$C$72)</f>
        <v/>
      </c>
      <c r="B8" s="15">
        <f>IF(_config!$B$72="","",_config!$B$72)</f>
        <v/>
      </c>
      <c r="C8" s="16">
        <f>IF(_config!$D$72="","",_config!$D$72)</f>
        <v/>
      </c>
      <c r="D8" s="17">
        <f>IF(Raw_FDIC!R4="","",Raw_FDIC!R4)</f>
        <v/>
      </c>
      <c r="E8" s="17">
        <f>IF(Raw_FDIC!S4="","",Raw_FDIC!S4)</f>
        <v/>
      </c>
      <c r="F8" s="17">
        <f>IF(Raw_FDIC!T4="","",Raw_FDIC!T4)</f>
        <v/>
      </c>
      <c r="G8" s="17">
        <f>IF(Raw_FDIC!U4="","",Raw_FDIC!U4)</f>
        <v/>
      </c>
      <c r="H8" s="17">
        <f>IF(Raw_FDIC!V4="","",Raw_FDIC!V4)</f>
        <v/>
      </c>
      <c r="I8" s="17">
        <f>IF(Raw_FDIC!W4="","",Raw_FDIC!W4)</f>
        <v/>
      </c>
    </row>
    <row r="9">
      <c r="A9" s="14">
        <f>IF(_config!$C$73="","",_config!$C$73)</f>
        <v/>
      </c>
      <c r="B9" s="15">
        <f>IF(_config!$B$73="","",_config!$B$73)</f>
        <v/>
      </c>
      <c r="C9" s="16">
        <f>IF(_config!$D$73="","",_config!$D$73)</f>
        <v/>
      </c>
      <c r="D9" s="17">
        <f>IF(Raw_FDIC!R24="","",Raw_FDIC!R24)</f>
        <v/>
      </c>
      <c r="E9" s="17">
        <f>IF(Raw_FDIC!S24="","",Raw_FDIC!S24)</f>
        <v/>
      </c>
      <c r="F9" s="17">
        <f>IF(Raw_FDIC!T24="","",Raw_FDIC!T24)</f>
        <v/>
      </c>
      <c r="G9" s="17">
        <f>IF(Raw_FDIC!U24="","",Raw_FDIC!U24)</f>
        <v/>
      </c>
      <c r="H9" s="17">
        <f>IF(Raw_FDIC!V24="","",Raw_FDIC!V24)</f>
        <v/>
      </c>
      <c r="I9" s="17">
        <f>IF(Raw_FDIC!W24="","",Raw_FDIC!W24)</f>
        <v/>
      </c>
    </row>
    <row r="10">
      <c r="A10" s="14">
        <f>IF(_config!$C$74="","",_config!$C$74)</f>
        <v/>
      </c>
      <c r="B10" s="15">
        <f>IF(_config!$B$74="","",_config!$B$74)</f>
        <v/>
      </c>
      <c r="C10" s="16">
        <f>IF(_config!$D$74="","",_config!$D$74)</f>
        <v/>
      </c>
      <c r="D10" s="17">
        <f>IF(Raw_FDIC!R44="","",Raw_FDIC!R44)</f>
        <v/>
      </c>
      <c r="E10" s="17">
        <f>IF(Raw_FDIC!S44="","",Raw_FDIC!S44)</f>
        <v/>
      </c>
      <c r="F10" s="17">
        <f>IF(Raw_FDIC!T44="","",Raw_FDIC!T44)</f>
        <v/>
      </c>
      <c r="G10" s="17">
        <f>IF(Raw_FDIC!U44="","",Raw_FDIC!U44)</f>
        <v/>
      </c>
      <c r="H10" s="17">
        <f>IF(Raw_FDIC!V44="","",Raw_FDIC!V44)</f>
        <v/>
      </c>
      <c r="I10" s="17">
        <f>IF(Raw_FDIC!W44="","",Raw_FDIC!W44)</f>
        <v/>
      </c>
    </row>
    <row r="11">
      <c r="A11" s="14">
        <f>IF(_config!$C$75="","",_config!$C$75)</f>
        <v/>
      </c>
      <c r="B11" s="15">
        <f>IF(_config!$B$75="","",_config!$B$75)</f>
        <v/>
      </c>
      <c r="C11" s="16">
        <f>IF(_config!$D$75="","",_config!$D$75)</f>
        <v/>
      </c>
      <c r="D11" s="17">
        <f>IF(Raw_FDIC!R64="","",Raw_FDIC!R64)</f>
        <v/>
      </c>
      <c r="E11" s="17">
        <f>IF(Raw_FDIC!S64="","",Raw_FDIC!S64)</f>
        <v/>
      </c>
      <c r="F11" s="17">
        <f>IF(Raw_FDIC!T64="","",Raw_FDIC!T64)</f>
        <v/>
      </c>
      <c r="G11" s="17">
        <f>IF(Raw_FDIC!U64="","",Raw_FDIC!U64)</f>
        <v/>
      </c>
      <c r="H11" s="17">
        <f>IF(Raw_FDIC!V64="","",Raw_FDIC!V64)</f>
        <v/>
      </c>
      <c r="I11" s="17">
        <f>IF(Raw_FDIC!W64="","",Raw_FDIC!W64)</f>
        <v/>
      </c>
    </row>
    <row r="12">
      <c r="A12" s="14">
        <f>IF(_config!$C$76="","",_config!$C$76)</f>
        <v/>
      </c>
      <c r="B12" s="15">
        <f>IF(_config!$B$76="","",_config!$B$76)</f>
        <v/>
      </c>
      <c r="C12" s="16">
        <f>IF(_config!$D$76="","",_config!$D$76)</f>
        <v/>
      </c>
      <c r="D12" s="17">
        <f>IF(Raw_FDIC!R84="","",Raw_FDIC!R84)</f>
        <v/>
      </c>
      <c r="E12" s="17">
        <f>IF(Raw_FDIC!S84="","",Raw_FDIC!S84)</f>
        <v/>
      </c>
      <c r="F12" s="17">
        <f>IF(Raw_FDIC!T84="","",Raw_FDIC!T84)</f>
        <v/>
      </c>
      <c r="G12" s="17">
        <f>IF(Raw_FDIC!U84="","",Raw_FDIC!U84)</f>
        <v/>
      </c>
      <c r="H12" s="17">
        <f>IF(Raw_FDIC!V84="","",Raw_FDIC!V84)</f>
        <v/>
      </c>
      <c r="I12" s="17">
        <f>IF(Raw_FDIC!W84="","",Raw_FDIC!W84)</f>
        <v/>
      </c>
    </row>
    <row r="13">
      <c r="A13" s="14">
        <f>IF(_config!$C$77="","",_config!$C$77)</f>
        <v/>
      </c>
      <c r="B13" s="15">
        <f>IF(_config!$B$77="","",_config!$B$77)</f>
        <v/>
      </c>
      <c r="C13" s="16">
        <f>IF(_config!$D$77="","",_config!$D$77)</f>
        <v/>
      </c>
      <c r="D13" s="17">
        <f>IF(Raw_FDIC!R104="","",Raw_FDIC!R104)</f>
        <v/>
      </c>
      <c r="E13" s="17">
        <f>IF(Raw_FDIC!S104="","",Raw_FDIC!S104)</f>
        <v/>
      </c>
      <c r="F13" s="17">
        <f>IF(Raw_FDIC!T104="","",Raw_FDIC!T104)</f>
        <v/>
      </c>
      <c r="G13" s="17">
        <f>IF(Raw_FDIC!U104="","",Raw_FDIC!U104)</f>
        <v/>
      </c>
      <c r="H13" s="17">
        <f>IF(Raw_FDIC!V104="","",Raw_FDIC!V104)</f>
        <v/>
      </c>
      <c r="I13" s="17">
        <f>IF(Raw_FDIC!W104="","",Raw_FDIC!W104)</f>
        <v/>
      </c>
    </row>
    <row r="14">
      <c r="A14" s="14">
        <f>IF(_config!$C$78="","",_config!$C$78)</f>
        <v/>
      </c>
      <c r="B14" s="15">
        <f>IF(_config!$B$78="","",_config!$B$78)</f>
        <v/>
      </c>
      <c r="C14" s="16">
        <f>IF(_config!$D$78="","",_config!$D$78)</f>
        <v/>
      </c>
      <c r="D14" s="17">
        <f>IF(Raw_FDIC!R124="","",Raw_FDIC!R124)</f>
        <v/>
      </c>
      <c r="E14" s="17">
        <f>IF(Raw_FDIC!S124="","",Raw_FDIC!S124)</f>
        <v/>
      </c>
      <c r="F14" s="17">
        <f>IF(Raw_FDIC!T124="","",Raw_FDIC!T124)</f>
        <v/>
      </c>
      <c r="G14" s="17">
        <f>IF(Raw_FDIC!U124="","",Raw_FDIC!U124)</f>
        <v/>
      </c>
      <c r="H14" s="17">
        <f>IF(Raw_FDIC!V124="","",Raw_FDIC!V124)</f>
        <v/>
      </c>
      <c r="I14" s="17">
        <f>IF(Raw_FDIC!W124="","",Raw_FDIC!W124)</f>
        <v/>
      </c>
    </row>
    <row r="15">
      <c r="A15" s="14">
        <f>IF(_config!$C$79="","",_config!$C$79)</f>
        <v/>
      </c>
      <c r="B15" s="15">
        <f>IF(_config!$B$79="","",_config!$B$79)</f>
        <v/>
      </c>
      <c r="C15" s="16">
        <f>IF(_config!$D$79="","",_config!$D$79)</f>
        <v/>
      </c>
      <c r="D15" s="17">
        <f>IF(Raw_FDIC!R144="","",Raw_FDIC!R144)</f>
        <v/>
      </c>
      <c r="E15" s="17">
        <f>IF(Raw_FDIC!S144="","",Raw_FDIC!S144)</f>
        <v/>
      </c>
      <c r="F15" s="17">
        <f>IF(Raw_FDIC!T144="","",Raw_FDIC!T144)</f>
        <v/>
      </c>
      <c r="G15" s="17">
        <f>IF(Raw_FDIC!U144="","",Raw_FDIC!U144)</f>
        <v/>
      </c>
      <c r="H15" s="17">
        <f>IF(Raw_FDIC!V144="","",Raw_FDIC!V144)</f>
        <v/>
      </c>
      <c r="I15" s="17">
        <f>IF(Raw_FDIC!W144="","",Raw_FDIC!W144)</f>
        <v/>
      </c>
    </row>
    <row r="16">
      <c r="A16" s="14">
        <f>IF(_config!$C$80="","",_config!$C$80)</f>
        <v/>
      </c>
      <c r="B16" s="15">
        <f>IF(_config!$B$80="","",_config!$B$80)</f>
        <v/>
      </c>
      <c r="C16" s="16">
        <f>IF(_config!$D$80="","",_config!$D$80)</f>
        <v/>
      </c>
      <c r="D16" s="17">
        <f>IF(Raw_FDIC!R164="","",Raw_FDIC!R164)</f>
        <v/>
      </c>
      <c r="E16" s="17">
        <f>IF(Raw_FDIC!S164="","",Raw_FDIC!S164)</f>
        <v/>
      </c>
      <c r="F16" s="17">
        <f>IF(Raw_FDIC!T164="","",Raw_FDIC!T164)</f>
        <v/>
      </c>
      <c r="G16" s="17">
        <f>IF(Raw_FDIC!U164="","",Raw_FDIC!U164)</f>
        <v/>
      </c>
      <c r="H16" s="17">
        <f>IF(Raw_FDIC!V164="","",Raw_FDIC!V164)</f>
        <v/>
      </c>
      <c r="I16" s="17">
        <f>IF(Raw_FDIC!W164="","",Raw_FDIC!W164)</f>
        <v/>
      </c>
    </row>
    <row r="17">
      <c r="A17" s="14">
        <f>IF(_config!$C$81="","",_config!$C$81)</f>
        <v/>
      </c>
      <c r="B17" s="15">
        <f>IF(_config!$B$81="","",_config!$B$81)</f>
        <v/>
      </c>
      <c r="C17" s="16">
        <f>IF(_config!$D$81="","",_config!$D$81)</f>
        <v/>
      </c>
      <c r="D17" s="17">
        <f>IF(Raw_FDIC!R184="","",Raw_FDIC!R184)</f>
        <v/>
      </c>
      <c r="E17" s="17">
        <f>IF(Raw_FDIC!S184="","",Raw_FDIC!S184)</f>
        <v/>
      </c>
      <c r="F17" s="17">
        <f>IF(Raw_FDIC!T184="","",Raw_FDIC!T184)</f>
        <v/>
      </c>
      <c r="G17" s="17">
        <f>IF(Raw_FDIC!U184="","",Raw_FDIC!U184)</f>
        <v/>
      </c>
      <c r="H17" s="17">
        <f>IF(Raw_FDIC!V184="","",Raw_FDIC!V184)</f>
        <v/>
      </c>
      <c r="I17" s="17">
        <f>IF(Raw_FDIC!W184="","",Raw_FDIC!W184)</f>
        <v/>
      </c>
    </row>
    <row r="18">
      <c r="A18" s="14">
        <f>IF(_config!$C$82="","",_config!$C$82)</f>
        <v/>
      </c>
      <c r="B18" s="15">
        <f>IF(_config!$B$82="","",_config!$B$82)</f>
        <v/>
      </c>
      <c r="C18" s="16">
        <f>IF(_config!$D$82="","",_config!$D$82)</f>
        <v/>
      </c>
      <c r="D18" s="17">
        <f>IF(Raw_FDIC!R204="","",Raw_FDIC!R204)</f>
        <v/>
      </c>
      <c r="E18" s="17">
        <f>IF(Raw_FDIC!S204="","",Raw_FDIC!S204)</f>
        <v/>
      </c>
      <c r="F18" s="17">
        <f>IF(Raw_FDIC!T204="","",Raw_FDIC!T204)</f>
        <v/>
      </c>
      <c r="G18" s="17">
        <f>IF(Raw_FDIC!U204="","",Raw_FDIC!U204)</f>
        <v/>
      </c>
      <c r="H18" s="17">
        <f>IF(Raw_FDIC!V204="","",Raw_FDIC!V204)</f>
        <v/>
      </c>
      <c r="I18" s="17">
        <f>IF(Raw_FDIC!W204="","",Raw_FDIC!W204)</f>
        <v/>
      </c>
    </row>
    <row r="19">
      <c r="A19" s="14">
        <f>IF(_config!$C$83="","",_config!$C$83)</f>
        <v/>
      </c>
      <c r="B19" s="15">
        <f>IF(_config!$B$83="","",_config!$B$83)</f>
        <v/>
      </c>
      <c r="C19" s="16">
        <f>IF(_config!$D$83="","",_config!$D$83)</f>
        <v/>
      </c>
      <c r="D19" s="17">
        <f>IF(Raw_FDIC!R224="","",Raw_FDIC!R224)</f>
        <v/>
      </c>
      <c r="E19" s="17">
        <f>IF(Raw_FDIC!S224="","",Raw_FDIC!S224)</f>
        <v/>
      </c>
      <c r="F19" s="17">
        <f>IF(Raw_FDIC!T224="","",Raw_FDIC!T224)</f>
        <v/>
      </c>
      <c r="G19" s="17">
        <f>IF(Raw_FDIC!U224="","",Raw_FDIC!U224)</f>
        <v/>
      </c>
      <c r="H19" s="17">
        <f>IF(Raw_FDIC!V224="","",Raw_FDIC!V224)</f>
        <v/>
      </c>
      <c r="I19" s="17">
        <f>IF(Raw_FDIC!W224="","",Raw_FDIC!W224)</f>
        <v/>
      </c>
    </row>
    <row r="20">
      <c r="A20" s="14">
        <f>IF(_config!$C$84="","",_config!$C$84)</f>
        <v/>
      </c>
      <c r="B20" s="15">
        <f>IF(_config!$B$84="","",_config!$B$84)</f>
        <v/>
      </c>
      <c r="C20" s="16">
        <f>IF(_config!$D$84="","",_config!$D$84)</f>
        <v/>
      </c>
      <c r="D20" s="17">
        <f>IF(Raw_FDIC!R244="","",Raw_FDIC!R244)</f>
        <v/>
      </c>
      <c r="E20" s="17">
        <f>IF(Raw_FDIC!S244="","",Raw_FDIC!S244)</f>
        <v/>
      </c>
      <c r="F20" s="17">
        <f>IF(Raw_FDIC!T244="","",Raw_FDIC!T244)</f>
        <v/>
      </c>
      <c r="G20" s="17">
        <f>IF(Raw_FDIC!U244="","",Raw_FDIC!U244)</f>
        <v/>
      </c>
      <c r="H20" s="17">
        <f>IF(Raw_FDIC!V244="","",Raw_FDIC!V244)</f>
        <v/>
      </c>
      <c r="I20" s="17">
        <f>IF(Raw_FDIC!W244="","",Raw_FDIC!W244)</f>
        <v/>
      </c>
    </row>
    <row r="21">
      <c r="A21" s="14">
        <f>IF(_config!$C$85="","",_config!$C$85)</f>
        <v/>
      </c>
      <c r="B21" s="15">
        <f>IF(_config!$B$85="","",_config!$B$85)</f>
        <v/>
      </c>
      <c r="C21" s="16">
        <f>IF(_config!$D$85="","",_config!$D$85)</f>
        <v/>
      </c>
      <c r="D21" s="17">
        <f>IF(Raw_FDIC!R264="","",Raw_FDIC!R264)</f>
        <v/>
      </c>
      <c r="E21" s="17">
        <f>IF(Raw_FDIC!S264="","",Raw_FDIC!S264)</f>
        <v/>
      </c>
      <c r="F21" s="17">
        <f>IF(Raw_FDIC!T264="","",Raw_FDIC!T264)</f>
        <v/>
      </c>
      <c r="G21" s="17">
        <f>IF(Raw_FDIC!U264="","",Raw_FDIC!U264)</f>
        <v/>
      </c>
      <c r="H21" s="17">
        <f>IF(Raw_FDIC!V264="","",Raw_FDIC!V264)</f>
        <v/>
      </c>
      <c r="I21" s="17">
        <f>IF(Raw_FDIC!W264="","",Raw_FDIC!W264)</f>
        <v/>
      </c>
    </row>
    <row r="22">
      <c r="A22" s="14">
        <f>IF(_config!$C$86="","",_config!$C$86)</f>
        <v/>
      </c>
      <c r="B22" s="15">
        <f>IF(_config!$B$86="","",_config!$B$86)</f>
        <v/>
      </c>
      <c r="C22" s="16">
        <f>IF(_config!$D$86="","",_config!$D$86)</f>
        <v/>
      </c>
      <c r="D22" s="17">
        <f>IF(Raw_FDIC!R284="","",Raw_FDIC!R284)</f>
        <v/>
      </c>
      <c r="E22" s="17">
        <f>IF(Raw_FDIC!S284="","",Raw_FDIC!S284)</f>
        <v/>
      </c>
      <c r="F22" s="17">
        <f>IF(Raw_FDIC!T284="","",Raw_FDIC!T284)</f>
        <v/>
      </c>
      <c r="G22" s="17">
        <f>IF(Raw_FDIC!U284="","",Raw_FDIC!U284)</f>
        <v/>
      </c>
      <c r="H22" s="17">
        <f>IF(Raw_FDIC!V284="","",Raw_FDIC!V284)</f>
        <v/>
      </c>
      <c r="I22" s="17">
        <f>IF(Raw_FDIC!W284="","",Raw_FDIC!W284)</f>
        <v/>
      </c>
    </row>
    <row r="23">
      <c r="A23" s="14">
        <f>IF(_config!$C$87="","",_config!$C$87)</f>
        <v/>
      </c>
      <c r="B23" s="15">
        <f>IF(_config!$B$87="","",_config!$B$87)</f>
        <v/>
      </c>
      <c r="C23" s="16">
        <f>IF(_config!$D$87="","",_config!$D$87)</f>
        <v/>
      </c>
      <c r="D23" s="17">
        <f>IF(Raw_FDIC!R304="","",Raw_FDIC!R304)</f>
        <v/>
      </c>
      <c r="E23" s="17">
        <f>IF(Raw_FDIC!S304="","",Raw_FDIC!S304)</f>
        <v/>
      </c>
      <c r="F23" s="17">
        <f>IF(Raw_FDIC!T304="","",Raw_FDIC!T304)</f>
        <v/>
      </c>
      <c r="G23" s="17">
        <f>IF(Raw_FDIC!U304="","",Raw_FDIC!U304)</f>
        <v/>
      </c>
      <c r="H23" s="17">
        <f>IF(Raw_FDIC!V304="","",Raw_FDIC!V304)</f>
        <v/>
      </c>
      <c r="I23" s="17">
        <f>IF(Raw_FDIC!W304="","",Raw_FDIC!W304)</f>
        <v/>
      </c>
    </row>
    <row r="24">
      <c r="A24" s="14">
        <f>IF(_config!$C$88="","",_config!$C$88)</f>
        <v/>
      </c>
      <c r="B24" s="15">
        <f>IF(_config!$B$88="","",_config!$B$88)</f>
        <v/>
      </c>
      <c r="C24" s="16">
        <f>IF(_config!$D$88="","",_config!$D$88)</f>
        <v/>
      </c>
      <c r="D24" s="17">
        <f>IF(Raw_FDIC!R324="","",Raw_FDIC!R324)</f>
        <v/>
      </c>
      <c r="E24" s="17">
        <f>IF(Raw_FDIC!S324="","",Raw_FDIC!S324)</f>
        <v/>
      </c>
      <c r="F24" s="17">
        <f>IF(Raw_FDIC!T324="","",Raw_FDIC!T324)</f>
        <v/>
      </c>
      <c r="G24" s="17">
        <f>IF(Raw_FDIC!U324="","",Raw_FDIC!U324)</f>
        <v/>
      </c>
      <c r="H24" s="17">
        <f>IF(Raw_FDIC!V324="","",Raw_FDIC!V324)</f>
        <v/>
      </c>
      <c r="I24" s="17">
        <f>IF(Raw_FDIC!W324="","",Raw_FDIC!W324)</f>
        <v/>
      </c>
    </row>
    <row r="25">
      <c r="A25" s="14">
        <f>IF(_config!$C$89="","",_config!$C$89)</f>
        <v/>
      </c>
      <c r="B25" s="15">
        <f>IF(_config!$B$89="","",_config!$B$89)</f>
        <v/>
      </c>
      <c r="C25" s="16">
        <f>IF(_config!$D$89="","",_config!$D$89)</f>
        <v/>
      </c>
      <c r="D25" s="17">
        <f>IF(Raw_FDIC!R344="","",Raw_FDIC!R344)</f>
        <v/>
      </c>
      <c r="E25" s="17">
        <f>IF(Raw_FDIC!S344="","",Raw_FDIC!S344)</f>
        <v/>
      </c>
      <c r="F25" s="17">
        <f>IF(Raw_FDIC!T344="","",Raw_FDIC!T344)</f>
        <v/>
      </c>
      <c r="G25" s="17">
        <f>IF(Raw_FDIC!U344="","",Raw_FDIC!U344)</f>
        <v/>
      </c>
      <c r="H25" s="17">
        <f>IF(Raw_FDIC!V344="","",Raw_FDIC!V344)</f>
        <v/>
      </c>
      <c r="I25" s="17">
        <f>IF(Raw_FDIC!W344="","",Raw_FDIC!W344)</f>
        <v/>
      </c>
    </row>
    <row r="26">
      <c r="A26" s="14">
        <f>IF(_config!$C$90="","",_config!$C$90)</f>
        <v/>
      </c>
      <c r="B26" s="15">
        <f>IF(_config!$B$90="","",_config!$B$90)</f>
        <v/>
      </c>
      <c r="C26" s="16">
        <f>IF(_config!$D$90="","",_config!$D$90)</f>
        <v/>
      </c>
      <c r="D26" s="17">
        <f>IF(Raw_FDIC!R364="","",Raw_FDIC!R364)</f>
        <v/>
      </c>
      <c r="E26" s="17">
        <f>IF(Raw_FDIC!S364="","",Raw_FDIC!S364)</f>
        <v/>
      </c>
      <c r="F26" s="17">
        <f>IF(Raw_FDIC!T364="","",Raw_FDIC!T364)</f>
        <v/>
      </c>
      <c r="G26" s="17">
        <f>IF(Raw_FDIC!U364="","",Raw_FDIC!U364)</f>
        <v/>
      </c>
      <c r="H26" s="17">
        <f>IF(Raw_FDIC!V364="","",Raw_FDIC!V364)</f>
        <v/>
      </c>
      <c r="I26" s="17">
        <f>IF(Raw_FDIC!W364="","",Raw_FDIC!W364)</f>
        <v/>
      </c>
    </row>
    <row r="27">
      <c r="A27" s="14">
        <f>IF(_config!$C$91="","",_config!$C$91)</f>
        <v/>
      </c>
      <c r="B27" s="15">
        <f>IF(_config!$B$91="","",_config!$B$91)</f>
        <v/>
      </c>
      <c r="C27" s="16">
        <f>IF(_config!$D$91="","",_config!$D$91)</f>
        <v/>
      </c>
      <c r="D27" s="17">
        <f>IF(Raw_FDIC!R384="","",Raw_FDIC!R384)</f>
        <v/>
      </c>
      <c r="E27" s="17">
        <f>IF(Raw_FDIC!S384="","",Raw_FDIC!S384)</f>
        <v/>
      </c>
      <c r="F27" s="17">
        <f>IF(Raw_FDIC!T384="","",Raw_FDIC!T384)</f>
        <v/>
      </c>
      <c r="G27" s="17">
        <f>IF(Raw_FDIC!U384="","",Raw_FDIC!U384)</f>
        <v/>
      </c>
      <c r="H27" s="17">
        <f>IF(Raw_FDIC!V384="","",Raw_FDIC!V384)</f>
        <v/>
      </c>
      <c r="I27" s="17">
        <f>IF(Raw_FDIC!W384="","",Raw_FDIC!W384)</f>
        <v/>
      </c>
    </row>
    <row r="28">
      <c r="A28" s="14">
        <f>IF(_config!$C$92="","",_config!$C$92)</f>
        <v/>
      </c>
      <c r="B28" s="15">
        <f>IF(_config!$B$92="","",_config!$B$92)</f>
        <v/>
      </c>
      <c r="C28" s="16">
        <f>IF(_config!$D$92="","",_config!$D$92)</f>
        <v/>
      </c>
      <c r="D28" s="17">
        <f>IF(Raw_FDIC!R404="","",Raw_FDIC!R404)</f>
        <v/>
      </c>
      <c r="E28" s="17">
        <f>IF(Raw_FDIC!S404="","",Raw_FDIC!S404)</f>
        <v/>
      </c>
      <c r="F28" s="17">
        <f>IF(Raw_FDIC!T404="","",Raw_FDIC!T404)</f>
        <v/>
      </c>
      <c r="G28" s="17">
        <f>IF(Raw_FDIC!U404="","",Raw_FDIC!U404)</f>
        <v/>
      </c>
      <c r="H28" s="17">
        <f>IF(Raw_FDIC!V404="","",Raw_FDIC!V404)</f>
        <v/>
      </c>
      <c r="I28" s="17">
        <f>IF(Raw_FDIC!W404="","",Raw_FDIC!W404)</f>
        <v/>
      </c>
    </row>
    <row r="29">
      <c r="A29" s="14">
        <f>IF(_config!$C$93="","",_config!$C$93)</f>
        <v/>
      </c>
      <c r="B29" s="15">
        <f>IF(_config!$B$93="","",_config!$B$93)</f>
        <v/>
      </c>
      <c r="C29" s="16">
        <f>IF(_config!$D$93="","",_config!$D$93)</f>
        <v/>
      </c>
      <c r="D29" s="17">
        <f>IF(Raw_FDIC!R424="","",Raw_FDIC!R424)</f>
        <v/>
      </c>
      <c r="E29" s="17">
        <f>IF(Raw_FDIC!S424="","",Raw_FDIC!S424)</f>
        <v/>
      </c>
      <c r="F29" s="17">
        <f>IF(Raw_FDIC!T424="","",Raw_FDIC!T424)</f>
        <v/>
      </c>
      <c r="G29" s="17">
        <f>IF(Raw_FDIC!U424="","",Raw_FDIC!U424)</f>
        <v/>
      </c>
      <c r="H29" s="17">
        <f>IF(Raw_FDIC!V424="","",Raw_FDIC!V424)</f>
        <v/>
      </c>
      <c r="I29" s="17">
        <f>IF(Raw_FDIC!W424="","",Raw_FDIC!W424)</f>
        <v/>
      </c>
    </row>
    <row r="30">
      <c r="A30" s="14">
        <f>IF(_config!$C$94="","",_config!$C$94)</f>
        <v/>
      </c>
      <c r="B30" s="15">
        <f>IF(_config!$B$94="","",_config!$B$94)</f>
        <v/>
      </c>
      <c r="C30" s="16">
        <f>IF(_config!$D$94="","",_config!$D$94)</f>
        <v/>
      </c>
      <c r="D30" s="17">
        <f>IF(Raw_FDIC!R444="","",Raw_FDIC!R444)</f>
        <v/>
      </c>
      <c r="E30" s="17">
        <f>IF(Raw_FDIC!S444="","",Raw_FDIC!S444)</f>
        <v/>
      </c>
      <c r="F30" s="17">
        <f>IF(Raw_FDIC!T444="","",Raw_FDIC!T444)</f>
        <v/>
      </c>
      <c r="G30" s="17">
        <f>IF(Raw_FDIC!U444="","",Raw_FDIC!U444)</f>
        <v/>
      </c>
      <c r="H30" s="17">
        <f>IF(Raw_FDIC!V444="","",Raw_FDIC!V444)</f>
        <v/>
      </c>
      <c r="I30" s="17">
        <f>IF(Raw_FDIC!W444="","",Raw_FDIC!W444)</f>
        <v/>
      </c>
    </row>
    <row r="31">
      <c r="A31" s="14">
        <f>IF(_config!$C$95="","",_config!$C$95)</f>
        <v/>
      </c>
      <c r="B31" s="15">
        <f>IF(_config!$B$95="","",_config!$B$95)</f>
        <v/>
      </c>
      <c r="C31" s="16">
        <f>IF(_config!$D$95="","",_config!$D$95)</f>
        <v/>
      </c>
      <c r="D31" s="17">
        <f>IF(Raw_FDIC!R464="","",Raw_FDIC!R464)</f>
        <v/>
      </c>
      <c r="E31" s="17">
        <f>IF(Raw_FDIC!S464="","",Raw_FDIC!S464)</f>
        <v/>
      </c>
      <c r="F31" s="17">
        <f>IF(Raw_FDIC!T464="","",Raw_FDIC!T464)</f>
        <v/>
      </c>
      <c r="G31" s="17">
        <f>IF(Raw_FDIC!U464="","",Raw_FDIC!U464)</f>
        <v/>
      </c>
      <c r="H31" s="17">
        <f>IF(Raw_FDIC!V464="","",Raw_FDIC!V464)</f>
        <v/>
      </c>
      <c r="I31" s="17">
        <f>IF(Raw_FDIC!W464="","",Raw_FDIC!W464)</f>
        <v/>
      </c>
    </row>
    <row r="32">
      <c r="A32" s="14">
        <f>IF(_config!$C$96="","",_config!$C$96)</f>
        <v/>
      </c>
      <c r="B32" s="15">
        <f>IF(_config!$B$96="","",_config!$B$96)</f>
        <v/>
      </c>
      <c r="C32" s="16">
        <f>IF(_config!$D$96="","",_config!$D$96)</f>
        <v/>
      </c>
      <c r="D32" s="17">
        <f>IF(Raw_FDIC!R484="","",Raw_FDIC!R484)</f>
        <v/>
      </c>
      <c r="E32" s="17">
        <f>IF(Raw_FDIC!S484="","",Raw_FDIC!S484)</f>
        <v/>
      </c>
      <c r="F32" s="17">
        <f>IF(Raw_FDIC!T484="","",Raw_FDIC!T484)</f>
        <v/>
      </c>
      <c r="G32" s="17">
        <f>IF(Raw_FDIC!U484="","",Raw_FDIC!U484)</f>
        <v/>
      </c>
      <c r="H32" s="17">
        <f>IF(Raw_FDIC!V484="","",Raw_FDIC!V484)</f>
        <v/>
      </c>
      <c r="I32" s="17">
        <f>IF(Raw_FDIC!W484="","",Raw_FDIC!W484)</f>
        <v/>
      </c>
    </row>
    <row r="33">
      <c r="A33" s="14">
        <f>IF(_config!$C$97="","",_config!$C$97)</f>
        <v/>
      </c>
      <c r="B33" s="15">
        <f>IF(_config!$B$97="","",_config!$B$97)</f>
        <v/>
      </c>
      <c r="C33" s="16">
        <f>IF(_config!$D$97="","",_config!$D$97)</f>
        <v/>
      </c>
      <c r="D33" s="17">
        <f>IF(Raw_FDIC!R504="","",Raw_FDIC!R504)</f>
        <v/>
      </c>
      <c r="E33" s="17">
        <f>IF(Raw_FDIC!S504="","",Raw_FDIC!S504)</f>
        <v/>
      </c>
      <c r="F33" s="17">
        <f>IF(Raw_FDIC!T504="","",Raw_FDIC!T504)</f>
        <v/>
      </c>
      <c r="G33" s="17">
        <f>IF(Raw_FDIC!U504="","",Raw_FDIC!U504)</f>
        <v/>
      </c>
      <c r="H33" s="17">
        <f>IF(Raw_FDIC!V504="","",Raw_FDIC!V504)</f>
        <v/>
      </c>
      <c r="I33" s="17">
        <f>IF(Raw_FDIC!W504="","",Raw_FDIC!W504)</f>
        <v/>
      </c>
    </row>
    <row r="34">
      <c r="A34" s="14">
        <f>IF(_config!$C$98="","",_config!$C$98)</f>
        <v/>
      </c>
      <c r="B34" s="15">
        <f>IF(_config!$B$98="","",_config!$B$98)</f>
        <v/>
      </c>
      <c r="C34" s="16">
        <f>IF(_config!$D$98="","",_config!$D$98)</f>
        <v/>
      </c>
      <c r="D34" s="17">
        <f>IF(Raw_FDIC!R524="","",Raw_FDIC!R524)</f>
        <v/>
      </c>
      <c r="E34" s="17">
        <f>IF(Raw_FDIC!S524="","",Raw_FDIC!S524)</f>
        <v/>
      </c>
      <c r="F34" s="17">
        <f>IF(Raw_FDIC!T524="","",Raw_FDIC!T524)</f>
        <v/>
      </c>
      <c r="G34" s="17">
        <f>IF(Raw_FDIC!U524="","",Raw_FDIC!U524)</f>
        <v/>
      </c>
      <c r="H34" s="17">
        <f>IF(Raw_FDIC!V524="","",Raw_FDIC!V524)</f>
        <v/>
      </c>
      <c r="I34" s="17">
        <f>IF(Raw_FDIC!W524="","",Raw_FDIC!W524)</f>
        <v/>
      </c>
    </row>
    <row r="35">
      <c r="A35" s="14">
        <f>IF(_config!$C$99="","",_config!$C$99)</f>
        <v/>
      </c>
      <c r="B35" s="15">
        <f>IF(_config!$B$99="","",_config!$B$99)</f>
        <v/>
      </c>
      <c r="C35" s="16">
        <f>IF(_config!$D$99="","",_config!$D$99)</f>
        <v/>
      </c>
      <c r="D35" s="17">
        <f>IF(Raw_FDIC!R544="","",Raw_FDIC!R544)</f>
        <v/>
      </c>
      <c r="E35" s="17">
        <f>IF(Raw_FDIC!S544="","",Raw_FDIC!S544)</f>
        <v/>
      </c>
      <c r="F35" s="17">
        <f>IF(Raw_FDIC!T544="","",Raw_FDIC!T544)</f>
        <v/>
      </c>
      <c r="G35" s="17">
        <f>IF(Raw_FDIC!U544="","",Raw_FDIC!U544)</f>
        <v/>
      </c>
      <c r="H35" s="17">
        <f>IF(Raw_FDIC!V544="","",Raw_FDIC!V544)</f>
        <v/>
      </c>
      <c r="I35" s="17">
        <f>IF(Raw_FDIC!W544="","",Raw_FDIC!W544)</f>
        <v/>
      </c>
    </row>
    <row r="36">
      <c r="A36" s="14">
        <f>IF(_config!$C$100="","",_config!$C$100)</f>
        <v/>
      </c>
      <c r="B36" s="15">
        <f>IF(_config!$B$100="","",_config!$B$100)</f>
        <v/>
      </c>
      <c r="C36" s="16">
        <f>IF(_config!$D$100="","",_config!$D$100)</f>
        <v/>
      </c>
      <c r="D36" s="17">
        <f>IF(Raw_FDIC!R564="","",Raw_FDIC!R564)</f>
        <v/>
      </c>
      <c r="E36" s="17">
        <f>IF(Raw_FDIC!S564="","",Raw_FDIC!S564)</f>
        <v/>
      </c>
      <c r="F36" s="17">
        <f>IF(Raw_FDIC!T564="","",Raw_FDIC!T564)</f>
        <v/>
      </c>
      <c r="G36" s="17">
        <f>IF(Raw_FDIC!U564="","",Raw_FDIC!U564)</f>
        <v/>
      </c>
      <c r="H36" s="17">
        <f>IF(Raw_FDIC!V564="","",Raw_FDIC!V564)</f>
        <v/>
      </c>
      <c r="I36" s="17">
        <f>IF(Raw_FDIC!W564="","",Raw_FDIC!W564)</f>
        <v/>
      </c>
    </row>
    <row r="37">
      <c r="A37" s="14">
        <f>IF(_config!$C$101="","",_config!$C$101)</f>
        <v/>
      </c>
      <c r="B37" s="15">
        <f>IF(_config!$B$101="","",_config!$B$101)</f>
        <v/>
      </c>
      <c r="C37" s="16">
        <f>IF(_config!$D$101="","",_config!$D$101)</f>
        <v/>
      </c>
      <c r="D37" s="17">
        <f>IF(Raw_FDIC!R584="","",Raw_FDIC!R584)</f>
        <v/>
      </c>
      <c r="E37" s="17">
        <f>IF(Raw_FDIC!S584="","",Raw_FDIC!S584)</f>
        <v/>
      </c>
      <c r="F37" s="17">
        <f>IF(Raw_FDIC!T584="","",Raw_FDIC!T584)</f>
        <v/>
      </c>
      <c r="G37" s="17">
        <f>IF(Raw_FDIC!U584="","",Raw_FDIC!U584)</f>
        <v/>
      </c>
      <c r="H37" s="17">
        <f>IF(Raw_FDIC!V584="","",Raw_FDIC!V584)</f>
        <v/>
      </c>
      <c r="I37" s="17">
        <f>IF(Raw_FDIC!W584="","",Raw_FDIC!W584)</f>
        <v/>
      </c>
    </row>
    <row r="38">
      <c r="A38" s="14">
        <f>IF(_config!$C$102="","",_config!$C$102)</f>
        <v/>
      </c>
      <c r="B38" s="15">
        <f>IF(_config!$B$102="","",_config!$B$102)</f>
        <v/>
      </c>
      <c r="C38" s="16">
        <f>IF(_config!$D$102="","",_config!$D$102)</f>
        <v/>
      </c>
      <c r="D38" s="17">
        <f>IF(Raw_FDIC!R604="","",Raw_FDIC!R604)</f>
        <v/>
      </c>
      <c r="E38" s="17">
        <f>IF(Raw_FDIC!S604="","",Raw_FDIC!S604)</f>
        <v/>
      </c>
      <c r="F38" s="17">
        <f>IF(Raw_FDIC!T604="","",Raw_FDIC!T604)</f>
        <v/>
      </c>
      <c r="G38" s="17">
        <f>IF(Raw_FDIC!U604="","",Raw_FDIC!U604)</f>
        <v/>
      </c>
      <c r="H38" s="17">
        <f>IF(Raw_FDIC!V604="","",Raw_FDIC!V604)</f>
        <v/>
      </c>
      <c r="I38" s="17">
        <f>IF(Raw_FDIC!W604="","",Raw_FDIC!W604)</f>
        <v/>
      </c>
    </row>
    <row r="39">
      <c r="A39" s="14">
        <f>IF(_config!$C$103="","",_config!$C$103)</f>
        <v/>
      </c>
      <c r="B39" s="15">
        <f>IF(_config!$B$103="","",_config!$B$103)</f>
        <v/>
      </c>
      <c r="C39" s="16">
        <f>IF(_config!$D$103="","",_config!$D$103)</f>
        <v/>
      </c>
      <c r="D39" s="17">
        <f>IF(Raw_FDIC!R624="","",Raw_FDIC!R624)</f>
        <v/>
      </c>
      <c r="E39" s="17">
        <f>IF(Raw_FDIC!S624="","",Raw_FDIC!S624)</f>
        <v/>
      </c>
      <c r="F39" s="17">
        <f>IF(Raw_FDIC!T624="","",Raw_FDIC!T624)</f>
        <v/>
      </c>
      <c r="G39" s="17">
        <f>IF(Raw_FDIC!U624="","",Raw_FDIC!U624)</f>
        <v/>
      </c>
      <c r="H39" s="17">
        <f>IF(Raw_FDIC!V624="","",Raw_FDIC!V624)</f>
        <v/>
      </c>
      <c r="I39" s="17">
        <f>IF(Raw_FDIC!W624="","",Raw_FDIC!W624)</f>
        <v/>
      </c>
    </row>
    <row r="40">
      <c r="A40" s="14">
        <f>IF(_config!$C$104="","",_config!$C$104)</f>
        <v/>
      </c>
      <c r="B40" s="15">
        <f>IF(_config!$B$104="","",_config!$B$104)</f>
        <v/>
      </c>
      <c r="C40" s="16">
        <f>IF(_config!$D$104="","",_config!$D$104)</f>
        <v/>
      </c>
      <c r="D40" s="17">
        <f>IF(Raw_FDIC!R644="","",Raw_FDIC!R644)</f>
        <v/>
      </c>
      <c r="E40" s="17">
        <f>IF(Raw_FDIC!S644="","",Raw_FDIC!S644)</f>
        <v/>
      </c>
      <c r="F40" s="17">
        <f>IF(Raw_FDIC!T644="","",Raw_FDIC!T644)</f>
        <v/>
      </c>
      <c r="G40" s="17">
        <f>IF(Raw_FDIC!U644="","",Raw_FDIC!U644)</f>
        <v/>
      </c>
      <c r="H40" s="17">
        <f>IF(Raw_FDIC!V644="","",Raw_FDIC!V644)</f>
        <v/>
      </c>
      <c r="I40" s="17">
        <f>IF(Raw_FDIC!W644="","",Raw_FDIC!W644)</f>
        <v/>
      </c>
    </row>
    <row r="41">
      <c r="A41" s="14">
        <f>IF(_config!$C$105="","",_config!$C$105)</f>
        <v/>
      </c>
      <c r="B41" s="15">
        <f>IF(_config!$B$105="","",_config!$B$105)</f>
        <v/>
      </c>
      <c r="C41" s="16">
        <f>IF(_config!$D$105="","",_config!$D$105)</f>
        <v/>
      </c>
      <c r="D41" s="17">
        <f>IF(Raw_FDIC!R664="","",Raw_FDIC!R664)</f>
        <v/>
      </c>
      <c r="E41" s="17">
        <f>IF(Raw_FDIC!S664="","",Raw_FDIC!S664)</f>
        <v/>
      </c>
      <c r="F41" s="17">
        <f>IF(Raw_FDIC!T664="","",Raw_FDIC!T664)</f>
        <v/>
      </c>
      <c r="G41" s="17">
        <f>IF(Raw_FDIC!U664="","",Raw_FDIC!U664)</f>
        <v/>
      </c>
      <c r="H41" s="17">
        <f>IF(Raw_FDIC!V664="","",Raw_FDIC!V664)</f>
        <v/>
      </c>
      <c r="I41" s="17">
        <f>IF(Raw_FDIC!W664="","",Raw_FDIC!W664)</f>
        <v/>
      </c>
    </row>
    <row r="42">
      <c r="A42" s="14">
        <f>IF(_config!$C$106="","",_config!$C$106)</f>
        <v/>
      </c>
      <c r="B42" s="15">
        <f>IF(_config!$B$106="","",_config!$B$106)</f>
        <v/>
      </c>
      <c r="C42" s="16">
        <f>IF(_config!$D$106="","",_config!$D$106)</f>
        <v/>
      </c>
      <c r="D42" s="17">
        <f>IF(Raw_FDIC!R684="","",Raw_FDIC!R684)</f>
        <v/>
      </c>
      <c r="E42" s="17">
        <f>IF(Raw_FDIC!S684="","",Raw_FDIC!S684)</f>
        <v/>
      </c>
      <c r="F42" s="17">
        <f>IF(Raw_FDIC!T684="","",Raw_FDIC!T684)</f>
        <v/>
      </c>
      <c r="G42" s="17">
        <f>IF(Raw_FDIC!U684="","",Raw_FDIC!U684)</f>
        <v/>
      </c>
      <c r="H42" s="17">
        <f>IF(Raw_FDIC!V684="","",Raw_FDIC!V684)</f>
        <v/>
      </c>
      <c r="I42" s="17">
        <f>IF(Raw_FDIC!W684="","",Raw_FDIC!W684)</f>
        <v/>
      </c>
    </row>
    <row r="43">
      <c r="A43" s="14">
        <f>IF(_config!$C$107="","",_config!$C$107)</f>
        <v/>
      </c>
      <c r="B43" s="15">
        <f>IF(_config!$B$107="","",_config!$B$107)</f>
        <v/>
      </c>
      <c r="C43" s="16">
        <f>IF(_config!$D$107="","",_config!$D$107)</f>
        <v/>
      </c>
      <c r="D43" s="17">
        <f>IF(Raw_FDIC!R704="","",Raw_FDIC!R704)</f>
        <v/>
      </c>
      <c r="E43" s="17">
        <f>IF(Raw_FDIC!S704="","",Raw_FDIC!S704)</f>
        <v/>
      </c>
      <c r="F43" s="17">
        <f>IF(Raw_FDIC!T704="","",Raw_FDIC!T704)</f>
        <v/>
      </c>
      <c r="G43" s="17">
        <f>IF(Raw_FDIC!U704="","",Raw_FDIC!U704)</f>
        <v/>
      </c>
      <c r="H43" s="17">
        <f>IF(Raw_FDIC!V704="","",Raw_FDIC!V704)</f>
        <v/>
      </c>
      <c r="I43" s="17">
        <f>IF(Raw_FDIC!W704="","",Raw_FDIC!W704)</f>
        <v/>
      </c>
    </row>
    <row r="44">
      <c r="A44" s="14">
        <f>IF(_config!$C$108="","",_config!$C$108)</f>
        <v/>
      </c>
      <c r="B44" s="15">
        <f>IF(_config!$B$108="","",_config!$B$108)</f>
        <v/>
      </c>
      <c r="C44" s="16">
        <f>IF(_config!$D$108="","",_config!$D$108)</f>
        <v/>
      </c>
      <c r="D44" s="17">
        <f>IF(Raw_FDIC!R724="","",Raw_FDIC!R724)</f>
        <v/>
      </c>
      <c r="E44" s="17">
        <f>IF(Raw_FDIC!S724="","",Raw_FDIC!S724)</f>
        <v/>
      </c>
      <c r="F44" s="17">
        <f>IF(Raw_FDIC!T724="","",Raw_FDIC!T724)</f>
        <v/>
      </c>
      <c r="G44" s="17">
        <f>IF(Raw_FDIC!U724="","",Raw_FDIC!U724)</f>
        <v/>
      </c>
      <c r="H44" s="17">
        <f>IF(Raw_FDIC!V724="","",Raw_FDIC!V724)</f>
        <v/>
      </c>
      <c r="I44" s="17">
        <f>IF(Raw_FDIC!W724="","",Raw_FDIC!W724)</f>
        <v/>
      </c>
    </row>
    <row r="45">
      <c r="A45" s="14">
        <f>IF(_config!$C$109="","",_config!$C$109)</f>
        <v/>
      </c>
      <c r="B45" s="15">
        <f>IF(_config!$B$109="","",_config!$B$109)</f>
        <v/>
      </c>
      <c r="C45" s="16">
        <f>IF(_config!$D$109="","",_config!$D$109)</f>
        <v/>
      </c>
      <c r="D45" s="17">
        <f>IF(Raw_FDIC!R744="","",Raw_FDIC!R744)</f>
        <v/>
      </c>
      <c r="E45" s="17">
        <f>IF(Raw_FDIC!S744="","",Raw_FDIC!S744)</f>
        <v/>
      </c>
      <c r="F45" s="17">
        <f>IF(Raw_FDIC!T744="","",Raw_FDIC!T744)</f>
        <v/>
      </c>
      <c r="G45" s="17">
        <f>IF(Raw_FDIC!U744="","",Raw_FDIC!U744)</f>
        <v/>
      </c>
      <c r="H45" s="17">
        <f>IF(Raw_FDIC!V744="","",Raw_FDIC!V744)</f>
        <v/>
      </c>
      <c r="I45" s="17">
        <f>IF(Raw_FDIC!W744="","",Raw_FDIC!W744)</f>
        <v/>
      </c>
    </row>
    <row r="46">
      <c r="A46" s="14">
        <f>IF(_config!$C$110="","",_config!$C$110)</f>
        <v/>
      </c>
      <c r="B46" s="15">
        <f>IF(_config!$B$110="","",_config!$B$110)</f>
        <v/>
      </c>
      <c r="C46" s="16">
        <f>IF(_config!$D$110="","",_config!$D$110)</f>
        <v/>
      </c>
      <c r="D46" s="17">
        <f>IF(Raw_FDIC!R764="","",Raw_FDIC!R764)</f>
        <v/>
      </c>
      <c r="E46" s="17">
        <f>IF(Raw_FDIC!S764="","",Raw_FDIC!S764)</f>
        <v/>
      </c>
      <c r="F46" s="17">
        <f>IF(Raw_FDIC!T764="","",Raw_FDIC!T764)</f>
        <v/>
      </c>
      <c r="G46" s="17">
        <f>IF(Raw_FDIC!U764="","",Raw_FDIC!U764)</f>
        <v/>
      </c>
      <c r="H46" s="17">
        <f>IF(Raw_FDIC!V764="","",Raw_FDIC!V764)</f>
        <v/>
      </c>
      <c r="I46" s="17">
        <f>IF(Raw_FDIC!W764="","",Raw_FDIC!W764)</f>
        <v/>
      </c>
    </row>
    <row r="47">
      <c r="A47" s="14">
        <f>IF(_config!$C$111="","",_config!$C$111)</f>
        <v/>
      </c>
      <c r="B47" s="15">
        <f>IF(_config!$B$111="","",_config!$B$111)</f>
        <v/>
      </c>
      <c r="C47" s="16">
        <f>IF(_config!$D$111="","",_config!$D$111)</f>
        <v/>
      </c>
      <c r="D47" s="17">
        <f>IF(Raw_FDIC!R784="","",Raw_FDIC!R784)</f>
        <v/>
      </c>
      <c r="E47" s="17">
        <f>IF(Raw_FDIC!S784="","",Raw_FDIC!S784)</f>
        <v/>
      </c>
      <c r="F47" s="17">
        <f>IF(Raw_FDIC!T784="","",Raw_FDIC!T784)</f>
        <v/>
      </c>
      <c r="G47" s="17">
        <f>IF(Raw_FDIC!U784="","",Raw_FDIC!U784)</f>
        <v/>
      </c>
      <c r="H47" s="17">
        <f>IF(Raw_FDIC!V784="","",Raw_FDIC!V784)</f>
        <v/>
      </c>
      <c r="I47" s="17">
        <f>IF(Raw_FDIC!W784="","",Raw_FDIC!W784)</f>
        <v/>
      </c>
    </row>
    <row r="48">
      <c r="A48" s="18" t="inlineStr">
        <is>
          <t>PEER MEDIAN (landed banks; includes stale -- see _readme)</t>
        </is>
      </c>
      <c r="D48" s="19">
        <f>IF(COUNT(D8:D47)=0,"",MEDIAN(D8:D47))</f>
        <v/>
      </c>
      <c r="E48" s="19">
        <f>IF(COUNT(E8:E47)=0,"",MEDIAN(E8:E47))</f>
        <v/>
      </c>
      <c r="F48" s="19">
        <f>IF(COUNT(F8:F47)=0,"",MEDIAN(F8:F47))</f>
        <v/>
      </c>
      <c r="G48" s="19">
        <f>IF(COUNT(G8:G47)=0,"",MEDIAN(G8:G47))</f>
        <v/>
      </c>
      <c r="H48" s="19">
        <f>IF(COUNT(H8:H47)=0,"",MEDIAN(H8:H47))</f>
        <v/>
      </c>
      <c r="I48" s="19">
        <f>IF(COUNT(I8:I47)=0,"",MEDIAN(I8:I47))</f>
        <v/>
      </c>
    </row>
  </sheetData>
  <mergeCells count="11">
    <mergeCell ref="A2:I2"/>
    <mergeCell ref="D5:F5"/>
    <mergeCell ref="A5:C5"/>
    <mergeCell ref="G5:I5"/>
    <mergeCell ref="D4:F4"/>
    <mergeCell ref="A1:I1"/>
    <mergeCell ref="D3:F3"/>
    <mergeCell ref="A3:C3"/>
    <mergeCell ref="G3:I3"/>
    <mergeCell ref="G4:I4"/>
    <mergeCell ref="A4:C4"/>
  </mergeCells>
  <conditionalFormatting sqref="D8:D47">
    <cfRule type="expression" priority="1" dxfId="0" stopIfTrue="1">
      <formula>AND(ISNUMBER(D8),D8&lt;=_config!$C$22)</formula>
    </cfRule>
    <cfRule type="expression" priority="2" dxfId="1" stopIfTrue="1">
      <formula>AND(ISNUMBER(D8),D8&lt;=_config!$B$22)</formula>
    </cfRule>
    <cfRule type="colorScale" priority="3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E8:E47">
    <cfRule type="expression" priority="4" dxfId="0" stopIfTrue="1">
      <formula>AND(ISNUMBER(E8),E8&lt;=_config!$C$23)</formula>
    </cfRule>
    <cfRule type="expression" priority="5" dxfId="1" stopIfTrue="1">
      <formula>AND(ISNUMBER(E8),E8&lt;=_config!$B$23)</formula>
    </cfRule>
    <cfRule type="colorScale" priority="6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F8:F47">
    <cfRule type="expression" priority="7" dxfId="0" stopIfTrue="1">
      <formula>AND(ISNUMBER(F8),F8&lt;=_config!$C$24)</formula>
    </cfRule>
    <cfRule type="expression" priority="8" dxfId="1" stopIfTrue="1">
      <formula>AND(ISNUMBER(F8),F8&lt;=_config!$B$24)</formula>
    </cfRule>
    <cfRule type="colorScale" priority="9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G8:G47">
    <cfRule type="expression" priority="10" dxfId="0" stopIfTrue="1">
      <formula>AND(ISNUMBER(G8),G8&lt;=_config!$C$25)</formula>
    </cfRule>
    <cfRule type="expression" priority="11" dxfId="1" stopIfTrue="1">
      <formula>AND(ISNUMBER(G8),G8&lt;=_config!$B$25)</formula>
    </cfRule>
    <cfRule type="colorScale" priority="12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H8:H47">
    <cfRule type="expression" priority="13" dxfId="0" stopIfTrue="1">
      <formula>AND(ISNUMBER(H8),H8&lt;=_config!$C$26)</formula>
    </cfRule>
    <cfRule type="expression" priority="14" dxfId="1" stopIfTrue="1">
      <formula>AND(ISNUMBER(H8),H8&lt;=_config!$B$26)</formula>
    </cfRule>
    <cfRule type="colorScale" priority="15">
      <colorScale>
        <cfvo type="min"/>
        <cfvo type="percentile" val="50"/>
        <cfvo type="max"/>
        <color rgb="00E0A6A6"/>
        <color rgb="00F4F1EC"/>
        <color rgb="00BBD3BD"/>
      </colorScale>
    </cfRule>
  </conditionalFormatting>
  <conditionalFormatting sqref="I8:I47">
    <cfRule type="expression" priority="16" dxfId="0" stopIfTrue="1">
      <formula>AND(ISNUMBER(I8),I8&gt;=_config!$C$27)</formula>
    </cfRule>
    <cfRule type="expression" priority="17" dxfId="1" stopIfTrue="1">
      <formula>AND(ISNUMBER(I8),I8&gt;=_config!$B$27)</formula>
    </cfRule>
    <cfRule type="colorScale" priority="1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L48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9" customWidth="1" min="2" max="2"/>
    <col width="13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40" customWidth="1" min="12" max="12"/>
  </cols>
  <sheetData>
    <row r="1" ht="27.6" customHeight="1">
      <c r="A1" s="1" t="inlineStr">
        <is>
          <t>Funding &amp; Concentration Dashboard</t>
        </is>
      </c>
      <c r="L1" s="2" t="n"/>
    </row>
    <row r="2" ht="18.4" customHeight="1">
      <c r="A2" s="3" t="inlineStr">
        <is>
          <t>Loans/deposits, brokered-deposit share (FDI Act s29 salience), CRE concentration vs the 2006 interagency 300% screen (PROXY denominator EQ+LNATRES) -- plus the v1.1 SVB pack: uninsured-deposit share (DEPUNINS null renders BLANK + digest note, never 0), COMPUTED HTM+AFS unrealized loss / (EQ+LNATRES) (EQCCOMPI is an OCI FLOW -- not used), FHLB advances/assets. SVB '23: ~94% uninsured, unrealized &gt;100% of capital.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L2" s="2" t="n"/>
    </row>
    <row r="3">
      <c r="A3" s="5" t="inlineStr">
        <is>
          <t>BANKS IN ALERT</t>
        </is>
      </c>
      <c r="B3" s="6" t="n"/>
      <c r="C3" s="6" t="n"/>
      <c r="D3" s="5" t="inlineStr">
        <is>
          <t>BANKS IN WATCH</t>
        </is>
      </c>
      <c r="E3" s="6" t="n"/>
      <c r="F3" s="6" t="n"/>
      <c r="G3" s="7" t="inlineStr">
        <is>
          <t>BANKS TRACKED</t>
        </is>
      </c>
      <c r="H3" s="8" t="n"/>
      <c r="I3" s="8" t="n"/>
      <c r="L3" s="2" t="n"/>
    </row>
    <row r="4" ht="26" customHeight="1">
      <c r="A4" s="9">
        <f>COUNTIF(Watchlist!$H$5:$H$44,"ALERT")</f>
        <v/>
      </c>
      <c r="D4" s="9">
        <f>COUNTIF(Watchlist!$H$5:$H$44,"WATCH")</f>
        <v/>
      </c>
      <c r="G4" s="9">
        <f>COUNTIF(Watchlist!$A$5:$A$44,"?*")</f>
        <v/>
      </c>
      <c r="L4" s="10" t="n"/>
    </row>
    <row r="5">
      <c r="A5" s="11" t="inlineStr">
        <is>
          <t>of 12 active</t>
        </is>
      </c>
      <c r="D5" s="11" t="inlineStr">
        <is>
          <t>elevated</t>
        </is>
      </c>
      <c r="G5" s="11" t="inlineStr">
        <is>
          <t>of 40 built slots</t>
        </is>
      </c>
    </row>
    <row r="6" ht="8" customHeight="1"/>
    <row r="7" ht="22" customHeight="1">
      <c r="A7" s="12" t="inlineStr">
        <is>
          <t>Bank</t>
        </is>
      </c>
      <c r="B7" s="12" t="inlineStr">
        <is>
          <t>CERT</t>
        </is>
      </c>
      <c r="C7" s="12" t="inlineStr">
        <is>
          <t>Group</t>
        </is>
      </c>
      <c r="D7" s="13" t="inlineStr">
        <is>
          <t>Loans/Dep %</t>
        </is>
      </c>
      <c r="E7" s="13" t="inlineStr">
        <is>
          <t>Brokered %</t>
        </is>
      </c>
      <c r="F7" s="13" t="inlineStr">
        <is>
          <t>CRE Conc %</t>
        </is>
      </c>
      <c r="G7" s="13" t="inlineStr">
        <is>
          <t>Uninsured Dep %</t>
        </is>
      </c>
      <c r="H7" s="13" t="inlineStr">
        <is>
          <t>Unrlz Loss/Cap %</t>
        </is>
      </c>
      <c r="I7" s="13" t="inlineStr">
        <is>
          <t>FHLB/Assets %</t>
        </is>
      </c>
    </row>
    <row r="8">
      <c r="A8" s="14">
        <f>IF(_config!$C$72="","",_config!$C$72)</f>
        <v/>
      </c>
      <c r="B8" s="15">
        <f>IF(_config!$B$72="","",_config!$B$72)</f>
        <v/>
      </c>
      <c r="C8" s="16">
        <f>IF(_config!$D$72="","",_config!$D$72)</f>
        <v/>
      </c>
      <c r="D8" s="17">
        <f>IF(OR(Raw_FDIC!E4="",Raw_FDIC!C4=""),"",IF(Raw_FDIC!C4=0,"",Raw_FDIC!E4/Raw_FDIC!C4*100))</f>
        <v/>
      </c>
      <c r="E8" s="17">
        <f>IF(OR(Raw_FDIC!F4="",Raw_FDIC!C4=""),"",IF(Raw_FDIC!C4=0,"",Raw_FDIC!F4/Raw_FDIC!C4*100))</f>
        <v/>
      </c>
      <c r="F8" s="17">
        <f>IF(OR(Raw_FDIC!K4="",Raw_FDIC!L4="",Raw_FDIC!M4="",Raw_FDIC!G4="",Raw_FDIC!I4=""),"",IF(Raw_FDIC!G4+Raw_FDIC!I4=0,"",(Raw_FDIC!K4+Raw_FDIC!L4+Raw_FDIC!M4)/(Raw_FDIC!G4+Raw_FDIC!I4)*100))</f>
        <v/>
      </c>
      <c r="G8" s="17">
        <f>IF(OR(Raw_FDIC!BL4="",Raw_FDIC!C4=""),"",IF(Raw_FDIC!C4=0,"",Raw_FDIC!BL4/Raw_FDIC!C4*100))</f>
        <v/>
      </c>
      <c r="H8" s="17">
        <f>IF(OR(Raw_FDIC!BM4="",Raw_FDIC!BN4="",Raw_FDIC!BO4="",Raw_FDIC!BP4="",Raw_FDIC!G4="",Raw_FDIC!I4=""),"",IF(Raw_FDIC!G4+Raw_FDIC!I4=0,"",((Raw_FDIC!BM4-Raw_FDIC!BN4)+(Raw_FDIC!BO4-Raw_FDIC!BP4))/(Raw_FDIC!G4+Raw_FDIC!I4)*100))</f>
        <v/>
      </c>
      <c r="I8" s="17">
        <f>IF(OR(Raw_FDIC!BQ4="",Raw_FDIC!B4=""),"",IF(Raw_FDIC!B4=0,"",Raw_FDIC!BQ4/Raw_FDIC!B4*100))</f>
        <v/>
      </c>
    </row>
    <row r="9">
      <c r="A9" s="14">
        <f>IF(_config!$C$73="","",_config!$C$73)</f>
        <v/>
      </c>
      <c r="B9" s="15">
        <f>IF(_config!$B$73="","",_config!$B$73)</f>
        <v/>
      </c>
      <c r="C9" s="16">
        <f>IF(_config!$D$73="","",_config!$D$73)</f>
        <v/>
      </c>
      <c r="D9" s="17">
        <f>IF(OR(Raw_FDIC!E24="",Raw_FDIC!C24=""),"",IF(Raw_FDIC!C24=0,"",Raw_FDIC!E24/Raw_FDIC!C24*100))</f>
        <v/>
      </c>
      <c r="E9" s="17">
        <f>IF(OR(Raw_FDIC!F24="",Raw_FDIC!C24=""),"",IF(Raw_FDIC!C24=0,"",Raw_FDIC!F24/Raw_FDIC!C24*100))</f>
        <v/>
      </c>
      <c r="F9" s="17">
        <f>IF(OR(Raw_FDIC!K24="",Raw_FDIC!L24="",Raw_FDIC!M24="",Raw_FDIC!G24="",Raw_FDIC!I24=""),"",IF(Raw_FDIC!G24+Raw_FDIC!I24=0,"",(Raw_FDIC!K24+Raw_FDIC!L24+Raw_FDIC!M24)/(Raw_FDIC!G24+Raw_FDIC!I24)*100))</f>
        <v/>
      </c>
      <c r="G9" s="17">
        <f>IF(OR(Raw_FDIC!BL24="",Raw_FDIC!C24=""),"",IF(Raw_FDIC!C24=0,"",Raw_FDIC!BL24/Raw_FDIC!C24*100))</f>
        <v/>
      </c>
      <c r="H9" s="17">
        <f>IF(OR(Raw_FDIC!BM24="",Raw_FDIC!BN24="",Raw_FDIC!BO24="",Raw_FDIC!BP24="",Raw_FDIC!G24="",Raw_FDIC!I24=""),"",IF(Raw_FDIC!G24+Raw_FDIC!I24=0,"",((Raw_FDIC!BM24-Raw_FDIC!BN24)+(Raw_FDIC!BO24-Raw_FDIC!BP24))/(Raw_FDIC!G24+Raw_FDIC!I24)*100))</f>
        <v/>
      </c>
      <c r="I9" s="17">
        <f>IF(OR(Raw_FDIC!BQ24="",Raw_FDIC!B24=""),"",IF(Raw_FDIC!B24=0,"",Raw_FDIC!BQ24/Raw_FDIC!B24*100))</f>
        <v/>
      </c>
    </row>
    <row r="10">
      <c r="A10" s="14">
        <f>IF(_config!$C$74="","",_config!$C$74)</f>
        <v/>
      </c>
      <c r="B10" s="15">
        <f>IF(_config!$B$74="","",_config!$B$74)</f>
        <v/>
      </c>
      <c r="C10" s="16">
        <f>IF(_config!$D$74="","",_config!$D$74)</f>
        <v/>
      </c>
      <c r="D10" s="17">
        <f>IF(OR(Raw_FDIC!E44="",Raw_FDIC!C44=""),"",IF(Raw_FDIC!C44=0,"",Raw_FDIC!E44/Raw_FDIC!C44*100))</f>
        <v/>
      </c>
      <c r="E10" s="17">
        <f>IF(OR(Raw_FDIC!F44="",Raw_FDIC!C44=""),"",IF(Raw_FDIC!C44=0,"",Raw_FDIC!F44/Raw_FDIC!C44*100))</f>
        <v/>
      </c>
      <c r="F10" s="17">
        <f>IF(OR(Raw_FDIC!K44="",Raw_FDIC!L44="",Raw_FDIC!M44="",Raw_FDIC!G44="",Raw_FDIC!I44=""),"",IF(Raw_FDIC!G44+Raw_FDIC!I44=0,"",(Raw_FDIC!K44+Raw_FDIC!L44+Raw_FDIC!M44)/(Raw_FDIC!G44+Raw_FDIC!I44)*100))</f>
        <v/>
      </c>
      <c r="G10" s="17">
        <f>IF(OR(Raw_FDIC!BL44="",Raw_FDIC!C44=""),"",IF(Raw_FDIC!C44=0,"",Raw_FDIC!BL44/Raw_FDIC!C44*100))</f>
        <v/>
      </c>
      <c r="H10" s="17">
        <f>IF(OR(Raw_FDIC!BM44="",Raw_FDIC!BN44="",Raw_FDIC!BO44="",Raw_FDIC!BP44="",Raw_FDIC!G44="",Raw_FDIC!I44=""),"",IF(Raw_FDIC!G44+Raw_FDIC!I44=0,"",((Raw_FDIC!BM44-Raw_FDIC!BN44)+(Raw_FDIC!BO44-Raw_FDIC!BP44))/(Raw_FDIC!G44+Raw_FDIC!I44)*100))</f>
        <v/>
      </c>
      <c r="I10" s="17">
        <f>IF(OR(Raw_FDIC!BQ44="",Raw_FDIC!B44=""),"",IF(Raw_FDIC!B44=0,"",Raw_FDIC!BQ44/Raw_FDIC!B44*100))</f>
        <v/>
      </c>
    </row>
    <row r="11">
      <c r="A11" s="14">
        <f>IF(_config!$C$75="","",_config!$C$75)</f>
        <v/>
      </c>
      <c r="B11" s="15">
        <f>IF(_config!$B$75="","",_config!$B$75)</f>
        <v/>
      </c>
      <c r="C11" s="16">
        <f>IF(_config!$D$75="","",_config!$D$75)</f>
        <v/>
      </c>
      <c r="D11" s="17">
        <f>IF(OR(Raw_FDIC!E64="",Raw_FDIC!C64=""),"",IF(Raw_FDIC!C64=0,"",Raw_FDIC!E64/Raw_FDIC!C64*100))</f>
        <v/>
      </c>
      <c r="E11" s="17">
        <f>IF(OR(Raw_FDIC!F64="",Raw_FDIC!C64=""),"",IF(Raw_FDIC!C64=0,"",Raw_FDIC!F64/Raw_FDIC!C64*100))</f>
        <v/>
      </c>
      <c r="F11" s="17">
        <f>IF(OR(Raw_FDIC!K64="",Raw_FDIC!L64="",Raw_FDIC!M64="",Raw_FDIC!G64="",Raw_FDIC!I64=""),"",IF(Raw_FDIC!G64+Raw_FDIC!I64=0,"",(Raw_FDIC!K64+Raw_FDIC!L64+Raw_FDIC!M64)/(Raw_FDIC!G64+Raw_FDIC!I64)*100))</f>
        <v/>
      </c>
      <c r="G11" s="17">
        <f>IF(OR(Raw_FDIC!BL64="",Raw_FDIC!C64=""),"",IF(Raw_FDIC!C64=0,"",Raw_FDIC!BL64/Raw_FDIC!C64*100))</f>
        <v/>
      </c>
      <c r="H11" s="17">
        <f>IF(OR(Raw_FDIC!BM64="",Raw_FDIC!BN64="",Raw_FDIC!BO64="",Raw_FDIC!BP64="",Raw_FDIC!G64="",Raw_FDIC!I64=""),"",IF(Raw_FDIC!G64+Raw_FDIC!I64=0,"",((Raw_FDIC!BM64-Raw_FDIC!BN64)+(Raw_FDIC!BO64-Raw_FDIC!BP64))/(Raw_FDIC!G64+Raw_FDIC!I64)*100))</f>
        <v/>
      </c>
      <c r="I11" s="17">
        <f>IF(OR(Raw_FDIC!BQ64="",Raw_FDIC!B64=""),"",IF(Raw_FDIC!B64=0,"",Raw_FDIC!BQ64/Raw_FDIC!B64*100))</f>
        <v/>
      </c>
    </row>
    <row r="12">
      <c r="A12" s="14">
        <f>IF(_config!$C$76="","",_config!$C$76)</f>
        <v/>
      </c>
      <c r="B12" s="15">
        <f>IF(_config!$B$76="","",_config!$B$76)</f>
        <v/>
      </c>
      <c r="C12" s="16">
        <f>IF(_config!$D$76="","",_config!$D$76)</f>
        <v/>
      </c>
      <c r="D12" s="17">
        <f>IF(OR(Raw_FDIC!E84="",Raw_FDIC!C84=""),"",IF(Raw_FDIC!C84=0,"",Raw_FDIC!E84/Raw_FDIC!C84*100))</f>
        <v/>
      </c>
      <c r="E12" s="17">
        <f>IF(OR(Raw_FDIC!F84="",Raw_FDIC!C84=""),"",IF(Raw_FDIC!C84=0,"",Raw_FDIC!F84/Raw_FDIC!C84*100))</f>
        <v/>
      </c>
      <c r="F12" s="17">
        <f>IF(OR(Raw_FDIC!K84="",Raw_FDIC!L84="",Raw_FDIC!M84="",Raw_FDIC!G84="",Raw_FDIC!I84=""),"",IF(Raw_FDIC!G84+Raw_FDIC!I84=0,"",(Raw_FDIC!K84+Raw_FDIC!L84+Raw_FDIC!M84)/(Raw_FDIC!G84+Raw_FDIC!I84)*100))</f>
        <v/>
      </c>
      <c r="G12" s="17">
        <f>IF(OR(Raw_FDIC!BL84="",Raw_FDIC!C84=""),"",IF(Raw_FDIC!C84=0,"",Raw_FDIC!BL84/Raw_FDIC!C84*100))</f>
        <v/>
      </c>
      <c r="H12" s="17">
        <f>IF(OR(Raw_FDIC!BM84="",Raw_FDIC!BN84="",Raw_FDIC!BO84="",Raw_FDIC!BP84="",Raw_FDIC!G84="",Raw_FDIC!I84=""),"",IF(Raw_FDIC!G84+Raw_FDIC!I84=0,"",((Raw_FDIC!BM84-Raw_FDIC!BN84)+(Raw_FDIC!BO84-Raw_FDIC!BP84))/(Raw_FDIC!G84+Raw_FDIC!I84)*100))</f>
        <v/>
      </c>
      <c r="I12" s="17">
        <f>IF(OR(Raw_FDIC!BQ84="",Raw_FDIC!B84=""),"",IF(Raw_FDIC!B84=0,"",Raw_FDIC!BQ84/Raw_FDIC!B84*100))</f>
        <v/>
      </c>
    </row>
    <row r="13">
      <c r="A13" s="14">
        <f>IF(_config!$C$77="","",_config!$C$77)</f>
        <v/>
      </c>
      <c r="B13" s="15">
        <f>IF(_config!$B$77="","",_config!$B$77)</f>
        <v/>
      </c>
      <c r="C13" s="16">
        <f>IF(_config!$D$77="","",_config!$D$77)</f>
        <v/>
      </c>
      <c r="D13" s="17">
        <f>IF(OR(Raw_FDIC!E104="",Raw_FDIC!C104=""),"",IF(Raw_FDIC!C104=0,"",Raw_FDIC!E104/Raw_FDIC!C104*100))</f>
        <v/>
      </c>
      <c r="E13" s="17">
        <f>IF(OR(Raw_FDIC!F104="",Raw_FDIC!C104=""),"",IF(Raw_FDIC!C104=0,"",Raw_FDIC!F104/Raw_FDIC!C104*100))</f>
        <v/>
      </c>
      <c r="F13" s="17">
        <f>IF(OR(Raw_FDIC!K104="",Raw_FDIC!L104="",Raw_FDIC!M104="",Raw_FDIC!G104="",Raw_FDIC!I104=""),"",IF(Raw_FDIC!G104+Raw_FDIC!I104=0,"",(Raw_FDIC!K104+Raw_FDIC!L104+Raw_FDIC!M104)/(Raw_FDIC!G104+Raw_FDIC!I104)*100))</f>
        <v/>
      </c>
      <c r="G13" s="17">
        <f>IF(OR(Raw_FDIC!BL104="",Raw_FDIC!C104=""),"",IF(Raw_FDIC!C104=0,"",Raw_FDIC!BL104/Raw_FDIC!C104*100))</f>
        <v/>
      </c>
      <c r="H13" s="17">
        <f>IF(OR(Raw_FDIC!BM104="",Raw_FDIC!BN104="",Raw_FDIC!BO104="",Raw_FDIC!BP104="",Raw_FDIC!G104="",Raw_FDIC!I104=""),"",IF(Raw_FDIC!G104+Raw_FDIC!I104=0,"",((Raw_FDIC!BM104-Raw_FDIC!BN104)+(Raw_FDIC!BO104-Raw_FDIC!BP104))/(Raw_FDIC!G104+Raw_FDIC!I104)*100))</f>
        <v/>
      </c>
      <c r="I13" s="17">
        <f>IF(OR(Raw_FDIC!BQ104="",Raw_FDIC!B104=""),"",IF(Raw_FDIC!B104=0,"",Raw_FDIC!BQ104/Raw_FDIC!B104*100))</f>
        <v/>
      </c>
    </row>
    <row r="14">
      <c r="A14" s="14">
        <f>IF(_config!$C$78="","",_config!$C$78)</f>
        <v/>
      </c>
      <c r="B14" s="15">
        <f>IF(_config!$B$78="","",_config!$B$78)</f>
        <v/>
      </c>
      <c r="C14" s="16">
        <f>IF(_config!$D$78="","",_config!$D$78)</f>
        <v/>
      </c>
      <c r="D14" s="17">
        <f>IF(OR(Raw_FDIC!E124="",Raw_FDIC!C124=""),"",IF(Raw_FDIC!C124=0,"",Raw_FDIC!E124/Raw_FDIC!C124*100))</f>
        <v/>
      </c>
      <c r="E14" s="17">
        <f>IF(OR(Raw_FDIC!F124="",Raw_FDIC!C124=""),"",IF(Raw_FDIC!C124=0,"",Raw_FDIC!F124/Raw_FDIC!C124*100))</f>
        <v/>
      </c>
      <c r="F14" s="17">
        <f>IF(OR(Raw_FDIC!K124="",Raw_FDIC!L124="",Raw_FDIC!M124="",Raw_FDIC!G124="",Raw_FDIC!I124=""),"",IF(Raw_FDIC!G124+Raw_FDIC!I124=0,"",(Raw_FDIC!K124+Raw_FDIC!L124+Raw_FDIC!M124)/(Raw_FDIC!G124+Raw_FDIC!I124)*100))</f>
        <v/>
      </c>
      <c r="G14" s="17">
        <f>IF(OR(Raw_FDIC!BL124="",Raw_FDIC!C124=""),"",IF(Raw_FDIC!C124=0,"",Raw_FDIC!BL124/Raw_FDIC!C124*100))</f>
        <v/>
      </c>
      <c r="H14" s="17">
        <f>IF(OR(Raw_FDIC!BM124="",Raw_FDIC!BN124="",Raw_FDIC!BO124="",Raw_FDIC!BP124="",Raw_FDIC!G124="",Raw_FDIC!I124=""),"",IF(Raw_FDIC!G124+Raw_FDIC!I124=0,"",((Raw_FDIC!BM124-Raw_FDIC!BN124)+(Raw_FDIC!BO124-Raw_FDIC!BP124))/(Raw_FDIC!G124+Raw_FDIC!I124)*100))</f>
        <v/>
      </c>
      <c r="I14" s="17">
        <f>IF(OR(Raw_FDIC!BQ124="",Raw_FDIC!B124=""),"",IF(Raw_FDIC!B124=0,"",Raw_FDIC!BQ124/Raw_FDIC!B124*100))</f>
        <v/>
      </c>
    </row>
    <row r="15">
      <c r="A15" s="14">
        <f>IF(_config!$C$79="","",_config!$C$79)</f>
        <v/>
      </c>
      <c r="B15" s="15">
        <f>IF(_config!$B$79="","",_config!$B$79)</f>
        <v/>
      </c>
      <c r="C15" s="16">
        <f>IF(_config!$D$79="","",_config!$D$79)</f>
        <v/>
      </c>
      <c r="D15" s="17">
        <f>IF(OR(Raw_FDIC!E144="",Raw_FDIC!C144=""),"",IF(Raw_FDIC!C144=0,"",Raw_FDIC!E144/Raw_FDIC!C144*100))</f>
        <v/>
      </c>
      <c r="E15" s="17">
        <f>IF(OR(Raw_FDIC!F144="",Raw_FDIC!C144=""),"",IF(Raw_FDIC!C144=0,"",Raw_FDIC!F144/Raw_FDIC!C144*100))</f>
        <v/>
      </c>
      <c r="F15" s="17">
        <f>IF(OR(Raw_FDIC!K144="",Raw_FDIC!L144="",Raw_FDIC!M144="",Raw_FDIC!G144="",Raw_FDIC!I144=""),"",IF(Raw_FDIC!G144+Raw_FDIC!I144=0,"",(Raw_FDIC!K144+Raw_FDIC!L144+Raw_FDIC!M144)/(Raw_FDIC!G144+Raw_FDIC!I144)*100))</f>
        <v/>
      </c>
      <c r="G15" s="17">
        <f>IF(OR(Raw_FDIC!BL144="",Raw_FDIC!C144=""),"",IF(Raw_FDIC!C144=0,"",Raw_FDIC!BL144/Raw_FDIC!C144*100))</f>
        <v/>
      </c>
      <c r="H15" s="17">
        <f>IF(OR(Raw_FDIC!BM144="",Raw_FDIC!BN144="",Raw_FDIC!BO144="",Raw_FDIC!BP144="",Raw_FDIC!G144="",Raw_FDIC!I144=""),"",IF(Raw_FDIC!G144+Raw_FDIC!I144=0,"",((Raw_FDIC!BM144-Raw_FDIC!BN144)+(Raw_FDIC!BO144-Raw_FDIC!BP144))/(Raw_FDIC!G144+Raw_FDIC!I144)*100))</f>
        <v/>
      </c>
      <c r="I15" s="17">
        <f>IF(OR(Raw_FDIC!BQ144="",Raw_FDIC!B144=""),"",IF(Raw_FDIC!B144=0,"",Raw_FDIC!BQ144/Raw_FDIC!B144*100))</f>
        <v/>
      </c>
    </row>
    <row r="16">
      <c r="A16" s="14">
        <f>IF(_config!$C$80="","",_config!$C$80)</f>
        <v/>
      </c>
      <c r="B16" s="15">
        <f>IF(_config!$B$80="","",_config!$B$80)</f>
        <v/>
      </c>
      <c r="C16" s="16">
        <f>IF(_config!$D$80="","",_config!$D$80)</f>
        <v/>
      </c>
      <c r="D16" s="17">
        <f>IF(OR(Raw_FDIC!E164="",Raw_FDIC!C164=""),"",IF(Raw_FDIC!C164=0,"",Raw_FDIC!E164/Raw_FDIC!C164*100))</f>
        <v/>
      </c>
      <c r="E16" s="17">
        <f>IF(OR(Raw_FDIC!F164="",Raw_FDIC!C164=""),"",IF(Raw_FDIC!C164=0,"",Raw_FDIC!F164/Raw_FDIC!C164*100))</f>
        <v/>
      </c>
      <c r="F16" s="17">
        <f>IF(OR(Raw_FDIC!K164="",Raw_FDIC!L164="",Raw_FDIC!M164="",Raw_FDIC!G164="",Raw_FDIC!I164=""),"",IF(Raw_FDIC!G164+Raw_FDIC!I164=0,"",(Raw_FDIC!K164+Raw_FDIC!L164+Raw_FDIC!M164)/(Raw_FDIC!G164+Raw_FDIC!I164)*100))</f>
        <v/>
      </c>
      <c r="G16" s="17">
        <f>IF(OR(Raw_FDIC!BL164="",Raw_FDIC!C164=""),"",IF(Raw_FDIC!C164=0,"",Raw_FDIC!BL164/Raw_FDIC!C164*100))</f>
        <v/>
      </c>
      <c r="H16" s="17">
        <f>IF(OR(Raw_FDIC!BM164="",Raw_FDIC!BN164="",Raw_FDIC!BO164="",Raw_FDIC!BP164="",Raw_FDIC!G164="",Raw_FDIC!I164=""),"",IF(Raw_FDIC!G164+Raw_FDIC!I164=0,"",((Raw_FDIC!BM164-Raw_FDIC!BN164)+(Raw_FDIC!BO164-Raw_FDIC!BP164))/(Raw_FDIC!G164+Raw_FDIC!I164)*100))</f>
        <v/>
      </c>
      <c r="I16" s="17">
        <f>IF(OR(Raw_FDIC!BQ164="",Raw_FDIC!B164=""),"",IF(Raw_FDIC!B164=0,"",Raw_FDIC!BQ164/Raw_FDIC!B164*100))</f>
        <v/>
      </c>
    </row>
    <row r="17">
      <c r="A17" s="14">
        <f>IF(_config!$C$81="","",_config!$C$81)</f>
        <v/>
      </c>
      <c r="B17" s="15">
        <f>IF(_config!$B$81="","",_config!$B$81)</f>
        <v/>
      </c>
      <c r="C17" s="16">
        <f>IF(_config!$D$81="","",_config!$D$81)</f>
        <v/>
      </c>
      <c r="D17" s="17">
        <f>IF(OR(Raw_FDIC!E184="",Raw_FDIC!C184=""),"",IF(Raw_FDIC!C184=0,"",Raw_FDIC!E184/Raw_FDIC!C184*100))</f>
        <v/>
      </c>
      <c r="E17" s="17">
        <f>IF(OR(Raw_FDIC!F184="",Raw_FDIC!C184=""),"",IF(Raw_FDIC!C184=0,"",Raw_FDIC!F184/Raw_FDIC!C184*100))</f>
        <v/>
      </c>
      <c r="F17" s="17">
        <f>IF(OR(Raw_FDIC!K184="",Raw_FDIC!L184="",Raw_FDIC!M184="",Raw_FDIC!G184="",Raw_FDIC!I184=""),"",IF(Raw_FDIC!G184+Raw_FDIC!I184=0,"",(Raw_FDIC!K184+Raw_FDIC!L184+Raw_FDIC!M184)/(Raw_FDIC!G184+Raw_FDIC!I184)*100))</f>
        <v/>
      </c>
      <c r="G17" s="17">
        <f>IF(OR(Raw_FDIC!BL184="",Raw_FDIC!C184=""),"",IF(Raw_FDIC!C184=0,"",Raw_FDIC!BL184/Raw_FDIC!C184*100))</f>
        <v/>
      </c>
      <c r="H17" s="17">
        <f>IF(OR(Raw_FDIC!BM184="",Raw_FDIC!BN184="",Raw_FDIC!BO184="",Raw_FDIC!BP184="",Raw_FDIC!G184="",Raw_FDIC!I184=""),"",IF(Raw_FDIC!G184+Raw_FDIC!I184=0,"",((Raw_FDIC!BM184-Raw_FDIC!BN184)+(Raw_FDIC!BO184-Raw_FDIC!BP184))/(Raw_FDIC!G184+Raw_FDIC!I184)*100))</f>
        <v/>
      </c>
      <c r="I17" s="17">
        <f>IF(OR(Raw_FDIC!BQ184="",Raw_FDIC!B184=""),"",IF(Raw_FDIC!B184=0,"",Raw_FDIC!BQ184/Raw_FDIC!B184*100))</f>
        <v/>
      </c>
    </row>
    <row r="18">
      <c r="A18" s="14">
        <f>IF(_config!$C$82="","",_config!$C$82)</f>
        <v/>
      </c>
      <c r="B18" s="15">
        <f>IF(_config!$B$82="","",_config!$B$82)</f>
        <v/>
      </c>
      <c r="C18" s="16">
        <f>IF(_config!$D$82="","",_config!$D$82)</f>
        <v/>
      </c>
      <c r="D18" s="17">
        <f>IF(OR(Raw_FDIC!E204="",Raw_FDIC!C204=""),"",IF(Raw_FDIC!C204=0,"",Raw_FDIC!E204/Raw_FDIC!C204*100))</f>
        <v/>
      </c>
      <c r="E18" s="17">
        <f>IF(OR(Raw_FDIC!F204="",Raw_FDIC!C204=""),"",IF(Raw_FDIC!C204=0,"",Raw_FDIC!F204/Raw_FDIC!C204*100))</f>
        <v/>
      </c>
      <c r="F18" s="17">
        <f>IF(OR(Raw_FDIC!K204="",Raw_FDIC!L204="",Raw_FDIC!M204="",Raw_FDIC!G204="",Raw_FDIC!I204=""),"",IF(Raw_FDIC!G204+Raw_FDIC!I204=0,"",(Raw_FDIC!K204+Raw_FDIC!L204+Raw_FDIC!M204)/(Raw_FDIC!G204+Raw_FDIC!I204)*100))</f>
        <v/>
      </c>
      <c r="G18" s="17">
        <f>IF(OR(Raw_FDIC!BL204="",Raw_FDIC!C204=""),"",IF(Raw_FDIC!C204=0,"",Raw_FDIC!BL204/Raw_FDIC!C204*100))</f>
        <v/>
      </c>
      <c r="H18" s="17">
        <f>IF(OR(Raw_FDIC!BM204="",Raw_FDIC!BN204="",Raw_FDIC!BO204="",Raw_FDIC!BP204="",Raw_FDIC!G204="",Raw_FDIC!I204=""),"",IF(Raw_FDIC!G204+Raw_FDIC!I204=0,"",((Raw_FDIC!BM204-Raw_FDIC!BN204)+(Raw_FDIC!BO204-Raw_FDIC!BP204))/(Raw_FDIC!G204+Raw_FDIC!I204)*100))</f>
        <v/>
      </c>
      <c r="I18" s="17">
        <f>IF(OR(Raw_FDIC!BQ204="",Raw_FDIC!B204=""),"",IF(Raw_FDIC!B204=0,"",Raw_FDIC!BQ204/Raw_FDIC!B204*100))</f>
        <v/>
      </c>
    </row>
    <row r="19">
      <c r="A19" s="14">
        <f>IF(_config!$C$83="","",_config!$C$83)</f>
        <v/>
      </c>
      <c r="B19" s="15">
        <f>IF(_config!$B$83="","",_config!$B$83)</f>
        <v/>
      </c>
      <c r="C19" s="16">
        <f>IF(_config!$D$83="","",_config!$D$83)</f>
        <v/>
      </c>
      <c r="D19" s="17">
        <f>IF(OR(Raw_FDIC!E224="",Raw_FDIC!C224=""),"",IF(Raw_FDIC!C224=0,"",Raw_FDIC!E224/Raw_FDIC!C224*100))</f>
        <v/>
      </c>
      <c r="E19" s="17">
        <f>IF(OR(Raw_FDIC!F224="",Raw_FDIC!C224=""),"",IF(Raw_FDIC!C224=0,"",Raw_FDIC!F224/Raw_FDIC!C224*100))</f>
        <v/>
      </c>
      <c r="F19" s="17">
        <f>IF(OR(Raw_FDIC!K224="",Raw_FDIC!L224="",Raw_FDIC!M224="",Raw_FDIC!G224="",Raw_FDIC!I224=""),"",IF(Raw_FDIC!G224+Raw_FDIC!I224=0,"",(Raw_FDIC!K224+Raw_FDIC!L224+Raw_FDIC!M224)/(Raw_FDIC!G224+Raw_FDIC!I224)*100))</f>
        <v/>
      </c>
      <c r="G19" s="17">
        <f>IF(OR(Raw_FDIC!BL224="",Raw_FDIC!C224=""),"",IF(Raw_FDIC!C224=0,"",Raw_FDIC!BL224/Raw_FDIC!C224*100))</f>
        <v/>
      </c>
      <c r="H19" s="17">
        <f>IF(OR(Raw_FDIC!BM224="",Raw_FDIC!BN224="",Raw_FDIC!BO224="",Raw_FDIC!BP224="",Raw_FDIC!G224="",Raw_FDIC!I224=""),"",IF(Raw_FDIC!G224+Raw_FDIC!I224=0,"",((Raw_FDIC!BM224-Raw_FDIC!BN224)+(Raw_FDIC!BO224-Raw_FDIC!BP224))/(Raw_FDIC!G224+Raw_FDIC!I224)*100))</f>
        <v/>
      </c>
      <c r="I19" s="17">
        <f>IF(OR(Raw_FDIC!BQ224="",Raw_FDIC!B224=""),"",IF(Raw_FDIC!B224=0,"",Raw_FDIC!BQ224/Raw_FDIC!B224*100))</f>
        <v/>
      </c>
    </row>
    <row r="20">
      <c r="A20" s="14">
        <f>IF(_config!$C$84="","",_config!$C$84)</f>
        <v/>
      </c>
      <c r="B20" s="15">
        <f>IF(_config!$B$84="","",_config!$B$84)</f>
        <v/>
      </c>
      <c r="C20" s="16">
        <f>IF(_config!$D$84="","",_config!$D$84)</f>
        <v/>
      </c>
      <c r="D20" s="17">
        <f>IF(OR(Raw_FDIC!E244="",Raw_FDIC!C244=""),"",IF(Raw_FDIC!C244=0,"",Raw_FDIC!E244/Raw_FDIC!C244*100))</f>
        <v/>
      </c>
      <c r="E20" s="17">
        <f>IF(OR(Raw_FDIC!F244="",Raw_FDIC!C244=""),"",IF(Raw_FDIC!C244=0,"",Raw_FDIC!F244/Raw_FDIC!C244*100))</f>
        <v/>
      </c>
      <c r="F20" s="17">
        <f>IF(OR(Raw_FDIC!K244="",Raw_FDIC!L244="",Raw_FDIC!M244="",Raw_FDIC!G244="",Raw_FDIC!I244=""),"",IF(Raw_FDIC!G244+Raw_FDIC!I244=0,"",(Raw_FDIC!K244+Raw_FDIC!L244+Raw_FDIC!M244)/(Raw_FDIC!G244+Raw_FDIC!I244)*100))</f>
        <v/>
      </c>
      <c r="G20" s="17">
        <f>IF(OR(Raw_FDIC!BL244="",Raw_FDIC!C244=""),"",IF(Raw_FDIC!C244=0,"",Raw_FDIC!BL244/Raw_FDIC!C244*100))</f>
        <v/>
      </c>
      <c r="H20" s="17">
        <f>IF(OR(Raw_FDIC!BM244="",Raw_FDIC!BN244="",Raw_FDIC!BO244="",Raw_FDIC!BP244="",Raw_FDIC!G244="",Raw_FDIC!I244=""),"",IF(Raw_FDIC!G244+Raw_FDIC!I244=0,"",((Raw_FDIC!BM244-Raw_FDIC!BN244)+(Raw_FDIC!BO244-Raw_FDIC!BP244))/(Raw_FDIC!G244+Raw_FDIC!I244)*100))</f>
        <v/>
      </c>
      <c r="I20" s="17">
        <f>IF(OR(Raw_FDIC!BQ244="",Raw_FDIC!B244=""),"",IF(Raw_FDIC!B244=0,"",Raw_FDIC!BQ244/Raw_FDIC!B244*100))</f>
        <v/>
      </c>
    </row>
    <row r="21">
      <c r="A21" s="14">
        <f>IF(_config!$C$85="","",_config!$C$85)</f>
        <v/>
      </c>
      <c r="B21" s="15">
        <f>IF(_config!$B$85="","",_config!$B$85)</f>
        <v/>
      </c>
      <c r="C21" s="16">
        <f>IF(_config!$D$85="","",_config!$D$85)</f>
        <v/>
      </c>
      <c r="D21" s="17">
        <f>IF(OR(Raw_FDIC!E264="",Raw_FDIC!C264=""),"",IF(Raw_FDIC!C264=0,"",Raw_FDIC!E264/Raw_FDIC!C264*100))</f>
        <v/>
      </c>
      <c r="E21" s="17">
        <f>IF(OR(Raw_FDIC!F264="",Raw_FDIC!C264=""),"",IF(Raw_FDIC!C264=0,"",Raw_FDIC!F264/Raw_FDIC!C264*100))</f>
        <v/>
      </c>
      <c r="F21" s="17">
        <f>IF(OR(Raw_FDIC!K264="",Raw_FDIC!L264="",Raw_FDIC!M264="",Raw_FDIC!G264="",Raw_FDIC!I264=""),"",IF(Raw_FDIC!G264+Raw_FDIC!I264=0,"",(Raw_FDIC!K264+Raw_FDIC!L264+Raw_FDIC!M264)/(Raw_FDIC!G264+Raw_FDIC!I264)*100))</f>
        <v/>
      </c>
      <c r="G21" s="17">
        <f>IF(OR(Raw_FDIC!BL264="",Raw_FDIC!C264=""),"",IF(Raw_FDIC!C264=0,"",Raw_FDIC!BL264/Raw_FDIC!C264*100))</f>
        <v/>
      </c>
      <c r="H21" s="17">
        <f>IF(OR(Raw_FDIC!BM264="",Raw_FDIC!BN264="",Raw_FDIC!BO264="",Raw_FDIC!BP264="",Raw_FDIC!G264="",Raw_FDIC!I264=""),"",IF(Raw_FDIC!G264+Raw_FDIC!I264=0,"",((Raw_FDIC!BM264-Raw_FDIC!BN264)+(Raw_FDIC!BO264-Raw_FDIC!BP264))/(Raw_FDIC!G264+Raw_FDIC!I264)*100))</f>
        <v/>
      </c>
      <c r="I21" s="17">
        <f>IF(OR(Raw_FDIC!BQ264="",Raw_FDIC!B264=""),"",IF(Raw_FDIC!B264=0,"",Raw_FDIC!BQ264/Raw_FDIC!B264*100))</f>
        <v/>
      </c>
    </row>
    <row r="22">
      <c r="A22" s="14">
        <f>IF(_config!$C$86="","",_config!$C$86)</f>
        <v/>
      </c>
      <c r="B22" s="15">
        <f>IF(_config!$B$86="","",_config!$B$86)</f>
        <v/>
      </c>
      <c r="C22" s="16">
        <f>IF(_config!$D$86="","",_config!$D$86)</f>
        <v/>
      </c>
      <c r="D22" s="17">
        <f>IF(OR(Raw_FDIC!E284="",Raw_FDIC!C284=""),"",IF(Raw_FDIC!C284=0,"",Raw_FDIC!E284/Raw_FDIC!C284*100))</f>
        <v/>
      </c>
      <c r="E22" s="17">
        <f>IF(OR(Raw_FDIC!F284="",Raw_FDIC!C284=""),"",IF(Raw_FDIC!C284=0,"",Raw_FDIC!F284/Raw_FDIC!C284*100))</f>
        <v/>
      </c>
      <c r="F22" s="17">
        <f>IF(OR(Raw_FDIC!K284="",Raw_FDIC!L284="",Raw_FDIC!M284="",Raw_FDIC!G284="",Raw_FDIC!I284=""),"",IF(Raw_FDIC!G284+Raw_FDIC!I284=0,"",(Raw_FDIC!K284+Raw_FDIC!L284+Raw_FDIC!M284)/(Raw_FDIC!G284+Raw_FDIC!I284)*100))</f>
        <v/>
      </c>
      <c r="G22" s="17">
        <f>IF(OR(Raw_FDIC!BL284="",Raw_FDIC!C284=""),"",IF(Raw_FDIC!C284=0,"",Raw_FDIC!BL284/Raw_FDIC!C284*100))</f>
        <v/>
      </c>
      <c r="H22" s="17">
        <f>IF(OR(Raw_FDIC!BM284="",Raw_FDIC!BN284="",Raw_FDIC!BO284="",Raw_FDIC!BP284="",Raw_FDIC!G284="",Raw_FDIC!I284=""),"",IF(Raw_FDIC!G284+Raw_FDIC!I284=0,"",((Raw_FDIC!BM284-Raw_FDIC!BN284)+(Raw_FDIC!BO284-Raw_FDIC!BP284))/(Raw_FDIC!G284+Raw_FDIC!I284)*100))</f>
        <v/>
      </c>
      <c r="I22" s="17">
        <f>IF(OR(Raw_FDIC!BQ284="",Raw_FDIC!B284=""),"",IF(Raw_FDIC!B284=0,"",Raw_FDIC!BQ284/Raw_FDIC!B284*100))</f>
        <v/>
      </c>
    </row>
    <row r="23">
      <c r="A23" s="14">
        <f>IF(_config!$C$87="","",_config!$C$87)</f>
        <v/>
      </c>
      <c r="B23" s="15">
        <f>IF(_config!$B$87="","",_config!$B$87)</f>
        <v/>
      </c>
      <c r="C23" s="16">
        <f>IF(_config!$D$87="","",_config!$D$87)</f>
        <v/>
      </c>
      <c r="D23" s="17">
        <f>IF(OR(Raw_FDIC!E304="",Raw_FDIC!C304=""),"",IF(Raw_FDIC!C304=0,"",Raw_FDIC!E304/Raw_FDIC!C304*100))</f>
        <v/>
      </c>
      <c r="E23" s="17">
        <f>IF(OR(Raw_FDIC!F304="",Raw_FDIC!C304=""),"",IF(Raw_FDIC!C304=0,"",Raw_FDIC!F304/Raw_FDIC!C304*100))</f>
        <v/>
      </c>
      <c r="F23" s="17">
        <f>IF(OR(Raw_FDIC!K304="",Raw_FDIC!L304="",Raw_FDIC!M304="",Raw_FDIC!G304="",Raw_FDIC!I304=""),"",IF(Raw_FDIC!G304+Raw_FDIC!I304=0,"",(Raw_FDIC!K304+Raw_FDIC!L304+Raw_FDIC!M304)/(Raw_FDIC!G304+Raw_FDIC!I304)*100))</f>
        <v/>
      </c>
      <c r="G23" s="17">
        <f>IF(OR(Raw_FDIC!BL304="",Raw_FDIC!C304=""),"",IF(Raw_FDIC!C304=0,"",Raw_FDIC!BL304/Raw_FDIC!C304*100))</f>
        <v/>
      </c>
      <c r="H23" s="17">
        <f>IF(OR(Raw_FDIC!BM304="",Raw_FDIC!BN304="",Raw_FDIC!BO304="",Raw_FDIC!BP304="",Raw_FDIC!G304="",Raw_FDIC!I304=""),"",IF(Raw_FDIC!G304+Raw_FDIC!I304=0,"",((Raw_FDIC!BM304-Raw_FDIC!BN304)+(Raw_FDIC!BO304-Raw_FDIC!BP304))/(Raw_FDIC!G304+Raw_FDIC!I304)*100))</f>
        <v/>
      </c>
      <c r="I23" s="17">
        <f>IF(OR(Raw_FDIC!BQ304="",Raw_FDIC!B304=""),"",IF(Raw_FDIC!B304=0,"",Raw_FDIC!BQ304/Raw_FDIC!B304*100))</f>
        <v/>
      </c>
    </row>
    <row r="24">
      <c r="A24" s="14">
        <f>IF(_config!$C$88="","",_config!$C$88)</f>
        <v/>
      </c>
      <c r="B24" s="15">
        <f>IF(_config!$B$88="","",_config!$B$88)</f>
        <v/>
      </c>
      <c r="C24" s="16">
        <f>IF(_config!$D$88="","",_config!$D$88)</f>
        <v/>
      </c>
      <c r="D24" s="17">
        <f>IF(OR(Raw_FDIC!E324="",Raw_FDIC!C324=""),"",IF(Raw_FDIC!C324=0,"",Raw_FDIC!E324/Raw_FDIC!C324*100))</f>
        <v/>
      </c>
      <c r="E24" s="17">
        <f>IF(OR(Raw_FDIC!F324="",Raw_FDIC!C324=""),"",IF(Raw_FDIC!C324=0,"",Raw_FDIC!F324/Raw_FDIC!C324*100))</f>
        <v/>
      </c>
      <c r="F24" s="17">
        <f>IF(OR(Raw_FDIC!K324="",Raw_FDIC!L324="",Raw_FDIC!M324="",Raw_FDIC!G324="",Raw_FDIC!I324=""),"",IF(Raw_FDIC!G324+Raw_FDIC!I324=0,"",(Raw_FDIC!K324+Raw_FDIC!L324+Raw_FDIC!M324)/(Raw_FDIC!G324+Raw_FDIC!I324)*100))</f>
        <v/>
      </c>
      <c r="G24" s="17">
        <f>IF(OR(Raw_FDIC!BL324="",Raw_FDIC!C324=""),"",IF(Raw_FDIC!C324=0,"",Raw_FDIC!BL324/Raw_FDIC!C324*100))</f>
        <v/>
      </c>
      <c r="H24" s="17">
        <f>IF(OR(Raw_FDIC!BM324="",Raw_FDIC!BN324="",Raw_FDIC!BO324="",Raw_FDIC!BP324="",Raw_FDIC!G324="",Raw_FDIC!I324=""),"",IF(Raw_FDIC!G324+Raw_FDIC!I324=0,"",((Raw_FDIC!BM324-Raw_FDIC!BN324)+(Raw_FDIC!BO324-Raw_FDIC!BP324))/(Raw_FDIC!G324+Raw_FDIC!I324)*100))</f>
        <v/>
      </c>
      <c r="I24" s="17">
        <f>IF(OR(Raw_FDIC!BQ324="",Raw_FDIC!B324=""),"",IF(Raw_FDIC!B324=0,"",Raw_FDIC!BQ324/Raw_FDIC!B324*100))</f>
        <v/>
      </c>
    </row>
    <row r="25">
      <c r="A25" s="14">
        <f>IF(_config!$C$89="","",_config!$C$89)</f>
        <v/>
      </c>
      <c r="B25" s="15">
        <f>IF(_config!$B$89="","",_config!$B$89)</f>
        <v/>
      </c>
      <c r="C25" s="16">
        <f>IF(_config!$D$89="","",_config!$D$89)</f>
        <v/>
      </c>
      <c r="D25" s="17">
        <f>IF(OR(Raw_FDIC!E344="",Raw_FDIC!C344=""),"",IF(Raw_FDIC!C344=0,"",Raw_FDIC!E344/Raw_FDIC!C344*100))</f>
        <v/>
      </c>
      <c r="E25" s="17">
        <f>IF(OR(Raw_FDIC!F344="",Raw_FDIC!C344=""),"",IF(Raw_FDIC!C344=0,"",Raw_FDIC!F344/Raw_FDIC!C344*100))</f>
        <v/>
      </c>
      <c r="F25" s="17">
        <f>IF(OR(Raw_FDIC!K344="",Raw_FDIC!L344="",Raw_FDIC!M344="",Raw_FDIC!G344="",Raw_FDIC!I344=""),"",IF(Raw_FDIC!G344+Raw_FDIC!I344=0,"",(Raw_FDIC!K344+Raw_FDIC!L344+Raw_FDIC!M344)/(Raw_FDIC!G344+Raw_FDIC!I344)*100))</f>
        <v/>
      </c>
      <c r="G25" s="17">
        <f>IF(OR(Raw_FDIC!BL344="",Raw_FDIC!C344=""),"",IF(Raw_FDIC!C344=0,"",Raw_FDIC!BL344/Raw_FDIC!C344*100))</f>
        <v/>
      </c>
      <c r="H25" s="17">
        <f>IF(OR(Raw_FDIC!BM344="",Raw_FDIC!BN344="",Raw_FDIC!BO344="",Raw_FDIC!BP344="",Raw_FDIC!G344="",Raw_FDIC!I344=""),"",IF(Raw_FDIC!G344+Raw_FDIC!I344=0,"",((Raw_FDIC!BM344-Raw_FDIC!BN344)+(Raw_FDIC!BO344-Raw_FDIC!BP344))/(Raw_FDIC!G344+Raw_FDIC!I344)*100))</f>
        <v/>
      </c>
      <c r="I25" s="17">
        <f>IF(OR(Raw_FDIC!BQ344="",Raw_FDIC!B344=""),"",IF(Raw_FDIC!B344=0,"",Raw_FDIC!BQ344/Raw_FDIC!B344*100))</f>
        <v/>
      </c>
    </row>
    <row r="26">
      <c r="A26" s="14">
        <f>IF(_config!$C$90="","",_config!$C$90)</f>
        <v/>
      </c>
      <c r="B26" s="15">
        <f>IF(_config!$B$90="","",_config!$B$90)</f>
        <v/>
      </c>
      <c r="C26" s="16">
        <f>IF(_config!$D$90="","",_config!$D$90)</f>
        <v/>
      </c>
      <c r="D26" s="17">
        <f>IF(OR(Raw_FDIC!E364="",Raw_FDIC!C364=""),"",IF(Raw_FDIC!C364=0,"",Raw_FDIC!E364/Raw_FDIC!C364*100))</f>
        <v/>
      </c>
      <c r="E26" s="17">
        <f>IF(OR(Raw_FDIC!F364="",Raw_FDIC!C364=""),"",IF(Raw_FDIC!C364=0,"",Raw_FDIC!F364/Raw_FDIC!C364*100))</f>
        <v/>
      </c>
      <c r="F26" s="17">
        <f>IF(OR(Raw_FDIC!K364="",Raw_FDIC!L364="",Raw_FDIC!M364="",Raw_FDIC!G364="",Raw_FDIC!I364=""),"",IF(Raw_FDIC!G364+Raw_FDIC!I364=0,"",(Raw_FDIC!K364+Raw_FDIC!L364+Raw_FDIC!M364)/(Raw_FDIC!G364+Raw_FDIC!I364)*100))</f>
        <v/>
      </c>
      <c r="G26" s="17">
        <f>IF(OR(Raw_FDIC!BL364="",Raw_FDIC!C364=""),"",IF(Raw_FDIC!C364=0,"",Raw_FDIC!BL364/Raw_FDIC!C364*100))</f>
        <v/>
      </c>
      <c r="H26" s="17">
        <f>IF(OR(Raw_FDIC!BM364="",Raw_FDIC!BN364="",Raw_FDIC!BO364="",Raw_FDIC!BP364="",Raw_FDIC!G364="",Raw_FDIC!I364=""),"",IF(Raw_FDIC!G364+Raw_FDIC!I364=0,"",((Raw_FDIC!BM364-Raw_FDIC!BN364)+(Raw_FDIC!BO364-Raw_FDIC!BP364))/(Raw_FDIC!G364+Raw_FDIC!I364)*100))</f>
        <v/>
      </c>
      <c r="I26" s="17">
        <f>IF(OR(Raw_FDIC!BQ364="",Raw_FDIC!B364=""),"",IF(Raw_FDIC!B364=0,"",Raw_FDIC!BQ364/Raw_FDIC!B364*100))</f>
        <v/>
      </c>
    </row>
    <row r="27">
      <c r="A27" s="14">
        <f>IF(_config!$C$91="","",_config!$C$91)</f>
        <v/>
      </c>
      <c r="B27" s="15">
        <f>IF(_config!$B$91="","",_config!$B$91)</f>
        <v/>
      </c>
      <c r="C27" s="16">
        <f>IF(_config!$D$91="","",_config!$D$91)</f>
        <v/>
      </c>
      <c r="D27" s="17">
        <f>IF(OR(Raw_FDIC!E384="",Raw_FDIC!C384=""),"",IF(Raw_FDIC!C384=0,"",Raw_FDIC!E384/Raw_FDIC!C384*100))</f>
        <v/>
      </c>
      <c r="E27" s="17">
        <f>IF(OR(Raw_FDIC!F384="",Raw_FDIC!C384=""),"",IF(Raw_FDIC!C384=0,"",Raw_FDIC!F384/Raw_FDIC!C384*100))</f>
        <v/>
      </c>
      <c r="F27" s="17">
        <f>IF(OR(Raw_FDIC!K384="",Raw_FDIC!L384="",Raw_FDIC!M384="",Raw_FDIC!G384="",Raw_FDIC!I384=""),"",IF(Raw_FDIC!G384+Raw_FDIC!I384=0,"",(Raw_FDIC!K384+Raw_FDIC!L384+Raw_FDIC!M384)/(Raw_FDIC!G384+Raw_FDIC!I384)*100))</f>
        <v/>
      </c>
      <c r="G27" s="17">
        <f>IF(OR(Raw_FDIC!BL384="",Raw_FDIC!C384=""),"",IF(Raw_FDIC!C384=0,"",Raw_FDIC!BL384/Raw_FDIC!C384*100))</f>
        <v/>
      </c>
      <c r="H27" s="17">
        <f>IF(OR(Raw_FDIC!BM384="",Raw_FDIC!BN384="",Raw_FDIC!BO384="",Raw_FDIC!BP384="",Raw_FDIC!G384="",Raw_FDIC!I384=""),"",IF(Raw_FDIC!G384+Raw_FDIC!I384=0,"",((Raw_FDIC!BM384-Raw_FDIC!BN384)+(Raw_FDIC!BO384-Raw_FDIC!BP384))/(Raw_FDIC!G384+Raw_FDIC!I384)*100))</f>
        <v/>
      </c>
      <c r="I27" s="17">
        <f>IF(OR(Raw_FDIC!BQ384="",Raw_FDIC!B384=""),"",IF(Raw_FDIC!B384=0,"",Raw_FDIC!BQ384/Raw_FDIC!B384*100))</f>
        <v/>
      </c>
    </row>
    <row r="28">
      <c r="A28" s="14">
        <f>IF(_config!$C$92="","",_config!$C$92)</f>
        <v/>
      </c>
      <c r="B28" s="15">
        <f>IF(_config!$B$92="","",_config!$B$92)</f>
        <v/>
      </c>
      <c r="C28" s="16">
        <f>IF(_config!$D$92="","",_config!$D$92)</f>
        <v/>
      </c>
      <c r="D28" s="17">
        <f>IF(OR(Raw_FDIC!E404="",Raw_FDIC!C404=""),"",IF(Raw_FDIC!C404=0,"",Raw_FDIC!E404/Raw_FDIC!C404*100))</f>
        <v/>
      </c>
      <c r="E28" s="17">
        <f>IF(OR(Raw_FDIC!F404="",Raw_FDIC!C404=""),"",IF(Raw_FDIC!C404=0,"",Raw_FDIC!F404/Raw_FDIC!C404*100))</f>
        <v/>
      </c>
      <c r="F28" s="17">
        <f>IF(OR(Raw_FDIC!K404="",Raw_FDIC!L404="",Raw_FDIC!M404="",Raw_FDIC!G404="",Raw_FDIC!I404=""),"",IF(Raw_FDIC!G404+Raw_FDIC!I404=0,"",(Raw_FDIC!K404+Raw_FDIC!L404+Raw_FDIC!M404)/(Raw_FDIC!G404+Raw_FDIC!I404)*100))</f>
        <v/>
      </c>
      <c r="G28" s="17">
        <f>IF(OR(Raw_FDIC!BL404="",Raw_FDIC!C404=""),"",IF(Raw_FDIC!C404=0,"",Raw_FDIC!BL404/Raw_FDIC!C404*100))</f>
        <v/>
      </c>
      <c r="H28" s="17">
        <f>IF(OR(Raw_FDIC!BM404="",Raw_FDIC!BN404="",Raw_FDIC!BO404="",Raw_FDIC!BP404="",Raw_FDIC!G404="",Raw_FDIC!I404=""),"",IF(Raw_FDIC!G404+Raw_FDIC!I404=0,"",((Raw_FDIC!BM404-Raw_FDIC!BN404)+(Raw_FDIC!BO404-Raw_FDIC!BP404))/(Raw_FDIC!G404+Raw_FDIC!I404)*100))</f>
        <v/>
      </c>
      <c r="I28" s="17">
        <f>IF(OR(Raw_FDIC!BQ404="",Raw_FDIC!B404=""),"",IF(Raw_FDIC!B404=0,"",Raw_FDIC!BQ404/Raw_FDIC!B404*100))</f>
        <v/>
      </c>
    </row>
    <row r="29">
      <c r="A29" s="14">
        <f>IF(_config!$C$93="","",_config!$C$93)</f>
        <v/>
      </c>
      <c r="B29" s="15">
        <f>IF(_config!$B$93="","",_config!$B$93)</f>
        <v/>
      </c>
      <c r="C29" s="16">
        <f>IF(_config!$D$93="","",_config!$D$93)</f>
        <v/>
      </c>
      <c r="D29" s="17">
        <f>IF(OR(Raw_FDIC!E424="",Raw_FDIC!C424=""),"",IF(Raw_FDIC!C424=0,"",Raw_FDIC!E424/Raw_FDIC!C424*100))</f>
        <v/>
      </c>
      <c r="E29" s="17">
        <f>IF(OR(Raw_FDIC!F424="",Raw_FDIC!C424=""),"",IF(Raw_FDIC!C424=0,"",Raw_FDIC!F424/Raw_FDIC!C424*100))</f>
        <v/>
      </c>
      <c r="F29" s="17">
        <f>IF(OR(Raw_FDIC!K424="",Raw_FDIC!L424="",Raw_FDIC!M424="",Raw_FDIC!G424="",Raw_FDIC!I424=""),"",IF(Raw_FDIC!G424+Raw_FDIC!I424=0,"",(Raw_FDIC!K424+Raw_FDIC!L424+Raw_FDIC!M424)/(Raw_FDIC!G424+Raw_FDIC!I424)*100))</f>
        <v/>
      </c>
      <c r="G29" s="17">
        <f>IF(OR(Raw_FDIC!BL424="",Raw_FDIC!C424=""),"",IF(Raw_FDIC!C424=0,"",Raw_FDIC!BL424/Raw_FDIC!C424*100))</f>
        <v/>
      </c>
      <c r="H29" s="17">
        <f>IF(OR(Raw_FDIC!BM424="",Raw_FDIC!BN424="",Raw_FDIC!BO424="",Raw_FDIC!BP424="",Raw_FDIC!G424="",Raw_FDIC!I424=""),"",IF(Raw_FDIC!G424+Raw_FDIC!I424=0,"",((Raw_FDIC!BM424-Raw_FDIC!BN424)+(Raw_FDIC!BO424-Raw_FDIC!BP424))/(Raw_FDIC!G424+Raw_FDIC!I424)*100))</f>
        <v/>
      </c>
      <c r="I29" s="17">
        <f>IF(OR(Raw_FDIC!BQ424="",Raw_FDIC!B424=""),"",IF(Raw_FDIC!B424=0,"",Raw_FDIC!BQ424/Raw_FDIC!B424*100))</f>
        <v/>
      </c>
    </row>
    <row r="30">
      <c r="A30" s="14">
        <f>IF(_config!$C$94="","",_config!$C$94)</f>
        <v/>
      </c>
      <c r="B30" s="15">
        <f>IF(_config!$B$94="","",_config!$B$94)</f>
        <v/>
      </c>
      <c r="C30" s="16">
        <f>IF(_config!$D$94="","",_config!$D$94)</f>
        <v/>
      </c>
      <c r="D30" s="17">
        <f>IF(OR(Raw_FDIC!E444="",Raw_FDIC!C444=""),"",IF(Raw_FDIC!C444=0,"",Raw_FDIC!E444/Raw_FDIC!C444*100))</f>
        <v/>
      </c>
      <c r="E30" s="17">
        <f>IF(OR(Raw_FDIC!F444="",Raw_FDIC!C444=""),"",IF(Raw_FDIC!C444=0,"",Raw_FDIC!F444/Raw_FDIC!C444*100))</f>
        <v/>
      </c>
      <c r="F30" s="17">
        <f>IF(OR(Raw_FDIC!K444="",Raw_FDIC!L444="",Raw_FDIC!M444="",Raw_FDIC!G444="",Raw_FDIC!I444=""),"",IF(Raw_FDIC!G444+Raw_FDIC!I444=0,"",(Raw_FDIC!K444+Raw_FDIC!L444+Raw_FDIC!M444)/(Raw_FDIC!G444+Raw_FDIC!I444)*100))</f>
        <v/>
      </c>
      <c r="G30" s="17">
        <f>IF(OR(Raw_FDIC!BL444="",Raw_FDIC!C444=""),"",IF(Raw_FDIC!C444=0,"",Raw_FDIC!BL444/Raw_FDIC!C444*100))</f>
        <v/>
      </c>
      <c r="H30" s="17">
        <f>IF(OR(Raw_FDIC!BM444="",Raw_FDIC!BN444="",Raw_FDIC!BO444="",Raw_FDIC!BP444="",Raw_FDIC!G444="",Raw_FDIC!I444=""),"",IF(Raw_FDIC!G444+Raw_FDIC!I444=0,"",((Raw_FDIC!BM444-Raw_FDIC!BN444)+(Raw_FDIC!BO444-Raw_FDIC!BP444))/(Raw_FDIC!G444+Raw_FDIC!I444)*100))</f>
        <v/>
      </c>
      <c r="I30" s="17">
        <f>IF(OR(Raw_FDIC!BQ444="",Raw_FDIC!B444=""),"",IF(Raw_FDIC!B444=0,"",Raw_FDIC!BQ444/Raw_FDIC!B444*100))</f>
        <v/>
      </c>
    </row>
    <row r="31">
      <c r="A31" s="14">
        <f>IF(_config!$C$95="","",_config!$C$95)</f>
        <v/>
      </c>
      <c r="B31" s="15">
        <f>IF(_config!$B$95="","",_config!$B$95)</f>
        <v/>
      </c>
      <c r="C31" s="16">
        <f>IF(_config!$D$95="","",_config!$D$95)</f>
        <v/>
      </c>
      <c r="D31" s="17">
        <f>IF(OR(Raw_FDIC!E464="",Raw_FDIC!C464=""),"",IF(Raw_FDIC!C464=0,"",Raw_FDIC!E464/Raw_FDIC!C464*100))</f>
        <v/>
      </c>
      <c r="E31" s="17">
        <f>IF(OR(Raw_FDIC!F464="",Raw_FDIC!C464=""),"",IF(Raw_FDIC!C464=0,"",Raw_FDIC!F464/Raw_FDIC!C464*100))</f>
        <v/>
      </c>
      <c r="F31" s="17">
        <f>IF(OR(Raw_FDIC!K464="",Raw_FDIC!L464="",Raw_FDIC!M464="",Raw_FDIC!G464="",Raw_FDIC!I464=""),"",IF(Raw_FDIC!G464+Raw_FDIC!I464=0,"",(Raw_FDIC!K464+Raw_FDIC!L464+Raw_FDIC!M464)/(Raw_FDIC!G464+Raw_FDIC!I464)*100))</f>
        <v/>
      </c>
      <c r="G31" s="17">
        <f>IF(OR(Raw_FDIC!BL464="",Raw_FDIC!C464=""),"",IF(Raw_FDIC!C464=0,"",Raw_FDIC!BL464/Raw_FDIC!C464*100))</f>
        <v/>
      </c>
      <c r="H31" s="17">
        <f>IF(OR(Raw_FDIC!BM464="",Raw_FDIC!BN464="",Raw_FDIC!BO464="",Raw_FDIC!BP464="",Raw_FDIC!G464="",Raw_FDIC!I464=""),"",IF(Raw_FDIC!G464+Raw_FDIC!I464=0,"",((Raw_FDIC!BM464-Raw_FDIC!BN464)+(Raw_FDIC!BO464-Raw_FDIC!BP464))/(Raw_FDIC!G464+Raw_FDIC!I464)*100))</f>
        <v/>
      </c>
      <c r="I31" s="17">
        <f>IF(OR(Raw_FDIC!BQ464="",Raw_FDIC!B464=""),"",IF(Raw_FDIC!B464=0,"",Raw_FDIC!BQ464/Raw_FDIC!B464*100))</f>
        <v/>
      </c>
    </row>
    <row r="32">
      <c r="A32" s="14">
        <f>IF(_config!$C$96="","",_config!$C$96)</f>
        <v/>
      </c>
      <c r="B32" s="15">
        <f>IF(_config!$B$96="","",_config!$B$96)</f>
        <v/>
      </c>
      <c r="C32" s="16">
        <f>IF(_config!$D$96="","",_config!$D$96)</f>
        <v/>
      </c>
      <c r="D32" s="17">
        <f>IF(OR(Raw_FDIC!E484="",Raw_FDIC!C484=""),"",IF(Raw_FDIC!C484=0,"",Raw_FDIC!E484/Raw_FDIC!C484*100))</f>
        <v/>
      </c>
      <c r="E32" s="17">
        <f>IF(OR(Raw_FDIC!F484="",Raw_FDIC!C484=""),"",IF(Raw_FDIC!C484=0,"",Raw_FDIC!F484/Raw_FDIC!C484*100))</f>
        <v/>
      </c>
      <c r="F32" s="17">
        <f>IF(OR(Raw_FDIC!K484="",Raw_FDIC!L484="",Raw_FDIC!M484="",Raw_FDIC!G484="",Raw_FDIC!I484=""),"",IF(Raw_FDIC!G484+Raw_FDIC!I484=0,"",(Raw_FDIC!K484+Raw_FDIC!L484+Raw_FDIC!M484)/(Raw_FDIC!G484+Raw_FDIC!I484)*100))</f>
        <v/>
      </c>
      <c r="G32" s="17">
        <f>IF(OR(Raw_FDIC!BL484="",Raw_FDIC!C484=""),"",IF(Raw_FDIC!C484=0,"",Raw_FDIC!BL484/Raw_FDIC!C484*100))</f>
        <v/>
      </c>
      <c r="H32" s="17">
        <f>IF(OR(Raw_FDIC!BM484="",Raw_FDIC!BN484="",Raw_FDIC!BO484="",Raw_FDIC!BP484="",Raw_FDIC!G484="",Raw_FDIC!I484=""),"",IF(Raw_FDIC!G484+Raw_FDIC!I484=0,"",((Raw_FDIC!BM484-Raw_FDIC!BN484)+(Raw_FDIC!BO484-Raw_FDIC!BP484))/(Raw_FDIC!G484+Raw_FDIC!I484)*100))</f>
        <v/>
      </c>
      <c r="I32" s="17">
        <f>IF(OR(Raw_FDIC!BQ484="",Raw_FDIC!B484=""),"",IF(Raw_FDIC!B484=0,"",Raw_FDIC!BQ484/Raw_FDIC!B484*100))</f>
        <v/>
      </c>
    </row>
    <row r="33">
      <c r="A33" s="14">
        <f>IF(_config!$C$97="","",_config!$C$97)</f>
        <v/>
      </c>
      <c r="B33" s="15">
        <f>IF(_config!$B$97="","",_config!$B$97)</f>
        <v/>
      </c>
      <c r="C33" s="16">
        <f>IF(_config!$D$97="","",_config!$D$97)</f>
        <v/>
      </c>
      <c r="D33" s="17">
        <f>IF(OR(Raw_FDIC!E504="",Raw_FDIC!C504=""),"",IF(Raw_FDIC!C504=0,"",Raw_FDIC!E504/Raw_FDIC!C504*100))</f>
        <v/>
      </c>
      <c r="E33" s="17">
        <f>IF(OR(Raw_FDIC!F504="",Raw_FDIC!C504=""),"",IF(Raw_FDIC!C504=0,"",Raw_FDIC!F504/Raw_FDIC!C504*100))</f>
        <v/>
      </c>
      <c r="F33" s="17">
        <f>IF(OR(Raw_FDIC!K504="",Raw_FDIC!L504="",Raw_FDIC!M504="",Raw_FDIC!G504="",Raw_FDIC!I504=""),"",IF(Raw_FDIC!G504+Raw_FDIC!I504=0,"",(Raw_FDIC!K504+Raw_FDIC!L504+Raw_FDIC!M504)/(Raw_FDIC!G504+Raw_FDIC!I504)*100))</f>
        <v/>
      </c>
      <c r="G33" s="17">
        <f>IF(OR(Raw_FDIC!BL504="",Raw_FDIC!C504=""),"",IF(Raw_FDIC!C504=0,"",Raw_FDIC!BL504/Raw_FDIC!C504*100))</f>
        <v/>
      </c>
      <c r="H33" s="17">
        <f>IF(OR(Raw_FDIC!BM504="",Raw_FDIC!BN504="",Raw_FDIC!BO504="",Raw_FDIC!BP504="",Raw_FDIC!G504="",Raw_FDIC!I504=""),"",IF(Raw_FDIC!G504+Raw_FDIC!I504=0,"",((Raw_FDIC!BM504-Raw_FDIC!BN504)+(Raw_FDIC!BO504-Raw_FDIC!BP504))/(Raw_FDIC!G504+Raw_FDIC!I504)*100))</f>
        <v/>
      </c>
      <c r="I33" s="17">
        <f>IF(OR(Raw_FDIC!BQ504="",Raw_FDIC!B504=""),"",IF(Raw_FDIC!B504=0,"",Raw_FDIC!BQ504/Raw_FDIC!B504*100))</f>
        <v/>
      </c>
    </row>
    <row r="34">
      <c r="A34" s="14">
        <f>IF(_config!$C$98="","",_config!$C$98)</f>
        <v/>
      </c>
      <c r="B34" s="15">
        <f>IF(_config!$B$98="","",_config!$B$98)</f>
        <v/>
      </c>
      <c r="C34" s="16">
        <f>IF(_config!$D$98="","",_config!$D$98)</f>
        <v/>
      </c>
      <c r="D34" s="17">
        <f>IF(OR(Raw_FDIC!E524="",Raw_FDIC!C524=""),"",IF(Raw_FDIC!C524=0,"",Raw_FDIC!E524/Raw_FDIC!C524*100))</f>
        <v/>
      </c>
      <c r="E34" s="17">
        <f>IF(OR(Raw_FDIC!F524="",Raw_FDIC!C524=""),"",IF(Raw_FDIC!C524=0,"",Raw_FDIC!F524/Raw_FDIC!C524*100))</f>
        <v/>
      </c>
      <c r="F34" s="17">
        <f>IF(OR(Raw_FDIC!K524="",Raw_FDIC!L524="",Raw_FDIC!M524="",Raw_FDIC!G524="",Raw_FDIC!I524=""),"",IF(Raw_FDIC!G524+Raw_FDIC!I524=0,"",(Raw_FDIC!K524+Raw_FDIC!L524+Raw_FDIC!M524)/(Raw_FDIC!G524+Raw_FDIC!I524)*100))</f>
        <v/>
      </c>
      <c r="G34" s="17">
        <f>IF(OR(Raw_FDIC!BL524="",Raw_FDIC!C524=""),"",IF(Raw_FDIC!C524=0,"",Raw_FDIC!BL524/Raw_FDIC!C524*100))</f>
        <v/>
      </c>
      <c r="H34" s="17">
        <f>IF(OR(Raw_FDIC!BM524="",Raw_FDIC!BN524="",Raw_FDIC!BO524="",Raw_FDIC!BP524="",Raw_FDIC!G524="",Raw_FDIC!I524=""),"",IF(Raw_FDIC!G524+Raw_FDIC!I524=0,"",((Raw_FDIC!BM524-Raw_FDIC!BN524)+(Raw_FDIC!BO524-Raw_FDIC!BP524))/(Raw_FDIC!G524+Raw_FDIC!I524)*100))</f>
        <v/>
      </c>
      <c r="I34" s="17">
        <f>IF(OR(Raw_FDIC!BQ524="",Raw_FDIC!B524=""),"",IF(Raw_FDIC!B524=0,"",Raw_FDIC!BQ524/Raw_FDIC!B524*100))</f>
        <v/>
      </c>
    </row>
    <row r="35">
      <c r="A35" s="14">
        <f>IF(_config!$C$99="","",_config!$C$99)</f>
        <v/>
      </c>
      <c r="B35" s="15">
        <f>IF(_config!$B$99="","",_config!$B$99)</f>
        <v/>
      </c>
      <c r="C35" s="16">
        <f>IF(_config!$D$99="","",_config!$D$99)</f>
        <v/>
      </c>
      <c r="D35" s="17">
        <f>IF(OR(Raw_FDIC!E544="",Raw_FDIC!C544=""),"",IF(Raw_FDIC!C544=0,"",Raw_FDIC!E544/Raw_FDIC!C544*100))</f>
        <v/>
      </c>
      <c r="E35" s="17">
        <f>IF(OR(Raw_FDIC!F544="",Raw_FDIC!C544=""),"",IF(Raw_FDIC!C544=0,"",Raw_FDIC!F544/Raw_FDIC!C544*100))</f>
        <v/>
      </c>
      <c r="F35" s="17">
        <f>IF(OR(Raw_FDIC!K544="",Raw_FDIC!L544="",Raw_FDIC!M544="",Raw_FDIC!G544="",Raw_FDIC!I544=""),"",IF(Raw_FDIC!G544+Raw_FDIC!I544=0,"",(Raw_FDIC!K544+Raw_FDIC!L544+Raw_FDIC!M544)/(Raw_FDIC!G544+Raw_FDIC!I544)*100))</f>
        <v/>
      </c>
      <c r="G35" s="17">
        <f>IF(OR(Raw_FDIC!BL544="",Raw_FDIC!C544=""),"",IF(Raw_FDIC!C544=0,"",Raw_FDIC!BL544/Raw_FDIC!C544*100))</f>
        <v/>
      </c>
      <c r="H35" s="17">
        <f>IF(OR(Raw_FDIC!BM544="",Raw_FDIC!BN544="",Raw_FDIC!BO544="",Raw_FDIC!BP544="",Raw_FDIC!G544="",Raw_FDIC!I544=""),"",IF(Raw_FDIC!G544+Raw_FDIC!I544=0,"",((Raw_FDIC!BM544-Raw_FDIC!BN544)+(Raw_FDIC!BO544-Raw_FDIC!BP544))/(Raw_FDIC!G544+Raw_FDIC!I544)*100))</f>
        <v/>
      </c>
      <c r="I35" s="17">
        <f>IF(OR(Raw_FDIC!BQ544="",Raw_FDIC!B544=""),"",IF(Raw_FDIC!B544=0,"",Raw_FDIC!BQ544/Raw_FDIC!B544*100))</f>
        <v/>
      </c>
    </row>
    <row r="36">
      <c r="A36" s="14">
        <f>IF(_config!$C$100="","",_config!$C$100)</f>
        <v/>
      </c>
      <c r="B36" s="15">
        <f>IF(_config!$B$100="","",_config!$B$100)</f>
        <v/>
      </c>
      <c r="C36" s="16">
        <f>IF(_config!$D$100="","",_config!$D$100)</f>
        <v/>
      </c>
      <c r="D36" s="17">
        <f>IF(OR(Raw_FDIC!E564="",Raw_FDIC!C564=""),"",IF(Raw_FDIC!C564=0,"",Raw_FDIC!E564/Raw_FDIC!C564*100))</f>
        <v/>
      </c>
      <c r="E36" s="17">
        <f>IF(OR(Raw_FDIC!F564="",Raw_FDIC!C564=""),"",IF(Raw_FDIC!C564=0,"",Raw_FDIC!F564/Raw_FDIC!C564*100))</f>
        <v/>
      </c>
      <c r="F36" s="17">
        <f>IF(OR(Raw_FDIC!K564="",Raw_FDIC!L564="",Raw_FDIC!M564="",Raw_FDIC!G564="",Raw_FDIC!I564=""),"",IF(Raw_FDIC!G564+Raw_FDIC!I564=0,"",(Raw_FDIC!K564+Raw_FDIC!L564+Raw_FDIC!M564)/(Raw_FDIC!G564+Raw_FDIC!I564)*100))</f>
        <v/>
      </c>
      <c r="G36" s="17">
        <f>IF(OR(Raw_FDIC!BL564="",Raw_FDIC!C564=""),"",IF(Raw_FDIC!C564=0,"",Raw_FDIC!BL564/Raw_FDIC!C564*100))</f>
        <v/>
      </c>
      <c r="H36" s="17">
        <f>IF(OR(Raw_FDIC!BM564="",Raw_FDIC!BN564="",Raw_FDIC!BO564="",Raw_FDIC!BP564="",Raw_FDIC!G564="",Raw_FDIC!I564=""),"",IF(Raw_FDIC!G564+Raw_FDIC!I564=0,"",((Raw_FDIC!BM564-Raw_FDIC!BN564)+(Raw_FDIC!BO564-Raw_FDIC!BP564))/(Raw_FDIC!G564+Raw_FDIC!I564)*100))</f>
        <v/>
      </c>
      <c r="I36" s="17">
        <f>IF(OR(Raw_FDIC!BQ564="",Raw_FDIC!B564=""),"",IF(Raw_FDIC!B564=0,"",Raw_FDIC!BQ564/Raw_FDIC!B564*100))</f>
        <v/>
      </c>
    </row>
    <row r="37">
      <c r="A37" s="14">
        <f>IF(_config!$C$101="","",_config!$C$101)</f>
        <v/>
      </c>
      <c r="B37" s="15">
        <f>IF(_config!$B$101="","",_config!$B$101)</f>
        <v/>
      </c>
      <c r="C37" s="16">
        <f>IF(_config!$D$101="","",_config!$D$101)</f>
        <v/>
      </c>
      <c r="D37" s="17">
        <f>IF(OR(Raw_FDIC!E584="",Raw_FDIC!C584=""),"",IF(Raw_FDIC!C584=0,"",Raw_FDIC!E584/Raw_FDIC!C584*100))</f>
        <v/>
      </c>
      <c r="E37" s="17">
        <f>IF(OR(Raw_FDIC!F584="",Raw_FDIC!C584=""),"",IF(Raw_FDIC!C584=0,"",Raw_FDIC!F584/Raw_FDIC!C584*100))</f>
        <v/>
      </c>
      <c r="F37" s="17">
        <f>IF(OR(Raw_FDIC!K584="",Raw_FDIC!L584="",Raw_FDIC!M584="",Raw_FDIC!G584="",Raw_FDIC!I584=""),"",IF(Raw_FDIC!G584+Raw_FDIC!I584=0,"",(Raw_FDIC!K584+Raw_FDIC!L584+Raw_FDIC!M584)/(Raw_FDIC!G584+Raw_FDIC!I584)*100))</f>
        <v/>
      </c>
      <c r="G37" s="17">
        <f>IF(OR(Raw_FDIC!BL584="",Raw_FDIC!C584=""),"",IF(Raw_FDIC!C584=0,"",Raw_FDIC!BL584/Raw_FDIC!C584*100))</f>
        <v/>
      </c>
      <c r="H37" s="17">
        <f>IF(OR(Raw_FDIC!BM584="",Raw_FDIC!BN584="",Raw_FDIC!BO584="",Raw_FDIC!BP584="",Raw_FDIC!G584="",Raw_FDIC!I584=""),"",IF(Raw_FDIC!G584+Raw_FDIC!I584=0,"",((Raw_FDIC!BM584-Raw_FDIC!BN584)+(Raw_FDIC!BO584-Raw_FDIC!BP584))/(Raw_FDIC!G584+Raw_FDIC!I584)*100))</f>
        <v/>
      </c>
      <c r="I37" s="17">
        <f>IF(OR(Raw_FDIC!BQ584="",Raw_FDIC!B584=""),"",IF(Raw_FDIC!B584=0,"",Raw_FDIC!BQ584/Raw_FDIC!B584*100))</f>
        <v/>
      </c>
    </row>
    <row r="38">
      <c r="A38" s="14">
        <f>IF(_config!$C$102="","",_config!$C$102)</f>
        <v/>
      </c>
      <c r="B38" s="15">
        <f>IF(_config!$B$102="","",_config!$B$102)</f>
        <v/>
      </c>
      <c r="C38" s="16">
        <f>IF(_config!$D$102="","",_config!$D$102)</f>
        <v/>
      </c>
      <c r="D38" s="17">
        <f>IF(OR(Raw_FDIC!E604="",Raw_FDIC!C604=""),"",IF(Raw_FDIC!C604=0,"",Raw_FDIC!E604/Raw_FDIC!C604*100))</f>
        <v/>
      </c>
      <c r="E38" s="17">
        <f>IF(OR(Raw_FDIC!F604="",Raw_FDIC!C604=""),"",IF(Raw_FDIC!C604=0,"",Raw_FDIC!F604/Raw_FDIC!C604*100))</f>
        <v/>
      </c>
      <c r="F38" s="17">
        <f>IF(OR(Raw_FDIC!K604="",Raw_FDIC!L604="",Raw_FDIC!M604="",Raw_FDIC!G604="",Raw_FDIC!I604=""),"",IF(Raw_FDIC!G604+Raw_FDIC!I604=0,"",(Raw_FDIC!K604+Raw_FDIC!L604+Raw_FDIC!M604)/(Raw_FDIC!G604+Raw_FDIC!I604)*100))</f>
        <v/>
      </c>
      <c r="G38" s="17">
        <f>IF(OR(Raw_FDIC!BL604="",Raw_FDIC!C604=""),"",IF(Raw_FDIC!C604=0,"",Raw_FDIC!BL604/Raw_FDIC!C604*100))</f>
        <v/>
      </c>
      <c r="H38" s="17">
        <f>IF(OR(Raw_FDIC!BM604="",Raw_FDIC!BN604="",Raw_FDIC!BO604="",Raw_FDIC!BP604="",Raw_FDIC!G604="",Raw_FDIC!I604=""),"",IF(Raw_FDIC!G604+Raw_FDIC!I604=0,"",((Raw_FDIC!BM604-Raw_FDIC!BN604)+(Raw_FDIC!BO604-Raw_FDIC!BP604))/(Raw_FDIC!G604+Raw_FDIC!I604)*100))</f>
        <v/>
      </c>
      <c r="I38" s="17">
        <f>IF(OR(Raw_FDIC!BQ604="",Raw_FDIC!B604=""),"",IF(Raw_FDIC!B604=0,"",Raw_FDIC!BQ604/Raw_FDIC!B604*100))</f>
        <v/>
      </c>
    </row>
    <row r="39">
      <c r="A39" s="14">
        <f>IF(_config!$C$103="","",_config!$C$103)</f>
        <v/>
      </c>
      <c r="B39" s="15">
        <f>IF(_config!$B$103="","",_config!$B$103)</f>
        <v/>
      </c>
      <c r="C39" s="16">
        <f>IF(_config!$D$103="","",_config!$D$103)</f>
        <v/>
      </c>
      <c r="D39" s="17">
        <f>IF(OR(Raw_FDIC!E624="",Raw_FDIC!C624=""),"",IF(Raw_FDIC!C624=0,"",Raw_FDIC!E624/Raw_FDIC!C624*100))</f>
        <v/>
      </c>
      <c r="E39" s="17">
        <f>IF(OR(Raw_FDIC!F624="",Raw_FDIC!C624=""),"",IF(Raw_FDIC!C624=0,"",Raw_FDIC!F624/Raw_FDIC!C624*100))</f>
        <v/>
      </c>
      <c r="F39" s="17">
        <f>IF(OR(Raw_FDIC!K624="",Raw_FDIC!L624="",Raw_FDIC!M624="",Raw_FDIC!G624="",Raw_FDIC!I624=""),"",IF(Raw_FDIC!G624+Raw_FDIC!I624=0,"",(Raw_FDIC!K624+Raw_FDIC!L624+Raw_FDIC!M624)/(Raw_FDIC!G624+Raw_FDIC!I624)*100))</f>
        <v/>
      </c>
      <c r="G39" s="17">
        <f>IF(OR(Raw_FDIC!BL624="",Raw_FDIC!C624=""),"",IF(Raw_FDIC!C624=0,"",Raw_FDIC!BL624/Raw_FDIC!C624*100))</f>
        <v/>
      </c>
      <c r="H39" s="17">
        <f>IF(OR(Raw_FDIC!BM624="",Raw_FDIC!BN624="",Raw_FDIC!BO624="",Raw_FDIC!BP624="",Raw_FDIC!G624="",Raw_FDIC!I624=""),"",IF(Raw_FDIC!G624+Raw_FDIC!I624=0,"",((Raw_FDIC!BM624-Raw_FDIC!BN624)+(Raw_FDIC!BO624-Raw_FDIC!BP624))/(Raw_FDIC!G624+Raw_FDIC!I624)*100))</f>
        <v/>
      </c>
      <c r="I39" s="17">
        <f>IF(OR(Raw_FDIC!BQ624="",Raw_FDIC!B624=""),"",IF(Raw_FDIC!B624=0,"",Raw_FDIC!BQ624/Raw_FDIC!B624*100))</f>
        <v/>
      </c>
    </row>
    <row r="40">
      <c r="A40" s="14">
        <f>IF(_config!$C$104="","",_config!$C$104)</f>
        <v/>
      </c>
      <c r="B40" s="15">
        <f>IF(_config!$B$104="","",_config!$B$104)</f>
        <v/>
      </c>
      <c r="C40" s="16">
        <f>IF(_config!$D$104="","",_config!$D$104)</f>
        <v/>
      </c>
      <c r="D40" s="17">
        <f>IF(OR(Raw_FDIC!E644="",Raw_FDIC!C644=""),"",IF(Raw_FDIC!C644=0,"",Raw_FDIC!E644/Raw_FDIC!C644*100))</f>
        <v/>
      </c>
      <c r="E40" s="17">
        <f>IF(OR(Raw_FDIC!F644="",Raw_FDIC!C644=""),"",IF(Raw_FDIC!C644=0,"",Raw_FDIC!F644/Raw_FDIC!C644*100))</f>
        <v/>
      </c>
      <c r="F40" s="17">
        <f>IF(OR(Raw_FDIC!K644="",Raw_FDIC!L644="",Raw_FDIC!M644="",Raw_FDIC!G644="",Raw_FDIC!I644=""),"",IF(Raw_FDIC!G644+Raw_FDIC!I644=0,"",(Raw_FDIC!K644+Raw_FDIC!L644+Raw_FDIC!M644)/(Raw_FDIC!G644+Raw_FDIC!I644)*100))</f>
        <v/>
      </c>
      <c r="G40" s="17">
        <f>IF(OR(Raw_FDIC!BL644="",Raw_FDIC!C644=""),"",IF(Raw_FDIC!C644=0,"",Raw_FDIC!BL644/Raw_FDIC!C644*100))</f>
        <v/>
      </c>
      <c r="H40" s="17">
        <f>IF(OR(Raw_FDIC!BM644="",Raw_FDIC!BN644="",Raw_FDIC!BO644="",Raw_FDIC!BP644="",Raw_FDIC!G644="",Raw_FDIC!I644=""),"",IF(Raw_FDIC!G644+Raw_FDIC!I644=0,"",((Raw_FDIC!BM644-Raw_FDIC!BN644)+(Raw_FDIC!BO644-Raw_FDIC!BP644))/(Raw_FDIC!G644+Raw_FDIC!I644)*100))</f>
        <v/>
      </c>
      <c r="I40" s="17">
        <f>IF(OR(Raw_FDIC!BQ644="",Raw_FDIC!B644=""),"",IF(Raw_FDIC!B644=0,"",Raw_FDIC!BQ644/Raw_FDIC!B644*100))</f>
        <v/>
      </c>
    </row>
    <row r="41">
      <c r="A41" s="14">
        <f>IF(_config!$C$105="","",_config!$C$105)</f>
        <v/>
      </c>
      <c r="B41" s="15">
        <f>IF(_config!$B$105="","",_config!$B$105)</f>
        <v/>
      </c>
      <c r="C41" s="16">
        <f>IF(_config!$D$105="","",_config!$D$105)</f>
        <v/>
      </c>
      <c r="D41" s="17">
        <f>IF(OR(Raw_FDIC!E664="",Raw_FDIC!C664=""),"",IF(Raw_FDIC!C664=0,"",Raw_FDIC!E664/Raw_FDIC!C664*100))</f>
        <v/>
      </c>
      <c r="E41" s="17">
        <f>IF(OR(Raw_FDIC!F664="",Raw_FDIC!C664=""),"",IF(Raw_FDIC!C664=0,"",Raw_FDIC!F664/Raw_FDIC!C664*100))</f>
        <v/>
      </c>
      <c r="F41" s="17">
        <f>IF(OR(Raw_FDIC!K664="",Raw_FDIC!L664="",Raw_FDIC!M664="",Raw_FDIC!G664="",Raw_FDIC!I664=""),"",IF(Raw_FDIC!G664+Raw_FDIC!I664=0,"",(Raw_FDIC!K664+Raw_FDIC!L664+Raw_FDIC!M664)/(Raw_FDIC!G664+Raw_FDIC!I664)*100))</f>
        <v/>
      </c>
      <c r="G41" s="17">
        <f>IF(OR(Raw_FDIC!BL664="",Raw_FDIC!C664=""),"",IF(Raw_FDIC!C664=0,"",Raw_FDIC!BL664/Raw_FDIC!C664*100))</f>
        <v/>
      </c>
      <c r="H41" s="17">
        <f>IF(OR(Raw_FDIC!BM664="",Raw_FDIC!BN664="",Raw_FDIC!BO664="",Raw_FDIC!BP664="",Raw_FDIC!G664="",Raw_FDIC!I664=""),"",IF(Raw_FDIC!G664+Raw_FDIC!I664=0,"",((Raw_FDIC!BM664-Raw_FDIC!BN664)+(Raw_FDIC!BO664-Raw_FDIC!BP664))/(Raw_FDIC!G664+Raw_FDIC!I664)*100))</f>
        <v/>
      </c>
      <c r="I41" s="17">
        <f>IF(OR(Raw_FDIC!BQ664="",Raw_FDIC!B664=""),"",IF(Raw_FDIC!B664=0,"",Raw_FDIC!BQ664/Raw_FDIC!B664*100))</f>
        <v/>
      </c>
    </row>
    <row r="42">
      <c r="A42" s="14">
        <f>IF(_config!$C$106="","",_config!$C$106)</f>
        <v/>
      </c>
      <c r="B42" s="15">
        <f>IF(_config!$B$106="","",_config!$B$106)</f>
        <v/>
      </c>
      <c r="C42" s="16">
        <f>IF(_config!$D$106="","",_config!$D$106)</f>
        <v/>
      </c>
      <c r="D42" s="17">
        <f>IF(OR(Raw_FDIC!E684="",Raw_FDIC!C684=""),"",IF(Raw_FDIC!C684=0,"",Raw_FDIC!E684/Raw_FDIC!C684*100))</f>
        <v/>
      </c>
      <c r="E42" s="17">
        <f>IF(OR(Raw_FDIC!F684="",Raw_FDIC!C684=""),"",IF(Raw_FDIC!C684=0,"",Raw_FDIC!F684/Raw_FDIC!C684*100))</f>
        <v/>
      </c>
      <c r="F42" s="17">
        <f>IF(OR(Raw_FDIC!K684="",Raw_FDIC!L684="",Raw_FDIC!M684="",Raw_FDIC!G684="",Raw_FDIC!I684=""),"",IF(Raw_FDIC!G684+Raw_FDIC!I684=0,"",(Raw_FDIC!K684+Raw_FDIC!L684+Raw_FDIC!M684)/(Raw_FDIC!G684+Raw_FDIC!I684)*100))</f>
        <v/>
      </c>
      <c r="G42" s="17">
        <f>IF(OR(Raw_FDIC!BL684="",Raw_FDIC!C684=""),"",IF(Raw_FDIC!C684=0,"",Raw_FDIC!BL684/Raw_FDIC!C684*100))</f>
        <v/>
      </c>
      <c r="H42" s="17">
        <f>IF(OR(Raw_FDIC!BM684="",Raw_FDIC!BN684="",Raw_FDIC!BO684="",Raw_FDIC!BP684="",Raw_FDIC!G684="",Raw_FDIC!I684=""),"",IF(Raw_FDIC!G684+Raw_FDIC!I684=0,"",((Raw_FDIC!BM684-Raw_FDIC!BN684)+(Raw_FDIC!BO684-Raw_FDIC!BP684))/(Raw_FDIC!G684+Raw_FDIC!I684)*100))</f>
        <v/>
      </c>
      <c r="I42" s="17">
        <f>IF(OR(Raw_FDIC!BQ684="",Raw_FDIC!B684=""),"",IF(Raw_FDIC!B684=0,"",Raw_FDIC!BQ684/Raw_FDIC!B684*100))</f>
        <v/>
      </c>
    </row>
    <row r="43">
      <c r="A43" s="14">
        <f>IF(_config!$C$107="","",_config!$C$107)</f>
        <v/>
      </c>
      <c r="B43" s="15">
        <f>IF(_config!$B$107="","",_config!$B$107)</f>
        <v/>
      </c>
      <c r="C43" s="16">
        <f>IF(_config!$D$107="","",_config!$D$107)</f>
        <v/>
      </c>
      <c r="D43" s="17">
        <f>IF(OR(Raw_FDIC!E704="",Raw_FDIC!C704=""),"",IF(Raw_FDIC!C704=0,"",Raw_FDIC!E704/Raw_FDIC!C704*100))</f>
        <v/>
      </c>
      <c r="E43" s="17">
        <f>IF(OR(Raw_FDIC!F704="",Raw_FDIC!C704=""),"",IF(Raw_FDIC!C704=0,"",Raw_FDIC!F704/Raw_FDIC!C704*100))</f>
        <v/>
      </c>
      <c r="F43" s="17">
        <f>IF(OR(Raw_FDIC!K704="",Raw_FDIC!L704="",Raw_FDIC!M704="",Raw_FDIC!G704="",Raw_FDIC!I704=""),"",IF(Raw_FDIC!G704+Raw_FDIC!I704=0,"",(Raw_FDIC!K704+Raw_FDIC!L704+Raw_FDIC!M704)/(Raw_FDIC!G704+Raw_FDIC!I704)*100))</f>
        <v/>
      </c>
      <c r="G43" s="17">
        <f>IF(OR(Raw_FDIC!BL704="",Raw_FDIC!C704=""),"",IF(Raw_FDIC!C704=0,"",Raw_FDIC!BL704/Raw_FDIC!C704*100))</f>
        <v/>
      </c>
      <c r="H43" s="17">
        <f>IF(OR(Raw_FDIC!BM704="",Raw_FDIC!BN704="",Raw_FDIC!BO704="",Raw_FDIC!BP704="",Raw_FDIC!G704="",Raw_FDIC!I704=""),"",IF(Raw_FDIC!G704+Raw_FDIC!I704=0,"",((Raw_FDIC!BM704-Raw_FDIC!BN704)+(Raw_FDIC!BO704-Raw_FDIC!BP704))/(Raw_FDIC!G704+Raw_FDIC!I704)*100))</f>
        <v/>
      </c>
      <c r="I43" s="17">
        <f>IF(OR(Raw_FDIC!BQ704="",Raw_FDIC!B704=""),"",IF(Raw_FDIC!B704=0,"",Raw_FDIC!BQ704/Raw_FDIC!B704*100))</f>
        <v/>
      </c>
    </row>
    <row r="44">
      <c r="A44" s="14">
        <f>IF(_config!$C$108="","",_config!$C$108)</f>
        <v/>
      </c>
      <c r="B44" s="15">
        <f>IF(_config!$B$108="","",_config!$B$108)</f>
        <v/>
      </c>
      <c r="C44" s="16">
        <f>IF(_config!$D$108="","",_config!$D$108)</f>
        <v/>
      </c>
      <c r="D44" s="17">
        <f>IF(OR(Raw_FDIC!E724="",Raw_FDIC!C724=""),"",IF(Raw_FDIC!C724=0,"",Raw_FDIC!E724/Raw_FDIC!C724*100))</f>
        <v/>
      </c>
      <c r="E44" s="17">
        <f>IF(OR(Raw_FDIC!F724="",Raw_FDIC!C724=""),"",IF(Raw_FDIC!C724=0,"",Raw_FDIC!F724/Raw_FDIC!C724*100))</f>
        <v/>
      </c>
      <c r="F44" s="17">
        <f>IF(OR(Raw_FDIC!K724="",Raw_FDIC!L724="",Raw_FDIC!M724="",Raw_FDIC!G724="",Raw_FDIC!I724=""),"",IF(Raw_FDIC!G724+Raw_FDIC!I724=0,"",(Raw_FDIC!K724+Raw_FDIC!L724+Raw_FDIC!M724)/(Raw_FDIC!G724+Raw_FDIC!I724)*100))</f>
        <v/>
      </c>
      <c r="G44" s="17">
        <f>IF(OR(Raw_FDIC!BL724="",Raw_FDIC!C724=""),"",IF(Raw_FDIC!C724=0,"",Raw_FDIC!BL724/Raw_FDIC!C724*100))</f>
        <v/>
      </c>
      <c r="H44" s="17">
        <f>IF(OR(Raw_FDIC!BM724="",Raw_FDIC!BN724="",Raw_FDIC!BO724="",Raw_FDIC!BP724="",Raw_FDIC!G724="",Raw_FDIC!I724=""),"",IF(Raw_FDIC!G724+Raw_FDIC!I724=0,"",((Raw_FDIC!BM724-Raw_FDIC!BN724)+(Raw_FDIC!BO724-Raw_FDIC!BP724))/(Raw_FDIC!G724+Raw_FDIC!I724)*100))</f>
        <v/>
      </c>
      <c r="I44" s="17">
        <f>IF(OR(Raw_FDIC!BQ724="",Raw_FDIC!B724=""),"",IF(Raw_FDIC!B724=0,"",Raw_FDIC!BQ724/Raw_FDIC!B724*100))</f>
        <v/>
      </c>
    </row>
    <row r="45">
      <c r="A45" s="14">
        <f>IF(_config!$C$109="","",_config!$C$109)</f>
        <v/>
      </c>
      <c r="B45" s="15">
        <f>IF(_config!$B$109="","",_config!$B$109)</f>
        <v/>
      </c>
      <c r="C45" s="16">
        <f>IF(_config!$D$109="","",_config!$D$109)</f>
        <v/>
      </c>
      <c r="D45" s="17">
        <f>IF(OR(Raw_FDIC!E744="",Raw_FDIC!C744=""),"",IF(Raw_FDIC!C744=0,"",Raw_FDIC!E744/Raw_FDIC!C744*100))</f>
        <v/>
      </c>
      <c r="E45" s="17">
        <f>IF(OR(Raw_FDIC!F744="",Raw_FDIC!C744=""),"",IF(Raw_FDIC!C744=0,"",Raw_FDIC!F744/Raw_FDIC!C744*100))</f>
        <v/>
      </c>
      <c r="F45" s="17">
        <f>IF(OR(Raw_FDIC!K744="",Raw_FDIC!L744="",Raw_FDIC!M744="",Raw_FDIC!G744="",Raw_FDIC!I744=""),"",IF(Raw_FDIC!G744+Raw_FDIC!I744=0,"",(Raw_FDIC!K744+Raw_FDIC!L744+Raw_FDIC!M744)/(Raw_FDIC!G744+Raw_FDIC!I744)*100))</f>
        <v/>
      </c>
      <c r="G45" s="17">
        <f>IF(OR(Raw_FDIC!BL744="",Raw_FDIC!C744=""),"",IF(Raw_FDIC!C744=0,"",Raw_FDIC!BL744/Raw_FDIC!C744*100))</f>
        <v/>
      </c>
      <c r="H45" s="17">
        <f>IF(OR(Raw_FDIC!BM744="",Raw_FDIC!BN744="",Raw_FDIC!BO744="",Raw_FDIC!BP744="",Raw_FDIC!G744="",Raw_FDIC!I744=""),"",IF(Raw_FDIC!G744+Raw_FDIC!I744=0,"",((Raw_FDIC!BM744-Raw_FDIC!BN744)+(Raw_FDIC!BO744-Raw_FDIC!BP744))/(Raw_FDIC!G744+Raw_FDIC!I744)*100))</f>
        <v/>
      </c>
      <c r="I45" s="17">
        <f>IF(OR(Raw_FDIC!BQ744="",Raw_FDIC!B744=""),"",IF(Raw_FDIC!B744=0,"",Raw_FDIC!BQ744/Raw_FDIC!B744*100))</f>
        <v/>
      </c>
    </row>
    <row r="46">
      <c r="A46" s="14">
        <f>IF(_config!$C$110="","",_config!$C$110)</f>
        <v/>
      </c>
      <c r="B46" s="15">
        <f>IF(_config!$B$110="","",_config!$B$110)</f>
        <v/>
      </c>
      <c r="C46" s="16">
        <f>IF(_config!$D$110="","",_config!$D$110)</f>
        <v/>
      </c>
      <c r="D46" s="17">
        <f>IF(OR(Raw_FDIC!E764="",Raw_FDIC!C764=""),"",IF(Raw_FDIC!C764=0,"",Raw_FDIC!E764/Raw_FDIC!C764*100))</f>
        <v/>
      </c>
      <c r="E46" s="17">
        <f>IF(OR(Raw_FDIC!F764="",Raw_FDIC!C764=""),"",IF(Raw_FDIC!C764=0,"",Raw_FDIC!F764/Raw_FDIC!C764*100))</f>
        <v/>
      </c>
      <c r="F46" s="17">
        <f>IF(OR(Raw_FDIC!K764="",Raw_FDIC!L764="",Raw_FDIC!M764="",Raw_FDIC!G764="",Raw_FDIC!I764=""),"",IF(Raw_FDIC!G764+Raw_FDIC!I764=0,"",(Raw_FDIC!K764+Raw_FDIC!L764+Raw_FDIC!M764)/(Raw_FDIC!G764+Raw_FDIC!I764)*100))</f>
        <v/>
      </c>
      <c r="G46" s="17">
        <f>IF(OR(Raw_FDIC!BL764="",Raw_FDIC!C764=""),"",IF(Raw_FDIC!C764=0,"",Raw_FDIC!BL764/Raw_FDIC!C764*100))</f>
        <v/>
      </c>
      <c r="H46" s="17">
        <f>IF(OR(Raw_FDIC!BM764="",Raw_FDIC!BN764="",Raw_FDIC!BO764="",Raw_FDIC!BP764="",Raw_FDIC!G764="",Raw_FDIC!I764=""),"",IF(Raw_FDIC!G764+Raw_FDIC!I764=0,"",((Raw_FDIC!BM764-Raw_FDIC!BN764)+(Raw_FDIC!BO764-Raw_FDIC!BP764))/(Raw_FDIC!G764+Raw_FDIC!I764)*100))</f>
        <v/>
      </c>
      <c r="I46" s="17">
        <f>IF(OR(Raw_FDIC!BQ764="",Raw_FDIC!B764=""),"",IF(Raw_FDIC!B764=0,"",Raw_FDIC!BQ764/Raw_FDIC!B764*100))</f>
        <v/>
      </c>
    </row>
    <row r="47">
      <c r="A47" s="14">
        <f>IF(_config!$C$111="","",_config!$C$111)</f>
        <v/>
      </c>
      <c r="B47" s="15">
        <f>IF(_config!$B$111="","",_config!$B$111)</f>
        <v/>
      </c>
      <c r="C47" s="16">
        <f>IF(_config!$D$111="","",_config!$D$111)</f>
        <v/>
      </c>
      <c r="D47" s="17">
        <f>IF(OR(Raw_FDIC!E784="",Raw_FDIC!C784=""),"",IF(Raw_FDIC!C784=0,"",Raw_FDIC!E784/Raw_FDIC!C784*100))</f>
        <v/>
      </c>
      <c r="E47" s="17">
        <f>IF(OR(Raw_FDIC!F784="",Raw_FDIC!C784=""),"",IF(Raw_FDIC!C784=0,"",Raw_FDIC!F784/Raw_FDIC!C784*100))</f>
        <v/>
      </c>
      <c r="F47" s="17">
        <f>IF(OR(Raw_FDIC!K784="",Raw_FDIC!L784="",Raw_FDIC!M784="",Raw_FDIC!G784="",Raw_FDIC!I784=""),"",IF(Raw_FDIC!G784+Raw_FDIC!I784=0,"",(Raw_FDIC!K784+Raw_FDIC!L784+Raw_FDIC!M784)/(Raw_FDIC!G784+Raw_FDIC!I784)*100))</f>
        <v/>
      </c>
      <c r="G47" s="17">
        <f>IF(OR(Raw_FDIC!BL784="",Raw_FDIC!C784=""),"",IF(Raw_FDIC!C784=0,"",Raw_FDIC!BL784/Raw_FDIC!C784*100))</f>
        <v/>
      </c>
      <c r="H47" s="17">
        <f>IF(OR(Raw_FDIC!BM784="",Raw_FDIC!BN784="",Raw_FDIC!BO784="",Raw_FDIC!BP784="",Raw_FDIC!G784="",Raw_FDIC!I784=""),"",IF(Raw_FDIC!G784+Raw_FDIC!I784=0,"",((Raw_FDIC!BM784-Raw_FDIC!BN784)+(Raw_FDIC!BO784-Raw_FDIC!BP784))/(Raw_FDIC!G784+Raw_FDIC!I784)*100))</f>
        <v/>
      </c>
      <c r="I47" s="17">
        <f>IF(OR(Raw_FDIC!BQ784="",Raw_FDIC!B784=""),"",IF(Raw_FDIC!B784=0,"",Raw_FDIC!BQ784/Raw_FDIC!B784*100))</f>
        <v/>
      </c>
    </row>
    <row r="48">
      <c r="A48" s="18" t="inlineStr">
        <is>
          <t>PEER MEDIAN (landed banks; includes stale -- see _readme)</t>
        </is>
      </c>
      <c r="D48" s="19">
        <f>IF(COUNT(D8:D47)=0,"",MEDIAN(D8:D47))</f>
        <v/>
      </c>
      <c r="E48" s="19">
        <f>IF(COUNT(E8:E47)=0,"",MEDIAN(E8:E47))</f>
        <v/>
      </c>
      <c r="F48" s="19">
        <f>IF(COUNT(F8:F47)=0,"",MEDIAN(F8:F47))</f>
        <v/>
      </c>
      <c r="G48" s="19">
        <f>IF(COUNT(G8:G47)=0,"",MEDIAN(G8:G47))</f>
        <v/>
      </c>
      <c r="H48" s="19">
        <f>IF(COUNT(H8:H47)=0,"",MEDIAN(H8:H47))</f>
        <v/>
      </c>
      <c r="I48" s="19">
        <f>IF(COUNT(I8:I47)=0,"",MEDIAN(I8:I47))</f>
        <v/>
      </c>
    </row>
  </sheetData>
  <mergeCells count="11">
    <mergeCell ref="A2:I2"/>
    <mergeCell ref="D5:F5"/>
    <mergeCell ref="A5:C5"/>
    <mergeCell ref="G5:I5"/>
    <mergeCell ref="D4:F4"/>
    <mergeCell ref="A1:I1"/>
    <mergeCell ref="D3:F3"/>
    <mergeCell ref="A3:C3"/>
    <mergeCell ref="G3:I3"/>
    <mergeCell ref="G4:I4"/>
    <mergeCell ref="A4:C4"/>
  </mergeCells>
  <conditionalFormatting sqref="D8:D47">
    <cfRule type="expression" priority="1" dxfId="0" stopIfTrue="1">
      <formula>AND(ISNUMBER(D8),D8&gt;=_config!$C$28)</formula>
    </cfRule>
    <cfRule type="expression" priority="2" dxfId="1" stopIfTrue="1">
      <formula>AND(ISNUMBER(D8),D8&gt;=_config!$B$28)</formula>
    </cfRule>
    <cfRule type="colorScale" priority="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E8:E47">
    <cfRule type="expression" priority="4" dxfId="0" stopIfTrue="1">
      <formula>AND(ISNUMBER(E8),E8&gt;=_config!$C$29)</formula>
    </cfRule>
    <cfRule type="expression" priority="5" dxfId="1" stopIfTrue="1">
      <formula>AND(ISNUMBER(E8),E8&gt;=_config!$B$29)</formula>
    </cfRule>
    <cfRule type="colorScale" priority="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F8:F47">
    <cfRule type="expression" priority="7" dxfId="0" stopIfTrue="1">
      <formula>AND(ISNUMBER(F8),F8&gt;=_config!$C$30)</formula>
    </cfRule>
    <cfRule type="expression" priority="8" dxfId="1" stopIfTrue="1">
      <formula>AND(ISNUMBER(F8),F8&gt;=_config!$B$30)</formula>
    </cfRule>
    <cfRule type="colorScale" priority="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G8:G47">
    <cfRule type="expression" priority="10" dxfId="0" stopIfTrue="1">
      <formula>AND(ISNUMBER(G8),G8&gt;=_config!$C$66)</formula>
    </cfRule>
    <cfRule type="expression" priority="11" dxfId="1" stopIfTrue="1">
      <formula>AND(ISNUMBER(G8),G8&gt;=_config!$B$66)</formula>
    </cfRule>
    <cfRule type="colorScale" priority="1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H8:H47">
    <cfRule type="expression" priority="13" dxfId="0" stopIfTrue="1">
      <formula>AND(ISNUMBER(H8),H8&gt;=_config!$C$67)</formula>
    </cfRule>
    <cfRule type="expression" priority="14" dxfId="1" stopIfTrue="1">
      <formula>AND(ISNUMBER(H8),H8&gt;=_config!$B$67)</formula>
    </cfRule>
    <cfRule type="colorScale" priority="15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I8:I47">
    <cfRule type="expression" priority="16" dxfId="0" stopIfTrue="1">
      <formula>AND(ISNUMBER(I8),I8&gt;=_config!$C$68)</formula>
    </cfRule>
    <cfRule type="expression" priority="17" dxfId="1" stopIfTrue="1">
      <formula>AND(ISNUMBER(I8),I8&gt;=_config!$B$68)</formula>
    </cfRule>
    <cfRule type="colorScale" priority="1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X92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9" customWidth="1" min="2" max="2"/>
    <col width="13" customWidth="1" min="3" max="3"/>
    <col width="11" customWidth="1" min="4" max="4"/>
    <col width="11" customWidth="1" min="5" max="5"/>
    <col width="11" customWidth="1" min="6" max="6"/>
    <col width="11" customWidth="1" min="7" max="7"/>
    <col width="11" customWidth="1" min="8" max="8"/>
    <col width="11" customWidth="1" min="9" max="9"/>
    <col width="11" customWidth="1" min="10" max="10"/>
    <col width="11" customWidth="1" min="11" max="11"/>
    <col width="11" customWidth="1" min="12" max="12"/>
    <col width="11" customWidth="1" min="13" max="13"/>
    <col width="11" customWidth="1" min="14" max="14"/>
    <col width="11" customWidth="1" min="15" max="15"/>
    <col width="11" customWidth="1" min="16" max="16"/>
    <col width="11" customWidth="1" min="17" max="17"/>
    <col width="11" customWidth="1" min="18" max="18"/>
    <col width="11" customWidth="1" min="19" max="19"/>
    <col width="11" customWidth="1" min="20" max="20"/>
    <col width="11" customWidth="1" min="21" max="21"/>
    <col width="11" customWidth="1" min="22" max="22"/>
    <col width="40" customWidth="1" min="24" max="24"/>
  </cols>
  <sheetData>
    <row r="1" ht="27.6" customHeight="1">
      <c r="A1" s="1" t="inlineStr">
        <is>
          <t>Loan-Book Dashboard -- Two-Track Competitor Surveillance</t>
        </is>
      </c>
      <c r="X1" s="2" t="n"/>
    </row>
    <row r="2" ht="18.4" customHeight="1">
      <c r="A2" s="3" t="inlineStr">
        <is>
          <t>Per-class credit quality: 30-89 PD / 90+ PD (still accruing, disjoint from NA) / nonaccrual / QUARTERLY NCO annualized x4 (F1: never the YTD flow). Consumer classes carry the classification story; commercial classes are the public floor. Blank = null (never 0, F3); *AUTO exists from 2011, construction splits from ~2007-08 (null-tolerant).</t>
        </is>
      </c>
      <c r="B2" s="4" t="n"/>
      <c r="C2" s="4" t="n"/>
      <c r="D2" s="4" t="n"/>
      <c r="E2" s="4" t="n"/>
      <c r="F2" s="4" t="n"/>
      <c r="G2" s="4" t="n"/>
      <c r="H2" s="4" t="n"/>
      <c r="I2" s="4" t="n"/>
      <c r="J2" s="4" t="n"/>
      <c r="K2" s="4" t="n"/>
      <c r="L2" s="4" t="n"/>
      <c r="M2" s="4" t="n"/>
      <c r="N2" s="4" t="n"/>
      <c r="O2" s="4" t="n"/>
      <c r="P2" s="4" t="n"/>
      <c r="Q2" s="4" t="n"/>
      <c r="R2" s="4" t="n"/>
      <c r="S2" s="4" t="n"/>
      <c r="T2" s="4" t="n"/>
      <c r="U2" s="4" t="n"/>
      <c r="V2" s="4" t="n"/>
      <c r="X2" s="2" t="n"/>
    </row>
    <row r="3">
      <c r="A3" s="5" t="inlineStr">
        <is>
          <t>BANKS IN ALERT</t>
        </is>
      </c>
      <c r="B3" s="6" t="n"/>
      <c r="C3" s="6" t="n"/>
      <c r="D3" s="5" t="inlineStr">
        <is>
          <t>BANKS IN WATCH</t>
        </is>
      </c>
      <c r="E3" s="6" t="n"/>
      <c r="F3" s="6" t="n"/>
      <c r="G3" s="7" t="inlineStr">
        <is>
          <t>BANKS TRACKED</t>
        </is>
      </c>
      <c r="H3" s="8" t="n"/>
      <c r="I3" s="8" t="n"/>
      <c r="X3" s="2" t="n"/>
    </row>
    <row r="4" ht="26" customHeight="1">
      <c r="A4" s="9">
        <f>COUNTIF(Watchlist!$H$5:$H$44,"ALERT")</f>
        <v/>
      </c>
      <c r="D4" s="9">
        <f>COUNTIF(Watchlist!$H$5:$H$44,"WATCH")</f>
        <v/>
      </c>
      <c r="G4" s="9">
        <f>COUNTIF(Watchlist!$A$5:$A$44,"?*")</f>
        <v/>
      </c>
      <c r="X4" s="10" t="n"/>
    </row>
    <row r="5">
      <c r="A5" s="11" t="inlineStr">
        <is>
          <t>of 12 active</t>
        </is>
      </c>
      <c r="D5" s="11" t="inlineStr">
        <is>
          <t>elevated</t>
        </is>
      </c>
      <c r="G5" s="11" t="inlineStr">
        <is>
          <t>of 40 built slots</t>
        </is>
      </c>
    </row>
    <row r="6">
      <c r="A6" s="20" t="inlineStr">
        <is>
          <t>CONSUMER TRACK -- the DQ/NCO story IS the classification story: retail classification is DPD-formula-driven under the Uniform Retail Credit Classification policy. Card DQ/NCO runs structurally high vs other classes (QBP context) -- its bands are set accordingly. NCO rates are QUARTERLY flows annualized x4 (the FDIC's NTLNLSQR convention).</t>
        </is>
      </c>
    </row>
    <row r="7" ht="22" customHeight="1">
      <c r="A7" s="12" t="inlineStr">
        <is>
          <t>Bank</t>
        </is>
      </c>
      <c r="B7" s="12" t="inlineStr">
        <is>
          <t>CERT</t>
        </is>
      </c>
      <c r="C7" s="12" t="inlineStr">
        <is>
          <t>Group</t>
        </is>
      </c>
      <c r="D7" s="13" t="inlineStr">
        <is>
          <t>Card 30-89</t>
        </is>
      </c>
      <c r="E7" s="13" t="inlineStr">
        <is>
          <t>Card 90+</t>
        </is>
      </c>
      <c r="F7" s="13" t="inlineStr">
        <is>
          <t>Card NA</t>
        </is>
      </c>
      <c r="G7" s="13" t="inlineStr">
        <is>
          <t>Card NCOq</t>
        </is>
      </c>
      <c r="H7" s="13" t="inlineStr">
        <is>
          <t>Auto 30-89</t>
        </is>
      </c>
      <c r="I7" s="13" t="inlineStr">
        <is>
          <t>Auto 90+</t>
        </is>
      </c>
      <c r="J7" s="13" t="inlineStr">
        <is>
          <t>Auto NA</t>
        </is>
      </c>
      <c r="K7" s="13" t="inlineStr">
        <is>
          <t>Auto NCOq</t>
        </is>
      </c>
      <c r="L7" s="13" t="inlineStr">
        <is>
          <t>OthCons 30-89</t>
        </is>
      </c>
      <c r="M7" s="13" t="inlineStr">
        <is>
          <t>OthCons 90+</t>
        </is>
      </c>
      <c r="N7" s="13" t="inlineStr">
        <is>
          <t>OthCons NA</t>
        </is>
      </c>
      <c r="O7" s="13" t="inlineStr">
        <is>
          <t>OthCons NCOq</t>
        </is>
      </c>
      <c r="P7" s="13" t="inlineStr">
        <is>
          <t>Resi 30-89</t>
        </is>
      </c>
      <c r="Q7" s="13" t="inlineStr">
        <is>
          <t>Resi 90+</t>
        </is>
      </c>
      <c r="R7" s="13" t="inlineStr">
        <is>
          <t>Resi NA</t>
        </is>
      </c>
      <c r="S7" s="13" t="inlineStr">
        <is>
          <t>Resi NCOq</t>
        </is>
      </c>
      <c r="T7" s="13" t="inlineStr">
        <is>
          <t>HELOC 30-89</t>
        </is>
      </c>
      <c r="U7" s="13" t="inlineStr">
        <is>
          <t>HELOC 90+</t>
        </is>
      </c>
      <c r="V7" s="13" t="inlineStr">
        <is>
          <t>HELOC NA</t>
        </is>
      </c>
    </row>
    <row r="8">
      <c r="A8" s="14">
        <f>IF(_config!$C$72="","",_config!$C$72)</f>
        <v/>
      </c>
      <c r="B8" s="15">
        <f>IF(_config!$B$72="","",_config!$B$72)</f>
        <v/>
      </c>
      <c r="C8" s="16">
        <f>IF(_config!$D$72="","",_config!$D$72)</f>
        <v/>
      </c>
      <c r="D8" s="17">
        <f>IF(Raw_FDIC!X4="","",Raw_FDIC!X4)</f>
        <v/>
      </c>
      <c r="E8" s="17">
        <f>IF(Raw_FDIC!Y4="","",Raw_FDIC!Y4)</f>
        <v/>
      </c>
      <c r="F8" s="17">
        <f>IF(Raw_FDIC!Z4="","",Raw_FDIC!Z4)</f>
        <v/>
      </c>
      <c r="G8" s="17">
        <f>IF(OR(Raw_FDIC!AQ4="",Raw_FDIC!AM4=""),"",IF(Raw_FDIC!AM4=0,"",Raw_FDIC!AQ4/Raw_FDIC!AM4*400))</f>
        <v/>
      </c>
      <c r="H8" s="17">
        <f>IF(Raw_FDIC!AA4="","",Raw_FDIC!AA4)</f>
        <v/>
      </c>
      <c r="I8" s="17">
        <f>IF(Raw_FDIC!AB4="","",Raw_FDIC!AB4)</f>
        <v/>
      </c>
      <c r="J8" s="17">
        <f>IF(Raw_FDIC!AC4="","",Raw_FDIC!AC4)</f>
        <v/>
      </c>
      <c r="K8" s="17">
        <f>IF(OR(Raw_FDIC!AR4="",Raw_FDIC!AN4=""),"",IF(Raw_FDIC!AN4=0,"",Raw_FDIC!AR4/Raw_FDIC!AN4*400))</f>
        <v/>
      </c>
      <c r="L8" s="17">
        <f>IF(OR(Raw_FDIC!AJ4="",Raw_FDIC!AO4=""),"",IF(Raw_FDIC!AO4=0,"",Raw_FDIC!AJ4/Raw_FDIC!AO4*100))</f>
        <v/>
      </c>
      <c r="M8" s="17">
        <f>IF(OR(Raw_FDIC!AK4="",Raw_FDIC!AO4=""),"",IF(Raw_FDIC!AO4=0,"",Raw_FDIC!AK4/Raw_FDIC!AO4*100))</f>
        <v/>
      </c>
      <c r="N8" s="17">
        <f>IF(OR(Raw_FDIC!AL4="",Raw_FDIC!AO4=""),"",IF(Raw_FDIC!AO4=0,"",Raw_FDIC!AL4/Raw_FDIC!AO4*100))</f>
        <v/>
      </c>
      <c r="O8" s="17">
        <f>IF(OR(Raw_FDIC!AS4="",Raw_FDIC!AO4=""),"",IF(Raw_FDIC!AO4=0,"",Raw_FDIC!AS4/Raw_FDIC!AO4*400))</f>
        <v/>
      </c>
      <c r="P8" s="17">
        <f>IF(Raw_FDIC!AD4="","",Raw_FDIC!AD4)</f>
        <v/>
      </c>
      <c r="Q8" s="17">
        <f>IF(Raw_FDIC!AE4="","",Raw_FDIC!AE4)</f>
        <v/>
      </c>
      <c r="R8" s="17">
        <f>IF(Raw_FDIC!AF4="","",Raw_FDIC!AF4)</f>
        <v/>
      </c>
      <c r="S8" s="17">
        <f>IF(OR(Raw_FDIC!AT4="",Raw_FDIC!AP4=""),"",IF(Raw_FDIC!AP4=0,"",Raw_FDIC!AT4/Raw_FDIC!AP4*400))</f>
        <v/>
      </c>
      <c r="T8" s="17">
        <f>IF(Raw_FDIC!AG4="","",Raw_FDIC!AG4)</f>
        <v/>
      </c>
      <c r="U8" s="17">
        <f>IF(Raw_FDIC!AH4="","",Raw_FDIC!AH4)</f>
        <v/>
      </c>
      <c r="V8" s="17">
        <f>IF(Raw_FDIC!AI4="","",Raw_FDIC!AI4)</f>
        <v/>
      </c>
    </row>
    <row r="9">
      <c r="A9" s="14">
        <f>IF(_config!$C$73="","",_config!$C$73)</f>
        <v/>
      </c>
      <c r="B9" s="15">
        <f>IF(_config!$B$73="","",_config!$B$73)</f>
        <v/>
      </c>
      <c r="C9" s="16">
        <f>IF(_config!$D$73="","",_config!$D$73)</f>
        <v/>
      </c>
      <c r="D9" s="17">
        <f>IF(Raw_FDIC!X24="","",Raw_FDIC!X24)</f>
        <v/>
      </c>
      <c r="E9" s="17">
        <f>IF(Raw_FDIC!Y24="","",Raw_FDIC!Y24)</f>
        <v/>
      </c>
      <c r="F9" s="17">
        <f>IF(Raw_FDIC!Z24="","",Raw_FDIC!Z24)</f>
        <v/>
      </c>
      <c r="G9" s="17">
        <f>IF(OR(Raw_FDIC!AQ24="",Raw_FDIC!AM24=""),"",IF(Raw_FDIC!AM24=0,"",Raw_FDIC!AQ24/Raw_FDIC!AM24*400))</f>
        <v/>
      </c>
      <c r="H9" s="17">
        <f>IF(Raw_FDIC!AA24="","",Raw_FDIC!AA24)</f>
        <v/>
      </c>
      <c r="I9" s="17">
        <f>IF(Raw_FDIC!AB24="","",Raw_FDIC!AB24)</f>
        <v/>
      </c>
      <c r="J9" s="17">
        <f>IF(Raw_FDIC!AC24="","",Raw_FDIC!AC24)</f>
        <v/>
      </c>
      <c r="K9" s="17">
        <f>IF(OR(Raw_FDIC!AR24="",Raw_FDIC!AN24=""),"",IF(Raw_FDIC!AN24=0,"",Raw_FDIC!AR24/Raw_FDIC!AN24*400))</f>
        <v/>
      </c>
      <c r="L9" s="17">
        <f>IF(OR(Raw_FDIC!AJ24="",Raw_FDIC!AO24=""),"",IF(Raw_FDIC!AO24=0,"",Raw_FDIC!AJ24/Raw_FDIC!AO24*100))</f>
        <v/>
      </c>
      <c r="M9" s="17">
        <f>IF(OR(Raw_FDIC!AK24="",Raw_FDIC!AO24=""),"",IF(Raw_FDIC!AO24=0,"",Raw_FDIC!AK24/Raw_FDIC!AO24*100))</f>
        <v/>
      </c>
      <c r="N9" s="17">
        <f>IF(OR(Raw_FDIC!AL24="",Raw_FDIC!AO24=""),"",IF(Raw_FDIC!AO24=0,"",Raw_FDIC!AL24/Raw_FDIC!AO24*100))</f>
        <v/>
      </c>
      <c r="O9" s="17">
        <f>IF(OR(Raw_FDIC!AS24="",Raw_FDIC!AO24=""),"",IF(Raw_FDIC!AO24=0,"",Raw_FDIC!AS24/Raw_FDIC!AO24*400))</f>
        <v/>
      </c>
      <c r="P9" s="17">
        <f>IF(Raw_FDIC!AD24="","",Raw_FDIC!AD24)</f>
        <v/>
      </c>
      <c r="Q9" s="17">
        <f>IF(Raw_FDIC!AE24="","",Raw_FDIC!AE24)</f>
        <v/>
      </c>
      <c r="R9" s="17">
        <f>IF(Raw_FDIC!AF24="","",Raw_FDIC!AF24)</f>
        <v/>
      </c>
      <c r="S9" s="17">
        <f>IF(OR(Raw_FDIC!AT24="",Raw_FDIC!AP24=""),"",IF(Raw_FDIC!AP24=0,"",Raw_FDIC!AT24/Raw_FDIC!AP24*400))</f>
        <v/>
      </c>
      <c r="T9" s="17">
        <f>IF(Raw_FDIC!AG24="","",Raw_FDIC!AG24)</f>
        <v/>
      </c>
      <c r="U9" s="17">
        <f>IF(Raw_FDIC!AH24="","",Raw_FDIC!AH24)</f>
        <v/>
      </c>
      <c r="V9" s="17">
        <f>IF(Raw_FDIC!AI24="","",Raw_FDIC!AI24)</f>
        <v/>
      </c>
    </row>
    <row r="10">
      <c r="A10" s="14">
        <f>IF(_config!$C$74="","",_config!$C$74)</f>
        <v/>
      </c>
      <c r="B10" s="15">
        <f>IF(_config!$B$74="","",_config!$B$74)</f>
        <v/>
      </c>
      <c r="C10" s="16">
        <f>IF(_config!$D$74="","",_config!$D$74)</f>
        <v/>
      </c>
      <c r="D10" s="17">
        <f>IF(Raw_FDIC!X44="","",Raw_FDIC!X44)</f>
        <v/>
      </c>
      <c r="E10" s="17">
        <f>IF(Raw_FDIC!Y44="","",Raw_FDIC!Y44)</f>
        <v/>
      </c>
      <c r="F10" s="17">
        <f>IF(Raw_FDIC!Z44="","",Raw_FDIC!Z44)</f>
        <v/>
      </c>
      <c r="G10" s="17">
        <f>IF(OR(Raw_FDIC!AQ44="",Raw_FDIC!AM44=""),"",IF(Raw_FDIC!AM44=0,"",Raw_FDIC!AQ44/Raw_FDIC!AM44*400))</f>
        <v/>
      </c>
      <c r="H10" s="17">
        <f>IF(Raw_FDIC!AA44="","",Raw_FDIC!AA44)</f>
        <v/>
      </c>
      <c r="I10" s="17">
        <f>IF(Raw_FDIC!AB44="","",Raw_FDIC!AB44)</f>
        <v/>
      </c>
      <c r="J10" s="17">
        <f>IF(Raw_FDIC!AC44="","",Raw_FDIC!AC44)</f>
        <v/>
      </c>
      <c r="K10" s="17">
        <f>IF(OR(Raw_FDIC!AR44="",Raw_FDIC!AN44=""),"",IF(Raw_FDIC!AN44=0,"",Raw_FDIC!AR44/Raw_FDIC!AN44*400))</f>
        <v/>
      </c>
      <c r="L10" s="17">
        <f>IF(OR(Raw_FDIC!AJ44="",Raw_FDIC!AO44=""),"",IF(Raw_FDIC!AO44=0,"",Raw_FDIC!AJ44/Raw_FDIC!AO44*100))</f>
        <v/>
      </c>
      <c r="M10" s="17">
        <f>IF(OR(Raw_FDIC!AK44="",Raw_FDIC!AO44=""),"",IF(Raw_FDIC!AO44=0,"",Raw_FDIC!AK44/Raw_FDIC!AO44*100))</f>
        <v/>
      </c>
      <c r="N10" s="17">
        <f>IF(OR(Raw_FDIC!AL44="",Raw_FDIC!AO44=""),"",IF(Raw_FDIC!AO44=0,"",Raw_FDIC!AL44/Raw_FDIC!AO44*100))</f>
        <v/>
      </c>
      <c r="O10" s="17">
        <f>IF(OR(Raw_FDIC!AS44="",Raw_FDIC!AO44=""),"",IF(Raw_FDIC!AO44=0,"",Raw_FDIC!AS44/Raw_FDIC!AO44*400))</f>
        <v/>
      </c>
      <c r="P10" s="17">
        <f>IF(Raw_FDIC!AD44="","",Raw_FDIC!AD44)</f>
        <v/>
      </c>
      <c r="Q10" s="17">
        <f>IF(Raw_FDIC!AE44="","",Raw_FDIC!AE44)</f>
        <v/>
      </c>
      <c r="R10" s="17">
        <f>IF(Raw_FDIC!AF44="","",Raw_FDIC!AF44)</f>
        <v/>
      </c>
      <c r="S10" s="17">
        <f>IF(OR(Raw_FDIC!AT44="",Raw_FDIC!AP44=""),"",IF(Raw_FDIC!AP44=0,"",Raw_FDIC!AT44/Raw_FDIC!AP44*400))</f>
        <v/>
      </c>
      <c r="T10" s="17">
        <f>IF(Raw_FDIC!AG44="","",Raw_FDIC!AG44)</f>
        <v/>
      </c>
      <c r="U10" s="17">
        <f>IF(Raw_FDIC!AH44="","",Raw_FDIC!AH44)</f>
        <v/>
      </c>
      <c r="V10" s="17">
        <f>IF(Raw_FDIC!AI44="","",Raw_FDIC!AI44)</f>
        <v/>
      </c>
    </row>
    <row r="11">
      <c r="A11" s="14">
        <f>IF(_config!$C$75="","",_config!$C$75)</f>
        <v/>
      </c>
      <c r="B11" s="15">
        <f>IF(_config!$B$75="","",_config!$B$75)</f>
        <v/>
      </c>
      <c r="C11" s="16">
        <f>IF(_config!$D$75="","",_config!$D$75)</f>
        <v/>
      </c>
      <c r="D11" s="17">
        <f>IF(Raw_FDIC!X64="","",Raw_FDIC!X64)</f>
        <v/>
      </c>
      <c r="E11" s="17">
        <f>IF(Raw_FDIC!Y64="","",Raw_FDIC!Y64)</f>
        <v/>
      </c>
      <c r="F11" s="17">
        <f>IF(Raw_FDIC!Z64="","",Raw_FDIC!Z64)</f>
        <v/>
      </c>
      <c r="G11" s="17">
        <f>IF(OR(Raw_FDIC!AQ64="",Raw_FDIC!AM64=""),"",IF(Raw_FDIC!AM64=0,"",Raw_FDIC!AQ64/Raw_FDIC!AM64*400))</f>
        <v/>
      </c>
      <c r="H11" s="17">
        <f>IF(Raw_FDIC!AA64="","",Raw_FDIC!AA64)</f>
        <v/>
      </c>
      <c r="I11" s="17">
        <f>IF(Raw_FDIC!AB64="","",Raw_FDIC!AB64)</f>
        <v/>
      </c>
      <c r="J11" s="17">
        <f>IF(Raw_FDIC!AC64="","",Raw_FDIC!AC64)</f>
        <v/>
      </c>
      <c r="K11" s="17">
        <f>IF(OR(Raw_FDIC!AR64="",Raw_FDIC!AN64=""),"",IF(Raw_FDIC!AN64=0,"",Raw_FDIC!AR64/Raw_FDIC!AN64*400))</f>
        <v/>
      </c>
      <c r="L11" s="17">
        <f>IF(OR(Raw_FDIC!AJ64="",Raw_FDIC!AO64=""),"",IF(Raw_FDIC!AO64=0,"",Raw_FDIC!AJ64/Raw_FDIC!AO64*100))</f>
        <v/>
      </c>
      <c r="M11" s="17">
        <f>IF(OR(Raw_FDIC!AK64="",Raw_FDIC!AO64=""),"",IF(Raw_FDIC!AO64=0,"",Raw_FDIC!AK64/Raw_FDIC!AO64*100))</f>
        <v/>
      </c>
      <c r="N11" s="17">
        <f>IF(OR(Raw_FDIC!AL64="",Raw_FDIC!AO64=""),"",IF(Raw_FDIC!AO64=0,"",Raw_FDIC!AL64/Raw_FDIC!AO64*100))</f>
        <v/>
      </c>
      <c r="O11" s="17">
        <f>IF(OR(Raw_FDIC!AS64="",Raw_FDIC!AO64=""),"",IF(Raw_FDIC!AO64=0,"",Raw_FDIC!AS64/Raw_FDIC!AO64*400))</f>
        <v/>
      </c>
      <c r="P11" s="17">
        <f>IF(Raw_FDIC!AD64="","",Raw_FDIC!AD64)</f>
        <v/>
      </c>
      <c r="Q11" s="17">
        <f>IF(Raw_FDIC!AE64="","",Raw_FDIC!AE64)</f>
        <v/>
      </c>
      <c r="R11" s="17">
        <f>IF(Raw_FDIC!AF64="","",Raw_FDIC!AF64)</f>
        <v/>
      </c>
      <c r="S11" s="17">
        <f>IF(OR(Raw_FDIC!AT64="",Raw_FDIC!AP64=""),"",IF(Raw_FDIC!AP64=0,"",Raw_FDIC!AT64/Raw_FDIC!AP64*400))</f>
        <v/>
      </c>
      <c r="T11" s="17">
        <f>IF(Raw_FDIC!AG64="","",Raw_FDIC!AG64)</f>
        <v/>
      </c>
      <c r="U11" s="17">
        <f>IF(Raw_FDIC!AH64="","",Raw_FDIC!AH64)</f>
        <v/>
      </c>
      <c r="V11" s="17">
        <f>IF(Raw_FDIC!AI64="","",Raw_FDIC!AI64)</f>
        <v/>
      </c>
    </row>
    <row r="12">
      <c r="A12" s="14">
        <f>IF(_config!$C$76="","",_config!$C$76)</f>
        <v/>
      </c>
      <c r="B12" s="15">
        <f>IF(_config!$B$76="","",_config!$B$76)</f>
        <v/>
      </c>
      <c r="C12" s="16">
        <f>IF(_config!$D$76="","",_config!$D$76)</f>
        <v/>
      </c>
      <c r="D12" s="17">
        <f>IF(Raw_FDIC!X84="","",Raw_FDIC!X84)</f>
        <v/>
      </c>
      <c r="E12" s="17">
        <f>IF(Raw_FDIC!Y84="","",Raw_FDIC!Y84)</f>
        <v/>
      </c>
      <c r="F12" s="17">
        <f>IF(Raw_FDIC!Z84="","",Raw_FDIC!Z84)</f>
        <v/>
      </c>
      <c r="G12" s="17">
        <f>IF(OR(Raw_FDIC!AQ84="",Raw_FDIC!AM84=""),"",IF(Raw_FDIC!AM84=0,"",Raw_FDIC!AQ84/Raw_FDIC!AM84*400))</f>
        <v/>
      </c>
      <c r="H12" s="17">
        <f>IF(Raw_FDIC!AA84="","",Raw_FDIC!AA84)</f>
        <v/>
      </c>
      <c r="I12" s="17">
        <f>IF(Raw_FDIC!AB84="","",Raw_FDIC!AB84)</f>
        <v/>
      </c>
      <c r="J12" s="17">
        <f>IF(Raw_FDIC!AC84="","",Raw_FDIC!AC84)</f>
        <v/>
      </c>
      <c r="K12" s="17">
        <f>IF(OR(Raw_FDIC!AR84="",Raw_FDIC!AN84=""),"",IF(Raw_FDIC!AN84=0,"",Raw_FDIC!AR84/Raw_FDIC!AN84*400))</f>
        <v/>
      </c>
      <c r="L12" s="17">
        <f>IF(OR(Raw_FDIC!AJ84="",Raw_FDIC!AO84=""),"",IF(Raw_FDIC!AO84=0,"",Raw_FDIC!AJ84/Raw_FDIC!AO84*100))</f>
        <v/>
      </c>
      <c r="M12" s="17">
        <f>IF(OR(Raw_FDIC!AK84="",Raw_FDIC!AO84=""),"",IF(Raw_FDIC!AO84=0,"",Raw_FDIC!AK84/Raw_FDIC!AO84*100))</f>
        <v/>
      </c>
      <c r="N12" s="17">
        <f>IF(OR(Raw_FDIC!AL84="",Raw_FDIC!AO84=""),"",IF(Raw_FDIC!AO84=0,"",Raw_FDIC!AL84/Raw_FDIC!AO84*100))</f>
        <v/>
      </c>
      <c r="O12" s="17">
        <f>IF(OR(Raw_FDIC!AS84="",Raw_FDIC!AO84=""),"",IF(Raw_FDIC!AO84=0,"",Raw_FDIC!AS84/Raw_FDIC!AO84*400))</f>
        <v/>
      </c>
      <c r="P12" s="17">
        <f>IF(Raw_FDIC!AD84="","",Raw_FDIC!AD84)</f>
        <v/>
      </c>
      <c r="Q12" s="17">
        <f>IF(Raw_FDIC!AE84="","",Raw_FDIC!AE84)</f>
        <v/>
      </c>
      <c r="R12" s="17">
        <f>IF(Raw_FDIC!AF84="","",Raw_FDIC!AF84)</f>
        <v/>
      </c>
      <c r="S12" s="17">
        <f>IF(OR(Raw_FDIC!AT84="",Raw_FDIC!AP84=""),"",IF(Raw_FDIC!AP84=0,"",Raw_FDIC!AT84/Raw_FDIC!AP84*400))</f>
        <v/>
      </c>
      <c r="T12" s="17">
        <f>IF(Raw_FDIC!AG84="","",Raw_FDIC!AG84)</f>
        <v/>
      </c>
      <c r="U12" s="17">
        <f>IF(Raw_FDIC!AH84="","",Raw_FDIC!AH84)</f>
        <v/>
      </c>
      <c r="V12" s="17">
        <f>IF(Raw_FDIC!AI84="","",Raw_FDIC!AI84)</f>
        <v/>
      </c>
    </row>
    <row r="13">
      <c r="A13" s="14">
        <f>IF(_config!$C$77="","",_config!$C$77)</f>
        <v/>
      </c>
      <c r="B13" s="15">
        <f>IF(_config!$B$77="","",_config!$B$77)</f>
        <v/>
      </c>
      <c r="C13" s="16">
        <f>IF(_config!$D$77="","",_config!$D$77)</f>
        <v/>
      </c>
      <c r="D13" s="17">
        <f>IF(Raw_FDIC!X104="","",Raw_FDIC!X104)</f>
        <v/>
      </c>
      <c r="E13" s="17">
        <f>IF(Raw_FDIC!Y104="","",Raw_FDIC!Y104)</f>
        <v/>
      </c>
      <c r="F13" s="17">
        <f>IF(Raw_FDIC!Z104="","",Raw_FDIC!Z104)</f>
        <v/>
      </c>
      <c r="G13" s="17">
        <f>IF(OR(Raw_FDIC!AQ104="",Raw_FDIC!AM104=""),"",IF(Raw_FDIC!AM104=0,"",Raw_FDIC!AQ104/Raw_FDIC!AM104*400))</f>
        <v/>
      </c>
      <c r="H13" s="17">
        <f>IF(Raw_FDIC!AA104="","",Raw_FDIC!AA104)</f>
        <v/>
      </c>
      <c r="I13" s="17">
        <f>IF(Raw_FDIC!AB104="","",Raw_FDIC!AB104)</f>
        <v/>
      </c>
      <c r="J13" s="17">
        <f>IF(Raw_FDIC!AC104="","",Raw_FDIC!AC104)</f>
        <v/>
      </c>
      <c r="K13" s="17">
        <f>IF(OR(Raw_FDIC!AR104="",Raw_FDIC!AN104=""),"",IF(Raw_FDIC!AN104=0,"",Raw_FDIC!AR104/Raw_FDIC!AN104*400))</f>
        <v/>
      </c>
      <c r="L13" s="17">
        <f>IF(OR(Raw_FDIC!AJ104="",Raw_FDIC!AO104=""),"",IF(Raw_FDIC!AO104=0,"",Raw_FDIC!AJ104/Raw_FDIC!AO104*100))</f>
        <v/>
      </c>
      <c r="M13" s="17">
        <f>IF(OR(Raw_FDIC!AK104="",Raw_FDIC!AO104=""),"",IF(Raw_FDIC!AO104=0,"",Raw_FDIC!AK104/Raw_FDIC!AO104*100))</f>
        <v/>
      </c>
      <c r="N13" s="17">
        <f>IF(OR(Raw_FDIC!AL104="",Raw_FDIC!AO104=""),"",IF(Raw_FDIC!AO104=0,"",Raw_FDIC!AL104/Raw_FDIC!AO104*100))</f>
        <v/>
      </c>
      <c r="O13" s="17">
        <f>IF(OR(Raw_FDIC!AS104="",Raw_FDIC!AO104=""),"",IF(Raw_FDIC!AO104=0,"",Raw_FDIC!AS104/Raw_FDIC!AO104*400))</f>
        <v/>
      </c>
      <c r="P13" s="17">
        <f>IF(Raw_FDIC!AD104="","",Raw_FDIC!AD104)</f>
        <v/>
      </c>
      <c r="Q13" s="17">
        <f>IF(Raw_FDIC!AE104="","",Raw_FDIC!AE104)</f>
        <v/>
      </c>
      <c r="R13" s="17">
        <f>IF(Raw_FDIC!AF104="","",Raw_FDIC!AF104)</f>
        <v/>
      </c>
      <c r="S13" s="17">
        <f>IF(OR(Raw_FDIC!AT104="",Raw_FDIC!AP104=""),"",IF(Raw_FDIC!AP104=0,"",Raw_FDIC!AT104/Raw_FDIC!AP104*400))</f>
        <v/>
      </c>
      <c r="T13" s="17">
        <f>IF(Raw_FDIC!AG104="","",Raw_FDIC!AG104)</f>
        <v/>
      </c>
      <c r="U13" s="17">
        <f>IF(Raw_FDIC!AH104="","",Raw_FDIC!AH104)</f>
        <v/>
      </c>
      <c r="V13" s="17">
        <f>IF(Raw_FDIC!AI104="","",Raw_FDIC!AI104)</f>
        <v/>
      </c>
    </row>
    <row r="14">
      <c r="A14" s="14">
        <f>IF(_config!$C$78="","",_config!$C$78)</f>
        <v/>
      </c>
      <c r="B14" s="15">
        <f>IF(_config!$B$78="","",_config!$B$78)</f>
        <v/>
      </c>
      <c r="C14" s="16">
        <f>IF(_config!$D$78="","",_config!$D$78)</f>
        <v/>
      </c>
      <c r="D14" s="17">
        <f>IF(Raw_FDIC!X124="","",Raw_FDIC!X124)</f>
        <v/>
      </c>
      <c r="E14" s="17">
        <f>IF(Raw_FDIC!Y124="","",Raw_FDIC!Y124)</f>
        <v/>
      </c>
      <c r="F14" s="17">
        <f>IF(Raw_FDIC!Z124="","",Raw_FDIC!Z124)</f>
        <v/>
      </c>
      <c r="G14" s="17">
        <f>IF(OR(Raw_FDIC!AQ124="",Raw_FDIC!AM124=""),"",IF(Raw_FDIC!AM124=0,"",Raw_FDIC!AQ124/Raw_FDIC!AM124*400))</f>
        <v/>
      </c>
      <c r="H14" s="17">
        <f>IF(Raw_FDIC!AA124="","",Raw_FDIC!AA124)</f>
        <v/>
      </c>
      <c r="I14" s="17">
        <f>IF(Raw_FDIC!AB124="","",Raw_FDIC!AB124)</f>
        <v/>
      </c>
      <c r="J14" s="17">
        <f>IF(Raw_FDIC!AC124="","",Raw_FDIC!AC124)</f>
        <v/>
      </c>
      <c r="K14" s="17">
        <f>IF(OR(Raw_FDIC!AR124="",Raw_FDIC!AN124=""),"",IF(Raw_FDIC!AN124=0,"",Raw_FDIC!AR124/Raw_FDIC!AN124*400))</f>
        <v/>
      </c>
      <c r="L14" s="17">
        <f>IF(OR(Raw_FDIC!AJ124="",Raw_FDIC!AO124=""),"",IF(Raw_FDIC!AO124=0,"",Raw_FDIC!AJ124/Raw_FDIC!AO124*100))</f>
        <v/>
      </c>
      <c r="M14" s="17">
        <f>IF(OR(Raw_FDIC!AK124="",Raw_FDIC!AO124=""),"",IF(Raw_FDIC!AO124=0,"",Raw_FDIC!AK124/Raw_FDIC!AO124*100))</f>
        <v/>
      </c>
      <c r="N14" s="17">
        <f>IF(OR(Raw_FDIC!AL124="",Raw_FDIC!AO124=""),"",IF(Raw_FDIC!AO124=0,"",Raw_FDIC!AL124/Raw_FDIC!AO124*100))</f>
        <v/>
      </c>
      <c r="O14" s="17">
        <f>IF(OR(Raw_FDIC!AS124="",Raw_FDIC!AO124=""),"",IF(Raw_FDIC!AO124=0,"",Raw_FDIC!AS124/Raw_FDIC!AO124*400))</f>
        <v/>
      </c>
      <c r="P14" s="17">
        <f>IF(Raw_FDIC!AD124="","",Raw_FDIC!AD124)</f>
        <v/>
      </c>
      <c r="Q14" s="17">
        <f>IF(Raw_FDIC!AE124="","",Raw_FDIC!AE124)</f>
        <v/>
      </c>
      <c r="R14" s="17">
        <f>IF(Raw_FDIC!AF124="","",Raw_FDIC!AF124)</f>
        <v/>
      </c>
      <c r="S14" s="17">
        <f>IF(OR(Raw_FDIC!AT124="",Raw_FDIC!AP124=""),"",IF(Raw_FDIC!AP124=0,"",Raw_FDIC!AT124/Raw_FDIC!AP124*400))</f>
        <v/>
      </c>
      <c r="T14" s="17">
        <f>IF(Raw_FDIC!AG124="","",Raw_FDIC!AG124)</f>
        <v/>
      </c>
      <c r="U14" s="17">
        <f>IF(Raw_FDIC!AH124="","",Raw_FDIC!AH124)</f>
        <v/>
      </c>
      <c r="V14" s="17">
        <f>IF(Raw_FDIC!AI124="","",Raw_FDIC!AI124)</f>
        <v/>
      </c>
    </row>
    <row r="15">
      <c r="A15" s="14">
        <f>IF(_config!$C$79="","",_config!$C$79)</f>
        <v/>
      </c>
      <c r="B15" s="15">
        <f>IF(_config!$B$79="","",_config!$B$79)</f>
        <v/>
      </c>
      <c r="C15" s="16">
        <f>IF(_config!$D$79="","",_config!$D$79)</f>
        <v/>
      </c>
      <c r="D15" s="17">
        <f>IF(Raw_FDIC!X144="","",Raw_FDIC!X144)</f>
        <v/>
      </c>
      <c r="E15" s="17">
        <f>IF(Raw_FDIC!Y144="","",Raw_FDIC!Y144)</f>
        <v/>
      </c>
      <c r="F15" s="17">
        <f>IF(Raw_FDIC!Z144="","",Raw_FDIC!Z144)</f>
        <v/>
      </c>
      <c r="G15" s="17">
        <f>IF(OR(Raw_FDIC!AQ144="",Raw_FDIC!AM144=""),"",IF(Raw_FDIC!AM144=0,"",Raw_FDIC!AQ144/Raw_FDIC!AM144*400))</f>
        <v/>
      </c>
      <c r="H15" s="17">
        <f>IF(Raw_FDIC!AA144="","",Raw_FDIC!AA144)</f>
        <v/>
      </c>
      <c r="I15" s="17">
        <f>IF(Raw_FDIC!AB144="","",Raw_FDIC!AB144)</f>
        <v/>
      </c>
      <c r="J15" s="17">
        <f>IF(Raw_FDIC!AC144="","",Raw_FDIC!AC144)</f>
        <v/>
      </c>
      <c r="K15" s="17">
        <f>IF(OR(Raw_FDIC!AR144="",Raw_FDIC!AN144=""),"",IF(Raw_FDIC!AN144=0,"",Raw_FDIC!AR144/Raw_FDIC!AN144*400))</f>
        <v/>
      </c>
      <c r="L15" s="17">
        <f>IF(OR(Raw_FDIC!AJ144="",Raw_FDIC!AO144=""),"",IF(Raw_FDIC!AO144=0,"",Raw_FDIC!AJ144/Raw_FDIC!AO144*100))</f>
        <v/>
      </c>
      <c r="M15" s="17">
        <f>IF(OR(Raw_FDIC!AK144="",Raw_FDIC!AO144=""),"",IF(Raw_FDIC!AO144=0,"",Raw_FDIC!AK144/Raw_FDIC!AO144*100))</f>
        <v/>
      </c>
      <c r="N15" s="17">
        <f>IF(OR(Raw_FDIC!AL144="",Raw_FDIC!AO144=""),"",IF(Raw_FDIC!AO144=0,"",Raw_FDIC!AL144/Raw_FDIC!AO144*100))</f>
        <v/>
      </c>
      <c r="O15" s="17">
        <f>IF(OR(Raw_FDIC!AS144="",Raw_FDIC!AO144=""),"",IF(Raw_FDIC!AO144=0,"",Raw_FDIC!AS144/Raw_FDIC!AO144*400))</f>
        <v/>
      </c>
      <c r="P15" s="17">
        <f>IF(Raw_FDIC!AD144="","",Raw_FDIC!AD144)</f>
        <v/>
      </c>
      <c r="Q15" s="17">
        <f>IF(Raw_FDIC!AE144="","",Raw_FDIC!AE144)</f>
        <v/>
      </c>
      <c r="R15" s="17">
        <f>IF(Raw_FDIC!AF144="","",Raw_FDIC!AF144)</f>
        <v/>
      </c>
      <c r="S15" s="17">
        <f>IF(OR(Raw_FDIC!AT144="",Raw_FDIC!AP144=""),"",IF(Raw_FDIC!AP144=0,"",Raw_FDIC!AT144/Raw_FDIC!AP144*400))</f>
        <v/>
      </c>
      <c r="T15" s="17">
        <f>IF(Raw_FDIC!AG144="","",Raw_FDIC!AG144)</f>
        <v/>
      </c>
      <c r="U15" s="17">
        <f>IF(Raw_FDIC!AH144="","",Raw_FDIC!AH144)</f>
        <v/>
      </c>
      <c r="V15" s="17">
        <f>IF(Raw_FDIC!AI144="","",Raw_FDIC!AI144)</f>
        <v/>
      </c>
    </row>
    <row r="16">
      <c r="A16" s="14">
        <f>IF(_config!$C$80="","",_config!$C$80)</f>
        <v/>
      </c>
      <c r="B16" s="15">
        <f>IF(_config!$B$80="","",_config!$B$80)</f>
        <v/>
      </c>
      <c r="C16" s="16">
        <f>IF(_config!$D$80="","",_config!$D$80)</f>
        <v/>
      </c>
      <c r="D16" s="17">
        <f>IF(Raw_FDIC!X164="","",Raw_FDIC!X164)</f>
        <v/>
      </c>
      <c r="E16" s="17">
        <f>IF(Raw_FDIC!Y164="","",Raw_FDIC!Y164)</f>
        <v/>
      </c>
      <c r="F16" s="17">
        <f>IF(Raw_FDIC!Z164="","",Raw_FDIC!Z164)</f>
        <v/>
      </c>
      <c r="G16" s="17">
        <f>IF(OR(Raw_FDIC!AQ164="",Raw_FDIC!AM164=""),"",IF(Raw_FDIC!AM164=0,"",Raw_FDIC!AQ164/Raw_FDIC!AM164*400))</f>
        <v/>
      </c>
      <c r="H16" s="17">
        <f>IF(Raw_FDIC!AA164="","",Raw_FDIC!AA164)</f>
        <v/>
      </c>
      <c r="I16" s="17">
        <f>IF(Raw_FDIC!AB164="","",Raw_FDIC!AB164)</f>
        <v/>
      </c>
      <c r="J16" s="17">
        <f>IF(Raw_FDIC!AC164="","",Raw_FDIC!AC164)</f>
        <v/>
      </c>
      <c r="K16" s="17">
        <f>IF(OR(Raw_FDIC!AR164="",Raw_FDIC!AN164=""),"",IF(Raw_FDIC!AN164=0,"",Raw_FDIC!AR164/Raw_FDIC!AN164*400))</f>
        <v/>
      </c>
      <c r="L16" s="17">
        <f>IF(OR(Raw_FDIC!AJ164="",Raw_FDIC!AO164=""),"",IF(Raw_FDIC!AO164=0,"",Raw_FDIC!AJ164/Raw_FDIC!AO164*100))</f>
        <v/>
      </c>
      <c r="M16" s="17">
        <f>IF(OR(Raw_FDIC!AK164="",Raw_FDIC!AO164=""),"",IF(Raw_FDIC!AO164=0,"",Raw_FDIC!AK164/Raw_FDIC!AO164*100))</f>
        <v/>
      </c>
      <c r="N16" s="17">
        <f>IF(OR(Raw_FDIC!AL164="",Raw_FDIC!AO164=""),"",IF(Raw_FDIC!AO164=0,"",Raw_FDIC!AL164/Raw_FDIC!AO164*100))</f>
        <v/>
      </c>
      <c r="O16" s="17">
        <f>IF(OR(Raw_FDIC!AS164="",Raw_FDIC!AO164=""),"",IF(Raw_FDIC!AO164=0,"",Raw_FDIC!AS164/Raw_FDIC!AO164*400))</f>
        <v/>
      </c>
      <c r="P16" s="17">
        <f>IF(Raw_FDIC!AD164="","",Raw_FDIC!AD164)</f>
        <v/>
      </c>
      <c r="Q16" s="17">
        <f>IF(Raw_FDIC!AE164="","",Raw_FDIC!AE164)</f>
        <v/>
      </c>
      <c r="R16" s="17">
        <f>IF(Raw_FDIC!AF164="","",Raw_FDIC!AF164)</f>
        <v/>
      </c>
      <c r="S16" s="17">
        <f>IF(OR(Raw_FDIC!AT164="",Raw_FDIC!AP164=""),"",IF(Raw_FDIC!AP164=0,"",Raw_FDIC!AT164/Raw_FDIC!AP164*400))</f>
        <v/>
      </c>
      <c r="T16" s="17">
        <f>IF(Raw_FDIC!AG164="","",Raw_FDIC!AG164)</f>
        <v/>
      </c>
      <c r="U16" s="17">
        <f>IF(Raw_FDIC!AH164="","",Raw_FDIC!AH164)</f>
        <v/>
      </c>
      <c r="V16" s="17">
        <f>IF(Raw_FDIC!AI164="","",Raw_FDIC!AI164)</f>
        <v/>
      </c>
    </row>
    <row r="17">
      <c r="A17" s="14">
        <f>IF(_config!$C$81="","",_config!$C$81)</f>
        <v/>
      </c>
      <c r="B17" s="15">
        <f>IF(_config!$B$81="","",_config!$B$81)</f>
        <v/>
      </c>
      <c r="C17" s="16">
        <f>IF(_config!$D$81="","",_config!$D$81)</f>
        <v/>
      </c>
      <c r="D17" s="17">
        <f>IF(Raw_FDIC!X184="","",Raw_FDIC!X184)</f>
        <v/>
      </c>
      <c r="E17" s="17">
        <f>IF(Raw_FDIC!Y184="","",Raw_FDIC!Y184)</f>
        <v/>
      </c>
      <c r="F17" s="17">
        <f>IF(Raw_FDIC!Z184="","",Raw_FDIC!Z184)</f>
        <v/>
      </c>
      <c r="G17" s="17">
        <f>IF(OR(Raw_FDIC!AQ184="",Raw_FDIC!AM184=""),"",IF(Raw_FDIC!AM184=0,"",Raw_FDIC!AQ184/Raw_FDIC!AM184*400))</f>
        <v/>
      </c>
      <c r="H17" s="17">
        <f>IF(Raw_FDIC!AA184="","",Raw_FDIC!AA184)</f>
        <v/>
      </c>
      <c r="I17" s="17">
        <f>IF(Raw_FDIC!AB184="","",Raw_FDIC!AB184)</f>
        <v/>
      </c>
      <c r="J17" s="17">
        <f>IF(Raw_FDIC!AC184="","",Raw_FDIC!AC184)</f>
        <v/>
      </c>
      <c r="K17" s="17">
        <f>IF(OR(Raw_FDIC!AR184="",Raw_FDIC!AN184=""),"",IF(Raw_FDIC!AN184=0,"",Raw_FDIC!AR184/Raw_FDIC!AN184*400))</f>
        <v/>
      </c>
      <c r="L17" s="17">
        <f>IF(OR(Raw_FDIC!AJ184="",Raw_FDIC!AO184=""),"",IF(Raw_FDIC!AO184=0,"",Raw_FDIC!AJ184/Raw_FDIC!AO184*100))</f>
        <v/>
      </c>
      <c r="M17" s="17">
        <f>IF(OR(Raw_FDIC!AK184="",Raw_FDIC!AO184=""),"",IF(Raw_FDIC!AO184=0,"",Raw_FDIC!AK184/Raw_FDIC!AO184*100))</f>
        <v/>
      </c>
      <c r="N17" s="17">
        <f>IF(OR(Raw_FDIC!AL184="",Raw_FDIC!AO184=""),"",IF(Raw_FDIC!AO184=0,"",Raw_FDIC!AL184/Raw_FDIC!AO184*100))</f>
        <v/>
      </c>
      <c r="O17" s="17">
        <f>IF(OR(Raw_FDIC!AS184="",Raw_FDIC!AO184=""),"",IF(Raw_FDIC!AO184=0,"",Raw_FDIC!AS184/Raw_FDIC!AO184*400))</f>
        <v/>
      </c>
      <c r="P17" s="17">
        <f>IF(Raw_FDIC!AD184="","",Raw_FDIC!AD184)</f>
        <v/>
      </c>
      <c r="Q17" s="17">
        <f>IF(Raw_FDIC!AE184="","",Raw_FDIC!AE184)</f>
        <v/>
      </c>
      <c r="R17" s="17">
        <f>IF(Raw_FDIC!AF184="","",Raw_FDIC!AF184)</f>
        <v/>
      </c>
      <c r="S17" s="17">
        <f>IF(OR(Raw_FDIC!AT184="",Raw_FDIC!AP184=""),"",IF(Raw_FDIC!AP184=0,"",Raw_FDIC!AT184/Raw_FDIC!AP184*400))</f>
        <v/>
      </c>
      <c r="T17" s="17">
        <f>IF(Raw_FDIC!AG184="","",Raw_FDIC!AG184)</f>
        <v/>
      </c>
      <c r="U17" s="17">
        <f>IF(Raw_FDIC!AH184="","",Raw_FDIC!AH184)</f>
        <v/>
      </c>
      <c r="V17" s="17">
        <f>IF(Raw_FDIC!AI184="","",Raw_FDIC!AI184)</f>
        <v/>
      </c>
    </row>
    <row r="18">
      <c r="A18" s="14">
        <f>IF(_config!$C$82="","",_config!$C$82)</f>
        <v/>
      </c>
      <c r="B18" s="15">
        <f>IF(_config!$B$82="","",_config!$B$82)</f>
        <v/>
      </c>
      <c r="C18" s="16">
        <f>IF(_config!$D$82="","",_config!$D$82)</f>
        <v/>
      </c>
      <c r="D18" s="17">
        <f>IF(Raw_FDIC!X204="","",Raw_FDIC!X204)</f>
        <v/>
      </c>
      <c r="E18" s="17">
        <f>IF(Raw_FDIC!Y204="","",Raw_FDIC!Y204)</f>
        <v/>
      </c>
      <c r="F18" s="17">
        <f>IF(Raw_FDIC!Z204="","",Raw_FDIC!Z204)</f>
        <v/>
      </c>
      <c r="G18" s="17">
        <f>IF(OR(Raw_FDIC!AQ204="",Raw_FDIC!AM204=""),"",IF(Raw_FDIC!AM204=0,"",Raw_FDIC!AQ204/Raw_FDIC!AM204*400))</f>
        <v/>
      </c>
      <c r="H18" s="17">
        <f>IF(Raw_FDIC!AA204="","",Raw_FDIC!AA204)</f>
        <v/>
      </c>
      <c r="I18" s="17">
        <f>IF(Raw_FDIC!AB204="","",Raw_FDIC!AB204)</f>
        <v/>
      </c>
      <c r="J18" s="17">
        <f>IF(Raw_FDIC!AC204="","",Raw_FDIC!AC204)</f>
        <v/>
      </c>
      <c r="K18" s="17">
        <f>IF(OR(Raw_FDIC!AR204="",Raw_FDIC!AN204=""),"",IF(Raw_FDIC!AN204=0,"",Raw_FDIC!AR204/Raw_FDIC!AN204*400))</f>
        <v/>
      </c>
      <c r="L18" s="17">
        <f>IF(OR(Raw_FDIC!AJ204="",Raw_FDIC!AO204=""),"",IF(Raw_FDIC!AO204=0,"",Raw_FDIC!AJ204/Raw_FDIC!AO204*100))</f>
        <v/>
      </c>
      <c r="M18" s="17">
        <f>IF(OR(Raw_FDIC!AK204="",Raw_FDIC!AO204=""),"",IF(Raw_FDIC!AO204=0,"",Raw_FDIC!AK204/Raw_FDIC!AO204*100))</f>
        <v/>
      </c>
      <c r="N18" s="17">
        <f>IF(OR(Raw_FDIC!AL204="",Raw_FDIC!AO204=""),"",IF(Raw_FDIC!AO204=0,"",Raw_FDIC!AL204/Raw_FDIC!AO204*100))</f>
        <v/>
      </c>
      <c r="O18" s="17">
        <f>IF(OR(Raw_FDIC!AS204="",Raw_FDIC!AO204=""),"",IF(Raw_FDIC!AO204=0,"",Raw_FDIC!AS204/Raw_FDIC!AO204*400))</f>
        <v/>
      </c>
      <c r="P18" s="17">
        <f>IF(Raw_FDIC!AD204="","",Raw_FDIC!AD204)</f>
        <v/>
      </c>
      <c r="Q18" s="17">
        <f>IF(Raw_FDIC!AE204="","",Raw_FDIC!AE204)</f>
        <v/>
      </c>
      <c r="R18" s="17">
        <f>IF(Raw_FDIC!AF204="","",Raw_FDIC!AF204)</f>
        <v/>
      </c>
      <c r="S18" s="17">
        <f>IF(OR(Raw_FDIC!AT204="",Raw_FDIC!AP204=""),"",IF(Raw_FDIC!AP204=0,"",Raw_FDIC!AT204/Raw_FDIC!AP204*400))</f>
        <v/>
      </c>
      <c r="T18" s="17">
        <f>IF(Raw_FDIC!AG204="","",Raw_FDIC!AG204)</f>
        <v/>
      </c>
      <c r="U18" s="17">
        <f>IF(Raw_FDIC!AH204="","",Raw_FDIC!AH204)</f>
        <v/>
      </c>
      <c r="V18" s="17">
        <f>IF(Raw_FDIC!AI204="","",Raw_FDIC!AI204)</f>
        <v/>
      </c>
    </row>
    <row r="19">
      <c r="A19" s="14">
        <f>IF(_config!$C$83="","",_config!$C$83)</f>
        <v/>
      </c>
      <c r="B19" s="15">
        <f>IF(_config!$B$83="","",_config!$B$83)</f>
        <v/>
      </c>
      <c r="C19" s="16">
        <f>IF(_config!$D$83="","",_config!$D$83)</f>
        <v/>
      </c>
      <c r="D19" s="17">
        <f>IF(Raw_FDIC!X224="","",Raw_FDIC!X224)</f>
        <v/>
      </c>
      <c r="E19" s="17">
        <f>IF(Raw_FDIC!Y224="","",Raw_FDIC!Y224)</f>
        <v/>
      </c>
      <c r="F19" s="17">
        <f>IF(Raw_FDIC!Z224="","",Raw_FDIC!Z224)</f>
        <v/>
      </c>
      <c r="G19" s="17">
        <f>IF(OR(Raw_FDIC!AQ224="",Raw_FDIC!AM224=""),"",IF(Raw_FDIC!AM224=0,"",Raw_FDIC!AQ224/Raw_FDIC!AM224*400))</f>
        <v/>
      </c>
      <c r="H19" s="17">
        <f>IF(Raw_FDIC!AA224="","",Raw_FDIC!AA224)</f>
        <v/>
      </c>
      <c r="I19" s="17">
        <f>IF(Raw_FDIC!AB224="","",Raw_FDIC!AB224)</f>
        <v/>
      </c>
      <c r="J19" s="17">
        <f>IF(Raw_FDIC!AC224="","",Raw_FDIC!AC224)</f>
        <v/>
      </c>
      <c r="K19" s="17">
        <f>IF(OR(Raw_FDIC!AR224="",Raw_FDIC!AN224=""),"",IF(Raw_FDIC!AN224=0,"",Raw_FDIC!AR224/Raw_FDIC!AN224*400))</f>
        <v/>
      </c>
      <c r="L19" s="17">
        <f>IF(OR(Raw_FDIC!AJ224="",Raw_FDIC!AO224=""),"",IF(Raw_FDIC!AO224=0,"",Raw_FDIC!AJ224/Raw_FDIC!AO224*100))</f>
        <v/>
      </c>
      <c r="M19" s="17">
        <f>IF(OR(Raw_FDIC!AK224="",Raw_FDIC!AO224=""),"",IF(Raw_FDIC!AO224=0,"",Raw_FDIC!AK224/Raw_FDIC!AO224*100))</f>
        <v/>
      </c>
      <c r="N19" s="17">
        <f>IF(OR(Raw_FDIC!AL224="",Raw_FDIC!AO224=""),"",IF(Raw_FDIC!AO224=0,"",Raw_FDIC!AL224/Raw_FDIC!AO224*100))</f>
        <v/>
      </c>
      <c r="O19" s="17">
        <f>IF(OR(Raw_FDIC!AS224="",Raw_FDIC!AO224=""),"",IF(Raw_FDIC!AO224=0,"",Raw_FDIC!AS224/Raw_FDIC!AO224*400))</f>
        <v/>
      </c>
      <c r="P19" s="17">
        <f>IF(Raw_FDIC!AD224="","",Raw_FDIC!AD224)</f>
        <v/>
      </c>
      <c r="Q19" s="17">
        <f>IF(Raw_FDIC!AE224="","",Raw_FDIC!AE224)</f>
        <v/>
      </c>
      <c r="R19" s="17">
        <f>IF(Raw_FDIC!AF224="","",Raw_FDIC!AF224)</f>
        <v/>
      </c>
      <c r="S19" s="17">
        <f>IF(OR(Raw_FDIC!AT224="",Raw_FDIC!AP224=""),"",IF(Raw_FDIC!AP224=0,"",Raw_FDIC!AT224/Raw_FDIC!AP224*400))</f>
        <v/>
      </c>
      <c r="T19" s="17">
        <f>IF(Raw_FDIC!AG224="","",Raw_FDIC!AG224)</f>
        <v/>
      </c>
      <c r="U19" s="17">
        <f>IF(Raw_FDIC!AH224="","",Raw_FDIC!AH224)</f>
        <v/>
      </c>
      <c r="V19" s="17">
        <f>IF(Raw_FDIC!AI224="","",Raw_FDIC!AI224)</f>
        <v/>
      </c>
    </row>
    <row r="20">
      <c r="A20" s="14">
        <f>IF(_config!$C$84="","",_config!$C$84)</f>
        <v/>
      </c>
      <c r="B20" s="15">
        <f>IF(_config!$B$84="","",_config!$B$84)</f>
        <v/>
      </c>
      <c r="C20" s="16">
        <f>IF(_config!$D$84="","",_config!$D$84)</f>
        <v/>
      </c>
      <c r="D20" s="17">
        <f>IF(Raw_FDIC!X244="","",Raw_FDIC!X244)</f>
        <v/>
      </c>
      <c r="E20" s="17">
        <f>IF(Raw_FDIC!Y244="","",Raw_FDIC!Y244)</f>
        <v/>
      </c>
      <c r="F20" s="17">
        <f>IF(Raw_FDIC!Z244="","",Raw_FDIC!Z244)</f>
        <v/>
      </c>
      <c r="G20" s="17">
        <f>IF(OR(Raw_FDIC!AQ244="",Raw_FDIC!AM244=""),"",IF(Raw_FDIC!AM244=0,"",Raw_FDIC!AQ244/Raw_FDIC!AM244*400))</f>
        <v/>
      </c>
      <c r="H20" s="17">
        <f>IF(Raw_FDIC!AA244="","",Raw_FDIC!AA244)</f>
        <v/>
      </c>
      <c r="I20" s="17">
        <f>IF(Raw_FDIC!AB244="","",Raw_FDIC!AB244)</f>
        <v/>
      </c>
      <c r="J20" s="17">
        <f>IF(Raw_FDIC!AC244="","",Raw_FDIC!AC244)</f>
        <v/>
      </c>
      <c r="K20" s="17">
        <f>IF(OR(Raw_FDIC!AR244="",Raw_FDIC!AN244=""),"",IF(Raw_FDIC!AN244=0,"",Raw_FDIC!AR244/Raw_FDIC!AN244*400))</f>
        <v/>
      </c>
      <c r="L20" s="17">
        <f>IF(OR(Raw_FDIC!AJ244="",Raw_FDIC!AO244=""),"",IF(Raw_FDIC!AO244=0,"",Raw_FDIC!AJ244/Raw_FDIC!AO244*100))</f>
        <v/>
      </c>
      <c r="M20" s="17">
        <f>IF(OR(Raw_FDIC!AK244="",Raw_FDIC!AO244=""),"",IF(Raw_FDIC!AO244=0,"",Raw_FDIC!AK244/Raw_FDIC!AO244*100))</f>
        <v/>
      </c>
      <c r="N20" s="17">
        <f>IF(OR(Raw_FDIC!AL244="",Raw_FDIC!AO244=""),"",IF(Raw_FDIC!AO244=0,"",Raw_FDIC!AL244/Raw_FDIC!AO244*100))</f>
        <v/>
      </c>
      <c r="O20" s="17">
        <f>IF(OR(Raw_FDIC!AS244="",Raw_FDIC!AO244=""),"",IF(Raw_FDIC!AO244=0,"",Raw_FDIC!AS244/Raw_FDIC!AO244*400))</f>
        <v/>
      </c>
      <c r="P20" s="17">
        <f>IF(Raw_FDIC!AD244="","",Raw_FDIC!AD244)</f>
        <v/>
      </c>
      <c r="Q20" s="17">
        <f>IF(Raw_FDIC!AE244="","",Raw_FDIC!AE244)</f>
        <v/>
      </c>
      <c r="R20" s="17">
        <f>IF(Raw_FDIC!AF244="","",Raw_FDIC!AF244)</f>
        <v/>
      </c>
      <c r="S20" s="17">
        <f>IF(OR(Raw_FDIC!AT244="",Raw_FDIC!AP244=""),"",IF(Raw_FDIC!AP244=0,"",Raw_FDIC!AT244/Raw_FDIC!AP244*400))</f>
        <v/>
      </c>
      <c r="T20" s="17">
        <f>IF(Raw_FDIC!AG244="","",Raw_FDIC!AG244)</f>
        <v/>
      </c>
      <c r="U20" s="17">
        <f>IF(Raw_FDIC!AH244="","",Raw_FDIC!AH244)</f>
        <v/>
      </c>
      <c r="V20" s="17">
        <f>IF(Raw_FDIC!AI244="","",Raw_FDIC!AI244)</f>
        <v/>
      </c>
    </row>
    <row r="21">
      <c r="A21" s="14">
        <f>IF(_config!$C$85="","",_config!$C$85)</f>
        <v/>
      </c>
      <c r="B21" s="15">
        <f>IF(_config!$B$85="","",_config!$B$85)</f>
        <v/>
      </c>
      <c r="C21" s="16">
        <f>IF(_config!$D$85="","",_config!$D$85)</f>
        <v/>
      </c>
      <c r="D21" s="17">
        <f>IF(Raw_FDIC!X264="","",Raw_FDIC!X264)</f>
        <v/>
      </c>
      <c r="E21" s="17">
        <f>IF(Raw_FDIC!Y264="","",Raw_FDIC!Y264)</f>
        <v/>
      </c>
      <c r="F21" s="17">
        <f>IF(Raw_FDIC!Z264="","",Raw_FDIC!Z264)</f>
        <v/>
      </c>
      <c r="G21" s="17">
        <f>IF(OR(Raw_FDIC!AQ264="",Raw_FDIC!AM264=""),"",IF(Raw_FDIC!AM264=0,"",Raw_FDIC!AQ264/Raw_FDIC!AM264*400))</f>
        <v/>
      </c>
      <c r="H21" s="17">
        <f>IF(Raw_FDIC!AA264="","",Raw_FDIC!AA264)</f>
        <v/>
      </c>
      <c r="I21" s="17">
        <f>IF(Raw_FDIC!AB264="","",Raw_FDIC!AB264)</f>
        <v/>
      </c>
      <c r="J21" s="17">
        <f>IF(Raw_FDIC!AC264="","",Raw_FDIC!AC264)</f>
        <v/>
      </c>
      <c r="K21" s="17">
        <f>IF(OR(Raw_FDIC!AR264="",Raw_FDIC!AN264=""),"",IF(Raw_FDIC!AN264=0,"",Raw_FDIC!AR264/Raw_FDIC!AN264*400))</f>
        <v/>
      </c>
      <c r="L21" s="17">
        <f>IF(OR(Raw_FDIC!AJ264="",Raw_FDIC!AO264=""),"",IF(Raw_FDIC!AO264=0,"",Raw_FDIC!AJ264/Raw_FDIC!AO264*100))</f>
        <v/>
      </c>
      <c r="M21" s="17">
        <f>IF(OR(Raw_FDIC!AK264="",Raw_FDIC!AO264=""),"",IF(Raw_FDIC!AO264=0,"",Raw_FDIC!AK264/Raw_FDIC!AO264*100))</f>
        <v/>
      </c>
      <c r="N21" s="17">
        <f>IF(OR(Raw_FDIC!AL264="",Raw_FDIC!AO264=""),"",IF(Raw_FDIC!AO264=0,"",Raw_FDIC!AL264/Raw_FDIC!AO264*100))</f>
        <v/>
      </c>
      <c r="O21" s="17">
        <f>IF(OR(Raw_FDIC!AS264="",Raw_FDIC!AO264=""),"",IF(Raw_FDIC!AO264=0,"",Raw_FDIC!AS264/Raw_FDIC!AO264*400))</f>
        <v/>
      </c>
      <c r="P21" s="17">
        <f>IF(Raw_FDIC!AD264="","",Raw_FDIC!AD264)</f>
        <v/>
      </c>
      <c r="Q21" s="17">
        <f>IF(Raw_FDIC!AE264="","",Raw_FDIC!AE264)</f>
        <v/>
      </c>
      <c r="R21" s="17">
        <f>IF(Raw_FDIC!AF264="","",Raw_FDIC!AF264)</f>
        <v/>
      </c>
      <c r="S21" s="17">
        <f>IF(OR(Raw_FDIC!AT264="",Raw_FDIC!AP264=""),"",IF(Raw_FDIC!AP264=0,"",Raw_FDIC!AT264/Raw_FDIC!AP264*400))</f>
        <v/>
      </c>
      <c r="T21" s="17">
        <f>IF(Raw_FDIC!AG264="","",Raw_FDIC!AG264)</f>
        <v/>
      </c>
      <c r="U21" s="17">
        <f>IF(Raw_FDIC!AH264="","",Raw_FDIC!AH264)</f>
        <v/>
      </c>
      <c r="V21" s="17">
        <f>IF(Raw_FDIC!AI264="","",Raw_FDIC!AI264)</f>
        <v/>
      </c>
    </row>
    <row r="22">
      <c r="A22" s="14">
        <f>IF(_config!$C$86="","",_config!$C$86)</f>
        <v/>
      </c>
      <c r="B22" s="15">
        <f>IF(_config!$B$86="","",_config!$B$86)</f>
        <v/>
      </c>
      <c r="C22" s="16">
        <f>IF(_config!$D$86="","",_config!$D$86)</f>
        <v/>
      </c>
      <c r="D22" s="17">
        <f>IF(Raw_FDIC!X284="","",Raw_FDIC!X284)</f>
        <v/>
      </c>
      <c r="E22" s="17">
        <f>IF(Raw_FDIC!Y284="","",Raw_FDIC!Y284)</f>
        <v/>
      </c>
      <c r="F22" s="17">
        <f>IF(Raw_FDIC!Z284="","",Raw_FDIC!Z284)</f>
        <v/>
      </c>
      <c r="G22" s="17">
        <f>IF(OR(Raw_FDIC!AQ284="",Raw_FDIC!AM284=""),"",IF(Raw_FDIC!AM284=0,"",Raw_FDIC!AQ284/Raw_FDIC!AM284*400))</f>
        <v/>
      </c>
      <c r="H22" s="17">
        <f>IF(Raw_FDIC!AA284="","",Raw_FDIC!AA284)</f>
        <v/>
      </c>
      <c r="I22" s="17">
        <f>IF(Raw_FDIC!AB284="","",Raw_FDIC!AB284)</f>
        <v/>
      </c>
      <c r="J22" s="17">
        <f>IF(Raw_FDIC!AC284="","",Raw_FDIC!AC284)</f>
        <v/>
      </c>
      <c r="K22" s="17">
        <f>IF(OR(Raw_FDIC!AR284="",Raw_FDIC!AN284=""),"",IF(Raw_FDIC!AN284=0,"",Raw_FDIC!AR284/Raw_FDIC!AN284*400))</f>
        <v/>
      </c>
      <c r="L22" s="17">
        <f>IF(OR(Raw_FDIC!AJ284="",Raw_FDIC!AO284=""),"",IF(Raw_FDIC!AO284=0,"",Raw_FDIC!AJ284/Raw_FDIC!AO284*100))</f>
        <v/>
      </c>
      <c r="M22" s="17">
        <f>IF(OR(Raw_FDIC!AK284="",Raw_FDIC!AO284=""),"",IF(Raw_FDIC!AO284=0,"",Raw_FDIC!AK284/Raw_FDIC!AO284*100))</f>
        <v/>
      </c>
      <c r="N22" s="17">
        <f>IF(OR(Raw_FDIC!AL284="",Raw_FDIC!AO284=""),"",IF(Raw_FDIC!AO284=0,"",Raw_FDIC!AL284/Raw_FDIC!AO284*100))</f>
        <v/>
      </c>
      <c r="O22" s="17">
        <f>IF(OR(Raw_FDIC!AS284="",Raw_FDIC!AO284=""),"",IF(Raw_FDIC!AO284=0,"",Raw_FDIC!AS284/Raw_FDIC!AO284*400))</f>
        <v/>
      </c>
      <c r="P22" s="17">
        <f>IF(Raw_FDIC!AD284="","",Raw_FDIC!AD284)</f>
        <v/>
      </c>
      <c r="Q22" s="17">
        <f>IF(Raw_FDIC!AE284="","",Raw_FDIC!AE284)</f>
        <v/>
      </c>
      <c r="R22" s="17">
        <f>IF(Raw_FDIC!AF284="","",Raw_FDIC!AF284)</f>
        <v/>
      </c>
      <c r="S22" s="17">
        <f>IF(OR(Raw_FDIC!AT284="",Raw_FDIC!AP284=""),"",IF(Raw_FDIC!AP284=0,"",Raw_FDIC!AT284/Raw_FDIC!AP284*400))</f>
        <v/>
      </c>
      <c r="T22" s="17">
        <f>IF(Raw_FDIC!AG284="","",Raw_FDIC!AG284)</f>
        <v/>
      </c>
      <c r="U22" s="17">
        <f>IF(Raw_FDIC!AH284="","",Raw_FDIC!AH284)</f>
        <v/>
      </c>
      <c r="V22" s="17">
        <f>IF(Raw_FDIC!AI284="","",Raw_FDIC!AI284)</f>
        <v/>
      </c>
    </row>
    <row r="23">
      <c r="A23" s="14">
        <f>IF(_config!$C$87="","",_config!$C$87)</f>
        <v/>
      </c>
      <c r="B23" s="15">
        <f>IF(_config!$B$87="","",_config!$B$87)</f>
        <v/>
      </c>
      <c r="C23" s="16">
        <f>IF(_config!$D$87="","",_config!$D$87)</f>
        <v/>
      </c>
      <c r="D23" s="17">
        <f>IF(Raw_FDIC!X304="","",Raw_FDIC!X304)</f>
        <v/>
      </c>
      <c r="E23" s="17">
        <f>IF(Raw_FDIC!Y304="","",Raw_FDIC!Y304)</f>
        <v/>
      </c>
      <c r="F23" s="17">
        <f>IF(Raw_FDIC!Z304="","",Raw_FDIC!Z304)</f>
        <v/>
      </c>
      <c r="G23" s="17">
        <f>IF(OR(Raw_FDIC!AQ304="",Raw_FDIC!AM304=""),"",IF(Raw_FDIC!AM304=0,"",Raw_FDIC!AQ304/Raw_FDIC!AM304*400))</f>
        <v/>
      </c>
      <c r="H23" s="17">
        <f>IF(Raw_FDIC!AA304="","",Raw_FDIC!AA304)</f>
        <v/>
      </c>
      <c r="I23" s="17">
        <f>IF(Raw_FDIC!AB304="","",Raw_FDIC!AB304)</f>
        <v/>
      </c>
      <c r="J23" s="17">
        <f>IF(Raw_FDIC!AC304="","",Raw_FDIC!AC304)</f>
        <v/>
      </c>
      <c r="K23" s="17">
        <f>IF(OR(Raw_FDIC!AR304="",Raw_FDIC!AN304=""),"",IF(Raw_FDIC!AN304=0,"",Raw_FDIC!AR304/Raw_FDIC!AN304*400))</f>
        <v/>
      </c>
      <c r="L23" s="17">
        <f>IF(OR(Raw_FDIC!AJ304="",Raw_FDIC!AO304=""),"",IF(Raw_FDIC!AO304=0,"",Raw_FDIC!AJ304/Raw_FDIC!AO304*100))</f>
        <v/>
      </c>
      <c r="M23" s="17">
        <f>IF(OR(Raw_FDIC!AK304="",Raw_FDIC!AO304=""),"",IF(Raw_FDIC!AO304=0,"",Raw_FDIC!AK304/Raw_FDIC!AO304*100))</f>
        <v/>
      </c>
      <c r="N23" s="17">
        <f>IF(OR(Raw_FDIC!AL304="",Raw_FDIC!AO304=""),"",IF(Raw_FDIC!AO304=0,"",Raw_FDIC!AL304/Raw_FDIC!AO304*100))</f>
        <v/>
      </c>
      <c r="O23" s="17">
        <f>IF(OR(Raw_FDIC!AS304="",Raw_FDIC!AO304=""),"",IF(Raw_FDIC!AO304=0,"",Raw_FDIC!AS304/Raw_FDIC!AO304*400))</f>
        <v/>
      </c>
      <c r="P23" s="17">
        <f>IF(Raw_FDIC!AD304="","",Raw_FDIC!AD304)</f>
        <v/>
      </c>
      <c r="Q23" s="17">
        <f>IF(Raw_FDIC!AE304="","",Raw_FDIC!AE304)</f>
        <v/>
      </c>
      <c r="R23" s="17">
        <f>IF(Raw_FDIC!AF304="","",Raw_FDIC!AF304)</f>
        <v/>
      </c>
      <c r="S23" s="17">
        <f>IF(OR(Raw_FDIC!AT304="",Raw_FDIC!AP304=""),"",IF(Raw_FDIC!AP304=0,"",Raw_FDIC!AT304/Raw_FDIC!AP304*400))</f>
        <v/>
      </c>
      <c r="T23" s="17">
        <f>IF(Raw_FDIC!AG304="","",Raw_FDIC!AG304)</f>
        <v/>
      </c>
      <c r="U23" s="17">
        <f>IF(Raw_FDIC!AH304="","",Raw_FDIC!AH304)</f>
        <v/>
      </c>
      <c r="V23" s="17">
        <f>IF(Raw_FDIC!AI304="","",Raw_FDIC!AI304)</f>
        <v/>
      </c>
    </row>
    <row r="24">
      <c r="A24" s="14">
        <f>IF(_config!$C$88="","",_config!$C$88)</f>
        <v/>
      </c>
      <c r="B24" s="15">
        <f>IF(_config!$B$88="","",_config!$B$88)</f>
        <v/>
      </c>
      <c r="C24" s="16">
        <f>IF(_config!$D$88="","",_config!$D$88)</f>
        <v/>
      </c>
      <c r="D24" s="17">
        <f>IF(Raw_FDIC!X324="","",Raw_FDIC!X324)</f>
        <v/>
      </c>
      <c r="E24" s="17">
        <f>IF(Raw_FDIC!Y324="","",Raw_FDIC!Y324)</f>
        <v/>
      </c>
      <c r="F24" s="17">
        <f>IF(Raw_FDIC!Z324="","",Raw_FDIC!Z324)</f>
        <v/>
      </c>
      <c r="G24" s="17">
        <f>IF(OR(Raw_FDIC!AQ324="",Raw_FDIC!AM324=""),"",IF(Raw_FDIC!AM324=0,"",Raw_FDIC!AQ324/Raw_FDIC!AM324*400))</f>
        <v/>
      </c>
      <c r="H24" s="17">
        <f>IF(Raw_FDIC!AA324="","",Raw_FDIC!AA324)</f>
        <v/>
      </c>
      <c r="I24" s="17">
        <f>IF(Raw_FDIC!AB324="","",Raw_FDIC!AB324)</f>
        <v/>
      </c>
      <c r="J24" s="17">
        <f>IF(Raw_FDIC!AC324="","",Raw_FDIC!AC324)</f>
        <v/>
      </c>
      <c r="K24" s="17">
        <f>IF(OR(Raw_FDIC!AR324="",Raw_FDIC!AN324=""),"",IF(Raw_FDIC!AN324=0,"",Raw_FDIC!AR324/Raw_FDIC!AN324*400))</f>
        <v/>
      </c>
      <c r="L24" s="17">
        <f>IF(OR(Raw_FDIC!AJ324="",Raw_FDIC!AO324=""),"",IF(Raw_FDIC!AO324=0,"",Raw_FDIC!AJ324/Raw_FDIC!AO324*100))</f>
        <v/>
      </c>
      <c r="M24" s="17">
        <f>IF(OR(Raw_FDIC!AK324="",Raw_FDIC!AO324=""),"",IF(Raw_FDIC!AO324=0,"",Raw_FDIC!AK324/Raw_FDIC!AO324*100))</f>
        <v/>
      </c>
      <c r="N24" s="17">
        <f>IF(OR(Raw_FDIC!AL324="",Raw_FDIC!AO324=""),"",IF(Raw_FDIC!AO324=0,"",Raw_FDIC!AL324/Raw_FDIC!AO324*100))</f>
        <v/>
      </c>
      <c r="O24" s="17">
        <f>IF(OR(Raw_FDIC!AS324="",Raw_FDIC!AO324=""),"",IF(Raw_FDIC!AO324=0,"",Raw_FDIC!AS324/Raw_FDIC!AO324*400))</f>
        <v/>
      </c>
      <c r="P24" s="17">
        <f>IF(Raw_FDIC!AD324="","",Raw_FDIC!AD324)</f>
        <v/>
      </c>
      <c r="Q24" s="17">
        <f>IF(Raw_FDIC!AE324="","",Raw_FDIC!AE324)</f>
        <v/>
      </c>
      <c r="R24" s="17">
        <f>IF(Raw_FDIC!AF324="","",Raw_FDIC!AF324)</f>
        <v/>
      </c>
      <c r="S24" s="17">
        <f>IF(OR(Raw_FDIC!AT324="",Raw_FDIC!AP324=""),"",IF(Raw_FDIC!AP324=0,"",Raw_FDIC!AT324/Raw_FDIC!AP324*400))</f>
        <v/>
      </c>
      <c r="T24" s="17">
        <f>IF(Raw_FDIC!AG324="","",Raw_FDIC!AG324)</f>
        <v/>
      </c>
      <c r="U24" s="17">
        <f>IF(Raw_FDIC!AH324="","",Raw_FDIC!AH324)</f>
        <v/>
      </c>
      <c r="V24" s="17">
        <f>IF(Raw_FDIC!AI324="","",Raw_FDIC!AI324)</f>
        <v/>
      </c>
    </row>
    <row r="25">
      <c r="A25" s="14">
        <f>IF(_config!$C$89="","",_config!$C$89)</f>
        <v/>
      </c>
      <c r="B25" s="15">
        <f>IF(_config!$B$89="","",_config!$B$89)</f>
        <v/>
      </c>
      <c r="C25" s="16">
        <f>IF(_config!$D$89="","",_config!$D$89)</f>
        <v/>
      </c>
      <c r="D25" s="17">
        <f>IF(Raw_FDIC!X344="","",Raw_FDIC!X344)</f>
        <v/>
      </c>
      <c r="E25" s="17">
        <f>IF(Raw_FDIC!Y344="","",Raw_FDIC!Y344)</f>
        <v/>
      </c>
      <c r="F25" s="17">
        <f>IF(Raw_FDIC!Z344="","",Raw_FDIC!Z344)</f>
        <v/>
      </c>
      <c r="G25" s="17">
        <f>IF(OR(Raw_FDIC!AQ344="",Raw_FDIC!AM344=""),"",IF(Raw_FDIC!AM344=0,"",Raw_FDIC!AQ344/Raw_FDIC!AM344*400))</f>
        <v/>
      </c>
      <c r="H25" s="17">
        <f>IF(Raw_FDIC!AA344="","",Raw_FDIC!AA344)</f>
        <v/>
      </c>
      <c r="I25" s="17">
        <f>IF(Raw_FDIC!AB344="","",Raw_FDIC!AB344)</f>
        <v/>
      </c>
      <c r="J25" s="17">
        <f>IF(Raw_FDIC!AC344="","",Raw_FDIC!AC344)</f>
        <v/>
      </c>
      <c r="K25" s="17">
        <f>IF(OR(Raw_FDIC!AR344="",Raw_FDIC!AN344=""),"",IF(Raw_FDIC!AN344=0,"",Raw_FDIC!AR344/Raw_FDIC!AN344*400))</f>
        <v/>
      </c>
      <c r="L25" s="17">
        <f>IF(OR(Raw_FDIC!AJ344="",Raw_FDIC!AO344=""),"",IF(Raw_FDIC!AO344=0,"",Raw_FDIC!AJ344/Raw_FDIC!AO344*100))</f>
        <v/>
      </c>
      <c r="M25" s="17">
        <f>IF(OR(Raw_FDIC!AK344="",Raw_FDIC!AO344=""),"",IF(Raw_FDIC!AO344=0,"",Raw_FDIC!AK344/Raw_FDIC!AO344*100))</f>
        <v/>
      </c>
      <c r="N25" s="17">
        <f>IF(OR(Raw_FDIC!AL344="",Raw_FDIC!AO344=""),"",IF(Raw_FDIC!AO344=0,"",Raw_FDIC!AL344/Raw_FDIC!AO344*100))</f>
        <v/>
      </c>
      <c r="O25" s="17">
        <f>IF(OR(Raw_FDIC!AS344="",Raw_FDIC!AO344=""),"",IF(Raw_FDIC!AO344=0,"",Raw_FDIC!AS344/Raw_FDIC!AO344*400))</f>
        <v/>
      </c>
      <c r="P25" s="17">
        <f>IF(Raw_FDIC!AD344="","",Raw_FDIC!AD344)</f>
        <v/>
      </c>
      <c r="Q25" s="17">
        <f>IF(Raw_FDIC!AE344="","",Raw_FDIC!AE344)</f>
        <v/>
      </c>
      <c r="R25" s="17">
        <f>IF(Raw_FDIC!AF344="","",Raw_FDIC!AF344)</f>
        <v/>
      </c>
      <c r="S25" s="17">
        <f>IF(OR(Raw_FDIC!AT344="",Raw_FDIC!AP344=""),"",IF(Raw_FDIC!AP344=0,"",Raw_FDIC!AT344/Raw_FDIC!AP344*400))</f>
        <v/>
      </c>
      <c r="T25" s="17">
        <f>IF(Raw_FDIC!AG344="","",Raw_FDIC!AG344)</f>
        <v/>
      </c>
      <c r="U25" s="17">
        <f>IF(Raw_FDIC!AH344="","",Raw_FDIC!AH344)</f>
        <v/>
      </c>
      <c r="V25" s="17">
        <f>IF(Raw_FDIC!AI344="","",Raw_FDIC!AI344)</f>
        <v/>
      </c>
    </row>
    <row r="26">
      <c r="A26" s="14">
        <f>IF(_config!$C$90="","",_config!$C$90)</f>
        <v/>
      </c>
      <c r="B26" s="15">
        <f>IF(_config!$B$90="","",_config!$B$90)</f>
        <v/>
      </c>
      <c r="C26" s="16">
        <f>IF(_config!$D$90="","",_config!$D$90)</f>
        <v/>
      </c>
      <c r="D26" s="17">
        <f>IF(Raw_FDIC!X364="","",Raw_FDIC!X364)</f>
        <v/>
      </c>
      <c r="E26" s="17">
        <f>IF(Raw_FDIC!Y364="","",Raw_FDIC!Y364)</f>
        <v/>
      </c>
      <c r="F26" s="17">
        <f>IF(Raw_FDIC!Z364="","",Raw_FDIC!Z364)</f>
        <v/>
      </c>
      <c r="G26" s="17">
        <f>IF(OR(Raw_FDIC!AQ364="",Raw_FDIC!AM364=""),"",IF(Raw_FDIC!AM364=0,"",Raw_FDIC!AQ364/Raw_FDIC!AM364*400))</f>
        <v/>
      </c>
      <c r="H26" s="17">
        <f>IF(Raw_FDIC!AA364="","",Raw_FDIC!AA364)</f>
        <v/>
      </c>
      <c r="I26" s="17">
        <f>IF(Raw_FDIC!AB364="","",Raw_FDIC!AB364)</f>
        <v/>
      </c>
      <c r="J26" s="17">
        <f>IF(Raw_FDIC!AC364="","",Raw_FDIC!AC364)</f>
        <v/>
      </c>
      <c r="K26" s="17">
        <f>IF(OR(Raw_FDIC!AR364="",Raw_FDIC!AN364=""),"",IF(Raw_FDIC!AN364=0,"",Raw_FDIC!AR364/Raw_FDIC!AN364*400))</f>
        <v/>
      </c>
      <c r="L26" s="17">
        <f>IF(OR(Raw_FDIC!AJ364="",Raw_FDIC!AO364=""),"",IF(Raw_FDIC!AO364=0,"",Raw_FDIC!AJ364/Raw_FDIC!AO364*100))</f>
        <v/>
      </c>
      <c r="M26" s="17">
        <f>IF(OR(Raw_FDIC!AK364="",Raw_FDIC!AO364=""),"",IF(Raw_FDIC!AO364=0,"",Raw_FDIC!AK364/Raw_FDIC!AO364*100))</f>
        <v/>
      </c>
      <c r="N26" s="17">
        <f>IF(OR(Raw_FDIC!AL364="",Raw_FDIC!AO364=""),"",IF(Raw_FDIC!AO364=0,"",Raw_FDIC!AL364/Raw_FDIC!AO364*100))</f>
        <v/>
      </c>
      <c r="O26" s="17">
        <f>IF(OR(Raw_FDIC!AS364="",Raw_FDIC!AO364=""),"",IF(Raw_FDIC!AO364=0,"",Raw_FDIC!AS364/Raw_FDIC!AO364*400))</f>
        <v/>
      </c>
      <c r="P26" s="17">
        <f>IF(Raw_FDIC!AD364="","",Raw_FDIC!AD364)</f>
        <v/>
      </c>
      <c r="Q26" s="17">
        <f>IF(Raw_FDIC!AE364="","",Raw_FDIC!AE364)</f>
        <v/>
      </c>
      <c r="R26" s="17">
        <f>IF(Raw_FDIC!AF364="","",Raw_FDIC!AF364)</f>
        <v/>
      </c>
      <c r="S26" s="17">
        <f>IF(OR(Raw_FDIC!AT364="",Raw_FDIC!AP364=""),"",IF(Raw_FDIC!AP364=0,"",Raw_FDIC!AT364/Raw_FDIC!AP364*400))</f>
        <v/>
      </c>
      <c r="T26" s="17">
        <f>IF(Raw_FDIC!AG364="","",Raw_FDIC!AG364)</f>
        <v/>
      </c>
      <c r="U26" s="17">
        <f>IF(Raw_FDIC!AH364="","",Raw_FDIC!AH364)</f>
        <v/>
      </c>
      <c r="V26" s="17">
        <f>IF(Raw_FDIC!AI364="","",Raw_FDIC!AI364)</f>
        <v/>
      </c>
    </row>
    <row r="27">
      <c r="A27" s="14">
        <f>IF(_config!$C$91="","",_config!$C$91)</f>
        <v/>
      </c>
      <c r="B27" s="15">
        <f>IF(_config!$B$91="","",_config!$B$91)</f>
        <v/>
      </c>
      <c r="C27" s="16">
        <f>IF(_config!$D$91="","",_config!$D$91)</f>
        <v/>
      </c>
      <c r="D27" s="17">
        <f>IF(Raw_FDIC!X384="","",Raw_FDIC!X384)</f>
        <v/>
      </c>
      <c r="E27" s="17">
        <f>IF(Raw_FDIC!Y384="","",Raw_FDIC!Y384)</f>
        <v/>
      </c>
      <c r="F27" s="17">
        <f>IF(Raw_FDIC!Z384="","",Raw_FDIC!Z384)</f>
        <v/>
      </c>
      <c r="G27" s="17">
        <f>IF(OR(Raw_FDIC!AQ384="",Raw_FDIC!AM384=""),"",IF(Raw_FDIC!AM384=0,"",Raw_FDIC!AQ384/Raw_FDIC!AM384*400))</f>
        <v/>
      </c>
      <c r="H27" s="17">
        <f>IF(Raw_FDIC!AA384="","",Raw_FDIC!AA384)</f>
        <v/>
      </c>
      <c r="I27" s="17">
        <f>IF(Raw_FDIC!AB384="","",Raw_FDIC!AB384)</f>
        <v/>
      </c>
      <c r="J27" s="17">
        <f>IF(Raw_FDIC!AC384="","",Raw_FDIC!AC384)</f>
        <v/>
      </c>
      <c r="K27" s="17">
        <f>IF(OR(Raw_FDIC!AR384="",Raw_FDIC!AN384=""),"",IF(Raw_FDIC!AN384=0,"",Raw_FDIC!AR384/Raw_FDIC!AN384*400))</f>
        <v/>
      </c>
      <c r="L27" s="17">
        <f>IF(OR(Raw_FDIC!AJ384="",Raw_FDIC!AO384=""),"",IF(Raw_FDIC!AO384=0,"",Raw_FDIC!AJ384/Raw_FDIC!AO384*100))</f>
        <v/>
      </c>
      <c r="M27" s="17">
        <f>IF(OR(Raw_FDIC!AK384="",Raw_FDIC!AO384=""),"",IF(Raw_FDIC!AO384=0,"",Raw_FDIC!AK384/Raw_FDIC!AO384*100))</f>
        <v/>
      </c>
      <c r="N27" s="17">
        <f>IF(OR(Raw_FDIC!AL384="",Raw_FDIC!AO384=""),"",IF(Raw_FDIC!AO384=0,"",Raw_FDIC!AL384/Raw_FDIC!AO384*100))</f>
        <v/>
      </c>
      <c r="O27" s="17">
        <f>IF(OR(Raw_FDIC!AS384="",Raw_FDIC!AO384=""),"",IF(Raw_FDIC!AO384=0,"",Raw_FDIC!AS384/Raw_FDIC!AO384*400))</f>
        <v/>
      </c>
      <c r="P27" s="17">
        <f>IF(Raw_FDIC!AD384="","",Raw_FDIC!AD384)</f>
        <v/>
      </c>
      <c r="Q27" s="17">
        <f>IF(Raw_FDIC!AE384="","",Raw_FDIC!AE384)</f>
        <v/>
      </c>
      <c r="R27" s="17">
        <f>IF(Raw_FDIC!AF384="","",Raw_FDIC!AF384)</f>
        <v/>
      </c>
      <c r="S27" s="17">
        <f>IF(OR(Raw_FDIC!AT384="",Raw_FDIC!AP384=""),"",IF(Raw_FDIC!AP384=0,"",Raw_FDIC!AT384/Raw_FDIC!AP384*400))</f>
        <v/>
      </c>
      <c r="T27" s="17">
        <f>IF(Raw_FDIC!AG384="","",Raw_FDIC!AG384)</f>
        <v/>
      </c>
      <c r="U27" s="17">
        <f>IF(Raw_FDIC!AH384="","",Raw_FDIC!AH384)</f>
        <v/>
      </c>
      <c r="V27" s="17">
        <f>IF(Raw_FDIC!AI384="","",Raw_FDIC!AI384)</f>
        <v/>
      </c>
    </row>
    <row r="28">
      <c r="A28" s="14">
        <f>IF(_config!$C$92="","",_config!$C$92)</f>
        <v/>
      </c>
      <c r="B28" s="15">
        <f>IF(_config!$B$92="","",_config!$B$92)</f>
        <v/>
      </c>
      <c r="C28" s="16">
        <f>IF(_config!$D$92="","",_config!$D$92)</f>
        <v/>
      </c>
      <c r="D28" s="17">
        <f>IF(Raw_FDIC!X404="","",Raw_FDIC!X404)</f>
        <v/>
      </c>
      <c r="E28" s="17">
        <f>IF(Raw_FDIC!Y404="","",Raw_FDIC!Y404)</f>
        <v/>
      </c>
      <c r="F28" s="17">
        <f>IF(Raw_FDIC!Z404="","",Raw_FDIC!Z404)</f>
        <v/>
      </c>
      <c r="G28" s="17">
        <f>IF(OR(Raw_FDIC!AQ404="",Raw_FDIC!AM404=""),"",IF(Raw_FDIC!AM404=0,"",Raw_FDIC!AQ404/Raw_FDIC!AM404*400))</f>
        <v/>
      </c>
      <c r="H28" s="17">
        <f>IF(Raw_FDIC!AA404="","",Raw_FDIC!AA404)</f>
        <v/>
      </c>
      <c r="I28" s="17">
        <f>IF(Raw_FDIC!AB404="","",Raw_FDIC!AB404)</f>
        <v/>
      </c>
      <c r="J28" s="17">
        <f>IF(Raw_FDIC!AC404="","",Raw_FDIC!AC404)</f>
        <v/>
      </c>
      <c r="K28" s="17">
        <f>IF(OR(Raw_FDIC!AR404="",Raw_FDIC!AN404=""),"",IF(Raw_FDIC!AN404=0,"",Raw_FDIC!AR404/Raw_FDIC!AN404*400))</f>
        <v/>
      </c>
      <c r="L28" s="17">
        <f>IF(OR(Raw_FDIC!AJ404="",Raw_FDIC!AO404=""),"",IF(Raw_FDIC!AO404=0,"",Raw_FDIC!AJ404/Raw_FDIC!AO404*100))</f>
        <v/>
      </c>
      <c r="M28" s="17">
        <f>IF(OR(Raw_FDIC!AK404="",Raw_FDIC!AO404=""),"",IF(Raw_FDIC!AO404=0,"",Raw_FDIC!AK404/Raw_FDIC!AO404*100))</f>
        <v/>
      </c>
      <c r="N28" s="17">
        <f>IF(OR(Raw_FDIC!AL404="",Raw_FDIC!AO404=""),"",IF(Raw_FDIC!AO404=0,"",Raw_FDIC!AL404/Raw_FDIC!AO404*100))</f>
        <v/>
      </c>
      <c r="O28" s="17">
        <f>IF(OR(Raw_FDIC!AS404="",Raw_FDIC!AO404=""),"",IF(Raw_FDIC!AO404=0,"",Raw_FDIC!AS404/Raw_FDIC!AO404*400))</f>
        <v/>
      </c>
      <c r="P28" s="17">
        <f>IF(Raw_FDIC!AD404="","",Raw_FDIC!AD404)</f>
        <v/>
      </c>
      <c r="Q28" s="17">
        <f>IF(Raw_FDIC!AE404="","",Raw_FDIC!AE404)</f>
        <v/>
      </c>
      <c r="R28" s="17">
        <f>IF(Raw_FDIC!AF404="","",Raw_FDIC!AF404)</f>
        <v/>
      </c>
      <c r="S28" s="17">
        <f>IF(OR(Raw_FDIC!AT404="",Raw_FDIC!AP404=""),"",IF(Raw_FDIC!AP404=0,"",Raw_FDIC!AT404/Raw_FDIC!AP404*400))</f>
        <v/>
      </c>
      <c r="T28" s="17">
        <f>IF(Raw_FDIC!AG404="","",Raw_FDIC!AG404)</f>
        <v/>
      </c>
      <c r="U28" s="17">
        <f>IF(Raw_FDIC!AH404="","",Raw_FDIC!AH404)</f>
        <v/>
      </c>
      <c r="V28" s="17">
        <f>IF(Raw_FDIC!AI404="","",Raw_FDIC!AI404)</f>
        <v/>
      </c>
    </row>
    <row r="29">
      <c r="A29" s="14">
        <f>IF(_config!$C$93="","",_config!$C$93)</f>
        <v/>
      </c>
      <c r="B29" s="15">
        <f>IF(_config!$B$93="","",_config!$B$93)</f>
        <v/>
      </c>
      <c r="C29" s="16">
        <f>IF(_config!$D$93="","",_config!$D$93)</f>
        <v/>
      </c>
      <c r="D29" s="17">
        <f>IF(Raw_FDIC!X424="","",Raw_FDIC!X424)</f>
        <v/>
      </c>
      <c r="E29" s="17">
        <f>IF(Raw_FDIC!Y424="","",Raw_FDIC!Y424)</f>
        <v/>
      </c>
      <c r="F29" s="17">
        <f>IF(Raw_FDIC!Z424="","",Raw_FDIC!Z424)</f>
        <v/>
      </c>
      <c r="G29" s="17">
        <f>IF(OR(Raw_FDIC!AQ424="",Raw_FDIC!AM424=""),"",IF(Raw_FDIC!AM424=0,"",Raw_FDIC!AQ424/Raw_FDIC!AM424*400))</f>
        <v/>
      </c>
      <c r="H29" s="17">
        <f>IF(Raw_FDIC!AA424="","",Raw_FDIC!AA424)</f>
        <v/>
      </c>
      <c r="I29" s="17">
        <f>IF(Raw_FDIC!AB424="","",Raw_FDIC!AB424)</f>
        <v/>
      </c>
      <c r="J29" s="17">
        <f>IF(Raw_FDIC!AC424="","",Raw_FDIC!AC424)</f>
        <v/>
      </c>
      <c r="K29" s="17">
        <f>IF(OR(Raw_FDIC!AR424="",Raw_FDIC!AN424=""),"",IF(Raw_FDIC!AN424=0,"",Raw_FDIC!AR424/Raw_FDIC!AN424*400))</f>
        <v/>
      </c>
      <c r="L29" s="17">
        <f>IF(OR(Raw_FDIC!AJ424="",Raw_FDIC!AO424=""),"",IF(Raw_FDIC!AO424=0,"",Raw_FDIC!AJ424/Raw_FDIC!AO424*100))</f>
        <v/>
      </c>
      <c r="M29" s="17">
        <f>IF(OR(Raw_FDIC!AK424="",Raw_FDIC!AO424=""),"",IF(Raw_FDIC!AO424=0,"",Raw_FDIC!AK424/Raw_FDIC!AO424*100))</f>
        <v/>
      </c>
      <c r="N29" s="17">
        <f>IF(OR(Raw_FDIC!AL424="",Raw_FDIC!AO424=""),"",IF(Raw_FDIC!AO424=0,"",Raw_FDIC!AL424/Raw_FDIC!AO424*100))</f>
        <v/>
      </c>
      <c r="O29" s="17">
        <f>IF(OR(Raw_FDIC!AS424="",Raw_FDIC!AO424=""),"",IF(Raw_FDIC!AO424=0,"",Raw_FDIC!AS424/Raw_FDIC!AO424*400))</f>
        <v/>
      </c>
      <c r="P29" s="17">
        <f>IF(Raw_FDIC!AD424="","",Raw_FDIC!AD424)</f>
        <v/>
      </c>
      <c r="Q29" s="17">
        <f>IF(Raw_FDIC!AE424="","",Raw_FDIC!AE424)</f>
        <v/>
      </c>
      <c r="R29" s="17">
        <f>IF(Raw_FDIC!AF424="","",Raw_FDIC!AF424)</f>
        <v/>
      </c>
      <c r="S29" s="17">
        <f>IF(OR(Raw_FDIC!AT424="",Raw_FDIC!AP424=""),"",IF(Raw_FDIC!AP424=0,"",Raw_FDIC!AT424/Raw_FDIC!AP424*400))</f>
        <v/>
      </c>
      <c r="T29" s="17">
        <f>IF(Raw_FDIC!AG424="","",Raw_FDIC!AG424)</f>
        <v/>
      </c>
      <c r="U29" s="17">
        <f>IF(Raw_FDIC!AH424="","",Raw_FDIC!AH424)</f>
        <v/>
      </c>
      <c r="V29" s="17">
        <f>IF(Raw_FDIC!AI424="","",Raw_FDIC!AI424)</f>
        <v/>
      </c>
    </row>
    <row r="30">
      <c r="A30" s="14">
        <f>IF(_config!$C$94="","",_config!$C$94)</f>
        <v/>
      </c>
      <c r="B30" s="15">
        <f>IF(_config!$B$94="","",_config!$B$94)</f>
        <v/>
      </c>
      <c r="C30" s="16">
        <f>IF(_config!$D$94="","",_config!$D$94)</f>
        <v/>
      </c>
      <c r="D30" s="17">
        <f>IF(Raw_FDIC!X444="","",Raw_FDIC!X444)</f>
        <v/>
      </c>
      <c r="E30" s="17">
        <f>IF(Raw_FDIC!Y444="","",Raw_FDIC!Y444)</f>
        <v/>
      </c>
      <c r="F30" s="17">
        <f>IF(Raw_FDIC!Z444="","",Raw_FDIC!Z444)</f>
        <v/>
      </c>
      <c r="G30" s="17">
        <f>IF(OR(Raw_FDIC!AQ444="",Raw_FDIC!AM444=""),"",IF(Raw_FDIC!AM444=0,"",Raw_FDIC!AQ444/Raw_FDIC!AM444*400))</f>
        <v/>
      </c>
      <c r="H30" s="17">
        <f>IF(Raw_FDIC!AA444="","",Raw_FDIC!AA444)</f>
        <v/>
      </c>
      <c r="I30" s="17">
        <f>IF(Raw_FDIC!AB444="","",Raw_FDIC!AB444)</f>
        <v/>
      </c>
      <c r="J30" s="17">
        <f>IF(Raw_FDIC!AC444="","",Raw_FDIC!AC444)</f>
        <v/>
      </c>
      <c r="K30" s="17">
        <f>IF(OR(Raw_FDIC!AR444="",Raw_FDIC!AN444=""),"",IF(Raw_FDIC!AN444=0,"",Raw_FDIC!AR444/Raw_FDIC!AN444*400))</f>
        <v/>
      </c>
      <c r="L30" s="17">
        <f>IF(OR(Raw_FDIC!AJ444="",Raw_FDIC!AO444=""),"",IF(Raw_FDIC!AO444=0,"",Raw_FDIC!AJ444/Raw_FDIC!AO444*100))</f>
        <v/>
      </c>
      <c r="M30" s="17">
        <f>IF(OR(Raw_FDIC!AK444="",Raw_FDIC!AO444=""),"",IF(Raw_FDIC!AO444=0,"",Raw_FDIC!AK444/Raw_FDIC!AO444*100))</f>
        <v/>
      </c>
      <c r="N30" s="17">
        <f>IF(OR(Raw_FDIC!AL444="",Raw_FDIC!AO444=""),"",IF(Raw_FDIC!AO444=0,"",Raw_FDIC!AL444/Raw_FDIC!AO444*100))</f>
        <v/>
      </c>
      <c r="O30" s="17">
        <f>IF(OR(Raw_FDIC!AS444="",Raw_FDIC!AO444=""),"",IF(Raw_FDIC!AO444=0,"",Raw_FDIC!AS444/Raw_FDIC!AO444*400))</f>
        <v/>
      </c>
      <c r="P30" s="17">
        <f>IF(Raw_FDIC!AD444="","",Raw_FDIC!AD444)</f>
        <v/>
      </c>
      <c r="Q30" s="17">
        <f>IF(Raw_FDIC!AE444="","",Raw_FDIC!AE444)</f>
        <v/>
      </c>
      <c r="R30" s="17">
        <f>IF(Raw_FDIC!AF444="","",Raw_FDIC!AF444)</f>
        <v/>
      </c>
      <c r="S30" s="17">
        <f>IF(OR(Raw_FDIC!AT444="",Raw_FDIC!AP444=""),"",IF(Raw_FDIC!AP444=0,"",Raw_FDIC!AT444/Raw_FDIC!AP444*400))</f>
        <v/>
      </c>
      <c r="T30" s="17">
        <f>IF(Raw_FDIC!AG444="","",Raw_FDIC!AG444)</f>
        <v/>
      </c>
      <c r="U30" s="17">
        <f>IF(Raw_FDIC!AH444="","",Raw_FDIC!AH444)</f>
        <v/>
      </c>
      <c r="V30" s="17">
        <f>IF(Raw_FDIC!AI444="","",Raw_FDIC!AI444)</f>
        <v/>
      </c>
    </row>
    <row r="31">
      <c r="A31" s="14">
        <f>IF(_config!$C$95="","",_config!$C$95)</f>
        <v/>
      </c>
      <c r="B31" s="15">
        <f>IF(_config!$B$95="","",_config!$B$95)</f>
        <v/>
      </c>
      <c r="C31" s="16">
        <f>IF(_config!$D$95="","",_config!$D$95)</f>
        <v/>
      </c>
      <c r="D31" s="17">
        <f>IF(Raw_FDIC!X464="","",Raw_FDIC!X464)</f>
        <v/>
      </c>
      <c r="E31" s="17">
        <f>IF(Raw_FDIC!Y464="","",Raw_FDIC!Y464)</f>
        <v/>
      </c>
      <c r="F31" s="17">
        <f>IF(Raw_FDIC!Z464="","",Raw_FDIC!Z464)</f>
        <v/>
      </c>
      <c r="G31" s="17">
        <f>IF(OR(Raw_FDIC!AQ464="",Raw_FDIC!AM464=""),"",IF(Raw_FDIC!AM464=0,"",Raw_FDIC!AQ464/Raw_FDIC!AM464*400))</f>
        <v/>
      </c>
      <c r="H31" s="17">
        <f>IF(Raw_FDIC!AA464="","",Raw_FDIC!AA464)</f>
        <v/>
      </c>
      <c r="I31" s="17">
        <f>IF(Raw_FDIC!AB464="","",Raw_FDIC!AB464)</f>
        <v/>
      </c>
      <c r="J31" s="17">
        <f>IF(Raw_FDIC!AC464="","",Raw_FDIC!AC464)</f>
        <v/>
      </c>
      <c r="K31" s="17">
        <f>IF(OR(Raw_FDIC!AR464="",Raw_FDIC!AN464=""),"",IF(Raw_FDIC!AN464=0,"",Raw_FDIC!AR464/Raw_FDIC!AN464*400))</f>
        <v/>
      </c>
      <c r="L31" s="17">
        <f>IF(OR(Raw_FDIC!AJ464="",Raw_FDIC!AO464=""),"",IF(Raw_FDIC!AO464=0,"",Raw_FDIC!AJ464/Raw_FDIC!AO464*100))</f>
        <v/>
      </c>
      <c r="M31" s="17">
        <f>IF(OR(Raw_FDIC!AK464="",Raw_FDIC!AO464=""),"",IF(Raw_FDIC!AO464=0,"",Raw_FDIC!AK464/Raw_FDIC!AO464*100))</f>
        <v/>
      </c>
      <c r="N31" s="17">
        <f>IF(OR(Raw_FDIC!AL464="",Raw_FDIC!AO464=""),"",IF(Raw_FDIC!AO464=0,"",Raw_FDIC!AL464/Raw_FDIC!AO464*100))</f>
        <v/>
      </c>
      <c r="O31" s="17">
        <f>IF(OR(Raw_FDIC!AS464="",Raw_FDIC!AO464=""),"",IF(Raw_FDIC!AO464=0,"",Raw_FDIC!AS464/Raw_FDIC!AO464*400))</f>
        <v/>
      </c>
      <c r="P31" s="17">
        <f>IF(Raw_FDIC!AD464="","",Raw_FDIC!AD464)</f>
        <v/>
      </c>
      <c r="Q31" s="17">
        <f>IF(Raw_FDIC!AE464="","",Raw_FDIC!AE464)</f>
        <v/>
      </c>
      <c r="R31" s="17">
        <f>IF(Raw_FDIC!AF464="","",Raw_FDIC!AF464)</f>
        <v/>
      </c>
      <c r="S31" s="17">
        <f>IF(OR(Raw_FDIC!AT464="",Raw_FDIC!AP464=""),"",IF(Raw_FDIC!AP464=0,"",Raw_FDIC!AT464/Raw_FDIC!AP464*400))</f>
        <v/>
      </c>
      <c r="T31" s="17">
        <f>IF(Raw_FDIC!AG464="","",Raw_FDIC!AG464)</f>
        <v/>
      </c>
      <c r="U31" s="17">
        <f>IF(Raw_FDIC!AH464="","",Raw_FDIC!AH464)</f>
        <v/>
      </c>
      <c r="V31" s="17">
        <f>IF(Raw_FDIC!AI464="","",Raw_FDIC!AI464)</f>
        <v/>
      </c>
    </row>
    <row r="32">
      <c r="A32" s="14">
        <f>IF(_config!$C$96="","",_config!$C$96)</f>
        <v/>
      </c>
      <c r="B32" s="15">
        <f>IF(_config!$B$96="","",_config!$B$96)</f>
        <v/>
      </c>
      <c r="C32" s="16">
        <f>IF(_config!$D$96="","",_config!$D$96)</f>
        <v/>
      </c>
      <c r="D32" s="17">
        <f>IF(Raw_FDIC!X484="","",Raw_FDIC!X484)</f>
        <v/>
      </c>
      <c r="E32" s="17">
        <f>IF(Raw_FDIC!Y484="","",Raw_FDIC!Y484)</f>
        <v/>
      </c>
      <c r="F32" s="17">
        <f>IF(Raw_FDIC!Z484="","",Raw_FDIC!Z484)</f>
        <v/>
      </c>
      <c r="G32" s="17">
        <f>IF(OR(Raw_FDIC!AQ484="",Raw_FDIC!AM484=""),"",IF(Raw_FDIC!AM484=0,"",Raw_FDIC!AQ484/Raw_FDIC!AM484*400))</f>
        <v/>
      </c>
      <c r="H32" s="17">
        <f>IF(Raw_FDIC!AA484="","",Raw_FDIC!AA484)</f>
        <v/>
      </c>
      <c r="I32" s="17">
        <f>IF(Raw_FDIC!AB484="","",Raw_FDIC!AB484)</f>
        <v/>
      </c>
      <c r="J32" s="17">
        <f>IF(Raw_FDIC!AC484="","",Raw_FDIC!AC484)</f>
        <v/>
      </c>
      <c r="K32" s="17">
        <f>IF(OR(Raw_FDIC!AR484="",Raw_FDIC!AN484=""),"",IF(Raw_FDIC!AN484=0,"",Raw_FDIC!AR484/Raw_FDIC!AN484*400))</f>
        <v/>
      </c>
      <c r="L32" s="17">
        <f>IF(OR(Raw_FDIC!AJ484="",Raw_FDIC!AO484=""),"",IF(Raw_FDIC!AO484=0,"",Raw_FDIC!AJ484/Raw_FDIC!AO484*100))</f>
        <v/>
      </c>
      <c r="M32" s="17">
        <f>IF(OR(Raw_FDIC!AK484="",Raw_FDIC!AO484=""),"",IF(Raw_FDIC!AO484=0,"",Raw_FDIC!AK484/Raw_FDIC!AO484*100))</f>
        <v/>
      </c>
      <c r="N32" s="17">
        <f>IF(OR(Raw_FDIC!AL484="",Raw_FDIC!AO484=""),"",IF(Raw_FDIC!AO484=0,"",Raw_FDIC!AL484/Raw_FDIC!AO484*100))</f>
        <v/>
      </c>
      <c r="O32" s="17">
        <f>IF(OR(Raw_FDIC!AS484="",Raw_FDIC!AO484=""),"",IF(Raw_FDIC!AO484=0,"",Raw_FDIC!AS484/Raw_FDIC!AO484*400))</f>
        <v/>
      </c>
      <c r="P32" s="17">
        <f>IF(Raw_FDIC!AD484="","",Raw_FDIC!AD484)</f>
        <v/>
      </c>
      <c r="Q32" s="17">
        <f>IF(Raw_FDIC!AE484="","",Raw_FDIC!AE484)</f>
        <v/>
      </c>
      <c r="R32" s="17">
        <f>IF(Raw_FDIC!AF484="","",Raw_FDIC!AF484)</f>
        <v/>
      </c>
      <c r="S32" s="17">
        <f>IF(OR(Raw_FDIC!AT484="",Raw_FDIC!AP484=""),"",IF(Raw_FDIC!AP484=0,"",Raw_FDIC!AT484/Raw_FDIC!AP484*400))</f>
        <v/>
      </c>
      <c r="T32" s="17">
        <f>IF(Raw_FDIC!AG484="","",Raw_FDIC!AG484)</f>
        <v/>
      </c>
      <c r="U32" s="17">
        <f>IF(Raw_FDIC!AH484="","",Raw_FDIC!AH484)</f>
        <v/>
      </c>
      <c r="V32" s="17">
        <f>IF(Raw_FDIC!AI484="","",Raw_FDIC!AI484)</f>
        <v/>
      </c>
    </row>
    <row r="33">
      <c r="A33" s="14">
        <f>IF(_config!$C$97="","",_config!$C$97)</f>
        <v/>
      </c>
      <c r="B33" s="15">
        <f>IF(_config!$B$97="","",_config!$B$97)</f>
        <v/>
      </c>
      <c r="C33" s="16">
        <f>IF(_config!$D$97="","",_config!$D$97)</f>
        <v/>
      </c>
      <c r="D33" s="17">
        <f>IF(Raw_FDIC!X504="","",Raw_FDIC!X504)</f>
        <v/>
      </c>
      <c r="E33" s="17">
        <f>IF(Raw_FDIC!Y504="","",Raw_FDIC!Y504)</f>
        <v/>
      </c>
      <c r="F33" s="17">
        <f>IF(Raw_FDIC!Z504="","",Raw_FDIC!Z504)</f>
        <v/>
      </c>
      <c r="G33" s="17">
        <f>IF(OR(Raw_FDIC!AQ504="",Raw_FDIC!AM504=""),"",IF(Raw_FDIC!AM504=0,"",Raw_FDIC!AQ504/Raw_FDIC!AM504*400))</f>
        <v/>
      </c>
      <c r="H33" s="17">
        <f>IF(Raw_FDIC!AA504="","",Raw_FDIC!AA504)</f>
        <v/>
      </c>
      <c r="I33" s="17">
        <f>IF(Raw_FDIC!AB504="","",Raw_FDIC!AB504)</f>
        <v/>
      </c>
      <c r="J33" s="17">
        <f>IF(Raw_FDIC!AC504="","",Raw_FDIC!AC504)</f>
        <v/>
      </c>
      <c r="K33" s="17">
        <f>IF(OR(Raw_FDIC!AR504="",Raw_FDIC!AN504=""),"",IF(Raw_FDIC!AN504=0,"",Raw_FDIC!AR504/Raw_FDIC!AN504*400))</f>
        <v/>
      </c>
      <c r="L33" s="17">
        <f>IF(OR(Raw_FDIC!AJ504="",Raw_FDIC!AO504=""),"",IF(Raw_FDIC!AO504=0,"",Raw_FDIC!AJ504/Raw_FDIC!AO504*100))</f>
        <v/>
      </c>
      <c r="M33" s="17">
        <f>IF(OR(Raw_FDIC!AK504="",Raw_FDIC!AO504=""),"",IF(Raw_FDIC!AO504=0,"",Raw_FDIC!AK504/Raw_FDIC!AO504*100))</f>
        <v/>
      </c>
      <c r="N33" s="17">
        <f>IF(OR(Raw_FDIC!AL504="",Raw_FDIC!AO504=""),"",IF(Raw_FDIC!AO504=0,"",Raw_FDIC!AL504/Raw_FDIC!AO504*100))</f>
        <v/>
      </c>
      <c r="O33" s="17">
        <f>IF(OR(Raw_FDIC!AS504="",Raw_FDIC!AO504=""),"",IF(Raw_FDIC!AO504=0,"",Raw_FDIC!AS504/Raw_FDIC!AO504*400))</f>
        <v/>
      </c>
      <c r="P33" s="17">
        <f>IF(Raw_FDIC!AD504="","",Raw_FDIC!AD504)</f>
        <v/>
      </c>
      <c r="Q33" s="17">
        <f>IF(Raw_FDIC!AE504="","",Raw_FDIC!AE504)</f>
        <v/>
      </c>
      <c r="R33" s="17">
        <f>IF(Raw_FDIC!AF504="","",Raw_FDIC!AF504)</f>
        <v/>
      </c>
      <c r="S33" s="17">
        <f>IF(OR(Raw_FDIC!AT504="",Raw_FDIC!AP504=""),"",IF(Raw_FDIC!AP504=0,"",Raw_FDIC!AT504/Raw_FDIC!AP504*400))</f>
        <v/>
      </c>
      <c r="T33" s="17">
        <f>IF(Raw_FDIC!AG504="","",Raw_FDIC!AG504)</f>
        <v/>
      </c>
      <c r="U33" s="17">
        <f>IF(Raw_FDIC!AH504="","",Raw_FDIC!AH504)</f>
        <v/>
      </c>
      <c r="V33" s="17">
        <f>IF(Raw_FDIC!AI504="","",Raw_FDIC!AI504)</f>
        <v/>
      </c>
    </row>
    <row r="34">
      <c r="A34" s="14">
        <f>IF(_config!$C$98="","",_config!$C$98)</f>
        <v/>
      </c>
      <c r="B34" s="15">
        <f>IF(_config!$B$98="","",_config!$B$98)</f>
        <v/>
      </c>
      <c r="C34" s="16">
        <f>IF(_config!$D$98="","",_config!$D$98)</f>
        <v/>
      </c>
      <c r="D34" s="17">
        <f>IF(Raw_FDIC!X524="","",Raw_FDIC!X524)</f>
        <v/>
      </c>
      <c r="E34" s="17">
        <f>IF(Raw_FDIC!Y524="","",Raw_FDIC!Y524)</f>
        <v/>
      </c>
      <c r="F34" s="17">
        <f>IF(Raw_FDIC!Z524="","",Raw_FDIC!Z524)</f>
        <v/>
      </c>
      <c r="G34" s="17">
        <f>IF(OR(Raw_FDIC!AQ524="",Raw_FDIC!AM524=""),"",IF(Raw_FDIC!AM524=0,"",Raw_FDIC!AQ524/Raw_FDIC!AM524*400))</f>
        <v/>
      </c>
      <c r="H34" s="17">
        <f>IF(Raw_FDIC!AA524="","",Raw_FDIC!AA524)</f>
        <v/>
      </c>
      <c r="I34" s="17">
        <f>IF(Raw_FDIC!AB524="","",Raw_FDIC!AB524)</f>
        <v/>
      </c>
      <c r="J34" s="17">
        <f>IF(Raw_FDIC!AC524="","",Raw_FDIC!AC524)</f>
        <v/>
      </c>
      <c r="K34" s="17">
        <f>IF(OR(Raw_FDIC!AR524="",Raw_FDIC!AN524=""),"",IF(Raw_FDIC!AN524=0,"",Raw_FDIC!AR524/Raw_FDIC!AN524*400))</f>
        <v/>
      </c>
      <c r="L34" s="17">
        <f>IF(OR(Raw_FDIC!AJ524="",Raw_FDIC!AO524=""),"",IF(Raw_FDIC!AO524=0,"",Raw_FDIC!AJ524/Raw_FDIC!AO524*100))</f>
        <v/>
      </c>
      <c r="M34" s="17">
        <f>IF(OR(Raw_FDIC!AK524="",Raw_FDIC!AO524=""),"",IF(Raw_FDIC!AO524=0,"",Raw_FDIC!AK524/Raw_FDIC!AO524*100))</f>
        <v/>
      </c>
      <c r="N34" s="17">
        <f>IF(OR(Raw_FDIC!AL524="",Raw_FDIC!AO524=""),"",IF(Raw_FDIC!AO524=0,"",Raw_FDIC!AL524/Raw_FDIC!AO524*100))</f>
        <v/>
      </c>
      <c r="O34" s="17">
        <f>IF(OR(Raw_FDIC!AS524="",Raw_FDIC!AO524=""),"",IF(Raw_FDIC!AO524=0,"",Raw_FDIC!AS524/Raw_FDIC!AO524*400))</f>
        <v/>
      </c>
      <c r="P34" s="17">
        <f>IF(Raw_FDIC!AD524="","",Raw_FDIC!AD524)</f>
        <v/>
      </c>
      <c r="Q34" s="17">
        <f>IF(Raw_FDIC!AE524="","",Raw_FDIC!AE524)</f>
        <v/>
      </c>
      <c r="R34" s="17">
        <f>IF(Raw_FDIC!AF524="","",Raw_FDIC!AF524)</f>
        <v/>
      </c>
      <c r="S34" s="17">
        <f>IF(OR(Raw_FDIC!AT524="",Raw_FDIC!AP524=""),"",IF(Raw_FDIC!AP524=0,"",Raw_FDIC!AT524/Raw_FDIC!AP524*400))</f>
        <v/>
      </c>
      <c r="T34" s="17">
        <f>IF(Raw_FDIC!AG524="","",Raw_FDIC!AG524)</f>
        <v/>
      </c>
      <c r="U34" s="17">
        <f>IF(Raw_FDIC!AH524="","",Raw_FDIC!AH524)</f>
        <v/>
      </c>
      <c r="V34" s="17">
        <f>IF(Raw_FDIC!AI524="","",Raw_FDIC!AI524)</f>
        <v/>
      </c>
    </row>
    <row r="35">
      <c r="A35" s="14">
        <f>IF(_config!$C$99="","",_config!$C$99)</f>
        <v/>
      </c>
      <c r="B35" s="15">
        <f>IF(_config!$B$99="","",_config!$B$99)</f>
        <v/>
      </c>
      <c r="C35" s="16">
        <f>IF(_config!$D$99="","",_config!$D$99)</f>
        <v/>
      </c>
      <c r="D35" s="17">
        <f>IF(Raw_FDIC!X544="","",Raw_FDIC!X544)</f>
        <v/>
      </c>
      <c r="E35" s="17">
        <f>IF(Raw_FDIC!Y544="","",Raw_FDIC!Y544)</f>
        <v/>
      </c>
      <c r="F35" s="17">
        <f>IF(Raw_FDIC!Z544="","",Raw_FDIC!Z544)</f>
        <v/>
      </c>
      <c r="G35" s="17">
        <f>IF(OR(Raw_FDIC!AQ544="",Raw_FDIC!AM544=""),"",IF(Raw_FDIC!AM544=0,"",Raw_FDIC!AQ544/Raw_FDIC!AM544*400))</f>
        <v/>
      </c>
      <c r="H35" s="17">
        <f>IF(Raw_FDIC!AA544="","",Raw_FDIC!AA544)</f>
        <v/>
      </c>
      <c r="I35" s="17">
        <f>IF(Raw_FDIC!AB544="","",Raw_FDIC!AB544)</f>
        <v/>
      </c>
      <c r="J35" s="17">
        <f>IF(Raw_FDIC!AC544="","",Raw_FDIC!AC544)</f>
        <v/>
      </c>
      <c r="K35" s="17">
        <f>IF(OR(Raw_FDIC!AR544="",Raw_FDIC!AN544=""),"",IF(Raw_FDIC!AN544=0,"",Raw_FDIC!AR544/Raw_FDIC!AN544*400))</f>
        <v/>
      </c>
      <c r="L35" s="17">
        <f>IF(OR(Raw_FDIC!AJ544="",Raw_FDIC!AO544=""),"",IF(Raw_FDIC!AO544=0,"",Raw_FDIC!AJ544/Raw_FDIC!AO544*100))</f>
        <v/>
      </c>
      <c r="M35" s="17">
        <f>IF(OR(Raw_FDIC!AK544="",Raw_FDIC!AO544=""),"",IF(Raw_FDIC!AO544=0,"",Raw_FDIC!AK544/Raw_FDIC!AO544*100))</f>
        <v/>
      </c>
      <c r="N35" s="17">
        <f>IF(OR(Raw_FDIC!AL544="",Raw_FDIC!AO544=""),"",IF(Raw_FDIC!AO544=0,"",Raw_FDIC!AL544/Raw_FDIC!AO544*100))</f>
        <v/>
      </c>
      <c r="O35" s="17">
        <f>IF(OR(Raw_FDIC!AS544="",Raw_FDIC!AO544=""),"",IF(Raw_FDIC!AO544=0,"",Raw_FDIC!AS544/Raw_FDIC!AO544*400))</f>
        <v/>
      </c>
      <c r="P35" s="17">
        <f>IF(Raw_FDIC!AD544="","",Raw_FDIC!AD544)</f>
        <v/>
      </c>
      <c r="Q35" s="17">
        <f>IF(Raw_FDIC!AE544="","",Raw_FDIC!AE544)</f>
        <v/>
      </c>
      <c r="R35" s="17">
        <f>IF(Raw_FDIC!AF544="","",Raw_FDIC!AF544)</f>
        <v/>
      </c>
      <c r="S35" s="17">
        <f>IF(OR(Raw_FDIC!AT544="",Raw_FDIC!AP544=""),"",IF(Raw_FDIC!AP544=0,"",Raw_FDIC!AT544/Raw_FDIC!AP544*400))</f>
        <v/>
      </c>
      <c r="T35" s="17">
        <f>IF(Raw_FDIC!AG544="","",Raw_FDIC!AG544)</f>
        <v/>
      </c>
      <c r="U35" s="17">
        <f>IF(Raw_FDIC!AH544="","",Raw_FDIC!AH544)</f>
        <v/>
      </c>
      <c r="V35" s="17">
        <f>IF(Raw_FDIC!AI544="","",Raw_FDIC!AI544)</f>
        <v/>
      </c>
    </row>
    <row r="36">
      <c r="A36" s="14">
        <f>IF(_config!$C$100="","",_config!$C$100)</f>
        <v/>
      </c>
      <c r="B36" s="15">
        <f>IF(_config!$B$100="","",_config!$B$100)</f>
        <v/>
      </c>
      <c r="C36" s="16">
        <f>IF(_config!$D$100="","",_config!$D$100)</f>
        <v/>
      </c>
      <c r="D36" s="17">
        <f>IF(Raw_FDIC!X564="","",Raw_FDIC!X564)</f>
        <v/>
      </c>
      <c r="E36" s="17">
        <f>IF(Raw_FDIC!Y564="","",Raw_FDIC!Y564)</f>
        <v/>
      </c>
      <c r="F36" s="17">
        <f>IF(Raw_FDIC!Z564="","",Raw_FDIC!Z564)</f>
        <v/>
      </c>
      <c r="G36" s="17">
        <f>IF(OR(Raw_FDIC!AQ564="",Raw_FDIC!AM564=""),"",IF(Raw_FDIC!AM564=0,"",Raw_FDIC!AQ564/Raw_FDIC!AM564*400))</f>
        <v/>
      </c>
      <c r="H36" s="17">
        <f>IF(Raw_FDIC!AA564="","",Raw_FDIC!AA564)</f>
        <v/>
      </c>
      <c r="I36" s="17">
        <f>IF(Raw_FDIC!AB564="","",Raw_FDIC!AB564)</f>
        <v/>
      </c>
      <c r="J36" s="17">
        <f>IF(Raw_FDIC!AC564="","",Raw_FDIC!AC564)</f>
        <v/>
      </c>
      <c r="K36" s="17">
        <f>IF(OR(Raw_FDIC!AR564="",Raw_FDIC!AN564=""),"",IF(Raw_FDIC!AN564=0,"",Raw_FDIC!AR564/Raw_FDIC!AN564*400))</f>
        <v/>
      </c>
      <c r="L36" s="17">
        <f>IF(OR(Raw_FDIC!AJ564="",Raw_FDIC!AO564=""),"",IF(Raw_FDIC!AO564=0,"",Raw_FDIC!AJ564/Raw_FDIC!AO564*100))</f>
        <v/>
      </c>
      <c r="M36" s="17">
        <f>IF(OR(Raw_FDIC!AK564="",Raw_FDIC!AO564=""),"",IF(Raw_FDIC!AO564=0,"",Raw_FDIC!AK564/Raw_FDIC!AO564*100))</f>
        <v/>
      </c>
      <c r="N36" s="17">
        <f>IF(OR(Raw_FDIC!AL564="",Raw_FDIC!AO564=""),"",IF(Raw_FDIC!AO564=0,"",Raw_FDIC!AL564/Raw_FDIC!AO564*100))</f>
        <v/>
      </c>
      <c r="O36" s="17">
        <f>IF(OR(Raw_FDIC!AS564="",Raw_FDIC!AO564=""),"",IF(Raw_FDIC!AO564=0,"",Raw_FDIC!AS564/Raw_FDIC!AO564*400))</f>
        <v/>
      </c>
      <c r="P36" s="17">
        <f>IF(Raw_FDIC!AD564="","",Raw_FDIC!AD564)</f>
        <v/>
      </c>
      <c r="Q36" s="17">
        <f>IF(Raw_FDIC!AE564="","",Raw_FDIC!AE564)</f>
        <v/>
      </c>
      <c r="R36" s="17">
        <f>IF(Raw_FDIC!AF564="","",Raw_FDIC!AF564)</f>
        <v/>
      </c>
      <c r="S36" s="17">
        <f>IF(OR(Raw_FDIC!AT564="",Raw_FDIC!AP564=""),"",IF(Raw_FDIC!AP564=0,"",Raw_FDIC!AT564/Raw_FDIC!AP564*400))</f>
        <v/>
      </c>
      <c r="T36" s="17">
        <f>IF(Raw_FDIC!AG564="","",Raw_FDIC!AG564)</f>
        <v/>
      </c>
      <c r="U36" s="17">
        <f>IF(Raw_FDIC!AH564="","",Raw_FDIC!AH564)</f>
        <v/>
      </c>
      <c r="V36" s="17">
        <f>IF(Raw_FDIC!AI564="","",Raw_FDIC!AI564)</f>
        <v/>
      </c>
    </row>
    <row r="37">
      <c r="A37" s="14">
        <f>IF(_config!$C$101="","",_config!$C$101)</f>
        <v/>
      </c>
      <c r="B37" s="15">
        <f>IF(_config!$B$101="","",_config!$B$101)</f>
        <v/>
      </c>
      <c r="C37" s="16">
        <f>IF(_config!$D$101="","",_config!$D$101)</f>
        <v/>
      </c>
      <c r="D37" s="17">
        <f>IF(Raw_FDIC!X584="","",Raw_FDIC!X584)</f>
        <v/>
      </c>
      <c r="E37" s="17">
        <f>IF(Raw_FDIC!Y584="","",Raw_FDIC!Y584)</f>
        <v/>
      </c>
      <c r="F37" s="17">
        <f>IF(Raw_FDIC!Z584="","",Raw_FDIC!Z584)</f>
        <v/>
      </c>
      <c r="G37" s="17">
        <f>IF(OR(Raw_FDIC!AQ584="",Raw_FDIC!AM584=""),"",IF(Raw_FDIC!AM584=0,"",Raw_FDIC!AQ584/Raw_FDIC!AM584*400))</f>
        <v/>
      </c>
      <c r="H37" s="17">
        <f>IF(Raw_FDIC!AA584="","",Raw_FDIC!AA584)</f>
        <v/>
      </c>
      <c r="I37" s="17">
        <f>IF(Raw_FDIC!AB584="","",Raw_FDIC!AB584)</f>
        <v/>
      </c>
      <c r="J37" s="17">
        <f>IF(Raw_FDIC!AC584="","",Raw_FDIC!AC584)</f>
        <v/>
      </c>
      <c r="K37" s="17">
        <f>IF(OR(Raw_FDIC!AR584="",Raw_FDIC!AN584=""),"",IF(Raw_FDIC!AN584=0,"",Raw_FDIC!AR584/Raw_FDIC!AN584*400))</f>
        <v/>
      </c>
      <c r="L37" s="17">
        <f>IF(OR(Raw_FDIC!AJ584="",Raw_FDIC!AO584=""),"",IF(Raw_FDIC!AO584=0,"",Raw_FDIC!AJ584/Raw_FDIC!AO584*100))</f>
        <v/>
      </c>
      <c r="M37" s="17">
        <f>IF(OR(Raw_FDIC!AK584="",Raw_FDIC!AO584=""),"",IF(Raw_FDIC!AO584=0,"",Raw_FDIC!AK584/Raw_FDIC!AO584*100))</f>
        <v/>
      </c>
      <c r="N37" s="17">
        <f>IF(OR(Raw_FDIC!AL584="",Raw_FDIC!AO584=""),"",IF(Raw_FDIC!AO584=0,"",Raw_FDIC!AL584/Raw_FDIC!AO584*100))</f>
        <v/>
      </c>
      <c r="O37" s="17">
        <f>IF(OR(Raw_FDIC!AS584="",Raw_FDIC!AO584=""),"",IF(Raw_FDIC!AO584=0,"",Raw_FDIC!AS584/Raw_FDIC!AO584*400))</f>
        <v/>
      </c>
      <c r="P37" s="17">
        <f>IF(Raw_FDIC!AD584="","",Raw_FDIC!AD584)</f>
        <v/>
      </c>
      <c r="Q37" s="17">
        <f>IF(Raw_FDIC!AE584="","",Raw_FDIC!AE584)</f>
        <v/>
      </c>
      <c r="R37" s="17">
        <f>IF(Raw_FDIC!AF584="","",Raw_FDIC!AF584)</f>
        <v/>
      </c>
      <c r="S37" s="17">
        <f>IF(OR(Raw_FDIC!AT584="",Raw_FDIC!AP584=""),"",IF(Raw_FDIC!AP584=0,"",Raw_FDIC!AT584/Raw_FDIC!AP584*400))</f>
        <v/>
      </c>
      <c r="T37" s="17">
        <f>IF(Raw_FDIC!AG584="","",Raw_FDIC!AG584)</f>
        <v/>
      </c>
      <c r="U37" s="17">
        <f>IF(Raw_FDIC!AH584="","",Raw_FDIC!AH584)</f>
        <v/>
      </c>
      <c r="V37" s="17">
        <f>IF(Raw_FDIC!AI584="","",Raw_FDIC!AI584)</f>
        <v/>
      </c>
    </row>
    <row r="38">
      <c r="A38" s="14">
        <f>IF(_config!$C$102="","",_config!$C$102)</f>
        <v/>
      </c>
      <c r="B38" s="15">
        <f>IF(_config!$B$102="","",_config!$B$102)</f>
        <v/>
      </c>
      <c r="C38" s="16">
        <f>IF(_config!$D$102="","",_config!$D$102)</f>
        <v/>
      </c>
      <c r="D38" s="17">
        <f>IF(Raw_FDIC!X604="","",Raw_FDIC!X604)</f>
        <v/>
      </c>
      <c r="E38" s="17">
        <f>IF(Raw_FDIC!Y604="","",Raw_FDIC!Y604)</f>
        <v/>
      </c>
      <c r="F38" s="17">
        <f>IF(Raw_FDIC!Z604="","",Raw_FDIC!Z604)</f>
        <v/>
      </c>
      <c r="G38" s="17">
        <f>IF(OR(Raw_FDIC!AQ604="",Raw_FDIC!AM604=""),"",IF(Raw_FDIC!AM604=0,"",Raw_FDIC!AQ604/Raw_FDIC!AM604*400))</f>
        <v/>
      </c>
      <c r="H38" s="17">
        <f>IF(Raw_FDIC!AA604="","",Raw_FDIC!AA604)</f>
        <v/>
      </c>
      <c r="I38" s="17">
        <f>IF(Raw_FDIC!AB604="","",Raw_FDIC!AB604)</f>
        <v/>
      </c>
      <c r="J38" s="17">
        <f>IF(Raw_FDIC!AC604="","",Raw_FDIC!AC604)</f>
        <v/>
      </c>
      <c r="K38" s="17">
        <f>IF(OR(Raw_FDIC!AR604="",Raw_FDIC!AN604=""),"",IF(Raw_FDIC!AN604=0,"",Raw_FDIC!AR604/Raw_FDIC!AN604*400))</f>
        <v/>
      </c>
      <c r="L38" s="17">
        <f>IF(OR(Raw_FDIC!AJ604="",Raw_FDIC!AO604=""),"",IF(Raw_FDIC!AO604=0,"",Raw_FDIC!AJ604/Raw_FDIC!AO604*100))</f>
        <v/>
      </c>
      <c r="M38" s="17">
        <f>IF(OR(Raw_FDIC!AK604="",Raw_FDIC!AO604=""),"",IF(Raw_FDIC!AO604=0,"",Raw_FDIC!AK604/Raw_FDIC!AO604*100))</f>
        <v/>
      </c>
      <c r="N38" s="17">
        <f>IF(OR(Raw_FDIC!AL604="",Raw_FDIC!AO604=""),"",IF(Raw_FDIC!AO604=0,"",Raw_FDIC!AL604/Raw_FDIC!AO604*100))</f>
        <v/>
      </c>
      <c r="O38" s="17">
        <f>IF(OR(Raw_FDIC!AS604="",Raw_FDIC!AO604=""),"",IF(Raw_FDIC!AO604=0,"",Raw_FDIC!AS604/Raw_FDIC!AO604*400))</f>
        <v/>
      </c>
      <c r="P38" s="17">
        <f>IF(Raw_FDIC!AD604="","",Raw_FDIC!AD604)</f>
        <v/>
      </c>
      <c r="Q38" s="17">
        <f>IF(Raw_FDIC!AE604="","",Raw_FDIC!AE604)</f>
        <v/>
      </c>
      <c r="R38" s="17">
        <f>IF(Raw_FDIC!AF604="","",Raw_FDIC!AF604)</f>
        <v/>
      </c>
      <c r="S38" s="17">
        <f>IF(OR(Raw_FDIC!AT604="",Raw_FDIC!AP604=""),"",IF(Raw_FDIC!AP604=0,"",Raw_FDIC!AT604/Raw_FDIC!AP604*400))</f>
        <v/>
      </c>
      <c r="T38" s="17">
        <f>IF(Raw_FDIC!AG604="","",Raw_FDIC!AG604)</f>
        <v/>
      </c>
      <c r="U38" s="17">
        <f>IF(Raw_FDIC!AH604="","",Raw_FDIC!AH604)</f>
        <v/>
      </c>
      <c r="V38" s="17">
        <f>IF(Raw_FDIC!AI604="","",Raw_FDIC!AI604)</f>
        <v/>
      </c>
    </row>
    <row r="39">
      <c r="A39" s="14">
        <f>IF(_config!$C$103="","",_config!$C$103)</f>
        <v/>
      </c>
      <c r="B39" s="15">
        <f>IF(_config!$B$103="","",_config!$B$103)</f>
        <v/>
      </c>
      <c r="C39" s="16">
        <f>IF(_config!$D$103="","",_config!$D$103)</f>
        <v/>
      </c>
      <c r="D39" s="17">
        <f>IF(Raw_FDIC!X624="","",Raw_FDIC!X624)</f>
        <v/>
      </c>
      <c r="E39" s="17">
        <f>IF(Raw_FDIC!Y624="","",Raw_FDIC!Y624)</f>
        <v/>
      </c>
      <c r="F39" s="17">
        <f>IF(Raw_FDIC!Z624="","",Raw_FDIC!Z624)</f>
        <v/>
      </c>
      <c r="G39" s="17">
        <f>IF(OR(Raw_FDIC!AQ624="",Raw_FDIC!AM624=""),"",IF(Raw_FDIC!AM624=0,"",Raw_FDIC!AQ624/Raw_FDIC!AM624*400))</f>
        <v/>
      </c>
      <c r="H39" s="17">
        <f>IF(Raw_FDIC!AA624="","",Raw_FDIC!AA624)</f>
        <v/>
      </c>
      <c r="I39" s="17">
        <f>IF(Raw_FDIC!AB624="","",Raw_FDIC!AB624)</f>
        <v/>
      </c>
      <c r="J39" s="17">
        <f>IF(Raw_FDIC!AC624="","",Raw_FDIC!AC624)</f>
        <v/>
      </c>
      <c r="K39" s="17">
        <f>IF(OR(Raw_FDIC!AR624="",Raw_FDIC!AN624=""),"",IF(Raw_FDIC!AN624=0,"",Raw_FDIC!AR624/Raw_FDIC!AN624*400))</f>
        <v/>
      </c>
      <c r="L39" s="17">
        <f>IF(OR(Raw_FDIC!AJ624="",Raw_FDIC!AO624=""),"",IF(Raw_FDIC!AO624=0,"",Raw_FDIC!AJ624/Raw_FDIC!AO624*100))</f>
        <v/>
      </c>
      <c r="M39" s="17">
        <f>IF(OR(Raw_FDIC!AK624="",Raw_FDIC!AO624=""),"",IF(Raw_FDIC!AO624=0,"",Raw_FDIC!AK624/Raw_FDIC!AO624*100))</f>
        <v/>
      </c>
      <c r="N39" s="17">
        <f>IF(OR(Raw_FDIC!AL624="",Raw_FDIC!AO624=""),"",IF(Raw_FDIC!AO624=0,"",Raw_FDIC!AL624/Raw_FDIC!AO624*100))</f>
        <v/>
      </c>
      <c r="O39" s="17">
        <f>IF(OR(Raw_FDIC!AS624="",Raw_FDIC!AO624=""),"",IF(Raw_FDIC!AO624=0,"",Raw_FDIC!AS624/Raw_FDIC!AO624*400))</f>
        <v/>
      </c>
      <c r="P39" s="17">
        <f>IF(Raw_FDIC!AD624="","",Raw_FDIC!AD624)</f>
        <v/>
      </c>
      <c r="Q39" s="17">
        <f>IF(Raw_FDIC!AE624="","",Raw_FDIC!AE624)</f>
        <v/>
      </c>
      <c r="R39" s="17">
        <f>IF(Raw_FDIC!AF624="","",Raw_FDIC!AF624)</f>
        <v/>
      </c>
      <c r="S39" s="17">
        <f>IF(OR(Raw_FDIC!AT624="",Raw_FDIC!AP624=""),"",IF(Raw_FDIC!AP624=0,"",Raw_FDIC!AT624/Raw_FDIC!AP624*400))</f>
        <v/>
      </c>
      <c r="T39" s="17">
        <f>IF(Raw_FDIC!AG624="","",Raw_FDIC!AG624)</f>
        <v/>
      </c>
      <c r="U39" s="17">
        <f>IF(Raw_FDIC!AH624="","",Raw_FDIC!AH624)</f>
        <v/>
      </c>
      <c r="V39" s="17">
        <f>IF(Raw_FDIC!AI624="","",Raw_FDIC!AI624)</f>
        <v/>
      </c>
    </row>
    <row r="40">
      <c r="A40" s="14">
        <f>IF(_config!$C$104="","",_config!$C$104)</f>
        <v/>
      </c>
      <c r="B40" s="15">
        <f>IF(_config!$B$104="","",_config!$B$104)</f>
        <v/>
      </c>
      <c r="C40" s="16">
        <f>IF(_config!$D$104="","",_config!$D$104)</f>
        <v/>
      </c>
      <c r="D40" s="17">
        <f>IF(Raw_FDIC!X644="","",Raw_FDIC!X644)</f>
        <v/>
      </c>
      <c r="E40" s="17">
        <f>IF(Raw_FDIC!Y644="","",Raw_FDIC!Y644)</f>
        <v/>
      </c>
      <c r="F40" s="17">
        <f>IF(Raw_FDIC!Z644="","",Raw_FDIC!Z644)</f>
        <v/>
      </c>
      <c r="G40" s="17">
        <f>IF(OR(Raw_FDIC!AQ644="",Raw_FDIC!AM644=""),"",IF(Raw_FDIC!AM644=0,"",Raw_FDIC!AQ644/Raw_FDIC!AM644*400))</f>
        <v/>
      </c>
      <c r="H40" s="17">
        <f>IF(Raw_FDIC!AA644="","",Raw_FDIC!AA644)</f>
        <v/>
      </c>
      <c r="I40" s="17">
        <f>IF(Raw_FDIC!AB644="","",Raw_FDIC!AB644)</f>
        <v/>
      </c>
      <c r="J40" s="17">
        <f>IF(Raw_FDIC!AC644="","",Raw_FDIC!AC644)</f>
        <v/>
      </c>
      <c r="K40" s="17">
        <f>IF(OR(Raw_FDIC!AR644="",Raw_FDIC!AN644=""),"",IF(Raw_FDIC!AN644=0,"",Raw_FDIC!AR644/Raw_FDIC!AN644*400))</f>
        <v/>
      </c>
      <c r="L40" s="17">
        <f>IF(OR(Raw_FDIC!AJ644="",Raw_FDIC!AO644=""),"",IF(Raw_FDIC!AO644=0,"",Raw_FDIC!AJ644/Raw_FDIC!AO644*100))</f>
        <v/>
      </c>
      <c r="M40" s="17">
        <f>IF(OR(Raw_FDIC!AK644="",Raw_FDIC!AO644=""),"",IF(Raw_FDIC!AO644=0,"",Raw_FDIC!AK644/Raw_FDIC!AO644*100))</f>
        <v/>
      </c>
      <c r="N40" s="17">
        <f>IF(OR(Raw_FDIC!AL644="",Raw_FDIC!AO644=""),"",IF(Raw_FDIC!AO644=0,"",Raw_FDIC!AL644/Raw_FDIC!AO644*100))</f>
        <v/>
      </c>
      <c r="O40" s="17">
        <f>IF(OR(Raw_FDIC!AS644="",Raw_FDIC!AO644=""),"",IF(Raw_FDIC!AO644=0,"",Raw_FDIC!AS644/Raw_FDIC!AO644*400))</f>
        <v/>
      </c>
      <c r="P40" s="17">
        <f>IF(Raw_FDIC!AD644="","",Raw_FDIC!AD644)</f>
        <v/>
      </c>
      <c r="Q40" s="17">
        <f>IF(Raw_FDIC!AE644="","",Raw_FDIC!AE644)</f>
        <v/>
      </c>
      <c r="R40" s="17">
        <f>IF(Raw_FDIC!AF644="","",Raw_FDIC!AF644)</f>
        <v/>
      </c>
      <c r="S40" s="17">
        <f>IF(OR(Raw_FDIC!AT644="",Raw_FDIC!AP644=""),"",IF(Raw_FDIC!AP644=0,"",Raw_FDIC!AT644/Raw_FDIC!AP644*400))</f>
        <v/>
      </c>
      <c r="T40" s="17">
        <f>IF(Raw_FDIC!AG644="","",Raw_FDIC!AG644)</f>
        <v/>
      </c>
      <c r="U40" s="17">
        <f>IF(Raw_FDIC!AH644="","",Raw_FDIC!AH644)</f>
        <v/>
      </c>
      <c r="V40" s="17">
        <f>IF(Raw_FDIC!AI644="","",Raw_FDIC!AI644)</f>
        <v/>
      </c>
    </row>
    <row r="41">
      <c r="A41" s="14">
        <f>IF(_config!$C$105="","",_config!$C$105)</f>
        <v/>
      </c>
      <c r="B41" s="15">
        <f>IF(_config!$B$105="","",_config!$B$105)</f>
        <v/>
      </c>
      <c r="C41" s="16">
        <f>IF(_config!$D$105="","",_config!$D$105)</f>
        <v/>
      </c>
      <c r="D41" s="17">
        <f>IF(Raw_FDIC!X664="","",Raw_FDIC!X664)</f>
        <v/>
      </c>
      <c r="E41" s="17">
        <f>IF(Raw_FDIC!Y664="","",Raw_FDIC!Y664)</f>
        <v/>
      </c>
      <c r="F41" s="17">
        <f>IF(Raw_FDIC!Z664="","",Raw_FDIC!Z664)</f>
        <v/>
      </c>
      <c r="G41" s="17">
        <f>IF(OR(Raw_FDIC!AQ664="",Raw_FDIC!AM664=""),"",IF(Raw_FDIC!AM664=0,"",Raw_FDIC!AQ664/Raw_FDIC!AM664*400))</f>
        <v/>
      </c>
      <c r="H41" s="17">
        <f>IF(Raw_FDIC!AA664="","",Raw_FDIC!AA664)</f>
        <v/>
      </c>
      <c r="I41" s="17">
        <f>IF(Raw_FDIC!AB664="","",Raw_FDIC!AB664)</f>
        <v/>
      </c>
      <c r="J41" s="17">
        <f>IF(Raw_FDIC!AC664="","",Raw_FDIC!AC664)</f>
        <v/>
      </c>
      <c r="K41" s="17">
        <f>IF(OR(Raw_FDIC!AR664="",Raw_FDIC!AN664=""),"",IF(Raw_FDIC!AN664=0,"",Raw_FDIC!AR664/Raw_FDIC!AN664*400))</f>
        <v/>
      </c>
      <c r="L41" s="17">
        <f>IF(OR(Raw_FDIC!AJ664="",Raw_FDIC!AO664=""),"",IF(Raw_FDIC!AO664=0,"",Raw_FDIC!AJ664/Raw_FDIC!AO664*100))</f>
        <v/>
      </c>
      <c r="M41" s="17">
        <f>IF(OR(Raw_FDIC!AK664="",Raw_FDIC!AO664=""),"",IF(Raw_FDIC!AO664=0,"",Raw_FDIC!AK664/Raw_FDIC!AO664*100))</f>
        <v/>
      </c>
      <c r="N41" s="17">
        <f>IF(OR(Raw_FDIC!AL664="",Raw_FDIC!AO664=""),"",IF(Raw_FDIC!AO664=0,"",Raw_FDIC!AL664/Raw_FDIC!AO664*100))</f>
        <v/>
      </c>
      <c r="O41" s="17">
        <f>IF(OR(Raw_FDIC!AS664="",Raw_FDIC!AO664=""),"",IF(Raw_FDIC!AO664=0,"",Raw_FDIC!AS664/Raw_FDIC!AO664*400))</f>
        <v/>
      </c>
      <c r="P41" s="17">
        <f>IF(Raw_FDIC!AD664="","",Raw_FDIC!AD664)</f>
        <v/>
      </c>
      <c r="Q41" s="17">
        <f>IF(Raw_FDIC!AE664="","",Raw_FDIC!AE664)</f>
        <v/>
      </c>
      <c r="R41" s="17">
        <f>IF(Raw_FDIC!AF664="","",Raw_FDIC!AF664)</f>
        <v/>
      </c>
      <c r="S41" s="17">
        <f>IF(OR(Raw_FDIC!AT664="",Raw_FDIC!AP664=""),"",IF(Raw_FDIC!AP664=0,"",Raw_FDIC!AT664/Raw_FDIC!AP664*400))</f>
        <v/>
      </c>
      <c r="T41" s="17">
        <f>IF(Raw_FDIC!AG664="","",Raw_FDIC!AG664)</f>
        <v/>
      </c>
      <c r="U41" s="17">
        <f>IF(Raw_FDIC!AH664="","",Raw_FDIC!AH664)</f>
        <v/>
      </c>
      <c r="V41" s="17">
        <f>IF(Raw_FDIC!AI664="","",Raw_FDIC!AI664)</f>
        <v/>
      </c>
    </row>
    <row r="42">
      <c r="A42" s="14">
        <f>IF(_config!$C$106="","",_config!$C$106)</f>
        <v/>
      </c>
      <c r="B42" s="15">
        <f>IF(_config!$B$106="","",_config!$B$106)</f>
        <v/>
      </c>
      <c r="C42" s="16">
        <f>IF(_config!$D$106="","",_config!$D$106)</f>
        <v/>
      </c>
      <c r="D42" s="17">
        <f>IF(Raw_FDIC!X684="","",Raw_FDIC!X684)</f>
        <v/>
      </c>
      <c r="E42" s="17">
        <f>IF(Raw_FDIC!Y684="","",Raw_FDIC!Y684)</f>
        <v/>
      </c>
      <c r="F42" s="17">
        <f>IF(Raw_FDIC!Z684="","",Raw_FDIC!Z684)</f>
        <v/>
      </c>
      <c r="G42" s="17">
        <f>IF(OR(Raw_FDIC!AQ684="",Raw_FDIC!AM684=""),"",IF(Raw_FDIC!AM684=0,"",Raw_FDIC!AQ684/Raw_FDIC!AM684*400))</f>
        <v/>
      </c>
      <c r="H42" s="17">
        <f>IF(Raw_FDIC!AA684="","",Raw_FDIC!AA684)</f>
        <v/>
      </c>
      <c r="I42" s="17">
        <f>IF(Raw_FDIC!AB684="","",Raw_FDIC!AB684)</f>
        <v/>
      </c>
      <c r="J42" s="17">
        <f>IF(Raw_FDIC!AC684="","",Raw_FDIC!AC684)</f>
        <v/>
      </c>
      <c r="K42" s="17">
        <f>IF(OR(Raw_FDIC!AR684="",Raw_FDIC!AN684=""),"",IF(Raw_FDIC!AN684=0,"",Raw_FDIC!AR684/Raw_FDIC!AN684*400))</f>
        <v/>
      </c>
      <c r="L42" s="17">
        <f>IF(OR(Raw_FDIC!AJ684="",Raw_FDIC!AO684=""),"",IF(Raw_FDIC!AO684=0,"",Raw_FDIC!AJ684/Raw_FDIC!AO684*100))</f>
        <v/>
      </c>
      <c r="M42" s="17">
        <f>IF(OR(Raw_FDIC!AK684="",Raw_FDIC!AO684=""),"",IF(Raw_FDIC!AO684=0,"",Raw_FDIC!AK684/Raw_FDIC!AO684*100))</f>
        <v/>
      </c>
      <c r="N42" s="17">
        <f>IF(OR(Raw_FDIC!AL684="",Raw_FDIC!AO684=""),"",IF(Raw_FDIC!AO684=0,"",Raw_FDIC!AL684/Raw_FDIC!AO684*100))</f>
        <v/>
      </c>
      <c r="O42" s="17">
        <f>IF(OR(Raw_FDIC!AS684="",Raw_FDIC!AO684=""),"",IF(Raw_FDIC!AO684=0,"",Raw_FDIC!AS684/Raw_FDIC!AO684*400))</f>
        <v/>
      </c>
      <c r="P42" s="17">
        <f>IF(Raw_FDIC!AD684="","",Raw_FDIC!AD684)</f>
        <v/>
      </c>
      <c r="Q42" s="17">
        <f>IF(Raw_FDIC!AE684="","",Raw_FDIC!AE684)</f>
        <v/>
      </c>
      <c r="R42" s="17">
        <f>IF(Raw_FDIC!AF684="","",Raw_FDIC!AF684)</f>
        <v/>
      </c>
      <c r="S42" s="17">
        <f>IF(OR(Raw_FDIC!AT684="",Raw_FDIC!AP684=""),"",IF(Raw_FDIC!AP684=0,"",Raw_FDIC!AT684/Raw_FDIC!AP684*400))</f>
        <v/>
      </c>
      <c r="T42" s="17">
        <f>IF(Raw_FDIC!AG684="","",Raw_FDIC!AG684)</f>
        <v/>
      </c>
      <c r="U42" s="17">
        <f>IF(Raw_FDIC!AH684="","",Raw_FDIC!AH684)</f>
        <v/>
      </c>
      <c r="V42" s="17">
        <f>IF(Raw_FDIC!AI684="","",Raw_FDIC!AI684)</f>
        <v/>
      </c>
    </row>
    <row r="43">
      <c r="A43" s="14">
        <f>IF(_config!$C$107="","",_config!$C$107)</f>
        <v/>
      </c>
      <c r="B43" s="15">
        <f>IF(_config!$B$107="","",_config!$B$107)</f>
        <v/>
      </c>
      <c r="C43" s="16">
        <f>IF(_config!$D$107="","",_config!$D$107)</f>
        <v/>
      </c>
      <c r="D43" s="17">
        <f>IF(Raw_FDIC!X704="","",Raw_FDIC!X704)</f>
        <v/>
      </c>
      <c r="E43" s="17">
        <f>IF(Raw_FDIC!Y704="","",Raw_FDIC!Y704)</f>
        <v/>
      </c>
      <c r="F43" s="17">
        <f>IF(Raw_FDIC!Z704="","",Raw_FDIC!Z704)</f>
        <v/>
      </c>
      <c r="G43" s="17">
        <f>IF(OR(Raw_FDIC!AQ704="",Raw_FDIC!AM704=""),"",IF(Raw_FDIC!AM704=0,"",Raw_FDIC!AQ704/Raw_FDIC!AM704*400))</f>
        <v/>
      </c>
      <c r="H43" s="17">
        <f>IF(Raw_FDIC!AA704="","",Raw_FDIC!AA704)</f>
        <v/>
      </c>
      <c r="I43" s="17">
        <f>IF(Raw_FDIC!AB704="","",Raw_FDIC!AB704)</f>
        <v/>
      </c>
      <c r="J43" s="17">
        <f>IF(Raw_FDIC!AC704="","",Raw_FDIC!AC704)</f>
        <v/>
      </c>
      <c r="K43" s="17">
        <f>IF(OR(Raw_FDIC!AR704="",Raw_FDIC!AN704=""),"",IF(Raw_FDIC!AN704=0,"",Raw_FDIC!AR704/Raw_FDIC!AN704*400))</f>
        <v/>
      </c>
      <c r="L43" s="17">
        <f>IF(OR(Raw_FDIC!AJ704="",Raw_FDIC!AO704=""),"",IF(Raw_FDIC!AO704=0,"",Raw_FDIC!AJ704/Raw_FDIC!AO704*100))</f>
        <v/>
      </c>
      <c r="M43" s="17">
        <f>IF(OR(Raw_FDIC!AK704="",Raw_FDIC!AO704=""),"",IF(Raw_FDIC!AO704=0,"",Raw_FDIC!AK704/Raw_FDIC!AO704*100))</f>
        <v/>
      </c>
      <c r="N43" s="17">
        <f>IF(OR(Raw_FDIC!AL704="",Raw_FDIC!AO704=""),"",IF(Raw_FDIC!AO704=0,"",Raw_FDIC!AL704/Raw_FDIC!AO704*100))</f>
        <v/>
      </c>
      <c r="O43" s="17">
        <f>IF(OR(Raw_FDIC!AS704="",Raw_FDIC!AO704=""),"",IF(Raw_FDIC!AO704=0,"",Raw_FDIC!AS704/Raw_FDIC!AO704*400))</f>
        <v/>
      </c>
      <c r="P43" s="17">
        <f>IF(Raw_FDIC!AD704="","",Raw_FDIC!AD704)</f>
        <v/>
      </c>
      <c r="Q43" s="17">
        <f>IF(Raw_FDIC!AE704="","",Raw_FDIC!AE704)</f>
        <v/>
      </c>
      <c r="R43" s="17">
        <f>IF(Raw_FDIC!AF704="","",Raw_FDIC!AF704)</f>
        <v/>
      </c>
      <c r="S43" s="17">
        <f>IF(OR(Raw_FDIC!AT704="",Raw_FDIC!AP704=""),"",IF(Raw_FDIC!AP704=0,"",Raw_FDIC!AT704/Raw_FDIC!AP704*400))</f>
        <v/>
      </c>
      <c r="T43" s="17">
        <f>IF(Raw_FDIC!AG704="","",Raw_FDIC!AG704)</f>
        <v/>
      </c>
      <c r="U43" s="17">
        <f>IF(Raw_FDIC!AH704="","",Raw_FDIC!AH704)</f>
        <v/>
      </c>
      <c r="V43" s="17">
        <f>IF(Raw_FDIC!AI704="","",Raw_FDIC!AI704)</f>
        <v/>
      </c>
    </row>
    <row r="44">
      <c r="A44" s="14">
        <f>IF(_config!$C$108="","",_config!$C$108)</f>
        <v/>
      </c>
      <c r="B44" s="15">
        <f>IF(_config!$B$108="","",_config!$B$108)</f>
        <v/>
      </c>
      <c r="C44" s="16">
        <f>IF(_config!$D$108="","",_config!$D$108)</f>
        <v/>
      </c>
      <c r="D44" s="17">
        <f>IF(Raw_FDIC!X724="","",Raw_FDIC!X724)</f>
        <v/>
      </c>
      <c r="E44" s="17">
        <f>IF(Raw_FDIC!Y724="","",Raw_FDIC!Y724)</f>
        <v/>
      </c>
      <c r="F44" s="17">
        <f>IF(Raw_FDIC!Z724="","",Raw_FDIC!Z724)</f>
        <v/>
      </c>
      <c r="G44" s="17">
        <f>IF(OR(Raw_FDIC!AQ724="",Raw_FDIC!AM724=""),"",IF(Raw_FDIC!AM724=0,"",Raw_FDIC!AQ724/Raw_FDIC!AM724*400))</f>
        <v/>
      </c>
      <c r="H44" s="17">
        <f>IF(Raw_FDIC!AA724="","",Raw_FDIC!AA724)</f>
        <v/>
      </c>
      <c r="I44" s="17">
        <f>IF(Raw_FDIC!AB724="","",Raw_FDIC!AB724)</f>
        <v/>
      </c>
      <c r="J44" s="17">
        <f>IF(Raw_FDIC!AC724="","",Raw_FDIC!AC724)</f>
        <v/>
      </c>
      <c r="K44" s="17">
        <f>IF(OR(Raw_FDIC!AR724="",Raw_FDIC!AN724=""),"",IF(Raw_FDIC!AN724=0,"",Raw_FDIC!AR724/Raw_FDIC!AN724*400))</f>
        <v/>
      </c>
      <c r="L44" s="17">
        <f>IF(OR(Raw_FDIC!AJ724="",Raw_FDIC!AO724=""),"",IF(Raw_FDIC!AO724=0,"",Raw_FDIC!AJ724/Raw_FDIC!AO724*100))</f>
        <v/>
      </c>
      <c r="M44" s="17">
        <f>IF(OR(Raw_FDIC!AK724="",Raw_FDIC!AO724=""),"",IF(Raw_FDIC!AO724=0,"",Raw_FDIC!AK724/Raw_FDIC!AO724*100))</f>
        <v/>
      </c>
      <c r="N44" s="17">
        <f>IF(OR(Raw_FDIC!AL724="",Raw_FDIC!AO724=""),"",IF(Raw_FDIC!AO724=0,"",Raw_FDIC!AL724/Raw_FDIC!AO724*100))</f>
        <v/>
      </c>
      <c r="O44" s="17">
        <f>IF(OR(Raw_FDIC!AS724="",Raw_FDIC!AO724=""),"",IF(Raw_FDIC!AO724=0,"",Raw_FDIC!AS724/Raw_FDIC!AO724*400))</f>
        <v/>
      </c>
      <c r="P44" s="17">
        <f>IF(Raw_FDIC!AD724="","",Raw_FDIC!AD724)</f>
        <v/>
      </c>
      <c r="Q44" s="17">
        <f>IF(Raw_FDIC!AE724="","",Raw_FDIC!AE724)</f>
        <v/>
      </c>
      <c r="R44" s="17">
        <f>IF(Raw_FDIC!AF724="","",Raw_FDIC!AF724)</f>
        <v/>
      </c>
      <c r="S44" s="17">
        <f>IF(OR(Raw_FDIC!AT724="",Raw_FDIC!AP724=""),"",IF(Raw_FDIC!AP724=0,"",Raw_FDIC!AT724/Raw_FDIC!AP724*400))</f>
        <v/>
      </c>
      <c r="T44" s="17">
        <f>IF(Raw_FDIC!AG724="","",Raw_FDIC!AG724)</f>
        <v/>
      </c>
      <c r="U44" s="17">
        <f>IF(Raw_FDIC!AH724="","",Raw_FDIC!AH724)</f>
        <v/>
      </c>
      <c r="V44" s="17">
        <f>IF(Raw_FDIC!AI724="","",Raw_FDIC!AI724)</f>
        <v/>
      </c>
    </row>
    <row r="45">
      <c r="A45" s="14">
        <f>IF(_config!$C$109="","",_config!$C$109)</f>
        <v/>
      </c>
      <c r="B45" s="15">
        <f>IF(_config!$B$109="","",_config!$B$109)</f>
        <v/>
      </c>
      <c r="C45" s="16">
        <f>IF(_config!$D$109="","",_config!$D$109)</f>
        <v/>
      </c>
      <c r="D45" s="17">
        <f>IF(Raw_FDIC!X744="","",Raw_FDIC!X744)</f>
        <v/>
      </c>
      <c r="E45" s="17">
        <f>IF(Raw_FDIC!Y744="","",Raw_FDIC!Y744)</f>
        <v/>
      </c>
      <c r="F45" s="17">
        <f>IF(Raw_FDIC!Z744="","",Raw_FDIC!Z744)</f>
        <v/>
      </c>
      <c r="G45" s="17">
        <f>IF(OR(Raw_FDIC!AQ744="",Raw_FDIC!AM744=""),"",IF(Raw_FDIC!AM744=0,"",Raw_FDIC!AQ744/Raw_FDIC!AM744*400))</f>
        <v/>
      </c>
      <c r="H45" s="17">
        <f>IF(Raw_FDIC!AA744="","",Raw_FDIC!AA744)</f>
        <v/>
      </c>
      <c r="I45" s="17">
        <f>IF(Raw_FDIC!AB744="","",Raw_FDIC!AB744)</f>
        <v/>
      </c>
      <c r="J45" s="17">
        <f>IF(Raw_FDIC!AC744="","",Raw_FDIC!AC744)</f>
        <v/>
      </c>
      <c r="K45" s="17">
        <f>IF(OR(Raw_FDIC!AR744="",Raw_FDIC!AN744=""),"",IF(Raw_FDIC!AN744=0,"",Raw_FDIC!AR744/Raw_FDIC!AN744*400))</f>
        <v/>
      </c>
      <c r="L45" s="17">
        <f>IF(OR(Raw_FDIC!AJ744="",Raw_FDIC!AO744=""),"",IF(Raw_FDIC!AO744=0,"",Raw_FDIC!AJ744/Raw_FDIC!AO744*100))</f>
        <v/>
      </c>
      <c r="M45" s="17">
        <f>IF(OR(Raw_FDIC!AK744="",Raw_FDIC!AO744=""),"",IF(Raw_FDIC!AO744=0,"",Raw_FDIC!AK744/Raw_FDIC!AO744*100))</f>
        <v/>
      </c>
      <c r="N45" s="17">
        <f>IF(OR(Raw_FDIC!AL744="",Raw_FDIC!AO744=""),"",IF(Raw_FDIC!AO744=0,"",Raw_FDIC!AL744/Raw_FDIC!AO744*100))</f>
        <v/>
      </c>
      <c r="O45" s="17">
        <f>IF(OR(Raw_FDIC!AS744="",Raw_FDIC!AO744=""),"",IF(Raw_FDIC!AO744=0,"",Raw_FDIC!AS744/Raw_FDIC!AO744*400))</f>
        <v/>
      </c>
      <c r="P45" s="17">
        <f>IF(Raw_FDIC!AD744="","",Raw_FDIC!AD744)</f>
        <v/>
      </c>
      <c r="Q45" s="17">
        <f>IF(Raw_FDIC!AE744="","",Raw_FDIC!AE744)</f>
        <v/>
      </c>
      <c r="R45" s="17">
        <f>IF(Raw_FDIC!AF744="","",Raw_FDIC!AF744)</f>
        <v/>
      </c>
      <c r="S45" s="17">
        <f>IF(OR(Raw_FDIC!AT744="",Raw_FDIC!AP744=""),"",IF(Raw_FDIC!AP744=0,"",Raw_FDIC!AT744/Raw_FDIC!AP744*400))</f>
        <v/>
      </c>
      <c r="T45" s="17">
        <f>IF(Raw_FDIC!AG744="","",Raw_FDIC!AG744)</f>
        <v/>
      </c>
      <c r="U45" s="17">
        <f>IF(Raw_FDIC!AH744="","",Raw_FDIC!AH744)</f>
        <v/>
      </c>
      <c r="V45" s="17">
        <f>IF(Raw_FDIC!AI744="","",Raw_FDIC!AI744)</f>
        <v/>
      </c>
    </row>
    <row r="46">
      <c r="A46" s="14">
        <f>IF(_config!$C$110="","",_config!$C$110)</f>
        <v/>
      </c>
      <c r="B46" s="15">
        <f>IF(_config!$B$110="","",_config!$B$110)</f>
        <v/>
      </c>
      <c r="C46" s="16">
        <f>IF(_config!$D$110="","",_config!$D$110)</f>
        <v/>
      </c>
      <c r="D46" s="17">
        <f>IF(Raw_FDIC!X764="","",Raw_FDIC!X764)</f>
        <v/>
      </c>
      <c r="E46" s="17">
        <f>IF(Raw_FDIC!Y764="","",Raw_FDIC!Y764)</f>
        <v/>
      </c>
      <c r="F46" s="17">
        <f>IF(Raw_FDIC!Z764="","",Raw_FDIC!Z764)</f>
        <v/>
      </c>
      <c r="G46" s="17">
        <f>IF(OR(Raw_FDIC!AQ764="",Raw_FDIC!AM764=""),"",IF(Raw_FDIC!AM764=0,"",Raw_FDIC!AQ764/Raw_FDIC!AM764*400))</f>
        <v/>
      </c>
      <c r="H46" s="17">
        <f>IF(Raw_FDIC!AA764="","",Raw_FDIC!AA764)</f>
        <v/>
      </c>
      <c r="I46" s="17">
        <f>IF(Raw_FDIC!AB764="","",Raw_FDIC!AB764)</f>
        <v/>
      </c>
      <c r="J46" s="17">
        <f>IF(Raw_FDIC!AC764="","",Raw_FDIC!AC764)</f>
        <v/>
      </c>
      <c r="K46" s="17">
        <f>IF(OR(Raw_FDIC!AR764="",Raw_FDIC!AN764=""),"",IF(Raw_FDIC!AN764=0,"",Raw_FDIC!AR764/Raw_FDIC!AN764*400))</f>
        <v/>
      </c>
      <c r="L46" s="17">
        <f>IF(OR(Raw_FDIC!AJ764="",Raw_FDIC!AO764=""),"",IF(Raw_FDIC!AO764=0,"",Raw_FDIC!AJ764/Raw_FDIC!AO764*100))</f>
        <v/>
      </c>
      <c r="M46" s="17">
        <f>IF(OR(Raw_FDIC!AK764="",Raw_FDIC!AO764=""),"",IF(Raw_FDIC!AO764=0,"",Raw_FDIC!AK764/Raw_FDIC!AO764*100))</f>
        <v/>
      </c>
      <c r="N46" s="17">
        <f>IF(OR(Raw_FDIC!AL764="",Raw_FDIC!AO764=""),"",IF(Raw_FDIC!AO764=0,"",Raw_FDIC!AL764/Raw_FDIC!AO764*100))</f>
        <v/>
      </c>
      <c r="O46" s="17">
        <f>IF(OR(Raw_FDIC!AS764="",Raw_FDIC!AO764=""),"",IF(Raw_FDIC!AO764=0,"",Raw_FDIC!AS764/Raw_FDIC!AO764*400))</f>
        <v/>
      </c>
      <c r="P46" s="17">
        <f>IF(Raw_FDIC!AD764="","",Raw_FDIC!AD764)</f>
        <v/>
      </c>
      <c r="Q46" s="17">
        <f>IF(Raw_FDIC!AE764="","",Raw_FDIC!AE764)</f>
        <v/>
      </c>
      <c r="R46" s="17">
        <f>IF(Raw_FDIC!AF764="","",Raw_FDIC!AF764)</f>
        <v/>
      </c>
      <c r="S46" s="17">
        <f>IF(OR(Raw_FDIC!AT764="",Raw_FDIC!AP764=""),"",IF(Raw_FDIC!AP764=0,"",Raw_FDIC!AT764/Raw_FDIC!AP764*400))</f>
        <v/>
      </c>
      <c r="T46" s="17">
        <f>IF(Raw_FDIC!AG764="","",Raw_FDIC!AG764)</f>
        <v/>
      </c>
      <c r="U46" s="17">
        <f>IF(Raw_FDIC!AH764="","",Raw_FDIC!AH764)</f>
        <v/>
      </c>
      <c r="V46" s="17">
        <f>IF(Raw_FDIC!AI764="","",Raw_FDIC!AI764)</f>
        <v/>
      </c>
    </row>
    <row r="47">
      <c r="A47" s="14">
        <f>IF(_config!$C$111="","",_config!$C$111)</f>
        <v/>
      </c>
      <c r="B47" s="15">
        <f>IF(_config!$B$111="","",_config!$B$111)</f>
        <v/>
      </c>
      <c r="C47" s="16">
        <f>IF(_config!$D$111="","",_config!$D$111)</f>
        <v/>
      </c>
      <c r="D47" s="17">
        <f>IF(Raw_FDIC!X784="","",Raw_FDIC!X784)</f>
        <v/>
      </c>
      <c r="E47" s="17">
        <f>IF(Raw_FDIC!Y784="","",Raw_FDIC!Y784)</f>
        <v/>
      </c>
      <c r="F47" s="17">
        <f>IF(Raw_FDIC!Z784="","",Raw_FDIC!Z784)</f>
        <v/>
      </c>
      <c r="G47" s="17">
        <f>IF(OR(Raw_FDIC!AQ784="",Raw_FDIC!AM784=""),"",IF(Raw_FDIC!AM784=0,"",Raw_FDIC!AQ784/Raw_FDIC!AM784*400))</f>
        <v/>
      </c>
      <c r="H47" s="17">
        <f>IF(Raw_FDIC!AA784="","",Raw_FDIC!AA784)</f>
        <v/>
      </c>
      <c r="I47" s="17">
        <f>IF(Raw_FDIC!AB784="","",Raw_FDIC!AB784)</f>
        <v/>
      </c>
      <c r="J47" s="17">
        <f>IF(Raw_FDIC!AC784="","",Raw_FDIC!AC784)</f>
        <v/>
      </c>
      <c r="K47" s="17">
        <f>IF(OR(Raw_FDIC!AR784="",Raw_FDIC!AN784=""),"",IF(Raw_FDIC!AN784=0,"",Raw_FDIC!AR784/Raw_FDIC!AN784*400))</f>
        <v/>
      </c>
      <c r="L47" s="17">
        <f>IF(OR(Raw_FDIC!AJ784="",Raw_FDIC!AO784=""),"",IF(Raw_FDIC!AO784=0,"",Raw_FDIC!AJ784/Raw_FDIC!AO784*100))</f>
        <v/>
      </c>
      <c r="M47" s="17">
        <f>IF(OR(Raw_FDIC!AK784="",Raw_FDIC!AO784=""),"",IF(Raw_FDIC!AO784=0,"",Raw_FDIC!AK784/Raw_FDIC!AO784*100))</f>
        <v/>
      </c>
      <c r="N47" s="17">
        <f>IF(OR(Raw_FDIC!AL784="",Raw_FDIC!AO784=""),"",IF(Raw_FDIC!AO784=0,"",Raw_FDIC!AL784/Raw_FDIC!AO784*100))</f>
        <v/>
      </c>
      <c r="O47" s="17">
        <f>IF(OR(Raw_FDIC!AS784="",Raw_FDIC!AO784=""),"",IF(Raw_FDIC!AO784=0,"",Raw_FDIC!AS784/Raw_FDIC!AO784*400))</f>
        <v/>
      </c>
      <c r="P47" s="17">
        <f>IF(Raw_FDIC!AD784="","",Raw_FDIC!AD784)</f>
        <v/>
      </c>
      <c r="Q47" s="17">
        <f>IF(Raw_FDIC!AE784="","",Raw_FDIC!AE784)</f>
        <v/>
      </c>
      <c r="R47" s="17">
        <f>IF(Raw_FDIC!AF784="","",Raw_FDIC!AF784)</f>
        <v/>
      </c>
      <c r="S47" s="17">
        <f>IF(OR(Raw_FDIC!AT784="",Raw_FDIC!AP784=""),"",IF(Raw_FDIC!AP784=0,"",Raw_FDIC!AT784/Raw_FDIC!AP784*400))</f>
        <v/>
      </c>
      <c r="T47" s="17">
        <f>IF(Raw_FDIC!AG784="","",Raw_FDIC!AG784)</f>
        <v/>
      </c>
      <c r="U47" s="17">
        <f>IF(Raw_FDIC!AH784="","",Raw_FDIC!AH784)</f>
        <v/>
      </c>
      <c r="V47" s="17">
        <f>IF(Raw_FDIC!AI784="","",Raw_FDIC!AI784)</f>
        <v/>
      </c>
    </row>
    <row r="48">
      <c r="A48" s="18" t="inlineStr">
        <is>
          <t>PEER MEDIAN (landed banks; includes stale -- see _readme)</t>
        </is>
      </c>
      <c r="D48" s="19">
        <f>IF(COUNT(D8:D47)=0,"",MEDIAN(D8:D47))</f>
        <v/>
      </c>
      <c r="E48" s="19">
        <f>IF(COUNT(E8:E47)=0,"",MEDIAN(E8:E47))</f>
        <v/>
      </c>
      <c r="F48" s="19">
        <f>IF(COUNT(F8:F47)=0,"",MEDIAN(F8:F47))</f>
        <v/>
      </c>
      <c r="G48" s="19">
        <f>IF(COUNT(G8:G47)=0,"",MEDIAN(G8:G47))</f>
        <v/>
      </c>
      <c r="H48" s="19">
        <f>IF(COUNT(H8:H47)=0,"",MEDIAN(H8:H47))</f>
        <v/>
      </c>
      <c r="I48" s="19">
        <f>IF(COUNT(I8:I47)=0,"",MEDIAN(I8:I47))</f>
        <v/>
      </c>
      <c r="J48" s="19">
        <f>IF(COUNT(J8:J47)=0,"",MEDIAN(J8:J47))</f>
        <v/>
      </c>
      <c r="K48" s="19">
        <f>IF(COUNT(K8:K47)=0,"",MEDIAN(K8:K47))</f>
        <v/>
      </c>
      <c r="L48" s="19">
        <f>IF(COUNT(L8:L47)=0,"",MEDIAN(L8:L47))</f>
        <v/>
      </c>
      <c r="M48" s="19">
        <f>IF(COUNT(M8:M47)=0,"",MEDIAN(M8:M47))</f>
        <v/>
      </c>
      <c r="N48" s="19">
        <f>IF(COUNT(N8:N47)=0,"",MEDIAN(N8:N47))</f>
        <v/>
      </c>
      <c r="O48" s="19">
        <f>IF(COUNT(O8:O47)=0,"",MEDIAN(O8:O47))</f>
        <v/>
      </c>
      <c r="P48" s="19">
        <f>IF(COUNT(P8:P47)=0,"",MEDIAN(P8:P47))</f>
        <v/>
      </c>
      <c r="Q48" s="19">
        <f>IF(COUNT(Q8:Q47)=0,"",MEDIAN(Q8:Q47))</f>
        <v/>
      </c>
      <c r="R48" s="19">
        <f>IF(COUNT(R8:R47)=0,"",MEDIAN(R8:R47))</f>
        <v/>
      </c>
      <c r="S48" s="19">
        <f>IF(COUNT(S8:S47)=0,"",MEDIAN(S8:S47))</f>
        <v/>
      </c>
      <c r="T48" s="19">
        <f>IF(COUNT(T8:T47)=0,"",MEDIAN(T8:T47))</f>
        <v/>
      </c>
      <c r="U48" s="19">
        <f>IF(COUNT(U8:U47)=0,"",MEDIAN(U8:U47))</f>
        <v/>
      </c>
      <c r="V48" s="19">
        <f>IF(COUNT(V8:V47)=0,"",MEDIAN(V8:V47))</f>
        <v/>
      </c>
    </row>
    <row r="50">
      <c r="A50" s="21" t="inlineStr">
        <is>
          <t>COMMERCIAL FLOOR -- Public Call-Report proxy -- commercial risk ratings lead delinquency; criticized/classified view via the EDGAR tracker.</t>
        </is>
      </c>
    </row>
    <row r="51" ht="22" customHeight="1">
      <c r="A51" s="12" t="inlineStr">
        <is>
          <t>Bank</t>
        </is>
      </c>
      <c r="B51" s="12" t="inlineStr">
        <is>
          <t>CERT</t>
        </is>
      </c>
      <c r="C51" s="12" t="inlineStr">
        <is>
          <t>Group</t>
        </is>
      </c>
      <c r="D51" s="13" t="inlineStr">
        <is>
          <t>Constr 30-89</t>
        </is>
      </c>
      <c r="E51" s="13" t="inlineStr">
        <is>
          <t>Constr 90+</t>
        </is>
      </c>
      <c r="F51" s="13" t="inlineStr">
        <is>
          <t>Constr NA</t>
        </is>
      </c>
      <c r="G51" s="13" t="inlineStr">
        <is>
          <t>Constr NCOq</t>
        </is>
      </c>
      <c r="H51" s="13" t="inlineStr">
        <is>
          <t>CRE 30-89</t>
        </is>
      </c>
      <c r="I51" s="13" t="inlineStr">
        <is>
          <t>CRE 90+</t>
        </is>
      </c>
      <c r="J51" s="13" t="inlineStr">
        <is>
          <t>CRE NA</t>
        </is>
      </c>
      <c r="K51" s="13" t="inlineStr">
        <is>
          <t>CRE NCOq</t>
        </is>
      </c>
      <c r="L51" s="13" t="inlineStr">
        <is>
          <t>Multif 30-89</t>
        </is>
      </c>
      <c r="M51" s="13" t="inlineStr">
        <is>
          <t>Multif 90+</t>
        </is>
      </c>
      <c r="N51" s="13" t="inlineStr">
        <is>
          <t>Multif NA</t>
        </is>
      </c>
      <c r="O51" s="13" t="inlineStr">
        <is>
          <t>Multif NCOq</t>
        </is>
      </c>
      <c r="P51" s="13" t="inlineStr">
        <is>
          <t>C&amp;I 30-89</t>
        </is>
      </c>
      <c r="Q51" s="13" t="inlineStr">
        <is>
          <t>C&amp;I 90+</t>
        </is>
      </c>
      <c r="R51" s="13" t="inlineStr">
        <is>
          <t>C&amp;I NA</t>
        </is>
      </c>
      <c r="S51" s="13" t="inlineStr">
        <is>
          <t>C&amp;I NCOq</t>
        </is>
      </c>
    </row>
    <row r="52">
      <c r="A52" s="14">
        <f>IF(_config!$C$72="","",_config!$C$72)</f>
        <v/>
      </c>
      <c r="B52" s="15">
        <f>IF(_config!$B$72="","",_config!$B$72)</f>
        <v/>
      </c>
      <c r="C52" s="16">
        <f>IF(_config!$D$72="","",_config!$D$72)</f>
        <v/>
      </c>
      <c r="D52" s="17">
        <f>IF(OR(Raw_FDIC!AX4="",Raw_FDIC!K4=""),"",IF(Raw_FDIC!K4=0,"",Raw_FDIC!AX4/Raw_FDIC!K4*100))</f>
        <v/>
      </c>
      <c r="E52" s="17">
        <f>IF(OR(Raw_FDIC!AY4="",Raw_FDIC!K4=""),"",IF(Raw_FDIC!K4=0,"",Raw_FDIC!AY4/Raw_FDIC!K4*100))</f>
        <v/>
      </c>
      <c r="F52" s="17">
        <f>IF(OR(Raw_FDIC!AZ4="",Raw_FDIC!K4=""),"",IF(Raw_FDIC!K4=0,"",Raw_FDIC!AZ4/Raw_FDIC!K4*100))</f>
        <v/>
      </c>
      <c r="G52" s="17">
        <f>IF(OR(Raw_FDIC!BH4="",Raw_FDIC!K4=""),"",IF(Raw_FDIC!K4=0,"",Raw_FDIC!BH4/Raw_FDIC!K4*400))</f>
        <v/>
      </c>
      <c r="H52" s="17">
        <f>IF(OR(Raw_FDIC!BA4="",Raw_FDIC!L4=""),"",IF(Raw_FDIC!L4=0,"",Raw_FDIC!BA4/Raw_FDIC!L4*100))</f>
        <v/>
      </c>
      <c r="I52" s="17">
        <f>IF(OR(Raw_FDIC!BB4="",Raw_FDIC!L4=""),"",IF(Raw_FDIC!L4=0,"",Raw_FDIC!BB4/Raw_FDIC!L4*100))</f>
        <v/>
      </c>
      <c r="J52" s="17">
        <f>IF(OR(Raw_FDIC!BC4="",Raw_FDIC!L4=""),"",IF(Raw_FDIC!L4=0,"",Raw_FDIC!BC4/Raw_FDIC!L4*100))</f>
        <v/>
      </c>
      <c r="K52" s="17">
        <f>IF(OR(Raw_FDIC!BI4="",Raw_FDIC!L4=""),"",IF(Raw_FDIC!L4=0,"",Raw_FDIC!BI4/Raw_FDIC!L4*400))</f>
        <v/>
      </c>
      <c r="L52" s="17">
        <f>IF(OR(Raw_FDIC!BD4="",Raw_FDIC!M4=""),"",IF(Raw_FDIC!M4=0,"",Raw_FDIC!BD4/Raw_FDIC!M4*100))</f>
        <v/>
      </c>
      <c r="M52" s="17">
        <f>IF(OR(Raw_FDIC!BE4="",Raw_FDIC!M4=""),"",IF(Raw_FDIC!M4=0,"",Raw_FDIC!BE4/Raw_FDIC!M4*100))</f>
        <v/>
      </c>
      <c r="N52" s="17">
        <f>IF(OR(Raw_FDIC!BF4="",Raw_FDIC!M4=""),"",IF(Raw_FDIC!M4=0,"",Raw_FDIC!BF4/Raw_FDIC!M4*100))</f>
        <v/>
      </c>
      <c r="O52" s="17">
        <f>IF(OR(Raw_FDIC!BJ4="",Raw_FDIC!M4=""),"",IF(Raw_FDIC!M4=0,"",Raw_FDIC!BJ4/Raw_FDIC!M4*400))</f>
        <v/>
      </c>
      <c r="P52" s="17">
        <f>IF(Raw_FDIC!AU4="","",Raw_FDIC!AU4)</f>
        <v/>
      </c>
      <c r="Q52" s="17">
        <f>IF(Raw_FDIC!AV4="","",Raw_FDIC!AV4)</f>
        <v/>
      </c>
      <c r="R52" s="17">
        <f>IF(Raw_FDIC!AW4="","",Raw_FDIC!AW4)</f>
        <v/>
      </c>
      <c r="S52" s="17">
        <f>IF(OR(Raw_FDIC!BK4="",Raw_FDIC!BG4=""),"",IF(Raw_FDIC!BG4=0,"",Raw_FDIC!BK4/Raw_FDIC!BG4*400))</f>
        <v/>
      </c>
    </row>
    <row r="53">
      <c r="A53" s="14">
        <f>IF(_config!$C$73="","",_config!$C$73)</f>
        <v/>
      </c>
      <c r="B53" s="15">
        <f>IF(_config!$B$73="","",_config!$B$73)</f>
        <v/>
      </c>
      <c r="C53" s="16">
        <f>IF(_config!$D$73="","",_config!$D$73)</f>
        <v/>
      </c>
      <c r="D53" s="17">
        <f>IF(OR(Raw_FDIC!AX24="",Raw_FDIC!K24=""),"",IF(Raw_FDIC!K24=0,"",Raw_FDIC!AX24/Raw_FDIC!K24*100))</f>
        <v/>
      </c>
      <c r="E53" s="17">
        <f>IF(OR(Raw_FDIC!AY24="",Raw_FDIC!K24=""),"",IF(Raw_FDIC!K24=0,"",Raw_FDIC!AY24/Raw_FDIC!K24*100))</f>
        <v/>
      </c>
      <c r="F53" s="17">
        <f>IF(OR(Raw_FDIC!AZ24="",Raw_FDIC!K24=""),"",IF(Raw_FDIC!K24=0,"",Raw_FDIC!AZ24/Raw_FDIC!K24*100))</f>
        <v/>
      </c>
      <c r="G53" s="17">
        <f>IF(OR(Raw_FDIC!BH24="",Raw_FDIC!K24=""),"",IF(Raw_FDIC!K24=0,"",Raw_FDIC!BH24/Raw_FDIC!K24*400))</f>
        <v/>
      </c>
      <c r="H53" s="17">
        <f>IF(OR(Raw_FDIC!BA24="",Raw_FDIC!L24=""),"",IF(Raw_FDIC!L24=0,"",Raw_FDIC!BA24/Raw_FDIC!L24*100))</f>
        <v/>
      </c>
      <c r="I53" s="17">
        <f>IF(OR(Raw_FDIC!BB24="",Raw_FDIC!L24=""),"",IF(Raw_FDIC!L24=0,"",Raw_FDIC!BB24/Raw_FDIC!L24*100))</f>
        <v/>
      </c>
      <c r="J53" s="17">
        <f>IF(OR(Raw_FDIC!BC24="",Raw_FDIC!L24=""),"",IF(Raw_FDIC!L24=0,"",Raw_FDIC!BC24/Raw_FDIC!L24*100))</f>
        <v/>
      </c>
      <c r="K53" s="17">
        <f>IF(OR(Raw_FDIC!BI24="",Raw_FDIC!L24=""),"",IF(Raw_FDIC!L24=0,"",Raw_FDIC!BI24/Raw_FDIC!L24*400))</f>
        <v/>
      </c>
      <c r="L53" s="17">
        <f>IF(OR(Raw_FDIC!BD24="",Raw_FDIC!M24=""),"",IF(Raw_FDIC!M24=0,"",Raw_FDIC!BD24/Raw_FDIC!M24*100))</f>
        <v/>
      </c>
      <c r="M53" s="17">
        <f>IF(OR(Raw_FDIC!BE24="",Raw_FDIC!M24=""),"",IF(Raw_FDIC!M24=0,"",Raw_FDIC!BE24/Raw_FDIC!M24*100))</f>
        <v/>
      </c>
      <c r="N53" s="17">
        <f>IF(OR(Raw_FDIC!BF24="",Raw_FDIC!M24=""),"",IF(Raw_FDIC!M24=0,"",Raw_FDIC!BF24/Raw_FDIC!M24*100))</f>
        <v/>
      </c>
      <c r="O53" s="17">
        <f>IF(OR(Raw_FDIC!BJ24="",Raw_FDIC!M24=""),"",IF(Raw_FDIC!M24=0,"",Raw_FDIC!BJ24/Raw_FDIC!M24*400))</f>
        <v/>
      </c>
      <c r="P53" s="17">
        <f>IF(Raw_FDIC!AU24="","",Raw_FDIC!AU24)</f>
        <v/>
      </c>
      <c r="Q53" s="17">
        <f>IF(Raw_FDIC!AV24="","",Raw_FDIC!AV24)</f>
        <v/>
      </c>
      <c r="R53" s="17">
        <f>IF(Raw_FDIC!AW24="","",Raw_FDIC!AW24)</f>
        <v/>
      </c>
      <c r="S53" s="17">
        <f>IF(OR(Raw_FDIC!BK24="",Raw_FDIC!BG24=""),"",IF(Raw_FDIC!BG24=0,"",Raw_FDIC!BK24/Raw_FDIC!BG24*400))</f>
        <v/>
      </c>
    </row>
    <row r="54">
      <c r="A54" s="14">
        <f>IF(_config!$C$74="","",_config!$C$74)</f>
        <v/>
      </c>
      <c r="B54" s="15">
        <f>IF(_config!$B$74="","",_config!$B$74)</f>
        <v/>
      </c>
      <c r="C54" s="16">
        <f>IF(_config!$D$74="","",_config!$D$74)</f>
        <v/>
      </c>
      <c r="D54" s="17">
        <f>IF(OR(Raw_FDIC!AX44="",Raw_FDIC!K44=""),"",IF(Raw_FDIC!K44=0,"",Raw_FDIC!AX44/Raw_FDIC!K44*100))</f>
        <v/>
      </c>
      <c r="E54" s="17">
        <f>IF(OR(Raw_FDIC!AY44="",Raw_FDIC!K44=""),"",IF(Raw_FDIC!K44=0,"",Raw_FDIC!AY44/Raw_FDIC!K44*100))</f>
        <v/>
      </c>
      <c r="F54" s="17">
        <f>IF(OR(Raw_FDIC!AZ44="",Raw_FDIC!K44=""),"",IF(Raw_FDIC!K44=0,"",Raw_FDIC!AZ44/Raw_FDIC!K44*100))</f>
        <v/>
      </c>
      <c r="G54" s="17">
        <f>IF(OR(Raw_FDIC!BH44="",Raw_FDIC!K44=""),"",IF(Raw_FDIC!K44=0,"",Raw_FDIC!BH44/Raw_FDIC!K44*400))</f>
        <v/>
      </c>
      <c r="H54" s="17">
        <f>IF(OR(Raw_FDIC!BA44="",Raw_FDIC!L44=""),"",IF(Raw_FDIC!L44=0,"",Raw_FDIC!BA44/Raw_FDIC!L44*100))</f>
        <v/>
      </c>
      <c r="I54" s="17">
        <f>IF(OR(Raw_FDIC!BB44="",Raw_FDIC!L44=""),"",IF(Raw_FDIC!L44=0,"",Raw_FDIC!BB44/Raw_FDIC!L44*100))</f>
        <v/>
      </c>
      <c r="J54" s="17">
        <f>IF(OR(Raw_FDIC!BC44="",Raw_FDIC!L44=""),"",IF(Raw_FDIC!L44=0,"",Raw_FDIC!BC44/Raw_FDIC!L44*100))</f>
        <v/>
      </c>
      <c r="K54" s="17">
        <f>IF(OR(Raw_FDIC!BI44="",Raw_FDIC!L44=""),"",IF(Raw_FDIC!L44=0,"",Raw_FDIC!BI44/Raw_FDIC!L44*400))</f>
        <v/>
      </c>
      <c r="L54" s="17">
        <f>IF(OR(Raw_FDIC!BD44="",Raw_FDIC!M44=""),"",IF(Raw_FDIC!M44=0,"",Raw_FDIC!BD44/Raw_FDIC!M44*100))</f>
        <v/>
      </c>
      <c r="M54" s="17">
        <f>IF(OR(Raw_FDIC!BE44="",Raw_FDIC!M44=""),"",IF(Raw_FDIC!M44=0,"",Raw_FDIC!BE44/Raw_FDIC!M44*100))</f>
        <v/>
      </c>
      <c r="N54" s="17">
        <f>IF(OR(Raw_FDIC!BF44="",Raw_FDIC!M44=""),"",IF(Raw_FDIC!M44=0,"",Raw_FDIC!BF44/Raw_FDIC!M44*100))</f>
        <v/>
      </c>
      <c r="O54" s="17">
        <f>IF(OR(Raw_FDIC!BJ44="",Raw_FDIC!M44=""),"",IF(Raw_FDIC!M44=0,"",Raw_FDIC!BJ44/Raw_FDIC!M44*400))</f>
        <v/>
      </c>
      <c r="P54" s="17">
        <f>IF(Raw_FDIC!AU44="","",Raw_FDIC!AU44)</f>
        <v/>
      </c>
      <c r="Q54" s="17">
        <f>IF(Raw_FDIC!AV44="","",Raw_FDIC!AV44)</f>
        <v/>
      </c>
      <c r="R54" s="17">
        <f>IF(Raw_FDIC!AW44="","",Raw_FDIC!AW44)</f>
        <v/>
      </c>
      <c r="S54" s="17">
        <f>IF(OR(Raw_FDIC!BK44="",Raw_FDIC!BG44=""),"",IF(Raw_FDIC!BG44=0,"",Raw_FDIC!BK44/Raw_FDIC!BG44*400))</f>
        <v/>
      </c>
    </row>
    <row r="55">
      <c r="A55" s="14">
        <f>IF(_config!$C$75="","",_config!$C$75)</f>
        <v/>
      </c>
      <c r="B55" s="15">
        <f>IF(_config!$B$75="","",_config!$B$75)</f>
        <v/>
      </c>
      <c r="C55" s="16">
        <f>IF(_config!$D$75="","",_config!$D$75)</f>
        <v/>
      </c>
      <c r="D55" s="17">
        <f>IF(OR(Raw_FDIC!AX64="",Raw_FDIC!K64=""),"",IF(Raw_FDIC!K64=0,"",Raw_FDIC!AX64/Raw_FDIC!K64*100))</f>
        <v/>
      </c>
      <c r="E55" s="17">
        <f>IF(OR(Raw_FDIC!AY64="",Raw_FDIC!K64=""),"",IF(Raw_FDIC!K64=0,"",Raw_FDIC!AY64/Raw_FDIC!K64*100))</f>
        <v/>
      </c>
      <c r="F55" s="17">
        <f>IF(OR(Raw_FDIC!AZ64="",Raw_FDIC!K64=""),"",IF(Raw_FDIC!K64=0,"",Raw_FDIC!AZ64/Raw_FDIC!K64*100))</f>
        <v/>
      </c>
      <c r="G55" s="17">
        <f>IF(OR(Raw_FDIC!BH64="",Raw_FDIC!K64=""),"",IF(Raw_FDIC!K64=0,"",Raw_FDIC!BH64/Raw_FDIC!K64*400))</f>
        <v/>
      </c>
      <c r="H55" s="17">
        <f>IF(OR(Raw_FDIC!BA64="",Raw_FDIC!L64=""),"",IF(Raw_FDIC!L64=0,"",Raw_FDIC!BA64/Raw_FDIC!L64*100))</f>
        <v/>
      </c>
      <c r="I55" s="17">
        <f>IF(OR(Raw_FDIC!BB64="",Raw_FDIC!L64=""),"",IF(Raw_FDIC!L64=0,"",Raw_FDIC!BB64/Raw_FDIC!L64*100))</f>
        <v/>
      </c>
      <c r="J55" s="17">
        <f>IF(OR(Raw_FDIC!BC64="",Raw_FDIC!L64=""),"",IF(Raw_FDIC!L64=0,"",Raw_FDIC!BC64/Raw_FDIC!L64*100))</f>
        <v/>
      </c>
      <c r="K55" s="17">
        <f>IF(OR(Raw_FDIC!BI64="",Raw_FDIC!L64=""),"",IF(Raw_FDIC!L64=0,"",Raw_FDIC!BI64/Raw_FDIC!L64*400))</f>
        <v/>
      </c>
      <c r="L55" s="17">
        <f>IF(OR(Raw_FDIC!BD64="",Raw_FDIC!M64=""),"",IF(Raw_FDIC!M64=0,"",Raw_FDIC!BD64/Raw_FDIC!M64*100))</f>
        <v/>
      </c>
      <c r="M55" s="17">
        <f>IF(OR(Raw_FDIC!BE64="",Raw_FDIC!M64=""),"",IF(Raw_FDIC!M64=0,"",Raw_FDIC!BE64/Raw_FDIC!M64*100))</f>
        <v/>
      </c>
      <c r="N55" s="17">
        <f>IF(OR(Raw_FDIC!BF64="",Raw_FDIC!M64=""),"",IF(Raw_FDIC!M64=0,"",Raw_FDIC!BF64/Raw_FDIC!M64*100))</f>
        <v/>
      </c>
      <c r="O55" s="17">
        <f>IF(OR(Raw_FDIC!BJ64="",Raw_FDIC!M64=""),"",IF(Raw_FDIC!M64=0,"",Raw_FDIC!BJ64/Raw_FDIC!M64*400))</f>
        <v/>
      </c>
      <c r="P55" s="17">
        <f>IF(Raw_FDIC!AU64="","",Raw_FDIC!AU64)</f>
        <v/>
      </c>
      <c r="Q55" s="17">
        <f>IF(Raw_FDIC!AV64="","",Raw_FDIC!AV64)</f>
        <v/>
      </c>
      <c r="R55" s="17">
        <f>IF(Raw_FDIC!AW64="","",Raw_FDIC!AW64)</f>
        <v/>
      </c>
      <c r="S55" s="17">
        <f>IF(OR(Raw_FDIC!BK64="",Raw_FDIC!BG64=""),"",IF(Raw_FDIC!BG64=0,"",Raw_FDIC!BK64/Raw_FDIC!BG64*400))</f>
        <v/>
      </c>
    </row>
    <row r="56">
      <c r="A56" s="14">
        <f>IF(_config!$C$76="","",_config!$C$76)</f>
        <v/>
      </c>
      <c r="B56" s="15">
        <f>IF(_config!$B$76="","",_config!$B$76)</f>
        <v/>
      </c>
      <c r="C56" s="16">
        <f>IF(_config!$D$76="","",_config!$D$76)</f>
        <v/>
      </c>
      <c r="D56" s="17">
        <f>IF(OR(Raw_FDIC!AX84="",Raw_FDIC!K84=""),"",IF(Raw_FDIC!K84=0,"",Raw_FDIC!AX84/Raw_FDIC!K84*100))</f>
        <v/>
      </c>
      <c r="E56" s="17">
        <f>IF(OR(Raw_FDIC!AY84="",Raw_FDIC!K84=""),"",IF(Raw_FDIC!K84=0,"",Raw_FDIC!AY84/Raw_FDIC!K84*100))</f>
        <v/>
      </c>
      <c r="F56" s="17">
        <f>IF(OR(Raw_FDIC!AZ84="",Raw_FDIC!K84=""),"",IF(Raw_FDIC!K84=0,"",Raw_FDIC!AZ84/Raw_FDIC!K84*100))</f>
        <v/>
      </c>
      <c r="G56" s="17">
        <f>IF(OR(Raw_FDIC!BH84="",Raw_FDIC!K84=""),"",IF(Raw_FDIC!K84=0,"",Raw_FDIC!BH84/Raw_FDIC!K84*400))</f>
        <v/>
      </c>
      <c r="H56" s="17">
        <f>IF(OR(Raw_FDIC!BA84="",Raw_FDIC!L84=""),"",IF(Raw_FDIC!L84=0,"",Raw_FDIC!BA84/Raw_FDIC!L84*100))</f>
        <v/>
      </c>
      <c r="I56" s="17">
        <f>IF(OR(Raw_FDIC!BB84="",Raw_FDIC!L84=""),"",IF(Raw_FDIC!L84=0,"",Raw_FDIC!BB84/Raw_FDIC!L84*100))</f>
        <v/>
      </c>
      <c r="J56" s="17">
        <f>IF(OR(Raw_FDIC!BC84="",Raw_FDIC!L84=""),"",IF(Raw_FDIC!L84=0,"",Raw_FDIC!BC84/Raw_FDIC!L84*100))</f>
        <v/>
      </c>
      <c r="K56" s="17">
        <f>IF(OR(Raw_FDIC!BI84="",Raw_FDIC!L84=""),"",IF(Raw_FDIC!L84=0,"",Raw_FDIC!BI84/Raw_FDIC!L84*400))</f>
        <v/>
      </c>
      <c r="L56" s="17">
        <f>IF(OR(Raw_FDIC!BD84="",Raw_FDIC!M84=""),"",IF(Raw_FDIC!M84=0,"",Raw_FDIC!BD84/Raw_FDIC!M84*100))</f>
        <v/>
      </c>
      <c r="M56" s="17">
        <f>IF(OR(Raw_FDIC!BE84="",Raw_FDIC!M84=""),"",IF(Raw_FDIC!M84=0,"",Raw_FDIC!BE84/Raw_FDIC!M84*100))</f>
        <v/>
      </c>
      <c r="N56" s="17">
        <f>IF(OR(Raw_FDIC!BF84="",Raw_FDIC!M84=""),"",IF(Raw_FDIC!M84=0,"",Raw_FDIC!BF84/Raw_FDIC!M84*100))</f>
        <v/>
      </c>
      <c r="O56" s="17">
        <f>IF(OR(Raw_FDIC!BJ84="",Raw_FDIC!M84=""),"",IF(Raw_FDIC!M84=0,"",Raw_FDIC!BJ84/Raw_FDIC!M84*400))</f>
        <v/>
      </c>
      <c r="P56" s="17">
        <f>IF(Raw_FDIC!AU84="","",Raw_FDIC!AU84)</f>
        <v/>
      </c>
      <c r="Q56" s="17">
        <f>IF(Raw_FDIC!AV84="","",Raw_FDIC!AV84)</f>
        <v/>
      </c>
      <c r="R56" s="17">
        <f>IF(Raw_FDIC!AW84="","",Raw_FDIC!AW84)</f>
        <v/>
      </c>
      <c r="S56" s="17">
        <f>IF(OR(Raw_FDIC!BK84="",Raw_FDIC!BG84=""),"",IF(Raw_FDIC!BG84=0,"",Raw_FDIC!BK84/Raw_FDIC!BG84*400))</f>
        <v/>
      </c>
    </row>
    <row r="57">
      <c r="A57" s="14">
        <f>IF(_config!$C$77="","",_config!$C$77)</f>
        <v/>
      </c>
      <c r="B57" s="15">
        <f>IF(_config!$B$77="","",_config!$B$77)</f>
        <v/>
      </c>
      <c r="C57" s="16">
        <f>IF(_config!$D$77="","",_config!$D$77)</f>
        <v/>
      </c>
      <c r="D57" s="17">
        <f>IF(OR(Raw_FDIC!AX104="",Raw_FDIC!K104=""),"",IF(Raw_FDIC!K104=0,"",Raw_FDIC!AX104/Raw_FDIC!K104*100))</f>
        <v/>
      </c>
      <c r="E57" s="17">
        <f>IF(OR(Raw_FDIC!AY104="",Raw_FDIC!K104=""),"",IF(Raw_FDIC!K104=0,"",Raw_FDIC!AY104/Raw_FDIC!K104*100))</f>
        <v/>
      </c>
      <c r="F57" s="17">
        <f>IF(OR(Raw_FDIC!AZ104="",Raw_FDIC!K104=""),"",IF(Raw_FDIC!K104=0,"",Raw_FDIC!AZ104/Raw_FDIC!K104*100))</f>
        <v/>
      </c>
      <c r="G57" s="17">
        <f>IF(OR(Raw_FDIC!BH104="",Raw_FDIC!K104=""),"",IF(Raw_FDIC!K104=0,"",Raw_FDIC!BH104/Raw_FDIC!K104*400))</f>
        <v/>
      </c>
      <c r="H57" s="17">
        <f>IF(OR(Raw_FDIC!BA104="",Raw_FDIC!L104=""),"",IF(Raw_FDIC!L104=0,"",Raw_FDIC!BA104/Raw_FDIC!L104*100))</f>
        <v/>
      </c>
      <c r="I57" s="17">
        <f>IF(OR(Raw_FDIC!BB104="",Raw_FDIC!L104=""),"",IF(Raw_FDIC!L104=0,"",Raw_FDIC!BB104/Raw_FDIC!L104*100))</f>
        <v/>
      </c>
      <c r="J57" s="17">
        <f>IF(OR(Raw_FDIC!BC104="",Raw_FDIC!L104=""),"",IF(Raw_FDIC!L104=0,"",Raw_FDIC!BC104/Raw_FDIC!L104*100))</f>
        <v/>
      </c>
      <c r="K57" s="17">
        <f>IF(OR(Raw_FDIC!BI104="",Raw_FDIC!L104=""),"",IF(Raw_FDIC!L104=0,"",Raw_FDIC!BI104/Raw_FDIC!L104*400))</f>
        <v/>
      </c>
      <c r="L57" s="17">
        <f>IF(OR(Raw_FDIC!BD104="",Raw_FDIC!M104=""),"",IF(Raw_FDIC!M104=0,"",Raw_FDIC!BD104/Raw_FDIC!M104*100))</f>
        <v/>
      </c>
      <c r="M57" s="17">
        <f>IF(OR(Raw_FDIC!BE104="",Raw_FDIC!M104=""),"",IF(Raw_FDIC!M104=0,"",Raw_FDIC!BE104/Raw_FDIC!M104*100))</f>
        <v/>
      </c>
      <c r="N57" s="17">
        <f>IF(OR(Raw_FDIC!BF104="",Raw_FDIC!M104=""),"",IF(Raw_FDIC!M104=0,"",Raw_FDIC!BF104/Raw_FDIC!M104*100))</f>
        <v/>
      </c>
      <c r="O57" s="17">
        <f>IF(OR(Raw_FDIC!BJ104="",Raw_FDIC!M104=""),"",IF(Raw_FDIC!M104=0,"",Raw_FDIC!BJ104/Raw_FDIC!M104*400))</f>
        <v/>
      </c>
      <c r="P57" s="17">
        <f>IF(Raw_FDIC!AU104="","",Raw_FDIC!AU104)</f>
        <v/>
      </c>
      <c r="Q57" s="17">
        <f>IF(Raw_FDIC!AV104="","",Raw_FDIC!AV104)</f>
        <v/>
      </c>
      <c r="R57" s="17">
        <f>IF(Raw_FDIC!AW104="","",Raw_FDIC!AW104)</f>
        <v/>
      </c>
      <c r="S57" s="17">
        <f>IF(OR(Raw_FDIC!BK104="",Raw_FDIC!BG104=""),"",IF(Raw_FDIC!BG104=0,"",Raw_FDIC!BK104/Raw_FDIC!BG104*400))</f>
        <v/>
      </c>
    </row>
    <row r="58">
      <c r="A58" s="14">
        <f>IF(_config!$C$78="","",_config!$C$78)</f>
        <v/>
      </c>
      <c r="B58" s="15">
        <f>IF(_config!$B$78="","",_config!$B$78)</f>
        <v/>
      </c>
      <c r="C58" s="16">
        <f>IF(_config!$D$78="","",_config!$D$78)</f>
        <v/>
      </c>
      <c r="D58" s="17">
        <f>IF(OR(Raw_FDIC!AX124="",Raw_FDIC!K124=""),"",IF(Raw_FDIC!K124=0,"",Raw_FDIC!AX124/Raw_FDIC!K124*100))</f>
        <v/>
      </c>
      <c r="E58" s="17">
        <f>IF(OR(Raw_FDIC!AY124="",Raw_FDIC!K124=""),"",IF(Raw_FDIC!K124=0,"",Raw_FDIC!AY124/Raw_FDIC!K124*100))</f>
        <v/>
      </c>
      <c r="F58" s="17">
        <f>IF(OR(Raw_FDIC!AZ124="",Raw_FDIC!K124=""),"",IF(Raw_FDIC!K124=0,"",Raw_FDIC!AZ124/Raw_FDIC!K124*100))</f>
        <v/>
      </c>
      <c r="G58" s="17">
        <f>IF(OR(Raw_FDIC!BH124="",Raw_FDIC!K124=""),"",IF(Raw_FDIC!K124=0,"",Raw_FDIC!BH124/Raw_FDIC!K124*400))</f>
        <v/>
      </c>
      <c r="H58" s="17">
        <f>IF(OR(Raw_FDIC!BA124="",Raw_FDIC!L124=""),"",IF(Raw_FDIC!L124=0,"",Raw_FDIC!BA124/Raw_FDIC!L124*100))</f>
        <v/>
      </c>
      <c r="I58" s="17">
        <f>IF(OR(Raw_FDIC!BB124="",Raw_FDIC!L124=""),"",IF(Raw_FDIC!L124=0,"",Raw_FDIC!BB124/Raw_FDIC!L124*100))</f>
        <v/>
      </c>
      <c r="J58" s="17">
        <f>IF(OR(Raw_FDIC!BC124="",Raw_FDIC!L124=""),"",IF(Raw_FDIC!L124=0,"",Raw_FDIC!BC124/Raw_FDIC!L124*100))</f>
        <v/>
      </c>
      <c r="K58" s="17">
        <f>IF(OR(Raw_FDIC!BI124="",Raw_FDIC!L124=""),"",IF(Raw_FDIC!L124=0,"",Raw_FDIC!BI124/Raw_FDIC!L124*400))</f>
        <v/>
      </c>
      <c r="L58" s="17">
        <f>IF(OR(Raw_FDIC!BD124="",Raw_FDIC!M124=""),"",IF(Raw_FDIC!M124=0,"",Raw_FDIC!BD124/Raw_FDIC!M124*100))</f>
        <v/>
      </c>
      <c r="M58" s="17">
        <f>IF(OR(Raw_FDIC!BE124="",Raw_FDIC!M124=""),"",IF(Raw_FDIC!M124=0,"",Raw_FDIC!BE124/Raw_FDIC!M124*100))</f>
        <v/>
      </c>
      <c r="N58" s="17">
        <f>IF(OR(Raw_FDIC!BF124="",Raw_FDIC!M124=""),"",IF(Raw_FDIC!M124=0,"",Raw_FDIC!BF124/Raw_FDIC!M124*100))</f>
        <v/>
      </c>
      <c r="O58" s="17">
        <f>IF(OR(Raw_FDIC!BJ124="",Raw_FDIC!M124=""),"",IF(Raw_FDIC!M124=0,"",Raw_FDIC!BJ124/Raw_FDIC!M124*400))</f>
        <v/>
      </c>
      <c r="P58" s="17">
        <f>IF(Raw_FDIC!AU124="","",Raw_FDIC!AU124)</f>
        <v/>
      </c>
      <c r="Q58" s="17">
        <f>IF(Raw_FDIC!AV124="","",Raw_FDIC!AV124)</f>
        <v/>
      </c>
      <c r="R58" s="17">
        <f>IF(Raw_FDIC!AW124="","",Raw_FDIC!AW124)</f>
        <v/>
      </c>
      <c r="S58" s="17">
        <f>IF(OR(Raw_FDIC!BK124="",Raw_FDIC!BG124=""),"",IF(Raw_FDIC!BG124=0,"",Raw_FDIC!BK124/Raw_FDIC!BG124*400))</f>
        <v/>
      </c>
    </row>
    <row r="59">
      <c r="A59" s="14">
        <f>IF(_config!$C$79="","",_config!$C$79)</f>
        <v/>
      </c>
      <c r="B59" s="15">
        <f>IF(_config!$B$79="","",_config!$B$79)</f>
        <v/>
      </c>
      <c r="C59" s="16">
        <f>IF(_config!$D$79="","",_config!$D$79)</f>
        <v/>
      </c>
      <c r="D59" s="17">
        <f>IF(OR(Raw_FDIC!AX144="",Raw_FDIC!K144=""),"",IF(Raw_FDIC!K144=0,"",Raw_FDIC!AX144/Raw_FDIC!K144*100))</f>
        <v/>
      </c>
      <c r="E59" s="17">
        <f>IF(OR(Raw_FDIC!AY144="",Raw_FDIC!K144=""),"",IF(Raw_FDIC!K144=0,"",Raw_FDIC!AY144/Raw_FDIC!K144*100))</f>
        <v/>
      </c>
      <c r="F59" s="17">
        <f>IF(OR(Raw_FDIC!AZ144="",Raw_FDIC!K144=""),"",IF(Raw_FDIC!K144=0,"",Raw_FDIC!AZ144/Raw_FDIC!K144*100))</f>
        <v/>
      </c>
      <c r="G59" s="17">
        <f>IF(OR(Raw_FDIC!BH144="",Raw_FDIC!K144=""),"",IF(Raw_FDIC!K144=0,"",Raw_FDIC!BH144/Raw_FDIC!K144*400))</f>
        <v/>
      </c>
      <c r="H59" s="17">
        <f>IF(OR(Raw_FDIC!BA144="",Raw_FDIC!L144=""),"",IF(Raw_FDIC!L144=0,"",Raw_FDIC!BA144/Raw_FDIC!L144*100))</f>
        <v/>
      </c>
      <c r="I59" s="17">
        <f>IF(OR(Raw_FDIC!BB144="",Raw_FDIC!L144=""),"",IF(Raw_FDIC!L144=0,"",Raw_FDIC!BB144/Raw_FDIC!L144*100))</f>
        <v/>
      </c>
      <c r="J59" s="17">
        <f>IF(OR(Raw_FDIC!BC144="",Raw_FDIC!L144=""),"",IF(Raw_FDIC!L144=0,"",Raw_FDIC!BC144/Raw_FDIC!L144*100))</f>
        <v/>
      </c>
      <c r="K59" s="17">
        <f>IF(OR(Raw_FDIC!BI144="",Raw_FDIC!L144=""),"",IF(Raw_FDIC!L144=0,"",Raw_FDIC!BI144/Raw_FDIC!L144*400))</f>
        <v/>
      </c>
      <c r="L59" s="17">
        <f>IF(OR(Raw_FDIC!BD144="",Raw_FDIC!M144=""),"",IF(Raw_FDIC!M144=0,"",Raw_FDIC!BD144/Raw_FDIC!M144*100))</f>
        <v/>
      </c>
      <c r="M59" s="17">
        <f>IF(OR(Raw_FDIC!BE144="",Raw_FDIC!M144=""),"",IF(Raw_FDIC!M144=0,"",Raw_FDIC!BE144/Raw_FDIC!M144*100))</f>
        <v/>
      </c>
      <c r="N59" s="17">
        <f>IF(OR(Raw_FDIC!BF144="",Raw_FDIC!M144=""),"",IF(Raw_FDIC!M144=0,"",Raw_FDIC!BF144/Raw_FDIC!M144*100))</f>
        <v/>
      </c>
      <c r="O59" s="17">
        <f>IF(OR(Raw_FDIC!BJ144="",Raw_FDIC!M144=""),"",IF(Raw_FDIC!M144=0,"",Raw_FDIC!BJ144/Raw_FDIC!M144*400))</f>
        <v/>
      </c>
      <c r="P59" s="17">
        <f>IF(Raw_FDIC!AU144="","",Raw_FDIC!AU144)</f>
        <v/>
      </c>
      <c r="Q59" s="17">
        <f>IF(Raw_FDIC!AV144="","",Raw_FDIC!AV144)</f>
        <v/>
      </c>
      <c r="R59" s="17">
        <f>IF(Raw_FDIC!AW144="","",Raw_FDIC!AW144)</f>
        <v/>
      </c>
      <c r="S59" s="17">
        <f>IF(OR(Raw_FDIC!BK144="",Raw_FDIC!BG144=""),"",IF(Raw_FDIC!BG144=0,"",Raw_FDIC!BK144/Raw_FDIC!BG144*400))</f>
        <v/>
      </c>
    </row>
    <row r="60">
      <c r="A60" s="14">
        <f>IF(_config!$C$80="","",_config!$C$80)</f>
        <v/>
      </c>
      <c r="B60" s="15">
        <f>IF(_config!$B$80="","",_config!$B$80)</f>
        <v/>
      </c>
      <c r="C60" s="16">
        <f>IF(_config!$D$80="","",_config!$D$80)</f>
        <v/>
      </c>
      <c r="D60" s="17">
        <f>IF(OR(Raw_FDIC!AX164="",Raw_FDIC!K164=""),"",IF(Raw_FDIC!K164=0,"",Raw_FDIC!AX164/Raw_FDIC!K164*100))</f>
        <v/>
      </c>
      <c r="E60" s="17">
        <f>IF(OR(Raw_FDIC!AY164="",Raw_FDIC!K164=""),"",IF(Raw_FDIC!K164=0,"",Raw_FDIC!AY164/Raw_FDIC!K164*100))</f>
        <v/>
      </c>
      <c r="F60" s="17">
        <f>IF(OR(Raw_FDIC!AZ164="",Raw_FDIC!K164=""),"",IF(Raw_FDIC!K164=0,"",Raw_FDIC!AZ164/Raw_FDIC!K164*100))</f>
        <v/>
      </c>
      <c r="G60" s="17">
        <f>IF(OR(Raw_FDIC!BH164="",Raw_FDIC!K164=""),"",IF(Raw_FDIC!K164=0,"",Raw_FDIC!BH164/Raw_FDIC!K164*400))</f>
        <v/>
      </c>
      <c r="H60" s="17">
        <f>IF(OR(Raw_FDIC!BA164="",Raw_FDIC!L164=""),"",IF(Raw_FDIC!L164=0,"",Raw_FDIC!BA164/Raw_FDIC!L164*100))</f>
        <v/>
      </c>
      <c r="I60" s="17">
        <f>IF(OR(Raw_FDIC!BB164="",Raw_FDIC!L164=""),"",IF(Raw_FDIC!L164=0,"",Raw_FDIC!BB164/Raw_FDIC!L164*100))</f>
        <v/>
      </c>
      <c r="J60" s="17">
        <f>IF(OR(Raw_FDIC!BC164="",Raw_FDIC!L164=""),"",IF(Raw_FDIC!L164=0,"",Raw_FDIC!BC164/Raw_FDIC!L164*100))</f>
        <v/>
      </c>
      <c r="K60" s="17">
        <f>IF(OR(Raw_FDIC!BI164="",Raw_FDIC!L164=""),"",IF(Raw_FDIC!L164=0,"",Raw_FDIC!BI164/Raw_FDIC!L164*400))</f>
        <v/>
      </c>
      <c r="L60" s="17">
        <f>IF(OR(Raw_FDIC!BD164="",Raw_FDIC!M164=""),"",IF(Raw_FDIC!M164=0,"",Raw_FDIC!BD164/Raw_FDIC!M164*100))</f>
        <v/>
      </c>
      <c r="M60" s="17">
        <f>IF(OR(Raw_FDIC!BE164="",Raw_FDIC!M164=""),"",IF(Raw_FDIC!M164=0,"",Raw_FDIC!BE164/Raw_FDIC!M164*100))</f>
        <v/>
      </c>
      <c r="N60" s="17">
        <f>IF(OR(Raw_FDIC!BF164="",Raw_FDIC!M164=""),"",IF(Raw_FDIC!M164=0,"",Raw_FDIC!BF164/Raw_FDIC!M164*100))</f>
        <v/>
      </c>
      <c r="O60" s="17">
        <f>IF(OR(Raw_FDIC!BJ164="",Raw_FDIC!M164=""),"",IF(Raw_FDIC!M164=0,"",Raw_FDIC!BJ164/Raw_FDIC!M164*400))</f>
        <v/>
      </c>
      <c r="P60" s="17">
        <f>IF(Raw_FDIC!AU164="","",Raw_FDIC!AU164)</f>
        <v/>
      </c>
      <c r="Q60" s="17">
        <f>IF(Raw_FDIC!AV164="","",Raw_FDIC!AV164)</f>
        <v/>
      </c>
      <c r="R60" s="17">
        <f>IF(Raw_FDIC!AW164="","",Raw_FDIC!AW164)</f>
        <v/>
      </c>
      <c r="S60" s="17">
        <f>IF(OR(Raw_FDIC!BK164="",Raw_FDIC!BG164=""),"",IF(Raw_FDIC!BG164=0,"",Raw_FDIC!BK164/Raw_FDIC!BG164*400))</f>
        <v/>
      </c>
    </row>
    <row r="61">
      <c r="A61" s="14">
        <f>IF(_config!$C$81="","",_config!$C$81)</f>
        <v/>
      </c>
      <c r="B61" s="15">
        <f>IF(_config!$B$81="","",_config!$B$81)</f>
        <v/>
      </c>
      <c r="C61" s="16">
        <f>IF(_config!$D$81="","",_config!$D$81)</f>
        <v/>
      </c>
      <c r="D61" s="17">
        <f>IF(OR(Raw_FDIC!AX184="",Raw_FDIC!K184=""),"",IF(Raw_FDIC!K184=0,"",Raw_FDIC!AX184/Raw_FDIC!K184*100))</f>
        <v/>
      </c>
      <c r="E61" s="17">
        <f>IF(OR(Raw_FDIC!AY184="",Raw_FDIC!K184=""),"",IF(Raw_FDIC!K184=0,"",Raw_FDIC!AY184/Raw_FDIC!K184*100))</f>
        <v/>
      </c>
      <c r="F61" s="17">
        <f>IF(OR(Raw_FDIC!AZ184="",Raw_FDIC!K184=""),"",IF(Raw_FDIC!K184=0,"",Raw_FDIC!AZ184/Raw_FDIC!K184*100))</f>
        <v/>
      </c>
      <c r="G61" s="17">
        <f>IF(OR(Raw_FDIC!BH184="",Raw_FDIC!K184=""),"",IF(Raw_FDIC!K184=0,"",Raw_FDIC!BH184/Raw_FDIC!K184*400))</f>
        <v/>
      </c>
      <c r="H61" s="17">
        <f>IF(OR(Raw_FDIC!BA184="",Raw_FDIC!L184=""),"",IF(Raw_FDIC!L184=0,"",Raw_FDIC!BA184/Raw_FDIC!L184*100))</f>
        <v/>
      </c>
      <c r="I61" s="17">
        <f>IF(OR(Raw_FDIC!BB184="",Raw_FDIC!L184=""),"",IF(Raw_FDIC!L184=0,"",Raw_FDIC!BB184/Raw_FDIC!L184*100))</f>
        <v/>
      </c>
      <c r="J61" s="17">
        <f>IF(OR(Raw_FDIC!BC184="",Raw_FDIC!L184=""),"",IF(Raw_FDIC!L184=0,"",Raw_FDIC!BC184/Raw_FDIC!L184*100))</f>
        <v/>
      </c>
      <c r="K61" s="17">
        <f>IF(OR(Raw_FDIC!BI184="",Raw_FDIC!L184=""),"",IF(Raw_FDIC!L184=0,"",Raw_FDIC!BI184/Raw_FDIC!L184*400))</f>
        <v/>
      </c>
      <c r="L61" s="17">
        <f>IF(OR(Raw_FDIC!BD184="",Raw_FDIC!M184=""),"",IF(Raw_FDIC!M184=0,"",Raw_FDIC!BD184/Raw_FDIC!M184*100))</f>
        <v/>
      </c>
      <c r="M61" s="17">
        <f>IF(OR(Raw_FDIC!BE184="",Raw_FDIC!M184=""),"",IF(Raw_FDIC!M184=0,"",Raw_FDIC!BE184/Raw_FDIC!M184*100))</f>
        <v/>
      </c>
      <c r="N61" s="17">
        <f>IF(OR(Raw_FDIC!BF184="",Raw_FDIC!M184=""),"",IF(Raw_FDIC!M184=0,"",Raw_FDIC!BF184/Raw_FDIC!M184*100))</f>
        <v/>
      </c>
      <c r="O61" s="17">
        <f>IF(OR(Raw_FDIC!BJ184="",Raw_FDIC!M184=""),"",IF(Raw_FDIC!M184=0,"",Raw_FDIC!BJ184/Raw_FDIC!M184*400))</f>
        <v/>
      </c>
      <c r="P61" s="17">
        <f>IF(Raw_FDIC!AU184="","",Raw_FDIC!AU184)</f>
        <v/>
      </c>
      <c r="Q61" s="17">
        <f>IF(Raw_FDIC!AV184="","",Raw_FDIC!AV184)</f>
        <v/>
      </c>
      <c r="R61" s="17">
        <f>IF(Raw_FDIC!AW184="","",Raw_FDIC!AW184)</f>
        <v/>
      </c>
      <c r="S61" s="17">
        <f>IF(OR(Raw_FDIC!BK184="",Raw_FDIC!BG184=""),"",IF(Raw_FDIC!BG184=0,"",Raw_FDIC!BK184/Raw_FDIC!BG184*400))</f>
        <v/>
      </c>
    </row>
    <row r="62">
      <c r="A62" s="14">
        <f>IF(_config!$C$82="","",_config!$C$82)</f>
        <v/>
      </c>
      <c r="B62" s="15">
        <f>IF(_config!$B$82="","",_config!$B$82)</f>
        <v/>
      </c>
      <c r="C62" s="16">
        <f>IF(_config!$D$82="","",_config!$D$82)</f>
        <v/>
      </c>
      <c r="D62" s="17">
        <f>IF(OR(Raw_FDIC!AX204="",Raw_FDIC!K204=""),"",IF(Raw_FDIC!K204=0,"",Raw_FDIC!AX204/Raw_FDIC!K204*100))</f>
        <v/>
      </c>
      <c r="E62" s="17">
        <f>IF(OR(Raw_FDIC!AY204="",Raw_FDIC!K204=""),"",IF(Raw_FDIC!K204=0,"",Raw_FDIC!AY204/Raw_FDIC!K204*100))</f>
        <v/>
      </c>
      <c r="F62" s="17">
        <f>IF(OR(Raw_FDIC!AZ204="",Raw_FDIC!K204=""),"",IF(Raw_FDIC!K204=0,"",Raw_FDIC!AZ204/Raw_FDIC!K204*100))</f>
        <v/>
      </c>
      <c r="G62" s="17">
        <f>IF(OR(Raw_FDIC!BH204="",Raw_FDIC!K204=""),"",IF(Raw_FDIC!K204=0,"",Raw_FDIC!BH204/Raw_FDIC!K204*400))</f>
        <v/>
      </c>
      <c r="H62" s="17">
        <f>IF(OR(Raw_FDIC!BA204="",Raw_FDIC!L204=""),"",IF(Raw_FDIC!L204=0,"",Raw_FDIC!BA204/Raw_FDIC!L204*100))</f>
        <v/>
      </c>
      <c r="I62" s="17">
        <f>IF(OR(Raw_FDIC!BB204="",Raw_FDIC!L204=""),"",IF(Raw_FDIC!L204=0,"",Raw_FDIC!BB204/Raw_FDIC!L204*100))</f>
        <v/>
      </c>
      <c r="J62" s="17">
        <f>IF(OR(Raw_FDIC!BC204="",Raw_FDIC!L204=""),"",IF(Raw_FDIC!L204=0,"",Raw_FDIC!BC204/Raw_FDIC!L204*100))</f>
        <v/>
      </c>
      <c r="K62" s="17">
        <f>IF(OR(Raw_FDIC!BI204="",Raw_FDIC!L204=""),"",IF(Raw_FDIC!L204=0,"",Raw_FDIC!BI204/Raw_FDIC!L204*400))</f>
        <v/>
      </c>
      <c r="L62" s="17">
        <f>IF(OR(Raw_FDIC!BD204="",Raw_FDIC!M204=""),"",IF(Raw_FDIC!M204=0,"",Raw_FDIC!BD204/Raw_FDIC!M204*100))</f>
        <v/>
      </c>
      <c r="M62" s="17">
        <f>IF(OR(Raw_FDIC!BE204="",Raw_FDIC!M204=""),"",IF(Raw_FDIC!M204=0,"",Raw_FDIC!BE204/Raw_FDIC!M204*100))</f>
        <v/>
      </c>
      <c r="N62" s="17">
        <f>IF(OR(Raw_FDIC!BF204="",Raw_FDIC!M204=""),"",IF(Raw_FDIC!M204=0,"",Raw_FDIC!BF204/Raw_FDIC!M204*100))</f>
        <v/>
      </c>
      <c r="O62" s="17">
        <f>IF(OR(Raw_FDIC!BJ204="",Raw_FDIC!M204=""),"",IF(Raw_FDIC!M204=0,"",Raw_FDIC!BJ204/Raw_FDIC!M204*400))</f>
        <v/>
      </c>
      <c r="P62" s="17">
        <f>IF(Raw_FDIC!AU204="","",Raw_FDIC!AU204)</f>
        <v/>
      </c>
      <c r="Q62" s="17">
        <f>IF(Raw_FDIC!AV204="","",Raw_FDIC!AV204)</f>
        <v/>
      </c>
      <c r="R62" s="17">
        <f>IF(Raw_FDIC!AW204="","",Raw_FDIC!AW204)</f>
        <v/>
      </c>
      <c r="S62" s="17">
        <f>IF(OR(Raw_FDIC!BK204="",Raw_FDIC!BG204=""),"",IF(Raw_FDIC!BG204=0,"",Raw_FDIC!BK204/Raw_FDIC!BG204*400))</f>
        <v/>
      </c>
    </row>
    <row r="63">
      <c r="A63" s="14">
        <f>IF(_config!$C$83="","",_config!$C$83)</f>
        <v/>
      </c>
      <c r="B63" s="15">
        <f>IF(_config!$B$83="","",_config!$B$83)</f>
        <v/>
      </c>
      <c r="C63" s="16">
        <f>IF(_config!$D$83="","",_config!$D$83)</f>
        <v/>
      </c>
      <c r="D63" s="17">
        <f>IF(OR(Raw_FDIC!AX224="",Raw_FDIC!K224=""),"",IF(Raw_FDIC!K224=0,"",Raw_FDIC!AX224/Raw_FDIC!K224*100))</f>
        <v/>
      </c>
      <c r="E63" s="17">
        <f>IF(OR(Raw_FDIC!AY224="",Raw_FDIC!K224=""),"",IF(Raw_FDIC!K224=0,"",Raw_FDIC!AY224/Raw_FDIC!K224*100))</f>
        <v/>
      </c>
      <c r="F63" s="17">
        <f>IF(OR(Raw_FDIC!AZ224="",Raw_FDIC!K224=""),"",IF(Raw_FDIC!K224=0,"",Raw_FDIC!AZ224/Raw_FDIC!K224*100))</f>
        <v/>
      </c>
      <c r="G63" s="17">
        <f>IF(OR(Raw_FDIC!BH224="",Raw_FDIC!K224=""),"",IF(Raw_FDIC!K224=0,"",Raw_FDIC!BH224/Raw_FDIC!K224*400))</f>
        <v/>
      </c>
      <c r="H63" s="17">
        <f>IF(OR(Raw_FDIC!BA224="",Raw_FDIC!L224=""),"",IF(Raw_FDIC!L224=0,"",Raw_FDIC!BA224/Raw_FDIC!L224*100))</f>
        <v/>
      </c>
      <c r="I63" s="17">
        <f>IF(OR(Raw_FDIC!BB224="",Raw_FDIC!L224=""),"",IF(Raw_FDIC!L224=0,"",Raw_FDIC!BB224/Raw_FDIC!L224*100))</f>
        <v/>
      </c>
      <c r="J63" s="17">
        <f>IF(OR(Raw_FDIC!BC224="",Raw_FDIC!L224=""),"",IF(Raw_FDIC!L224=0,"",Raw_FDIC!BC224/Raw_FDIC!L224*100))</f>
        <v/>
      </c>
      <c r="K63" s="17">
        <f>IF(OR(Raw_FDIC!BI224="",Raw_FDIC!L224=""),"",IF(Raw_FDIC!L224=0,"",Raw_FDIC!BI224/Raw_FDIC!L224*400))</f>
        <v/>
      </c>
      <c r="L63" s="17">
        <f>IF(OR(Raw_FDIC!BD224="",Raw_FDIC!M224=""),"",IF(Raw_FDIC!M224=0,"",Raw_FDIC!BD224/Raw_FDIC!M224*100))</f>
        <v/>
      </c>
      <c r="M63" s="17">
        <f>IF(OR(Raw_FDIC!BE224="",Raw_FDIC!M224=""),"",IF(Raw_FDIC!M224=0,"",Raw_FDIC!BE224/Raw_FDIC!M224*100))</f>
        <v/>
      </c>
      <c r="N63" s="17">
        <f>IF(OR(Raw_FDIC!BF224="",Raw_FDIC!M224=""),"",IF(Raw_FDIC!M224=0,"",Raw_FDIC!BF224/Raw_FDIC!M224*100))</f>
        <v/>
      </c>
      <c r="O63" s="17">
        <f>IF(OR(Raw_FDIC!BJ224="",Raw_FDIC!M224=""),"",IF(Raw_FDIC!M224=0,"",Raw_FDIC!BJ224/Raw_FDIC!M224*400))</f>
        <v/>
      </c>
      <c r="P63" s="17">
        <f>IF(Raw_FDIC!AU224="","",Raw_FDIC!AU224)</f>
        <v/>
      </c>
      <c r="Q63" s="17">
        <f>IF(Raw_FDIC!AV224="","",Raw_FDIC!AV224)</f>
        <v/>
      </c>
      <c r="R63" s="17">
        <f>IF(Raw_FDIC!AW224="","",Raw_FDIC!AW224)</f>
        <v/>
      </c>
      <c r="S63" s="17">
        <f>IF(OR(Raw_FDIC!BK224="",Raw_FDIC!BG224=""),"",IF(Raw_FDIC!BG224=0,"",Raw_FDIC!BK224/Raw_FDIC!BG224*400))</f>
        <v/>
      </c>
    </row>
    <row r="64">
      <c r="A64" s="14">
        <f>IF(_config!$C$84="","",_config!$C$84)</f>
        <v/>
      </c>
      <c r="B64" s="15">
        <f>IF(_config!$B$84="","",_config!$B$84)</f>
        <v/>
      </c>
      <c r="C64" s="16">
        <f>IF(_config!$D$84="","",_config!$D$84)</f>
        <v/>
      </c>
      <c r="D64" s="17">
        <f>IF(OR(Raw_FDIC!AX244="",Raw_FDIC!K244=""),"",IF(Raw_FDIC!K244=0,"",Raw_FDIC!AX244/Raw_FDIC!K244*100))</f>
        <v/>
      </c>
      <c r="E64" s="17">
        <f>IF(OR(Raw_FDIC!AY244="",Raw_FDIC!K244=""),"",IF(Raw_FDIC!K244=0,"",Raw_FDIC!AY244/Raw_FDIC!K244*100))</f>
        <v/>
      </c>
      <c r="F64" s="17">
        <f>IF(OR(Raw_FDIC!AZ244="",Raw_FDIC!K244=""),"",IF(Raw_FDIC!K244=0,"",Raw_FDIC!AZ244/Raw_FDIC!K244*100))</f>
        <v/>
      </c>
      <c r="G64" s="17">
        <f>IF(OR(Raw_FDIC!BH244="",Raw_FDIC!K244=""),"",IF(Raw_FDIC!K244=0,"",Raw_FDIC!BH244/Raw_FDIC!K244*400))</f>
        <v/>
      </c>
      <c r="H64" s="17">
        <f>IF(OR(Raw_FDIC!BA244="",Raw_FDIC!L244=""),"",IF(Raw_FDIC!L244=0,"",Raw_FDIC!BA244/Raw_FDIC!L244*100))</f>
        <v/>
      </c>
      <c r="I64" s="17">
        <f>IF(OR(Raw_FDIC!BB244="",Raw_FDIC!L244=""),"",IF(Raw_FDIC!L244=0,"",Raw_FDIC!BB244/Raw_FDIC!L244*100))</f>
        <v/>
      </c>
      <c r="J64" s="17">
        <f>IF(OR(Raw_FDIC!BC244="",Raw_FDIC!L244=""),"",IF(Raw_FDIC!L244=0,"",Raw_FDIC!BC244/Raw_FDIC!L244*100))</f>
        <v/>
      </c>
      <c r="K64" s="17">
        <f>IF(OR(Raw_FDIC!BI244="",Raw_FDIC!L244=""),"",IF(Raw_FDIC!L244=0,"",Raw_FDIC!BI244/Raw_FDIC!L244*400))</f>
        <v/>
      </c>
      <c r="L64" s="17">
        <f>IF(OR(Raw_FDIC!BD244="",Raw_FDIC!M244=""),"",IF(Raw_FDIC!M244=0,"",Raw_FDIC!BD244/Raw_FDIC!M244*100))</f>
        <v/>
      </c>
      <c r="M64" s="17">
        <f>IF(OR(Raw_FDIC!BE244="",Raw_FDIC!M244=""),"",IF(Raw_FDIC!M244=0,"",Raw_FDIC!BE244/Raw_FDIC!M244*100))</f>
        <v/>
      </c>
      <c r="N64" s="17">
        <f>IF(OR(Raw_FDIC!BF244="",Raw_FDIC!M244=""),"",IF(Raw_FDIC!M244=0,"",Raw_FDIC!BF244/Raw_FDIC!M244*100))</f>
        <v/>
      </c>
      <c r="O64" s="17">
        <f>IF(OR(Raw_FDIC!BJ244="",Raw_FDIC!M244=""),"",IF(Raw_FDIC!M244=0,"",Raw_FDIC!BJ244/Raw_FDIC!M244*400))</f>
        <v/>
      </c>
      <c r="P64" s="17">
        <f>IF(Raw_FDIC!AU244="","",Raw_FDIC!AU244)</f>
        <v/>
      </c>
      <c r="Q64" s="17">
        <f>IF(Raw_FDIC!AV244="","",Raw_FDIC!AV244)</f>
        <v/>
      </c>
      <c r="R64" s="17">
        <f>IF(Raw_FDIC!AW244="","",Raw_FDIC!AW244)</f>
        <v/>
      </c>
      <c r="S64" s="17">
        <f>IF(OR(Raw_FDIC!BK244="",Raw_FDIC!BG244=""),"",IF(Raw_FDIC!BG244=0,"",Raw_FDIC!BK244/Raw_FDIC!BG244*400))</f>
        <v/>
      </c>
    </row>
    <row r="65">
      <c r="A65" s="14">
        <f>IF(_config!$C$85="","",_config!$C$85)</f>
        <v/>
      </c>
      <c r="B65" s="15">
        <f>IF(_config!$B$85="","",_config!$B$85)</f>
        <v/>
      </c>
      <c r="C65" s="16">
        <f>IF(_config!$D$85="","",_config!$D$85)</f>
        <v/>
      </c>
      <c r="D65" s="17">
        <f>IF(OR(Raw_FDIC!AX264="",Raw_FDIC!K264=""),"",IF(Raw_FDIC!K264=0,"",Raw_FDIC!AX264/Raw_FDIC!K264*100))</f>
        <v/>
      </c>
      <c r="E65" s="17">
        <f>IF(OR(Raw_FDIC!AY264="",Raw_FDIC!K264=""),"",IF(Raw_FDIC!K264=0,"",Raw_FDIC!AY264/Raw_FDIC!K264*100))</f>
        <v/>
      </c>
      <c r="F65" s="17">
        <f>IF(OR(Raw_FDIC!AZ264="",Raw_FDIC!K264=""),"",IF(Raw_FDIC!K264=0,"",Raw_FDIC!AZ264/Raw_FDIC!K264*100))</f>
        <v/>
      </c>
      <c r="G65" s="17">
        <f>IF(OR(Raw_FDIC!BH264="",Raw_FDIC!K264=""),"",IF(Raw_FDIC!K264=0,"",Raw_FDIC!BH264/Raw_FDIC!K264*400))</f>
        <v/>
      </c>
      <c r="H65" s="17">
        <f>IF(OR(Raw_FDIC!BA264="",Raw_FDIC!L264=""),"",IF(Raw_FDIC!L264=0,"",Raw_FDIC!BA264/Raw_FDIC!L264*100))</f>
        <v/>
      </c>
      <c r="I65" s="17">
        <f>IF(OR(Raw_FDIC!BB264="",Raw_FDIC!L264=""),"",IF(Raw_FDIC!L264=0,"",Raw_FDIC!BB264/Raw_FDIC!L264*100))</f>
        <v/>
      </c>
      <c r="J65" s="17">
        <f>IF(OR(Raw_FDIC!BC264="",Raw_FDIC!L264=""),"",IF(Raw_FDIC!L264=0,"",Raw_FDIC!BC264/Raw_FDIC!L264*100))</f>
        <v/>
      </c>
      <c r="K65" s="17">
        <f>IF(OR(Raw_FDIC!BI264="",Raw_FDIC!L264=""),"",IF(Raw_FDIC!L264=0,"",Raw_FDIC!BI264/Raw_FDIC!L264*400))</f>
        <v/>
      </c>
      <c r="L65" s="17">
        <f>IF(OR(Raw_FDIC!BD264="",Raw_FDIC!M264=""),"",IF(Raw_FDIC!M264=0,"",Raw_FDIC!BD264/Raw_FDIC!M264*100))</f>
        <v/>
      </c>
      <c r="M65" s="17">
        <f>IF(OR(Raw_FDIC!BE264="",Raw_FDIC!M264=""),"",IF(Raw_FDIC!M264=0,"",Raw_FDIC!BE264/Raw_FDIC!M264*100))</f>
        <v/>
      </c>
      <c r="N65" s="17">
        <f>IF(OR(Raw_FDIC!BF264="",Raw_FDIC!M264=""),"",IF(Raw_FDIC!M264=0,"",Raw_FDIC!BF264/Raw_FDIC!M264*100))</f>
        <v/>
      </c>
      <c r="O65" s="17">
        <f>IF(OR(Raw_FDIC!BJ264="",Raw_FDIC!M264=""),"",IF(Raw_FDIC!M264=0,"",Raw_FDIC!BJ264/Raw_FDIC!M264*400))</f>
        <v/>
      </c>
      <c r="P65" s="17">
        <f>IF(Raw_FDIC!AU264="","",Raw_FDIC!AU264)</f>
        <v/>
      </c>
      <c r="Q65" s="17">
        <f>IF(Raw_FDIC!AV264="","",Raw_FDIC!AV264)</f>
        <v/>
      </c>
      <c r="R65" s="17">
        <f>IF(Raw_FDIC!AW264="","",Raw_FDIC!AW264)</f>
        <v/>
      </c>
      <c r="S65" s="17">
        <f>IF(OR(Raw_FDIC!BK264="",Raw_FDIC!BG264=""),"",IF(Raw_FDIC!BG264=0,"",Raw_FDIC!BK264/Raw_FDIC!BG264*400))</f>
        <v/>
      </c>
    </row>
    <row r="66">
      <c r="A66" s="14">
        <f>IF(_config!$C$86="","",_config!$C$86)</f>
        <v/>
      </c>
      <c r="B66" s="15">
        <f>IF(_config!$B$86="","",_config!$B$86)</f>
        <v/>
      </c>
      <c r="C66" s="16">
        <f>IF(_config!$D$86="","",_config!$D$86)</f>
        <v/>
      </c>
      <c r="D66" s="17">
        <f>IF(OR(Raw_FDIC!AX284="",Raw_FDIC!K284=""),"",IF(Raw_FDIC!K284=0,"",Raw_FDIC!AX284/Raw_FDIC!K284*100))</f>
        <v/>
      </c>
      <c r="E66" s="17">
        <f>IF(OR(Raw_FDIC!AY284="",Raw_FDIC!K284=""),"",IF(Raw_FDIC!K284=0,"",Raw_FDIC!AY284/Raw_FDIC!K284*100))</f>
        <v/>
      </c>
      <c r="F66" s="17">
        <f>IF(OR(Raw_FDIC!AZ284="",Raw_FDIC!K284=""),"",IF(Raw_FDIC!K284=0,"",Raw_FDIC!AZ284/Raw_FDIC!K284*100))</f>
        <v/>
      </c>
      <c r="G66" s="17">
        <f>IF(OR(Raw_FDIC!BH284="",Raw_FDIC!K284=""),"",IF(Raw_FDIC!K284=0,"",Raw_FDIC!BH284/Raw_FDIC!K284*400))</f>
        <v/>
      </c>
      <c r="H66" s="17">
        <f>IF(OR(Raw_FDIC!BA284="",Raw_FDIC!L284=""),"",IF(Raw_FDIC!L284=0,"",Raw_FDIC!BA284/Raw_FDIC!L284*100))</f>
        <v/>
      </c>
      <c r="I66" s="17">
        <f>IF(OR(Raw_FDIC!BB284="",Raw_FDIC!L284=""),"",IF(Raw_FDIC!L284=0,"",Raw_FDIC!BB284/Raw_FDIC!L284*100))</f>
        <v/>
      </c>
      <c r="J66" s="17">
        <f>IF(OR(Raw_FDIC!BC284="",Raw_FDIC!L284=""),"",IF(Raw_FDIC!L284=0,"",Raw_FDIC!BC284/Raw_FDIC!L284*100))</f>
        <v/>
      </c>
      <c r="K66" s="17">
        <f>IF(OR(Raw_FDIC!BI284="",Raw_FDIC!L284=""),"",IF(Raw_FDIC!L284=0,"",Raw_FDIC!BI284/Raw_FDIC!L284*400))</f>
        <v/>
      </c>
      <c r="L66" s="17">
        <f>IF(OR(Raw_FDIC!BD284="",Raw_FDIC!M284=""),"",IF(Raw_FDIC!M284=0,"",Raw_FDIC!BD284/Raw_FDIC!M284*100))</f>
        <v/>
      </c>
      <c r="M66" s="17">
        <f>IF(OR(Raw_FDIC!BE284="",Raw_FDIC!M284=""),"",IF(Raw_FDIC!M284=0,"",Raw_FDIC!BE284/Raw_FDIC!M284*100))</f>
        <v/>
      </c>
      <c r="N66" s="17">
        <f>IF(OR(Raw_FDIC!BF284="",Raw_FDIC!M284=""),"",IF(Raw_FDIC!M284=0,"",Raw_FDIC!BF284/Raw_FDIC!M284*100))</f>
        <v/>
      </c>
      <c r="O66" s="17">
        <f>IF(OR(Raw_FDIC!BJ284="",Raw_FDIC!M284=""),"",IF(Raw_FDIC!M284=0,"",Raw_FDIC!BJ284/Raw_FDIC!M284*400))</f>
        <v/>
      </c>
      <c r="P66" s="17">
        <f>IF(Raw_FDIC!AU284="","",Raw_FDIC!AU284)</f>
        <v/>
      </c>
      <c r="Q66" s="17">
        <f>IF(Raw_FDIC!AV284="","",Raw_FDIC!AV284)</f>
        <v/>
      </c>
      <c r="R66" s="17">
        <f>IF(Raw_FDIC!AW284="","",Raw_FDIC!AW284)</f>
        <v/>
      </c>
      <c r="S66" s="17">
        <f>IF(OR(Raw_FDIC!BK284="",Raw_FDIC!BG284=""),"",IF(Raw_FDIC!BG284=0,"",Raw_FDIC!BK284/Raw_FDIC!BG284*400))</f>
        <v/>
      </c>
    </row>
    <row r="67">
      <c r="A67" s="14">
        <f>IF(_config!$C$87="","",_config!$C$87)</f>
        <v/>
      </c>
      <c r="B67" s="15">
        <f>IF(_config!$B$87="","",_config!$B$87)</f>
        <v/>
      </c>
      <c r="C67" s="16">
        <f>IF(_config!$D$87="","",_config!$D$87)</f>
        <v/>
      </c>
      <c r="D67" s="17">
        <f>IF(OR(Raw_FDIC!AX304="",Raw_FDIC!K304=""),"",IF(Raw_FDIC!K304=0,"",Raw_FDIC!AX304/Raw_FDIC!K304*100))</f>
        <v/>
      </c>
      <c r="E67" s="17">
        <f>IF(OR(Raw_FDIC!AY304="",Raw_FDIC!K304=""),"",IF(Raw_FDIC!K304=0,"",Raw_FDIC!AY304/Raw_FDIC!K304*100))</f>
        <v/>
      </c>
      <c r="F67" s="17">
        <f>IF(OR(Raw_FDIC!AZ304="",Raw_FDIC!K304=""),"",IF(Raw_FDIC!K304=0,"",Raw_FDIC!AZ304/Raw_FDIC!K304*100))</f>
        <v/>
      </c>
      <c r="G67" s="17">
        <f>IF(OR(Raw_FDIC!BH304="",Raw_FDIC!K304=""),"",IF(Raw_FDIC!K304=0,"",Raw_FDIC!BH304/Raw_FDIC!K304*400))</f>
        <v/>
      </c>
      <c r="H67" s="17">
        <f>IF(OR(Raw_FDIC!BA304="",Raw_FDIC!L304=""),"",IF(Raw_FDIC!L304=0,"",Raw_FDIC!BA304/Raw_FDIC!L304*100))</f>
        <v/>
      </c>
      <c r="I67" s="17">
        <f>IF(OR(Raw_FDIC!BB304="",Raw_FDIC!L304=""),"",IF(Raw_FDIC!L304=0,"",Raw_FDIC!BB304/Raw_FDIC!L304*100))</f>
        <v/>
      </c>
      <c r="J67" s="17">
        <f>IF(OR(Raw_FDIC!BC304="",Raw_FDIC!L304=""),"",IF(Raw_FDIC!L304=0,"",Raw_FDIC!BC304/Raw_FDIC!L304*100))</f>
        <v/>
      </c>
      <c r="K67" s="17">
        <f>IF(OR(Raw_FDIC!BI304="",Raw_FDIC!L304=""),"",IF(Raw_FDIC!L304=0,"",Raw_FDIC!BI304/Raw_FDIC!L304*400))</f>
        <v/>
      </c>
      <c r="L67" s="17">
        <f>IF(OR(Raw_FDIC!BD304="",Raw_FDIC!M304=""),"",IF(Raw_FDIC!M304=0,"",Raw_FDIC!BD304/Raw_FDIC!M304*100))</f>
        <v/>
      </c>
      <c r="M67" s="17">
        <f>IF(OR(Raw_FDIC!BE304="",Raw_FDIC!M304=""),"",IF(Raw_FDIC!M304=0,"",Raw_FDIC!BE304/Raw_FDIC!M304*100))</f>
        <v/>
      </c>
      <c r="N67" s="17">
        <f>IF(OR(Raw_FDIC!BF304="",Raw_FDIC!M304=""),"",IF(Raw_FDIC!M304=0,"",Raw_FDIC!BF304/Raw_FDIC!M304*100))</f>
        <v/>
      </c>
      <c r="O67" s="17">
        <f>IF(OR(Raw_FDIC!BJ304="",Raw_FDIC!M304=""),"",IF(Raw_FDIC!M304=0,"",Raw_FDIC!BJ304/Raw_FDIC!M304*400))</f>
        <v/>
      </c>
      <c r="P67" s="17">
        <f>IF(Raw_FDIC!AU304="","",Raw_FDIC!AU304)</f>
        <v/>
      </c>
      <c r="Q67" s="17">
        <f>IF(Raw_FDIC!AV304="","",Raw_FDIC!AV304)</f>
        <v/>
      </c>
      <c r="R67" s="17">
        <f>IF(Raw_FDIC!AW304="","",Raw_FDIC!AW304)</f>
        <v/>
      </c>
      <c r="S67" s="17">
        <f>IF(OR(Raw_FDIC!BK304="",Raw_FDIC!BG304=""),"",IF(Raw_FDIC!BG304=0,"",Raw_FDIC!BK304/Raw_FDIC!BG304*400))</f>
        <v/>
      </c>
    </row>
    <row r="68">
      <c r="A68" s="14">
        <f>IF(_config!$C$88="","",_config!$C$88)</f>
        <v/>
      </c>
      <c r="B68" s="15">
        <f>IF(_config!$B$88="","",_config!$B$88)</f>
        <v/>
      </c>
      <c r="C68" s="16">
        <f>IF(_config!$D$88="","",_config!$D$88)</f>
        <v/>
      </c>
      <c r="D68" s="17">
        <f>IF(OR(Raw_FDIC!AX324="",Raw_FDIC!K324=""),"",IF(Raw_FDIC!K324=0,"",Raw_FDIC!AX324/Raw_FDIC!K324*100))</f>
        <v/>
      </c>
      <c r="E68" s="17">
        <f>IF(OR(Raw_FDIC!AY324="",Raw_FDIC!K324=""),"",IF(Raw_FDIC!K324=0,"",Raw_FDIC!AY324/Raw_FDIC!K324*100))</f>
        <v/>
      </c>
      <c r="F68" s="17">
        <f>IF(OR(Raw_FDIC!AZ324="",Raw_FDIC!K324=""),"",IF(Raw_FDIC!K324=0,"",Raw_FDIC!AZ324/Raw_FDIC!K324*100))</f>
        <v/>
      </c>
      <c r="G68" s="17">
        <f>IF(OR(Raw_FDIC!BH324="",Raw_FDIC!K324=""),"",IF(Raw_FDIC!K324=0,"",Raw_FDIC!BH324/Raw_FDIC!K324*400))</f>
        <v/>
      </c>
      <c r="H68" s="17">
        <f>IF(OR(Raw_FDIC!BA324="",Raw_FDIC!L324=""),"",IF(Raw_FDIC!L324=0,"",Raw_FDIC!BA324/Raw_FDIC!L324*100))</f>
        <v/>
      </c>
      <c r="I68" s="17">
        <f>IF(OR(Raw_FDIC!BB324="",Raw_FDIC!L324=""),"",IF(Raw_FDIC!L324=0,"",Raw_FDIC!BB324/Raw_FDIC!L324*100))</f>
        <v/>
      </c>
      <c r="J68" s="17">
        <f>IF(OR(Raw_FDIC!BC324="",Raw_FDIC!L324=""),"",IF(Raw_FDIC!L324=0,"",Raw_FDIC!BC324/Raw_FDIC!L324*100))</f>
        <v/>
      </c>
      <c r="K68" s="17">
        <f>IF(OR(Raw_FDIC!BI324="",Raw_FDIC!L324=""),"",IF(Raw_FDIC!L324=0,"",Raw_FDIC!BI324/Raw_FDIC!L324*400))</f>
        <v/>
      </c>
      <c r="L68" s="17">
        <f>IF(OR(Raw_FDIC!BD324="",Raw_FDIC!M324=""),"",IF(Raw_FDIC!M324=0,"",Raw_FDIC!BD324/Raw_FDIC!M324*100))</f>
        <v/>
      </c>
      <c r="M68" s="17">
        <f>IF(OR(Raw_FDIC!BE324="",Raw_FDIC!M324=""),"",IF(Raw_FDIC!M324=0,"",Raw_FDIC!BE324/Raw_FDIC!M324*100))</f>
        <v/>
      </c>
      <c r="N68" s="17">
        <f>IF(OR(Raw_FDIC!BF324="",Raw_FDIC!M324=""),"",IF(Raw_FDIC!M324=0,"",Raw_FDIC!BF324/Raw_FDIC!M324*100))</f>
        <v/>
      </c>
      <c r="O68" s="17">
        <f>IF(OR(Raw_FDIC!BJ324="",Raw_FDIC!M324=""),"",IF(Raw_FDIC!M324=0,"",Raw_FDIC!BJ324/Raw_FDIC!M324*400))</f>
        <v/>
      </c>
      <c r="P68" s="17">
        <f>IF(Raw_FDIC!AU324="","",Raw_FDIC!AU324)</f>
        <v/>
      </c>
      <c r="Q68" s="17">
        <f>IF(Raw_FDIC!AV324="","",Raw_FDIC!AV324)</f>
        <v/>
      </c>
      <c r="R68" s="17">
        <f>IF(Raw_FDIC!AW324="","",Raw_FDIC!AW324)</f>
        <v/>
      </c>
      <c r="S68" s="17">
        <f>IF(OR(Raw_FDIC!BK324="",Raw_FDIC!BG324=""),"",IF(Raw_FDIC!BG324=0,"",Raw_FDIC!BK324/Raw_FDIC!BG324*400))</f>
        <v/>
      </c>
    </row>
    <row r="69">
      <c r="A69" s="14">
        <f>IF(_config!$C$89="","",_config!$C$89)</f>
        <v/>
      </c>
      <c r="B69" s="15">
        <f>IF(_config!$B$89="","",_config!$B$89)</f>
        <v/>
      </c>
      <c r="C69" s="16">
        <f>IF(_config!$D$89="","",_config!$D$89)</f>
        <v/>
      </c>
      <c r="D69" s="17">
        <f>IF(OR(Raw_FDIC!AX344="",Raw_FDIC!K344=""),"",IF(Raw_FDIC!K344=0,"",Raw_FDIC!AX344/Raw_FDIC!K344*100))</f>
        <v/>
      </c>
      <c r="E69" s="17">
        <f>IF(OR(Raw_FDIC!AY344="",Raw_FDIC!K344=""),"",IF(Raw_FDIC!K344=0,"",Raw_FDIC!AY344/Raw_FDIC!K344*100))</f>
        <v/>
      </c>
      <c r="F69" s="17">
        <f>IF(OR(Raw_FDIC!AZ344="",Raw_FDIC!K344=""),"",IF(Raw_FDIC!K344=0,"",Raw_FDIC!AZ344/Raw_FDIC!K344*100))</f>
        <v/>
      </c>
      <c r="G69" s="17">
        <f>IF(OR(Raw_FDIC!BH344="",Raw_FDIC!K344=""),"",IF(Raw_FDIC!K344=0,"",Raw_FDIC!BH344/Raw_FDIC!K344*400))</f>
        <v/>
      </c>
      <c r="H69" s="17">
        <f>IF(OR(Raw_FDIC!BA344="",Raw_FDIC!L344=""),"",IF(Raw_FDIC!L344=0,"",Raw_FDIC!BA344/Raw_FDIC!L344*100))</f>
        <v/>
      </c>
      <c r="I69" s="17">
        <f>IF(OR(Raw_FDIC!BB344="",Raw_FDIC!L344=""),"",IF(Raw_FDIC!L344=0,"",Raw_FDIC!BB344/Raw_FDIC!L344*100))</f>
        <v/>
      </c>
      <c r="J69" s="17">
        <f>IF(OR(Raw_FDIC!BC344="",Raw_FDIC!L344=""),"",IF(Raw_FDIC!L344=0,"",Raw_FDIC!BC344/Raw_FDIC!L344*100))</f>
        <v/>
      </c>
      <c r="K69" s="17">
        <f>IF(OR(Raw_FDIC!BI344="",Raw_FDIC!L344=""),"",IF(Raw_FDIC!L344=0,"",Raw_FDIC!BI344/Raw_FDIC!L344*400))</f>
        <v/>
      </c>
      <c r="L69" s="17">
        <f>IF(OR(Raw_FDIC!BD344="",Raw_FDIC!M344=""),"",IF(Raw_FDIC!M344=0,"",Raw_FDIC!BD344/Raw_FDIC!M344*100))</f>
        <v/>
      </c>
      <c r="M69" s="17">
        <f>IF(OR(Raw_FDIC!BE344="",Raw_FDIC!M344=""),"",IF(Raw_FDIC!M344=0,"",Raw_FDIC!BE344/Raw_FDIC!M344*100))</f>
        <v/>
      </c>
      <c r="N69" s="17">
        <f>IF(OR(Raw_FDIC!BF344="",Raw_FDIC!M344=""),"",IF(Raw_FDIC!M344=0,"",Raw_FDIC!BF344/Raw_FDIC!M344*100))</f>
        <v/>
      </c>
      <c r="O69" s="17">
        <f>IF(OR(Raw_FDIC!BJ344="",Raw_FDIC!M344=""),"",IF(Raw_FDIC!M344=0,"",Raw_FDIC!BJ344/Raw_FDIC!M344*400))</f>
        <v/>
      </c>
      <c r="P69" s="17">
        <f>IF(Raw_FDIC!AU344="","",Raw_FDIC!AU344)</f>
        <v/>
      </c>
      <c r="Q69" s="17">
        <f>IF(Raw_FDIC!AV344="","",Raw_FDIC!AV344)</f>
        <v/>
      </c>
      <c r="R69" s="17">
        <f>IF(Raw_FDIC!AW344="","",Raw_FDIC!AW344)</f>
        <v/>
      </c>
      <c r="S69" s="17">
        <f>IF(OR(Raw_FDIC!BK344="",Raw_FDIC!BG344=""),"",IF(Raw_FDIC!BG344=0,"",Raw_FDIC!BK344/Raw_FDIC!BG344*400))</f>
        <v/>
      </c>
    </row>
    <row r="70">
      <c r="A70" s="14">
        <f>IF(_config!$C$90="","",_config!$C$90)</f>
        <v/>
      </c>
      <c r="B70" s="15">
        <f>IF(_config!$B$90="","",_config!$B$90)</f>
        <v/>
      </c>
      <c r="C70" s="16">
        <f>IF(_config!$D$90="","",_config!$D$90)</f>
        <v/>
      </c>
      <c r="D70" s="17">
        <f>IF(OR(Raw_FDIC!AX364="",Raw_FDIC!K364=""),"",IF(Raw_FDIC!K364=0,"",Raw_FDIC!AX364/Raw_FDIC!K364*100))</f>
        <v/>
      </c>
      <c r="E70" s="17">
        <f>IF(OR(Raw_FDIC!AY364="",Raw_FDIC!K364=""),"",IF(Raw_FDIC!K364=0,"",Raw_FDIC!AY364/Raw_FDIC!K364*100))</f>
        <v/>
      </c>
      <c r="F70" s="17">
        <f>IF(OR(Raw_FDIC!AZ364="",Raw_FDIC!K364=""),"",IF(Raw_FDIC!K364=0,"",Raw_FDIC!AZ364/Raw_FDIC!K364*100))</f>
        <v/>
      </c>
      <c r="G70" s="17">
        <f>IF(OR(Raw_FDIC!BH364="",Raw_FDIC!K364=""),"",IF(Raw_FDIC!K364=0,"",Raw_FDIC!BH364/Raw_FDIC!K364*400))</f>
        <v/>
      </c>
      <c r="H70" s="17">
        <f>IF(OR(Raw_FDIC!BA364="",Raw_FDIC!L364=""),"",IF(Raw_FDIC!L364=0,"",Raw_FDIC!BA364/Raw_FDIC!L364*100))</f>
        <v/>
      </c>
      <c r="I70" s="17">
        <f>IF(OR(Raw_FDIC!BB364="",Raw_FDIC!L364=""),"",IF(Raw_FDIC!L364=0,"",Raw_FDIC!BB364/Raw_FDIC!L364*100))</f>
        <v/>
      </c>
      <c r="J70" s="17">
        <f>IF(OR(Raw_FDIC!BC364="",Raw_FDIC!L364=""),"",IF(Raw_FDIC!L364=0,"",Raw_FDIC!BC364/Raw_FDIC!L364*100))</f>
        <v/>
      </c>
      <c r="K70" s="17">
        <f>IF(OR(Raw_FDIC!BI364="",Raw_FDIC!L364=""),"",IF(Raw_FDIC!L364=0,"",Raw_FDIC!BI364/Raw_FDIC!L364*400))</f>
        <v/>
      </c>
      <c r="L70" s="17">
        <f>IF(OR(Raw_FDIC!BD364="",Raw_FDIC!M364=""),"",IF(Raw_FDIC!M364=0,"",Raw_FDIC!BD364/Raw_FDIC!M364*100))</f>
        <v/>
      </c>
      <c r="M70" s="17">
        <f>IF(OR(Raw_FDIC!BE364="",Raw_FDIC!M364=""),"",IF(Raw_FDIC!M364=0,"",Raw_FDIC!BE364/Raw_FDIC!M364*100))</f>
        <v/>
      </c>
      <c r="N70" s="17">
        <f>IF(OR(Raw_FDIC!BF364="",Raw_FDIC!M364=""),"",IF(Raw_FDIC!M364=0,"",Raw_FDIC!BF364/Raw_FDIC!M364*100))</f>
        <v/>
      </c>
      <c r="O70" s="17">
        <f>IF(OR(Raw_FDIC!BJ364="",Raw_FDIC!M364=""),"",IF(Raw_FDIC!M364=0,"",Raw_FDIC!BJ364/Raw_FDIC!M364*400))</f>
        <v/>
      </c>
      <c r="P70" s="17">
        <f>IF(Raw_FDIC!AU364="","",Raw_FDIC!AU364)</f>
        <v/>
      </c>
      <c r="Q70" s="17">
        <f>IF(Raw_FDIC!AV364="","",Raw_FDIC!AV364)</f>
        <v/>
      </c>
      <c r="R70" s="17">
        <f>IF(Raw_FDIC!AW364="","",Raw_FDIC!AW364)</f>
        <v/>
      </c>
      <c r="S70" s="17">
        <f>IF(OR(Raw_FDIC!BK364="",Raw_FDIC!BG364=""),"",IF(Raw_FDIC!BG364=0,"",Raw_FDIC!BK364/Raw_FDIC!BG364*400))</f>
        <v/>
      </c>
    </row>
    <row r="71">
      <c r="A71" s="14">
        <f>IF(_config!$C$91="","",_config!$C$91)</f>
        <v/>
      </c>
      <c r="B71" s="15">
        <f>IF(_config!$B$91="","",_config!$B$91)</f>
        <v/>
      </c>
      <c r="C71" s="16">
        <f>IF(_config!$D$91="","",_config!$D$91)</f>
        <v/>
      </c>
      <c r="D71" s="17">
        <f>IF(OR(Raw_FDIC!AX384="",Raw_FDIC!K384=""),"",IF(Raw_FDIC!K384=0,"",Raw_FDIC!AX384/Raw_FDIC!K384*100))</f>
        <v/>
      </c>
      <c r="E71" s="17">
        <f>IF(OR(Raw_FDIC!AY384="",Raw_FDIC!K384=""),"",IF(Raw_FDIC!K384=0,"",Raw_FDIC!AY384/Raw_FDIC!K384*100))</f>
        <v/>
      </c>
      <c r="F71" s="17">
        <f>IF(OR(Raw_FDIC!AZ384="",Raw_FDIC!K384=""),"",IF(Raw_FDIC!K384=0,"",Raw_FDIC!AZ384/Raw_FDIC!K384*100))</f>
        <v/>
      </c>
      <c r="G71" s="17">
        <f>IF(OR(Raw_FDIC!BH384="",Raw_FDIC!K384=""),"",IF(Raw_FDIC!K384=0,"",Raw_FDIC!BH384/Raw_FDIC!K384*400))</f>
        <v/>
      </c>
      <c r="H71" s="17">
        <f>IF(OR(Raw_FDIC!BA384="",Raw_FDIC!L384=""),"",IF(Raw_FDIC!L384=0,"",Raw_FDIC!BA384/Raw_FDIC!L384*100))</f>
        <v/>
      </c>
      <c r="I71" s="17">
        <f>IF(OR(Raw_FDIC!BB384="",Raw_FDIC!L384=""),"",IF(Raw_FDIC!L384=0,"",Raw_FDIC!BB384/Raw_FDIC!L384*100))</f>
        <v/>
      </c>
      <c r="J71" s="17">
        <f>IF(OR(Raw_FDIC!BC384="",Raw_FDIC!L384=""),"",IF(Raw_FDIC!L384=0,"",Raw_FDIC!BC384/Raw_FDIC!L384*100))</f>
        <v/>
      </c>
      <c r="K71" s="17">
        <f>IF(OR(Raw_FDIC!BI384="",Raw_FDIC!L384=""),"",IF(Raw_FDIC!L384=0,"",Raw_FDIC!BI384/Raw_FDIC!L384*400))</f>
        <v/>
      </c>
      <c r="L71" s="17">
        <f>IF(OR(Raw_FDIC!BD384="",Raw_FDIC!M384=""),"",IF(Raw_FDIC!M384=0,"",Raw_FDIC!BD384/Raw_FDIC!M384*100))</f>
        <v/>
      </c>
      <c r="M71" s="17">
        <f>IF(OR(Raw_FDIC!BE384="",Raw_FDIC!M384=""),"",IF(Raw_FDIC!M384=0,"",Raw_FDIC!BE384/Raw_FDIC!M384*100))</f>
        <v/>
      </c>
      <c r="N71" s="17">
        <f>IF(OR(Raw_FDIC!BF384="",Raw_FDIC!M384=""),"",IF(Raw_FDIC!M384=0,"",Raw_FDIC!BF384/Raw_FDIC!M384*100))</f>
        <v/>
      </c>
      <c r="O71" s="17">
        <f>IF(OR(Raw_FDIC!BJ384="",Raw_FDIC!M384=""),"",IF(Raw_FDIC!M384=0,"",Raw_FDIC!BJ384/Raw_FDIC!M384*400))</f>
        <v/>
      </c>
      <c r="P71" s="17">
        <f>IF(Raw_FDIC!AU384="","",Raw_FDIC!AU384)</f>
        <v/>
      </c>
      <c r="Q71" s="17">
        <f>IF(Raw_FDIC!AV384="","",Raw_FDIC!AV384)</f>
        <v/>
      </c>
      <c r="R71" s="17">
        <f>IF(Raw_FDIC!AW384="","",Raw_FDIC!AW384)</f>
        <v/>
      </c>
      <c r="S71" s="17">
        <f>IF(OR(Raw_FDIC!BK384="",Raw_FDIC!BG384=""),"",IF(Raw_FDIC!BG384=0,"",Raw_FDIC!BK384/Raw_FDIC!BG384*400))</f>
        <v/>
      </c>
    </row>
    <row r="72">
      <c r="A72" s="14">
        <f>IF(_config!$C$92="","",_config!$C$92)</f>
        <v/>
      </c>
      <c r="B72" s="15">
        <f>IF(_config!$B$92="","",_config!$B$92)</f>
        <v/>
      </c>
      <c r="C72" s="16">
        <f>IF(_config!$D$92="","",_config!$D$92)</f>
        <v/>
      </c>
      <c r="D72" s="17">
        <f>IF(OR(Raw_FDIC!AX404="",Raw_FDIC!K404=""),"",IF(Raw_FDIC!K404=0,"",Raw_FDIC!AX404/Raw_FDIC!K404*100))</f>
        <v/>
      </c>
      <c r="E72" s="17">
        <f>IF(OR(Raw_FDIC!AY404="",Raw_FDIC!K404=""),"",IF(Raw_FDIC!K404=0,"",Raw_FDIC!AY404/Raw_FDIC!K404*100))</f>
        <v/>
      </c>
      <c r="F72" s="17">
        <f>IF(OR(Raw_FDIC!AZ404="",Raw_FDIC!K404=""),"",IF(Raw_FDIC!K404=0,"",Raw_FDIC!AZ404/Raw_FDIC!K404*100))</f>
        <v/>
      </c>
      <c r="G72" s="17">
        <f>IF(OR(Raw_FDIC!BH404="",Raw_FDIC!K404=""),"",IF(Raw_FDIC!K404=0,"",Raw_FDIC!BH404/Raw_FDIC!K404*400))</f>
        <v/>
      </c>
      <c r="H72" s="17">
        <f>IF(OR(Raw_FDIC!BA404="",Raw_FDIC!L404=""),"",IF(Raw_FDIC!L404=0,"",Raw_FDIC!BA404/Raw_FDIC!L404*100))</f>
        <v/>
      </c>
      <c r="I72" s="17">
        <f>IF(OR(Raw_FDIC!BB404="",Raw_FDIC!L404=""),"",IF(Raw_FDIC!L404=0,"",Raw_FDIC!BB404/Raw_FDIC!L404*100))</f>
        <v/>
      </c>
      <c r="J72" s="17">
        <f>IF(OR(Raw_FDIC!BC404="",Raw_FDIC!L404=""),"",IF(Raw_FDIC!L404=0,"",Raw_FDIC!BC404/Raw_FDIC!L404*100))</f>
        <v/>
      </c>
      <c r="K72" s="17">
        <f>IF(OR(Raw_FDIC!BI404="",Raw_FDIC!L404=""),"",IF(Raw_FDIC!L404=0,"",Raw_FDIC!BI404/Raw_FDIC!L404*400))</f>
        <v/>
      </c>
      <c r="L72" s="17">
        <f>IF(OR(Raw_FDIC!BD404="",Raw_FDIC!M404=""),"",IF(Raw_FDIC!M404=0,"",Raw_FDIC!BD404/Raw_FDIC!M404*100))</f>
        <v/>
      </c>
      <c r="M72" s="17">
        <f>IF(OR(Raw_FDIC!BE404="",Raw_FDIC!M404=""),"",IF(Raw_FDIC!M404=0,"",Raw_FDIC!BE404/Raw_FDIC!M404*100))</f>
        <v/>
      </c>
      <c r="N72" s="17">
        <f>IF(OR(Raw_FDIC!BF404="",Raw_FDIC!M404=""),"",IF(Raw_FDIC!M404=0,"",Raw_FDIC!BF404/Raw_FDIC!M404*100))</f>
        <v/>
      </c>
      <c r="O72" s="17">
        <f>IF(OR(Raw_FDIC!BJ404="",Raw_FDIC!M404=""),"",IF(Raw_FDIC!M404=0,"",Raw_FDIC!BJ404/Raw_FDIC!M404*400))</f>
        <v/>
      </c>
      <c r="P72" s="17">
        <f>IF(Raw_FDIC!AU404="","",Raw_FDIC!AU404)</f>
        <v/>
      </c>
      <c r="Q72" s="17">
        <f>IF(Raw_FDIC!AV404="","",Raw_FDIC!AV404)</f>
        <v/>
      </c>
      <c r="R72" s="17">
        <f>IF(Raw_FDIC!AW404="","",Raw_FDIC!AW404)</f>
        <v/>
      </c>
      <c r="S72" s="17">
        <f>IF(OR(Raw_FDIC!BK404="",Raw_FDIC!BG404=""),"",IF(Raw_FDIC!BG404=0,"",Raw_FDIC!BK404/Raw_FDIC!BG404*400))</f>
        <v/>
      </c>
    </row>
    <row r="73">
      <c r="A73" s="14">
        <f>IF(_config!$C$93="","",_config!$C$93)</f>
        <v/>
      </c>
      <c r="B73" s="15">
        <f>IF(_config!$B$93="","",_config!$B$93)</f>
        <v/>
      </c>
      <c r="C73" s="16">
        <f>IF(_config!$D$93="","",_config!$D$93)</f>
        <v/>
      </c>
      <c r="D73" s="17">
        <f>IF(OR(Raw_FDIC!AX424="",Raw_FDIC!K424=""),"",IF(Raw_FDIC!K424=0,"",Raw_FDIC!AX424/Raw_FDIC!K424*100))</f>
        <v/>
      </c>
      <c r="E73" s="17">
        <f>IF(OR(Raw_FDIC!AY424="",Raw_FDIC!K424=""),"",IF(Raw_FDIC!K424=0,"",Raw_FDIC!AY424/Raw_FDIC!K424*100))</f>
        <v/>
      </c>
      <c r="F73" s="17">
        <f>IF(OR(Raw_FDIC!AZ424="",Raw_FDIC!K424=""),"",IF(Raw_FDIC!K424=0,"",Raw_FDIC!AZ424/Raw_FDIC!K424*100))</f>
        <v/>
      </c>
      <c r="G73" s="17">
        <f>IF(OR(Raw_FDIC!BH424="",Raw_FDIC!K424=""),"",IF(Raw_FDIC!K424=0,"",Raw_FDIC!BH424/Raw_FDIC!K424*400))</f>
        <v/>
      </c>
      <c r="H73" s="17">
        <f>IF(OR(Raw_FDIC!BA424="",Raw_FDIC!L424=""),"",IF(Raw_FDIC!L424=0,"",Raw_FDIC!BA424/Raw_FDIC!L424*100))</f>
        <v/>
      </c>
      <c r="I73" s="17">
        <f>IF(OR(Raw_FDIC!BB424="",Raw_FDIC!L424=""),"",IF(Raw_FDIC!L424=0,"",Raw_FDIC!BB424/Raw_FDIC!L424*100))</f>
        <v/>
      </c>
      <c r="J73" s="17">
        <f>IF(OR(Raw_FDIC!BC424="",Raw_FDIC!L424=""),"",IF(Raw_FDIC!L424=0,"",Raw_FDIC!BC424/Raw_FDIC!L424*100))</f>
        <v/>
      </c>
      <c r="K73" s="17">
        <f>IF(OR(Raw_FDIC!BI424="",Raw_FDIC!L424=""),"",IF(Raw_FDIC!L424=0,"",Raw_FDIC!BI424/Raw_FDIC!L424*400))</f>
        <v/>
      </c>
      <c r="L73" s="17">
        <f>IF(OR(Raw_FDIC!BD424="",Raw_FDIC!M424=""),"",IF(Raw_FDIC!M424=0,"",Raw_FDIC!BD424/Raw_FDIC!M424*100))</f>
        <v/>
      </c>
      <c r="M73" s="17">
        <f>IF(OR(Raw_FDIC!BE424="",Raw_FDIC!M424=""),"",IF(Raw_FDIC!M424=0,"",Raw_FDIC!BE424/Raw_FDIC!M424*100))</f>
        <v/>
      </c>
      <c r="N73" s="17">
        <f>IF(OR(Raw_FDIC!BF424="",Raw_FDIC!M424=""),"",IF(Raw_FDIC!M424=0,"",Raw_FDIC!BF424/Raw_FDIC!M424*100))</f>
        <v/>
      </c>
      <c r="O73" s="17">
        <f>IF(OR(Raw_FDIC!BJ424="",Raw_FDIC!M424=""),"",IF(Raw_FDIC!M424=0,"",Raw_FDIC!BJ424/Raw_FDIC!M424*400))</f>
        <v/>
      </c>
      <c r="P73" s="17">
        <f>IF(Raw_FDIC!AU424="","",Raw_FDIC!AU424)</f>
        <v/>
      </c>
      <c r="Q73" s="17">
        <f>IF(Raw_FDIC!AV424="","",Raw_FDIC!AV424)</f>
        <v/>
      </c>
      <c r="R73" s="17">
        <f>IF(Raw_FDIC!AW424="","",Raw_FDIC!AW424)</f>
        <v/>
      </c>
      <c r="S73" s="17">
        <f>IF(OR(Raw_FDIC!BK424="",Raw_FDIC!BG424=""),"",IF(Raw_FDIC!BG424=0,"",Raw_FDIC!BK424/Raw_FDIC!BG424*400))</f>
        <v/>
      </c>
    </row>
    <row r="74">
      <c r="A74" s="14">
        <f>IF(_config!$C$94="","",_config!$C$94)</f>
        <v/>
      </c>
      <c r="B74" s="15">
        <f>IF(_config!$B$94="","",_config!$B$94)</f>
        <v/>
      </c>
      <c r="C74" s="16">
        <f>IF(_config!$D$94="","",_config!$D$94)</f>
        <v/>
      </c>
      <c r="D74" s="17">
        <f>IF(OR(Raw_FDIC!AX444="",Raw_FDIC!K444=""),"",IF(Raw_FDIC!K444=0,"",Raw_FDIC!AX444/Raw_FDIC!K444*100))</f>
        <v/>
      </c>
      <c r="E74" s="17">
        <f>IF(OR(Raw_FDIC!AY444="",Raw_FDIC!K444=""),"",IF(Raw_FDIC!K444=0,"",Raw_FDIC!AY444/Raw_FDIC!K444*100))</f>
        <v/>
      </c>
      <c r="F74" s="17">
        <f>IF(OR(Raw_FDIC!AZ444="",Raw_FDIC!K444=""),"",IF(Raw_FDIC!K444=0,"",Raw_FDIC!AZ444/Raw_FDIC!K444*100))</f>
        <v/>
      </c>
      <c r="G74" s="17">
        <f>IF(OR(Raw_FDIC!BH444="",Raw_FDIC!K444=""),"",IF(Raw_FDIC!K444=0,"",Raw_FDIC!BH444/Raw_FDIC!K444*400))</f>
        <v/>
      </c>
      <c r="H74" s="17">
        <f>IF(OR(Raw_FDIC!BA444="",Raw_FDIC!L444=""),"",IF(Raw_FDIC!L444=0,"",Raw_FDIC!BA444/Raw_FDIC!L444*100))</f>
        <v/>
      </c>
      <c r="I74" s="17">
        <f>IF(OR(Raw_FDIC!BB444="",Raw_FDIC!L444=""),"",IF(Raw_FDIC!L444=0,"",Raw_FDIC!BB444/Raw_FDIC!L444*100))</f>
        <v/>
      </c>
      <c r="J74" s="17">
        <f>IF(OR(Raw_FDIC!BC444="",Raw_FDIC!L444=""),"",IF(Raw_FDIC!L444=0,"",Raw_FDIC!BC444/Raw_FDIC!L444*100))</f>
        <v/>
      </c>
      <c r="K74" s="17">
        <f>IF(OR(Raw_FDIC!BI444="",Raw_FDIC!L444=""),"",IF(Raw_FDIC!L444=0,"",Raw_FDIC!BI444/Raw_FDIC!L444*400))</f>
        <v/>
      </c>
      <c r="L74" s="17">
        <f>IF(OR(Raw_FDIC!BD444="",Raw_FDIC!M444=""),"",IF(Raw_FDIC!M444=0,"",Raw_FDIC!BD444/Raw_FDIC!M444*100))</f>
        <v/>
      </c>
      <c r="M74" s="17">
        <f>IF(OR(Raw_FDIC!BE444="",Raw_FDIC!M444=""),"",IF(Raw_FDIC!M444=0,"",Raw_FDIC!BE444/Raw_FDIC!M444*100))</f>
        <v/>
      </c>
      <c r="N74" s="17">
        <f>IF(OR(Raw_FDIC!BF444="",Raw_FDIC!M444=""),"",IF(Raw_FDIC!M444=0,"",Raw_FDIC!BF444/Raw_FDIC!M444*100))</f>
        <v/>
      </c>
      <c r="O74" s="17">
        <f>IF(OR(Raw_FDIC!BJ444="",Raw_FDIC!M444=""),"",IF(Raw_FDIC!M444=0,"",Raw_FDIC!BJ444/Raw_FDIC!M444*400))</f>
        <v/>
      </c>
      <c r="P74" s="17">
        <f>IF(Raw_FDIC!AU444="","",Raw_FDIC!AU444)</f>
        <v/>
      </c>
      <c r="Q74" s="17">
        <f>IF(Raw_FDIC!AV444="","",Raw_FDIC!AV444)</f>
        <v/>
      </c>
      <c r="R74" s="17">
        <f>IF(Raw_FDIC!AW444="","",Raw_FDIC!AW444)</f>
        <v/>
      </c>
      <c r="S74" s="17">
        <f>IF(OR(Raw_FDIC!BK444="",Raw_FDIC!BG444=""),"",IF(Raw_FDIC!BG444=0,"",Raw_FDIC!BK444/Raw_FDIC!BG444*400))</f>
        <v/>
      </c>
    </row>
    <row r="75">
      <c r="A75" s="14">
        <f>IF(_config!$C$95="","",_config!$C$95)</f>
        <v/>
      </c>
      <c r="B75" s="15">
        <f>IF(_config!$B$95="","",_config!$B$95)</f>
        <v/>
      </c>
      <c r="C75" s="16">
        <f>IF(_config!$D$95="","",_config!$D$95)</f>
        <v/>
      </c>
      <c r="D75" s="17">
        <f>IF(OR(Raw_FDIC!AX464="",Raw_FDIC!K464=""),"",IF(Raw_FDIC!K464=0,"",Raw_FDIC!AX464/Raw_FDIC!K464*100))</f>
        <v/>
      </c>
      <c r="E75" s="17">
        <f>IF(OR(Raw_FDIC!AY464="",Raw_FDIC!K464=""),"",IF(Raw_FDIC!K464=0,"",Raw_FDIC!AY464/Raw_FDIC!K464*100))</f>
        <v/>
      </c>
      <c r="F75" s="17">
        <f>IF(OR(Raw_FDIC!AZ464="",Raw_FDIC!K464=""),"",IF(Raw_FDIC!K464=0,"",Raw_FDIC!AZ464/Raw_FDIC!K464*100))</f>
        <v/>
      </c>
      <c r="G75" s="17">
        <f>IF(OR(Raw_FDIC!BH464="",Raw_FDIC!K464=""),"",IF(Raw_FDIC!K464=0,"",Raw_FDIC!BH464/Raw_FDIC!K464*400))</f>
        <v/>
      </c>
      <c r="H75" s="17">
        <f>IF(OR(Raw_FDIC!BA464="",Raw_FDIC!L464=""),"",IF(Raw_FDIC!L464=0,"",Raw_FDIC!BA464/Raw_FDIC!L464*100))</f>
        <v/>
      </c>
      <c r="I75" s="17">
        <f>IF(OR(Raw_FDIC!BB464="",Raw_FDIC!L464=""),"",IF(Raw_FDIC!L464=0,"",Raw_FDIC!BB464/Raw_FDIC!L464*100))</f>
        <v/>
      </c>
      <c r="J75" s="17">
        <f>IF(OR(Raw_FDIC!BC464="",Raw_FDIC!L464=""),"",IF(Raw_FDIC!L464=0,"",Raw_FDIC!BC464/Raw_FDIC!L464*100))</f>
        <v/>
      </c>
      <c r="K75" s="17">
        <f>IF(OR(Raw_FDIC!BI464="",Raw_FDIC!L464=""),"",IF(Raw_FDIC!L464=0,"",Raw_FDIC!BI464/Raw_FDIC!L464*400))</f>
        <v/>
      </c>
      <c r="L75" s="17">
        <f>IF(OR(Raw_FDIC!BD464="",Raw_FDIC!M464=""),"",IF(Raw_FDIC!M464=0,"",Raw_FDIC!BD464/Raw_FDIC!M464*100))</f>
        <v/>
      </c>
      <c r="M75" s="17">
        <f>IF(OR(Raw_FDIC!BE464="",Raw_FDIC!M464=""),"",IF(Raw_FDIC!M464=0,"",Raw_FDIC!BE464/Raw_FDIC!M464*100))</f>
        <v/>
      </c>
      <c r="N75" s="17">
        <f>IF(OR(Raw_FDIC!BF464="",Raw_FDIC!M464=""),"",IF(Raw_FDIC!M464=0,"",Raw_FDIC!BF464/Raw_FDIC!M464*100))</f>
        <v/>
      </c>
      <c r="O75" s="17">
        <f>IF(OR(Raw_FDIC!BJ464="",Raw_FDIC!M464=""),"",IF(Raw_FDIC!M464=0,"",Raw_FDIC!BJ464/Raw_FDIC!M464*400))</f>
        <v/>
      </c>
      <c r="P75" s="17">
        <f>IF(Raw_FDIC!AU464="","",Raw_FDIC!AU464)</f>
        <v/>
      </c>
      <c r="Q75" s="17">
        <f>IF(Raw_FDIC!AV464="","",Raw_FDIC!AV464)</f>
        <v/>
      </c>
      <c r="R75" s="17">
        <f>IF(Raw_FDIC!AW464="","",Raw_FDIC!AW464)</f>
        <v/>
      </c>
      <c r="S75" s="17">
        <f>IF(OR(Raw_FDIC!BK464="",Raw_FDIC!BG464=""),"",IF(Raw_FDIC!BG464=0,"",Raw_FDIC!BK464/Raw_FDIC!BG464*400))</f>
        <v/>
      </c>
    </row>
    <row r="76">
      <c r="A76" s="14">
        <f>IF(_config!$C$96="","",_config!$C$96)</f>
        <v/>
      </c>
      <c r="B76" s="15">
        <f>IF(_config!$B$96="","",_config!$B$96)</f>
        <v/>
      </c>
      <c r="C76" s="16">
        <f>IF(_config!$D$96="","",_config!$D$96)</f>
        <v/>
      </c>
      <c r="D76" s="17">
        <f>IF(OR(Raw_FDIC!AX484="",Raw_FDIC!K484=""),"",IF(Raw_FDIC!K484=0,"",Raw_FDIC!AX484/Raw_FDIC!K484*100))</f>
        <v/>
      </c>
      <c r="E76" s="17">
        <f>IF(OR(Raw_FDIC!AY484="",Raw_FDIC!K484=""),"",IF(Raw_FDIC!K484=0,"",Raw_FDIC!AY484/Raw_FDIC!K484*100))</f>
        <v/>
      </c>
      <c r="F76" s="17">
        <f>IF(OR(Raw_FDIC!AZ484="",Raw_FDIC!K484=""),"",IF(Raw_FDIC!K484=0,"",Raw_FDIC!AZ484/Raw_FDIC!K484*100))</f>
        <v/>
      </c>
      <c r="G76" s="17">
        <f>IF(OR(Raw_FDIC!BH484="",Raw_FDIC!K484=""),"",IF(Raw_FDIC!K484=0,"",Raw_FDIC!BH484/Raw_FDIC!K484*400))</f>
        <v/>
      </c>
      <c r="H76" s="17">
        <f>IF(OR(Raw_FDIC!BA484="",Raw_FDIC!L484=""),"",IF(Raw_FDIC!L484=0,"",Raw_FDIC!BA484/Raw_FDIC!L484*100))</f>
        <v/>
      </c>
      <c r="I76" s="17">
        <f>IF(OR(Raw_FDIC!BB484="",Raw_FDIC!L484=""),"",IF(Raw_FDIC!L484=0,"",Raw_FDIC!BB484/Raw_FDIC!L484*100))</f>
        <v/>
      </c>
      <c r="J76" s="17">
        <f>IF(OR(Raw_FDIC!BC484="",Raw_FDIC!L484=""),"",IF(Raw_FDIC!L484=0,"",Raw_FDIC!BC484/Raw_FDIC!L484*100))</f>
        <v/>
      </c>
      <c r="K76" s="17">
        <f>IF(OR(Raw_FDIC!BI484="",Raw_FDIC!L484=""),"",IF(Raw_FDIC!L484=0,"",Raw_FDIC!BI484/Raw_FDIC!L484*400))</f>
        <v/>
      </c>
      <c r="L76" s="17">
        <f>IF(OR(Raw_FDIC!BD484="",Raw_FDIC!M484=""),"",IF(Raw_FDIC!M484=0,"",Raw_FDIC!BD484/Raw_FDIC!M484*100))</f>
        <v/>
      </c>
      <c r="M76" s="17">
        <f>IF(OR(Raw_FDIC!BE484="",Raw_FDIC!M484=""),"",IF(Raw_FDIC!M484=0,"",Raw_FDIC!BE484/Raw_FDIC!M484*100))</f>
        <v/>
      </c>
      <c r="N76" s="17">
        <f>IF(OR(Raw_FDIC!BF484="",Raw_FDIC!M484=""),"",IF(Raw_FDIC!M484=0,"",Raw_FDIC!BF484/Raw_FDIC!M484*100))</f>
        <v/>
      </c>
      <c r="O76" s="17">
        <f>IF(OR(Raw_FDIC!BJ484="",Raw_FDIC!M484=""),"",IF(Raw_FDIC!M484=0,"",Raw_FDIC!BJ484/Raw_FDIC!M484*400))</f>
        <v/>
      </c>
      <c r="P76" s="17">
        <f>IF(Raw_FDIC!AU484="","",Raw_FDIC!AU484)</f>
        <v/>
      </c>
      <c r="Q76" s="17">
        <f>IF(Raw_FDIC!AV484="","",Raw_FDIC!AV484)</f>
        <v/>
      </c>
      <c r="R76" s="17">
        <f>IF(Raw_FDIC!AW484="","",Raw_FDIC!AW484)</f>
        <v/>
      </c>
      <c r="S76" s="17">
        <f>IF(OR(Raw_FDIC!BK484="",Raw_FDIC!BG484=""),"",IF(Raw_FDIC!BG484=0,"",Raw_FDIC!BK484/Raw_FDIC!BG484*400))</f>
        <v/>
      </c>
    </row>
    <row r="77">
      <c r="A77" s="14">
        <f>IF(_config!$C$97="","",_config!$C$97)</f>
        <v/>
      </c>
      <c r="B77" s="15">
        <f>IF(_config!$B$97="","",_config!$B$97)</f>
        <v/>
      </c>
      <c r="C77" s="16">
        <f>IF(_config!$D$97="","",_config!$D$97)</f>
        <v/>
      </c>
      <c r="D77" s="17">
        <f>IF(OR(Raw_FDIC!AX504="",Raw_FDIC!K504=""),"",IF(Raw_FDIC!K504=0,"",Raw_FDIC!AX504/Raw_FDIC!K504*100))</f>
        <v/>
      </c>
      <c r="E77" s="17">
        <f>IF(OR(Raw_FDIC!AY504="",Raw_FDIC!K504=""),"",IF(Raw_FDIC!K504=0,"",Raw_FDIC!AY504/Raw_FDIC!K504*100))</f>
        <v/>
      </c>
      <c r="F77" s="17">
        <f>IF(OR(Raw_FDIC!AZ504="",Raw_FDIC!K504=""),"",IF(Raw_FDIC!K504=0,"",Raw_FDIC!AZ504/Raw_FDIC!K504*100))</f>
        <v/>
      </c>
      <c r="G77" s="17">
        <f>IF(OR(Raw_FDIC!BH504="",Raw_FDIC!K504=""),"",IF(Raw_FDIC!K504=0,"",Raw_FDIC!BH504/Raw_FDIC!K504*400))</f>
        <v/>
      </c>
      <c r="H77" s="17">
        <f>IF(OR(Raw_FDIC!BA504="",Raw_FDIC!L504=""),"",IF(Raw_FDIC!L504=0,"",Raw_FDIC!BA504/Raw_FDIC!L504*100))</f>
        <v/>
      </c>
      <c r="I77" s="17">
        <f>IF(OR(Raw_FDIC!BB504="",Raw_FDIC!L504=""),"",IF(Raw_FDIC!L504=0,"",Raw_FDIC!BB504/Raw_FDIC!L504*100))</f>
        <v/>
      </c>
      <c r="J77" s="17">
        <f>IF(OR(Raw_FDIC!BC504="",Raw_FDIC!L504=""),"",IF(Raw_FDIC!L504=0,"",Raw_FDIC!BC504/Raw_FDIC!L504*100))</f>
        <v/>
      </c>
      <c r="K77" s="17">
        <f>IF(OR(Raw_FDIC!BI504="",Raw_FDIC!L504=""),"",IF(Raw_FDIC!L504=0,"",Raw_FDIC!BI504/Raw_FDIC!L504*400))</f>
        <v/>
      </c>
      <c r="L77" s="17">
        <f>IF(OR(Raw_FDIC!BD504="",Raw_FDIC!M504=""),"",IF(Raw_FDIC!M504=0,"",Raw_FDIC!BD504/Raw_FDIC!M504*100))</f>
        <v/>
      </c>
      <c r="M77" s="17">
        <f>IF(OR(Raw_FDIC!BE504="",Raw_FDIC!M504=""),"",IF(Raw_FDIC!M504=0,"",Raw_FDIC!BE504/Raw_FDIC!M504*100))</f>
        <v/>
      </c>
      <c r="N77" s="17">
        <f>IF(OR(Raw_FDIC!BF504="",Raw_FDIC!M504=""),"",IF(Raw_FDIC!M504=0,"",Raw_FDIC!BF504/Raw_FDIC!M504*100))</f>
        <v/>
      </c>
      <c r="O77" s="17">
        <f>IF(OR(Raw_FDIC!BJ504="",Raw_FDIC!M504=""),"",IF(Raw_FDIC!M504=0,"",Raw_FDIC!BJ504/Raw_FDIC!M504*400))</f>
        <v/>
      </c>
      <c r="P77" s="17">
        <f>IF(Raw_FDIC!AU504="","",Raw_FDIC!AU504)</f>
        <v/>
      </c>
      <c r="Q77" s="17">
        <f>IF(Raw_FDIC!AV504="","",Raw_FDIC!AV504)</f>
        <v/>
      </c>
      <c r="R77" s="17">
        <f>IF(Raw_FDIC!AW504="","",Raw_FDIC!AW504)</f>
        <v/>
      </c>
      <c r="S77" s="17">
        <f>IF(OR(Raw_FDIC!BK504="",Raw_FDIC!BG504=""),"",IF(Raw_FDIC!BG504=0,"",Raw_FDIC!BK504/Raw_FDIC!BG504*400))</f>
        <v/>
      </c>
    </row>
    <row r="78">
      <c r="A78" s="14">
        <f>IF(_config!$C$98="","",_config!$C$98)</f>
        <v/>
      </c>
      <c r="B78" s="15">
        <f>IF(_config!$B$98="","",_config!$B$98)</f>
        <v/>
      </c>
      <c r="C78" s="16">
        <f>IF(_config!$D$98="","",_config!$D$98)</f>
        <v/>
      </c>
      <c r="D78" s="17">
        <f>IF(OR(Raw_FDIC!AX524="",Raw_FDIC!K524=""),"",IF(Raw_FDIC!K524=0,"",Raw_FDIC!AX524/Raw_FDIC!K524*100))</f>
        <v/>
      </c>
      <c r="E78" s="17">
        <f>IF(OR(Raw_FDIC!AY524="",Raw_FDIC!K524=""),"",IF(Raw_FDIC!K524=0,"",Raw_FDIC!AY524/Raw_FDIC!K524*100))</f>
        <v/>
      </c>
      <c r="F78" s="17">
        <f>IF(OR(Raw_FDIC!AZ524="",Raw_FDIC!K524=""),"",IF(Raw_FDIC!K524=0,"",Raw_FDIC!AZ524/Raw_FDIC!K524*100))</f>
        <v/>
      </c>
      <c r="G78" s="17">
        <f>IF(OR(Raw_FDIC!BH524="",Raw_FDIC!K524=""),"",IF(Raw_FDIC!K524=0,"",Raw_FDIC!BH524/Raw_FDIC!K524*400))</f>
        <v/>
      </c>
      <c r="H78" s="17">
        <f>IF(OR(Raw_FDIC!BA524="",Raw_FDIC!L524=""),"",IF(Raw_FDIC!L524=0,"",Raw_FDIC!BA524/Raw_FDIC!L524*100))</f>
        <v/>
      </c>
      <c r="I78" s="17">
        <f>IF(OR(Raw_FDIC!BB524="",Raw_FDIC!L524=""),"",IF(Raw_FDIC!L524=0,"",Raw_FDIC!BB524/Raw_FDIC!L524*100))</f>
        <v/>
      </c>
      <c r="J78" s="17">
        <f>IF(OR(Raw_FDIC!BC524="",Raw_FDIC!L524=""),"",IF(Raw_FDIC!L524=0,"",Raw_FDIC!BC524/Raw_FDIC!L524*100))</f>
        <v/>
      </c>
      <c r="K78" s="17">
        <f>IF(OR(Raw_FDIC!BI524="",Raw_FDIC!L524=""),"",IF(Raw_FDIC!L524=0,"",Raw_FDIC!BI524/Raw_FDIC!L524*400))</f>
        <v/>
      </c>
      <c r="L78" s="17">
        <f>IF(OR(Raw_FDIC!BD524="",Raw_FDIC!M524=""),"",IF(Raw_FDIC!M524=0,"",Raw_FDIC!BD524/Raw_FDIC!M524*100))</f>
        <v/>
      </c>
      <c r="M78" s="17">
        <f>IF(OR(Raw_FDIC!BE524="",Raw_FDIC!M524=""),"",IF(Raw_FDIC!M524=0,"",Raw_FDIC!BE524/Raw_FDIC!M524*100))</f>
        <v/>
      </c>
      <c r="N78" s="17">
        <f>IF(OR(Raw_FDIC!BF524="",Raw_FDIC!M524=""),"",IF(Raw_FDIC!M524=0,"",Raw_FDIC!BF524/Raw_FDIC!M524*100))</f>
        <v/>
      </c>
      <c r="O78" s="17">
        <f>IF(OR(Raw_FDIC!BJ524="",Raw_FDIC!M524=""),"",IF(Raw_FDIC!M524=0,"",Raw_FDIC!BJ524/Raw_FDIC!M524*400))</f>
        <v/>
      </c>
      <c r="P78" s="17">
        <f>IF(Raw_FDIC!AU524="","",Raw_FDIC!AU524)</f>
        <v/>
      </c>
      <c r="Q78" s="17">
        <f>IF(Raw_FDIC!AV524="","",Raw_FDIC!AV524)</f>
        <v/>
      </c>
      <c r="R78" s="17">
        <f>IF(Raw_FDIC!AW524="","",Raw_FDIC!AW524)</f>
        <v/>
      </c>
      <c r="S78" s="17">
        <f>IF(OR(Raw_FDIC!BK524="",Raw_FDIC!BG524=""),"",IF(Raw_FDIC!BG524=0,"",Raw_FDIC!BK524/Raw_FDIC!BG524*400))</f>
        <v/>
      </c>
    </row>
    <row r="79">
      <c r="A79" s="14">
        <f>IF(_config!$C$99="","",_config!$C$99)</f>
        <v/>
      </c>
      <c r="B79" s="15">
        <f>IF(_config!$B$99="","",_config!$B$99)</f>
        <v/>
      </c>
      <c r="C79" s="16">
        <f>IF(_config!$D$99="","",_config!$D$99)</f>
        <v/>
      </c>
      <c r="D79" s="17">
        <f>IF(OR(Raw_FDIC!AX544="",Raw_FDIC!K544=""),"",IF(Raw_FDIC!K544=0,"",Raw_FDIC!AX544/Raw_FDIC!K544*100))</f>
        <v/>
      </c>
      <c r="E79" s="17">
        <f>IF(OR(Raw_FDIC!AY544="",Raw_FDIC!K544=""),"",IF(Raw_FDIC!K544=0,"",Raw_FDIC!AY544/Raw_FDIC!K544*100))</f>
        <v/>
      </c>
      <c r="F79" s="17">
        <f>IF(OR(Raw_FDIC!AZ544="",Raw_FDIC!K544=""),"",IF(Raw_FDIC!K544=0,"",Raw_FDIC!AZ544/Raw_FDIC!K544*100))</f>
        <v/>
      </c>
      <c r="G79" s="17">
        <f>IF(OR(Raw_FDIC!BH544="",Raw_FDIC!K544=""),"",IF(Raw_FDIC!K544=0,"",Raw_FDIC!BH544/Raw_FDIC!K544*400))</f>
        <v/>
      </c>
      <c r="H79" s="17">
        <f>IF(OR(Raw_FDIC!BA544="",Raw_FDIC!L544=""),"",IF(Raw_FDIC!L544=0,"",Raw_FDIC!BA544/Raw_FDIC!L544*100))</f>
        <v/>
      </c>
      <c r="I79" s="17">
        <f>IF(OR(Raw_FDIC!BB544="",Raw_FDIC!L544=""),"",IF(Raw_FDIC!L544=0,"",Raw_FDIC!BB544/Raw_FDIC!L544*100))</f>
        <v/>
      </c>
      <c r="J79" s="17">
        <f>IF(OR(Raw_FDIC!BC544="",Raw_FDIC!L544=""),"",IF(Raw_FDIC!L544=0,"",Raw_FDIC!BC544/Raw_FDIC!L544*100))</f>
        <v/>
      </c>
      <c r="K79" s="17">
        <f>IF(OR(Raw_FDIC!BI544="",Raw_FDIC!L544=""),"",IF(Raw_FDIC!L544=0,"",Raw_FDIC!BI544/Raw_FDIC!L544*400))</f>
        <v/>
      </c>
      <c r="L79" s="17">
        <f>IF(OR(Raw_FDIC!BD544="",Raw_FDIC!M544=""),"",IF(Raw_FDIC!M544=0,"",Raw_FDIC!BD544/Raw_FDIC!M544*100))</f>
        <v/>
      </c>
      <c r="M79" s="17">
        <f>IF(OR(Raw_FDIC!BE544="",Raw_FDIC!M544=""),"",IF(Raw_FDIC!M544=0,"",Raw_FDIC!BE544/Raw_FDIC!M544*100))</f>
        <v/>
      </c>
      <c r="N79" s="17">
        <f>IF(OR(Raw_FDIC!BF544="",Raw_FDIC!M544=""),"",IF(Raw_FDIC!M544=0,"",Raw_FDIC!BF544/Raw_FDIC!M544*100))</f>
        <v/>
      </c>
      <c r="O79" s="17">
        <f>IF(OR(Raw_FDIC!BJ544="",Raw_FDIC!M544=""),"",IF(Raw_FDIC!M544=0,"",Raw_FDIC!BJ544/Raw_FDIC!M544*400))</f>
        <v/>
      </c>
      <c r="P79" s="17">
        <f>IF(Raw_FDIC!AU544="","",Raw_FDIC!AU544)</f>
        <v/>
      </c>
      <c r="Q79" s="17">
        <f>IF(Raw_FDIC!AV544="","",Raw_FDIC!AV544)</f>
        <v/>
      </c>
      <c r="R79" s="17">
        <f>IF(Raw_FDIC!AW544="","",Raw_FDIC!AW544)</f>
        <v/>
      </c>
      <c r="S79" s="17">
        <f>IF(OR(Raw_FDIC!BK544="",Raw_FDIC!BG544=""),"",IF(Raw_FDIC!BG544=0,"",Raw_FDIC!BK544/Raw_FDIC!BG544*400))</f>
        <v/>
      </c>
    </row>
    <row r="80">
      <c r="A80" s="14">
        <f>IF(_config!$C$100="","",_config!$C$100)</f>
        <v/>
      </c>
      <c r="B80" s="15">
        <f>IF(_config!$B$100="","",_config!$B$100)</f>
        <v/>
      </c>
      <c r="C80" s="16">
        <f>IF(_config!$D$100="","",_config!$D$100)</f>
        <v/>
      </c>
      <c r="D80" s="17">
        <f>IF(OR(Raw_FDIC!AX564="",Raw_FDIC!K564=""),"",IF(Raw_FDIC!K564=0,"",Raw_FDIC!AX564/Raw_FDIC!K564*100))</f>
        <v/>
      </c>
      <c r="E80" s="17">
        <f>IF(OR(Raw_FDIC!AY564="",Raw_FDIC!K564=""),"",IF(Raw_FDIC!K564=0,"",Raw_FDIC!AY564/Raw_FDIC!K564*100))</f>
        <v/>
      </c>
      <c r="F80" s="17">
        <f>IF(OR(Raw_FDIC!AZ564="",Raw_FDIC!K564=""),"",IF(Raw_FDIC!K564=0,"",Raw_FDIC!AZ564/Raw_FDIC!K564*100))</f>
        <v/>
      </c>
      <c r="G80" s="17">
        <f>IF(OR(Raw_FDIC!BH564="",Raw_FDIC!K564=""),"",IF(Raw_FDIC!K564=0,"",Raw_FDIC!BH564/Raw_FDIC!K564*400))</f>
        <v/>
      </c>
      <c r="H80" s="17">
        <f>IF(OR(Raw_FDIC!BA564="",Raw_FDIC!L564=""),"",IF(Raw_FDIC!L564=0,"",Raw_FDIC!BA564/Raw_FDIC!L564*100))</f>
        <v/>
      </c>
      <c r="I80" s="17">
        <f>IF(OR(Raw_FDIC!BB564="",Raw_FDIC!L564=""),"",IF(Raw_FDIC!L564=0,"",Raw_FDIC!BB564/Raw_FDIC!L564*100))</f>
        <v/>
      </c>
      <c r="J80" s="17">
        <f>IF(OR(Raw_FDIC!BC564="",Raw_FDIC!L564=""),"",IF(Raw_FDIC!L564=0,"",Raw_FDIC!BC564/Raw_FDIC!L564*100))</f>
        <v/>
      </c>
      <c r="K80" s="17">
        <f>IF(OR(Raw_FDIC!BI564="",Raw_FDIC!L564=""),"",IF(Raw_FDIC!L564=0,"",Raw_FDIC!BI564/Raw_FDIC!L564*400))</f>
        <v/>
      </c>
      <c r="L80" s="17">
        <f>IF(OR(Raw_FDIC!BD564="",Raw_FDIC!M564=""),"",IF(Raw_FDIC!M564=0,"",Raw_FDIC!BD564/Raw_FDIC!M564*100))</f>
        <v/>
      </c>
      <c r="M80" s="17">
        <f>IF(OR(Raw_FDIC!BE564="",Raw_FDIC!M564=""),"",IF(Raw_FDIC!M564=0,"",Raw_FDIC!BE564/Raw_FDIC!M564*100))</f>
        <v/>
      </c>
      <c r="N80" s="17">
        <f>IF(OR(Raw_FDIC!BF564="",Raw_FDIC!M564=""),"",IF(Raw_FDIC!M564=0,"",Raw_FDIC!BF564/Raw_FDIC!M564*100))</f>
        <v/>
      </c>
      <c r="O80" s="17">
        <f>IF(OR(Raw_FDIC!BJ564="",Raw_FDIC!M564=""),"",IF(Raw_FDIC!M564=0,"",Raw_FDIC!BJ564/Raw_FDIC!M564*400))</f>
        <v/>
      </c>
      <c r="P80" s="17">
        <f>IF(Raw_FDIC!AU564="","",Raw_FDIC!AU564)</f>
        <v/>
      </c>
      <c r="Q80" s="17">
        <f>IF(Raw_FDIC!AV564="","",Raw_FDIC!AV564)</f>
        <v/>
      </c>
      <c r="R80" s="17">
        <f>IF(Raw_FDIC!AW564="","",Raw_FDIC!AW564)</f>
        <v/>
      </c>
      <c r="S80" s="17">
        <f>IF(OR(Raw_FDIC!BK564="",Raw_FDIC!BG564=""),"",IF(Raw_FDIC!BG564=0,"",Raw_FDIC!BK564/Raw_FDIC!BG564*400))</f>
        <v/>
      </c>
    </row>
    <row r="81">
      <c r="A81" s="14">
        <f>IF(_config!$C$101="","",_config!$C$101)</f>
        <v/>
      </c>
      <c r="B81" s="15">
        <f>IF(_config!$B$101="","",_config!$B$101)</f>
        <v/>
      </c>
      <c r="C81" s="16">
        <f>IF(_config!$D$101="","",_config!$D$101)</f>
        <v/>
      </c>
      <c r="D81" s="17">
        <f>IF(OR(Raw_FDIC!AX584="",Raw_FDIC!K584=""),"",IF(Raw_FDIC!K584=0,"",Raw_FDIC!AX584/Raw_FDIC!K584*100))</f>
        <v/>
      </c>
      <c r="E81" s="17">
        <f>IF(OR(Raw_FDIC!AY584="",Raw_FDIC!K584=""),"",IF(Raw_FDIC!K584=0,"",Raw_FDIC!AY584/Raw_FDIC!K584*100))</f>
        <v/>
      </c>
      <c r="F81" s="17">
        <f>IF(OR(Raw_FDIC!AZ584="",Raw_FDIC!K584=""),"",IF(Raw_FDIC!K584=0,"",Raw_FDIC!AZ584/Raw_FDIC!K584*100))</f>
        <v/>
      </c>
      <c r="G81" s="17">
        <f>IF(OR(Raw_FDIC!BH584="",Raw_FDIC!K584=""),"",IF(Raw_FDIC!K584=0,"",Raw_FDIC!BH584/Raw_FDIC!K584*400))</f>
        <v/>
      </c>
      <c r="H81" s="17">
        <f>IF(OR(Raw_FDIC!BA584="",Raw_FDIC!L584=""),"",IF(Raw_FDIC!L584=0,"",Raw_FDIC!BA584/Raw_FDIC!L584*100))</f>
        <v/>
      </c>
      <c r="I81" s="17">
        <f>IF(OR(Raw_FDIC!BB584="",Raw_FDIC!L584=""),"",IF(Raw_FDIC!L584=0,"",Raw_FDIC!BB584/Raw_FDIC!L584*100))</f>
        <v/>
      </c>
      <c r="J81" s="17">
        <f>IF(OR(Raw_FDIC!BC584="",Raw_FDIC!L584=""),"",IF(Raw_FDIC!L584=0,"",Raw_FDIC!BC584/Raw_FDIC!L584*100))</f>
        <v/>
      </c>
      <c r="K81" s="17">
        <f>IF(OR(Raw_FDIC!BI584="",Raw_FDIC!L584=""),"",IF(Raw_FDIC!L584=0,"",Raw_FDIC!BI584/Raw_FDIC!L584*400))</f>
        <v/>
      </c>
      <c r="L81" s="17">
        <f>IF(OR(Raw_FDIC!BD584="",Raw_FDIC!M584=""),"",IF(Raw_FDIC!M584=0,"",Raw_FDIC!BD584/Raw_FDIC!M584*100))</f>
        <v/>
      </c>
      <c r="M81" s="17">
        <f>IF(OR(Raw_FDIC!BE584="",Raw_FDIC!M584=""),"",IF(Raw_FDIC!M584=0,"",Raw_FDIC!BE584/Raw_FDIC!M584*100))</f>
        <v/>
      </c>
      <c r="N81" s="17">
        <f>IF(OR(Raw_FDIC!BF584="",Raw_FDIC!M584=""),"",IF(Raw_FDIC!M584=0,"",Raw_FDIC!BF584/Raw_FDIC!M584*100))</f>
        <v/>
      </c>
      <c r="O81" s="17">
        <f>IF(OR(Raw_FDIC!BJ584="",Raw_FDIC!M584=""),"",IF(Raw_FDIC!M584=0,"",Raw_FDIC!BJ584/Raw_FDIC!M584*400))</f>
        <v/>
      </c>
      <c r="P81" s="17">
        <f>IF(Raw_FDIC!AU584="","",Raw_FDIC!AU584)</f>
        <v/>
      </c>
      <c r="Q81" s="17">
        <f>IF(Raw_FDIC!AV584="","",Raw_FDIC!AV584)</f>
        <v/>
      </c>
      <c r="R81" s="17">
        <f>IF(Raw_FDIC!AW584="","",Raw_FDIC!AW584)</f>
        <v/>
      </c>
      <c r="S81" s="17">
        <f>IF(OR(Raw_FDIC!BK584="",Raw_FDIC!BG584=""),"",IF(Raw_FDIC!BG584=0,"",Raw_FDIC!BK584/Raw_FDIC!BG584*400))</f>
        <v/>
      </c>
    </row>
    <row r="82">
      <c r="A82" s="14">
        <f>IF(_config!$C$102="","",_config!$C$102)</f>
        <v/>
      </c>
      <c r="B82" s="15">
        <f>IF(_config!$B$102="","",_config!$B$102)</f>
        <v/>
      </c>
      <c r="C82" s="16">
        <f>IF(_config!$D$102="","",_config!$D$102)</f>
        <v/>
      </c>
      <c r="D82" s="17">
        <f>IF(OR(Raw_FDIC!AX604="",Raw_FDIC!K604=""),"",IF(Raw_FDIC!K604=0,"",Raw_FDIC!AX604/Raw_FDIC!K604*100))</f>
        <v/>
      </c>
      <c r="E82" s="17">
        <f>IF(OR(Raw_FDIC!AY604="",Raw_FDIC!K604=""),"",IF(Raw_FDIC!K604=0,"",Raw_FDIC!AY604/Raw_FDIC!K604*100))</f>
        <v/>
      </c>
      <c r="F82" s="17">
        <f>IF(OR(Raw_FDIC!AZ604="",Raw_FDIC!K604=""),"",IF(Raw_FDIC!K604=0,"",Raw_FDIC!AZ604/Raw_FDIC!K604*100))</f>
        <v/>
      </c>
      <c r="G82" s="17">
        <f>IF(OR(Raw_FDIC!BH604="",Raw_FDIC!K604=""),"",IF(Raw_FDIC!K604=0,"",Raw_FDIC!BH604/Raw_FDIC!K604*400))</f>
        <v/>
      </c>
      <c r="H82" s="17">
        <f>IF(OR(Raw_FDIC!BA604="",Raw_FDIC!L604=""),"",IF(Raw_FDIC!L604=0,"",Raw_FDIC!BA604/Raw_FDIC!L604*100))</f>
        <v/>
      </c>
      <c r="I82" s="17">
        <f>IF(OR(Raw_FDIC!BB604="",Raw_FDIC!L604=""),"",IF(Raw_FDIC!L604=0,"",Raw_FDIC!BB604/Raw_FDIC!L604*100))</f>
        <v/>
      </c>
      <c r="J82" s="17">
        <f>IF(OR(Raw_FDIC!BC604="",Raw_FDIC!L604=""),"",IF(Raw_FDIC!L604=0,"",Raw_FDIC!BC604/Raw_FDIC!L604*100))</f>
        <v/>
      </c>
      <c r="K82" s="17">
        <f>IF(OR(Raw_FDIC!BI604="",Raw_FDIC!L604=""),"",IF(Raw_FDIC!L604=0,"",Raw_FDIC!BI604/Raw_FDIC!L604*400))</f>
        <v/>
      </c>
      <c r="L82" s="17">
        <f>IF(OR(Raw_FDIC!BD604="",Raw_FDIC!M604=""),"",IF(Raw_FDIC!M604=0,"",Raw_FDIC!BD604/Raw_FDIC!M604*100))</f>
        <v/>
      </c>
      <c r="M82" s="17">
        <f>IF(OR(Raw_FDIC!BE604="",Raw_FDIC!M604=""),"",IF(Raw_FDIC!M604=0,"",Raw_FDIC!BE604/Raw_FDIC!M604*100))</f>
        <v/>
      </c>
      <c r="N82" s="17">
        <f>IF(OR(Raw_FDIC!BF604="",Raw_FDIC!M604=""),"",IF(Raw_FDIC!M604=0,"",Raw_FDIC!BF604/Raw_FDIC!M604*100))</f>
        <v/>
      </c>
      <c r="O82" s="17">
        <f>IF(OR(Raw_FDIC!BJ604="",Raw_FDIC!M604=""),"",IF(Raw_FDIC!M604=0,"",Raw_FDIC!BJ604/Raw_FDIC!M604*400))</f>
        <v/>
      </c>
      <c r="P82" s="17">
        <f>IF(Raw_FDIC!AU604="","",Raw_FDIC!AU604)</f>
        <v/>
      </c>
      <c r="Q82" s="17">
        <f>IF(Raw_FDIC!AV604="","",Raw_FDIC!AV604)</f>
        <v/>
      </c>
      <c r="R82" s="17">
        <f>IF(Raw_FDIC!AW604="","",Raw_FDIC!AW604)</f>
        <v/>
      </c>
      <c r="S82" s="17">
        <f>IF(OR(Raw_FDIC!BK604="",Raw_FDIC!BG604=""),"",IF(Raw_FDIC!BG604=0,"",Raw_FDIC!BK604/Raw_FDIC!BG604*400))</f>
        <v/>
      </c>
    </row>
    <row r="83">
      <c r="A83" s="14">
        <f>IF(_config!$C$103="","",_config!$C$103)</f>
        <v/>
      </c>
      <c r="B83" s="15">
        <f>IF(_config!$B$103="","",_config!$B$103)</f>
        <v/>
      </c>
      <c r="C83" s="16">
        <f>IF(_config!$D$103="","",_config!$D$103)</f>
        <v/>
      </c>
      <c r="D83" s="17">
        <f>IF(OR(Raw_FDIC!AX624="",Raw_FDIC!K624=""),"",IF(Raw_FDIC!K624=0,"",Raw_FDIC!AX624/Raw_FDIC!K624*100))</f>
        <v/>
      </c>
      <c r="E83" s="17">
        <f>IF(OR(Raw_FDIC!AY624="",Raw_FDIC!K624=""),"",IF(Raw_FDIC!K624=0,"",Raw_FDIC!AY624/Raw_FDIC!K624*100))</f>
        <v/>
      </c>
      <c r="F83" s="17">
        <f>IF(OR(Raw_FDIC!AZ624="",Raw_FDIC!K624=""),"",IF(Raw_FDIC!K624=0,"",Raw_FDIC!AZ624/Raw_FDIC!K624*100))</f>
        <v/>
      </c>
      <c r="G83" s="17">
        <f>IF(OR(Raw_FDIC!BH624="",Raw_FDIC!K624=""),"",IF(Raw_FDIC!K624=0,"",Raw_FDIC!BH624/Raw_FDIC!K624*400))</f>
        <v/>
      </c>
      <c r="H83" s="17">
        <f>IF(OR(Raw_FDIC!BA624="",Raw_FDIC!L624=""),"",IF(Raw_FDIC!L624=0,"",Raw_FDIC!BA624/Raw_FDIC!L624*100))</f>
        <v/>
      </c>
      <c r="I83" s="17">
        <f>IF(OR(Raw_FDIC!BB624="",Raw_FDIC!L624=""),"",IF(Raw_FDIC!L624=0,"",Raw_FDIC!BB624/Raw_FDIC!L624*100))</f>
        <v/>
      </c>
      <c r="J83" s="17">
        <f>IF(OR(Raw_FDIC!BC624="",Raw_FDIC!L624=""),"",IF(Raw_FDIC!L624=0,"",Raw_FDIC!BC624/Raw_FDIC!L624*100))</f>
        <v/>
      </c>
      <c r="K83" s="17">
        <f>IF(OR(Raw_FDIC!BI624="",Raw_FDIC!L624=""),"",IF(Raw_FDIC!L624=0,"",Raw_FDIC!BI624/Raw_FDIC!L624*400))</f>
        <v/>
      </c>
      <c r="L83" s="17">
        <f>IF(OR(Raw_FDIC!BD624="",Raw_FDIC!M624=""),"",IF(Raw_FDIC!M624=0,"",Raw_FDIC!BD624/Raw_FDIC!M624*100))</f>
        <v/>
      </c>
      <c r="M83" s="17">
        <f>IF(OR(Raw_FDIC!BE624="",Raw_FDIC!M624=""),"",IF(Raw_FDIC!M624=0,"",Raw_FDIC!BE624/Raw_FDIC!M624*100))</f>
        <v/>
      </c>
      <c r="N83" s="17">
        <f>IF(OR(Raw_FDIC!BF624="",Raw_FDIC!M624=""),"",IF(Raw_FDIC!M624=0,"",Raw_FDIC!BF624/Raw_FDIC!M624*100))</f>
        <v/>
      </c>
      <c r="O83" s="17">
        <f>IF(OR(Raw_FDIC!BJ624="",Raw_FDIC!M624=""),"",IF(Raw_FDIC!M624=0,"",Raw_FDIC!BJ624/Raw_FDIC!M624*400))</f>
        <v/>
      </c>
      <c r="P83" s="17">
        <f>IF(Raw_FDIC!AU624="","",Raw_FDIC!AU624)</f>
        <v/>
      </c>
      <c r="Q83" s="17">
        <f>IF(Raw_FDIC!AV624="","",Raw_FDIC!AV624)</f>
        <v/>
      </c>
      <c r="R83" s="17">
        <f>IF(Raw_FDIC!AW624="","",Raw_FDIC!AW624)</f>
        <v/>
      </c>
      <c r="S83" s="17">
        <f>IF(OR(Raw_FDIC!BK624="",Raw_FDIC!BG624=""),"",IF(Raw_FDIC!BG624=0,"",Raw_FDIC!BK624/Raw_FDIC!BG624*400))</f>
        <v/>
      </c>
    </row>
    <row r="84">
      <c r="A84" s="14">
        <f>IF(_config!$C$104="","",_config!$C$104)</f>
        <v/>
      </c>
      <c r="B84" s="15">
        <f>IF(_config!$B$104="","",_config!$B$104)</f>
        <v/>
      </c>
      <c r="C84" s="16">
        <f>IF(_config!$D$104="","",_config!$D$104)</f>
        <v/>
      </c>
      <c r="D84" s="17">
        <f>IF(OR(Raw_FDIC!AX644="",Raw_FDIC!K644=""),"",IF(Raw_FDIC!K644=0,"",Raw_FDIC!AX644/Raw_FDIC!K644*100))</f>
        <v/>
      </c>
      <c r="E84" s="17">
        <f>IF(OR(Raw_FDIC!AY644="",Raw_FDIC!K644=""),"",IF(Raw_FDIC!K644=0,"",Raw_FDIC!AY644/Raw_FDIC!K644*100))</f>
        <v/>
      </c>
      <c r="F84" s="17">
        <f>IF(OR(Raw_FDIC!AZ644="",Raw_FDIC!K644=""),"",IF(Raw_FDIC!K644=0,"",Raw_FDIC!AZ644/Raw_FDIC!K644*100))</f>
        <v/>
      </c>
      <c r="G84" s="17">
        <f>IF(OR(Raw_FDIC!BH644="",Raw_FDIC!K644=""),"",IF(Raw_FDIC!K644=0,"",Raw_FDIC!BH644/Raw_FDIC!K644*400))</f>
        <v/>
      </c>
      <c r="H84" s="17">
        <f>IF(OR(Raw_FDIC!BA644="",Raw_FDIC!L644=""),"",IF(Raw_FDIC!L644=0,"",Raw_FDIC!BA644/Raw_FDIC!L644*100))</f>
        <v/>
      </c>
      <c r="I84" s="17">
        <f>IF(OR(Raw_FDIC!BB644="",Raw_FDIC!L644=""),"",IF(Raw_FDIC!L644=0,"",Raw_FDIC!BB644/Raw_FDIC!L644*100))</f>
        <v/>
      </c>
      <c r="J84" s="17">
        <f>IF(OR(Raw_FDIC!BC644="",Raw_FDIC!L644=""),"",IF(Raw_FDIC!L644=0,"",Raw_FDIC!BC644/Raw_FDIC!L644*100))</f>
        <v/>
      </c>
      <c r="K84" s="17">
        <f>IF(OR(Raw_FDIC!BI644="",Raw_FDIC!L644=""),"",IF(Raw_FDIC!L644=0,"",Raw_FDIC!BI644/Raw_FDIC!L644*400))</f>
        <v/>
      </c>
      <c r="L84" s="17">
        <f>IF(OR(Raw_FDIC!BD644="",Raw_FDIC!M644=""),"",IF(Raw_FDIC!M644=0,"",Raw_FDIC!BD644/Raw_FDIC!M644*100))</f>
        <v/>
      </c>
      <c r="M84" s="17">
        <f>IF(OR(Raw_FDIC!BE644="",Raw_FDIC!M644=""),"",IF(Raw_FDIC!M644=0,"",Raw_FDIC!BE644/Raw_FDIC!M644*100))</f>
        <v/>
      </c>
      <c r="N84" s="17">
        <f>IF(OR(Raw_FDIC!BF644="",Raw_FDIC!M644=""),"",IF(Raw_FDIC!M644=0,"",Raw_FDIC!BF644/Raw_FDIC!M644*100))</f>
        <v/>
      </c>
      <c r="O84" s="17">
        <f>IF(OR(Raw_FDIC!BJ644="",Raw_FDIC!M644=""),"",IF(Raw_FDIC!M644=0,"",Raw_FDIC!BJ644/Raw_FDIC!M644*400))</f>
        <v/>
      </c>
      <c r="P84" s="17">
        <f>IF(Raw_FDIC!AU644="","",Raw_FDIC!AU644)</f>
        <v/>
      </c>
      <c r="Q84" s="17">
        <f>IF(Raw_FDIC!AV644="","",Raw_FDIC!AV644)</f>
        <v/>
      </c>
      <c r="R84" s="17">
        <f>IF(Raw_FDIC!AW644="","",Raw_FDIC!AW644)</f>
        <v/>
      </c>
      <c r="S84" s="17">
        <f>IF(OR(Raw_FDIC!BK644="",Raw_FDIC!BG644=""),"",IF(Raw_FDIC!BG644=0,"",Raw_FDIC!BK644/Raw_FDIC!BG644*400))</f>
        <v/>
      </c>
    </row>
    <row r="85">
      <c r="A85" s="14">
        <f>IF(_config!$C$105="","",_config!$C$105)</f>
        <v/>
      </c>
      <c r="B85" s="15">
        <f>IF(_config!$B$105="","",_config!$B$105)</f>
        <v/>
      </c>
      <c r="C85" s="16">
        <f>IF(_config!$D$105="","",_config!$D$105)</f>
        <v/>
      </c>
      <c r="D85" s="17">
        <f>IF(OR(Raw_FDIC!AX664="",Raw_FDIC!K664=""),"",IF(Raw_FDIC!K664=0,"",Raw_FDIC!AX664/Raw_FDIC!K664*100))</f>
        <v/>
      </c>
      <c r="E85" s="17">
        <f>IF(OR(Raw_FDIC!AY664="",Raw_FDIC!K664=""),"",IF(Raw_FDIC!K664=0,"",Raw_FDIC!AY664/Raw_FDIC!K664*100))</f>
        <v/>
      </c>
      <c r="F85" s="17">
        <f>IF(OR(Raw_FDIC!AZ664="",Raw_FDIC!K664=""),"",IF(Raw_FDIC!K664=0,"",Raw_FDIC!AZ664/Raw_FDIC!K664*100))</f>
        <v/>
      </c>
      <c r="G85" s="17">
        <f>IF(OR(Raw_FDIC!BH664="",Raw_FDIC!K664=""),"",IF(Raw_FDIC!K664=0,"",Raw_FDIC!BH664/Raw_FDIC!K664*400))</f>
        <v/>
      </c>
      <c r="H85" s="17">
        <f>IF(OR(Raw_FDIC!BA664="",Raw_FDIC!L664=""),"",IF(Raw_FDIC!L664=0,"",Raw_FDIC!BA664/Raw_FDIC!L664*100))</f>
        <v/>
      </c>
      <c r="I85" s="17">
        <f>IF(OR(Raw_FDIC!BB664="",Raw_FDIC!L664=""),"",IF(Raw_FDIC!L664=0,"",Raw_FDIC!BB664/Raw_FDIC!L664*100))</f>
        <v/>
      </c>
      <c r="J85" s="17">
        <f>IF(OR(Raw_FDIC!BC664="",Raw_FDIC!L664=""),"",IF(Raw_FDIC!L664=0,"",Raw_FDIC!BC664/Raw_FDIC!L664*100))</f>
        <v/>
      </c>
      <c r="K85" s="17">
        <f>IF(OR(Raw_FDIC!BI664="",Raw_FDIC!L664=""),"",IF(Raw_FDIC!L664=0,"",Raw_FDIC!BI664/Raw_FDIC!L664*400))</f>
        <v/>
      </c>
      <c r="L85" s="17">
        <f>IF(OR(Raw_FDIC!BD664="",Raw_FDIC!M664=""),"",IF(Raw_FDIC!M664=0,"",Raw_FDIC!BD664/Raw_FDIC!M664*100))</f>
        <v/>
      </c>
      <c r="M85" s="17">
        <f>IF(OR(Raw_FDIC!BE664="",Raw_FDIC!M664=""),"",IF(Raw_FDIC!M664=0,"",Raw_FDIC!BE664/Raw_FDIC!M664*100))</f>
        <v/>
      </c>
      <c r="N85" s="17">
        <f>IF(OR(Raw_FDIC!BF664="",Raw_FDIC!M664=""),"",IF(Raw_FDIC!M664=0,"",Raw_FDIC!BF664/Raw_FDIC!M664*100))</f>
        <v/>
      </c>
      <c r="O85" s="17">
        <f>IF(OR(Raw_FDIC!BJ664="",Raw_FDIC!M664=""),"",IF(Raw_FDIC!M664=0,"",Raw_FDIC!BJ664/Raw_FDIC!M664*400))</f>
        <v/>
      </c>
      <c r="P85" s="17">
        <f>IF(Raw_FDIC!AU664="","",Raw_FDIC!AU664)</f>
        <v/>
      </c>
      <c r="Q85" s="17">
        <f>IF(Raw_FDIC!AV664="","",Raw_FDIC!AV664)</f>
        <v/>
      </c>
      <c r="R85" s="17">
        <f>IF(Raw_FDIC!AW664="","",Raw_FDIC!AW664)</f>
        <v/>
      </c>
      <c r="S85" s="17">
        <f>IF(OR(Raw_FDIC!BK664="",Raw_FDIC!BG664=""),"",IF(Raw_FDIC!BG664=0,"",Raw_FDIC!BK664/Raw_FDIC!BG664*400))</f>
        <v/>
      </c>
    </row>
    <row r="86">
      <c r="A86" s="14">
        <f>IF(_config!$C$106="","",_config!$C$106)</f>
        <v/>
      </c>
      <c r="B86" s="15">
        <f>IF(_config!$B$106="","",_config!$B$106)</f>
        <v/>
      </c>
      <c r="C86" s="16">
        <f>IF(_config!$D$106="","",_config!$D$106)</f>
        <v/>
      </c>
      <c r="D86" s="17">
        <f>IF(OR(Raw_FDIC!AX684="",Raw_FDIC!K684=""),"",IF(Raw_FDIC!K684=0,"",Raw_FDIC!AX684/Raw_FDIC!K684*100))</f>
        <v/>
      </c>
      <c r="E86" s="17">
        <f>IF(OR(Raw_FDIC!AY684="",Raw_FDIC!K684=""),"",IF(Raw_FDIC!K684=0,"",Raw_FDIC!AY684/Raw_FDIC!K684*100))</f>
        <v/>
      </c>
      <c r="F86" s="17">
        <f>IF(OR(Raw_FDIC!AZ684="",Raw_FDIC!K684=""),"",IF(Raw_FDIC!K684=0,"",Raw_FDIC!AZ684/Raw_FDIC!K684*100))</f>
        <v/>
      </c>
      <c r="G86" s="17">
        <f>IF(OR(Raw_FDIC!BH684="",Raw_FDIC!K684=""),"",IF(Raw_FDIC!K684=0,"",Raw_FDIC!BH684/Raw_FDIC!K684*400))</f>
        <v/>
      </c>
      <c r="H86" s="17">
        <f>IF(OR(Raw_FDIC!BA684="",Raw_FDIC!L684=""),"",IF(Raw_FDIC!L684=0,"",Raw_FDIC!BA684/Raw_FDIC!L684*100))</f>
        <v/>
      </c>
      <c r="I86" s="17">
        <f>IF(OR(Raw_FDIC!BB684="",Raw_FDIC!L684=""),"",IF(Raw_FDIC!L684=0,"",Raw_FDIC!BB684/Raw_FDIC!L684*100))</f>
        <v/>
      </c>
      <c r="J86" s="17">
        <f>IF(OR(Raw_FDIC!BC684="",Raw_FDIC!L684=""),"",IF(Raw_FDIC!L684=0,"",Raw_FDIC!BC684/Raw_FDIC!L684*100))</f>
        <v/>
      </c>
      <c r="K86" s="17">
        <f>IF(OR(Raw_FDIC!BI684="",Raw_FDIC!L684=""),"",IF(Raw_FDIC!L684=0,"",Raw_FDIC!BI684/Raw_FDIC!L684*400))</f>
        <v/>
      </c>
      <c r="L86" s="17">
        <f>IF(OR(Raw_FDIC!BD684="",Raw_FDIC!M684=""),"",IF(Raw_FDIC!M684=0,"",Raw_FDIC!BD684/Raw_FDIC!M684*100))</f>
        <v/>
      </c>
      <c r="M86" s="17">
        <f>IF(OR(Raw_FDIC!BE684="",Raw_FDIC!M684=""),"",IF(Raw_FDIC!M684=0,"",Raw_FDIC!BE684/Raw_FDIC!M684*100))</f>
        <v/>
      </c>
      <c r="N86" s="17">
        <f>IF(OR(Raw_FDIC!BF684="",Raw_FDIC!M684=""),"",IF(Raw_FDIC!M684=0,"",Raw_FDIC!BF684/Raw_FDIC!M684*100))</f>
        <v/>
      </c>
      <c r="O86" s="17">
        <f>IF(OR(Raw_FDIC!BJ684="",Raw_FDIC!M684=""),"",IF(Raw_FDIC!M684=0,"",Raw_FDIC!BJ684/Raw_FDIC!M684*400))</f>
        <v/>
      </c>
      <c r="P86" s="17">
        <f>IF(Raw_FDIC!AU684="","",Raw_FDIC!AU684)</f>
        <v/>
      </c>
      <c r="Q86" s="17">
        <f>IF(Raw_FDIC!AV684="","",Raw_FDIC!AV684)</f>
        <v/>
      </c>
      <c r="R86" s="17">
        <f>IF(Raw_FDIC!AW684="","",Raw_FDIC!AW684)</f>
        <v/>
      </c>
      <c r="S86" s="17">
        <f>IF(OR(Raw_FDIC!BK684="",Raw_FDIC!BG684=""),"",IF(Raw_FDIC!BG684=0,"",Raw_FDIC!BK684/Raw_FDIC!BG684*400))</f>
        <v/>
      </c>
    </row>
    <row r="87">
      <c r="A87" s="14">
        <f>IF(_config!$C$107="","",_config!$C$107)</f>
        <v/>
      </c>
      <c r="B87" s="15">
        <f>IF(_config!$B$107="","",_config!$B$107)</f>
        <v/>
      </c>
      <c r="C87" s="16">
        <f>IF(_config!$D$107="","",_config!$D$107)</f>
        <v/>
      </c>
      <c r="D87" s="17">
        <f>IF(OR(Raw_FDIC!AX704="",Raw_FDIC!K704=""),"",IF(Raw_FDIC!K704=0,"",Raw_FDIC!AX704/Raw_FDIC!K704*100))</f>
        <v/>
      </c>
      <c r="E87" s="17">
        <f>IF(OR(Raw_FDIC!AY704="",Raw_FDIC!K704=""),"",IF(Raw_FDIC!K704=0,"",Raw_FDIC!AY704/Raw_FDIC!K704*100))</f>
        <v/>
      </c>
      <c r="F87" s="17">
        <f>IF(OR(Raw_FDIC!AZ704="",Raw_FDIC!K704=""),"",IF(Raw_FDIC!K704=0,"",Raw_FDIC!AZ704/Raw_FDIC!K704*100))</f>
        <v/>
      </c>
      <c r="G87" s="17">
        <f>IF(OR(Raw_FDIC!BH704="",Raw_FDIC!K704=""),"",IF(Raw_FDIC!K704=0,"",Raw_FDIC!BH704/Raw_FDIC!K704*400))</f>
        <v/>
      </c>
      <c r="H87" s="17">
        <f>IF(OR(Raw_FDIC!BA704="",Raw_FDIC!L704=""),"",IF(Raw_FDIC!L704=0,"",Raw_FDIC!BA704/Raw_FDIC!L704*100))</f>
        <v/>
      </c>
      <c r="I87" s="17">
        <f>IF(OR(Raw_FDIC!BB704="",Raw_FDIC!L704=""),"",IF(Raw_FDIC!L704=0,"",Raw_FDIC!BB704/Raw_FDIC!L704*100))</f>
        <v/>
      </c>
      <c r="J87" s="17">
        <f>IF(OR(Raw_FDIC!BC704="",Raw_FDIC!L704=""),"",IF(Raw_FDIC!L704=0,"",Raw_FDIC!BC704/Raw_FDIC!L704*100))</f>
        <v/>
      </c>
      <c r="K87" s="17">
        <f>IF(OR(Raw_FDIC!BI704="",Raw_FDIC!L704=""),"",IF(Raw_FDIC!L704=0,"",Raw_FDIC!BI704/Raw_FDIC!L704*400))</f>
        <v/>
      </c>
      <c r="L87" s="17">
        <f>IF(OR(Raw_FDIC!BD704="",Raw_FDIC!M704=""),"",IF(Raw_FDIC!M704=0,"",Raw_FDIC!BD704/Raw_FDIC!M704*100))</f>
        <v/>
      </c>
      <c r="M87" s="17">
        <f>IF(OR(Raw_FDIC!BE704="",Raw_FDIC!M704=""),"",IF(Raw_FDIC!M704=0,"",Raw_FDIC!BE704/Raw_FDIC!M704*100))</f>
        <v/>
      </c>
      <c r="N87" s="17">
        <f>IF(OR(Raw_FDIC!BF704="",Raw_FDIC!M704=""),"",IF(Raw_FDIC!M704=0,"",Raw_FDIC!BF704/Raw_FDIC!M704*100))</f>
        <v/>
      </c>
      <c r="O87" s="17">
        <f>IF(OR(Raw_FDIC!BJ704="",Raw_FDIC!M704=""),"",IF(Raw_FDIC!M704=0,"",Raw_FDIC!BJ704/Raw_FDIC!M704*400))</f>
        <v/>
      </c>
      <c r="P87" s="17">
        <f>IF(Raw_FDIC!AU704="","",Raw_FDIC!AU704)</f>
        <v/>
      </c>
      <c r="Q87" s="17">
        <f>IF(Raw_FDIC!AV704="","",Raw_FDIC!AV704)</f>
        <v/>
      </c>
      <c r="R87" s="17">
        <f>IF(Raw_FDIC!AW704="","",Raw_FDIC!AW704)</f>
        <v/>
      </c>
      <c r="S87" s="17">
        <f>IF(OR(Raw_FDIC!BK704="",Raw_FDIC!BG704=""),"",IF(Raw_FDIC!BG704=0,"",Raw_FDIC!BK704/Raw_FDIC!BG704*400))</f>
        <v/>
      </c>
    </row>
    <row r="88">
      <c r="A88" s="14">
        <f>IF(_config!$C$108="","",_config!$C$108)</f>
        <v/>
      </c>
      <c r="B88" s="15">
        <f>IF(_config!$B$108="","",_config!$B$108)</f>
        <v/>
      </c>
      <c r="C88" s="16">
        <f>IF(_config!$D$108="","",_config!$D$108)</f>
        <v/>
      </c>
      <c r="D88" s="17">
        <f>IF(OR(Raw_FDIC!AX724="",Raw_FDIC!K724=""),"",IF(Raw_FDIC!K724=0,"",Raw_FDIC!AX724/Raw_FDIC!K724*100))</f>
        <v/>
      </c>
      <c r="E88" s="17">
        <f>IF(OR(Raw_FDIC!AY724="",Raw_FDIC!K724=""),"",IF(Raw_FDIC!K724=0,"",Raw_FDIC!AY724/Raw_FDIC!K724*100))</f>
        <v/>
      </c>
      <c r="F88" s="17">
        <f>IF(OR(Raw_FDIC!AZ724="",Raw_FDIC!K724=""),"",IF(Raw_FDIC!K724=0,"",Raw_FDIC!AZ724/Raw_FDIC!K724*100))</f>
        <v/>
      </c>
      <c r="G88" s="17">
        <f>IF(OR(Raw_FDIC!BH724="",Raw_FDIC!K724=""),"",IF(Raw_FDIC!K724=0,"",Raw_FDIC!BH724/Raw_FDIC!K724*400))</f>
        <v/>
      </c>
      <c r="H88" s="17">
        <f>IF(OR(Raw_FDIC!BA724="",Raw_FDIC!L724=""),"",IF(Raw_FDIC!L724=0,"",Raw_FDIC!BA724/Raw_FDIC!L724*100))</f>
        <v/>
      </c>
      <c r="I88" s="17">
        <f>IF(OR(Raw_FDIC!BB724="",Raw_FDIC!L724=""),"",IF(Raw_FDIC!L724=0,"",Raw_FDIC!BB724/Raw_FDIC!L724*100))</f>
        <v/>
      </c>
      <c r="J88" s="17">
        <f>IF(OR(Raw_FDIC!BC724="",Raw_FDIC!L724=""),"",IF(Raw_FDIC!L724=0,"",Raw_FDIC!BC724/Raw_FDIC!L724*100))</f>
        <v/>
      </c>
      <c r="K88" s="17">
        <f>IF(OR(Raw_FDIC!BI724="",Raw_FDIC!L724=""),"",IF(Raw_FDIC!L724=0,"",Raw_FDIC!BI724/Raw_FDIC!L724*400))</f>
        <v/>
      </c>
      <c r="L88" s="17">
        <f>IF(OR(Raw_FDIC!BD724="",Raw_FDIC!M724=""),"",IF(Raw_FDIC!M724=0,"",Raw_FDIC!BD724/Raw_FDIC!M724*100))</f>
        <v/>
      </c>
      <c r="M88" s="17">
        <f>IF(OR(Raw_FDIC!BE724="",Raw_FDIC!M724=""),"",IF(Raw_FDIC!M724=0,"",Raw_FDIC!BE724/Raw_FDIC!M724*100))</f>
        <v/>
      </c>
      <c r="N88" s="17">
        <f>IF(OR(Raw_FDIC!BF724="",Raw_FDIC!M724=""),"",IF(Raw_FDIC!M724=0,"",Raw_FDIC!BF724/Raw_FDIC!M724*100))</f>
        <v/>
      </c>
      <c r="O88" s="17">
        <f>IF(OR(Raw_FDIC!BJ724="",Raw_FDIC!M724=""),"",IF(Raw_FDIC!M724=0,"",Raw_FDIC!BJ724/Raw_FDIC!M724*400))</f>
        <v/>
      </c>
      <c r="P88" s="17">
        <f>IF(Raw_FDIC!AU724="","",Raw_FDIC!AU724)</f>
        <v/>
      </c>
      <c r="Q88" s="17">
        <f>IF(Raw_FDIC!AV724="","",Raw_FDIC!AV724)</f>
        <v/>
      </c>
      <c r="R88" s="17">
        <f>IF(Raw_FDIC!AW724="","",Raw_FDIC!AW724)</f>
        <v/>
      </c>
      <c r="S88" s="17">
        <f>IF(OR(Raw_FDIC!BK724="",Raw_FDIC!BG724=""),"",IF(Raw_FDIC!BG724=0,"",Raw_FDIC!BK724/Raw_FDIC!BG724*400))</f>
        <v/>
      </c>
    </row>
    <row r="89">
      <c r="A89" s="14">
        <f>IF(_config!$C$109="","",_config!$C$109)</f>
        <v/>
      </c>
      <c r="B89" s="15">
        <f>IF(_config!$B$109="","",_config!$B$109)</f>
        <v/>
      </c>
      <c r="C89" s="16">
        <f>IF(_config!$D$109="","",_config!$D$109)</f>
        <v/>
      </c>
      <c r="D89" s="17">
        <f>IF(OR(Raw_FDIC!AX744="",Raw_FDIC!K744=""),"",IF(Raw_FDIC!K744=0,"",Raw_FDIC!AX744/Raw_FDIC!K744*100))</f>
        <v/>
      </c>
      <c r="E89" s="17">
        <f>IF(OR(Raw_FDIC!AY744="",Raw_FDIC!K744=""),"",IF(Raw_FDIC!K744=0,"",Raw_FDIC!AY744/Raw_FDIC!K744*100))</f>
        <v/>
      </c>
      <c r="F89" s="17">
        <f>IF(OR(Raw_FDIC!AZ744="",Raw_FDIC!K744=""),"",IF(Raw_FDIC!K744=0,"",Raw_FDIC!AZ744/Raw_FDIC!K744*100))</f>
        <v/>
      </c>
      <c r="G89" s="17">
        <f>IF(OR(Raw_FDIC!BH744="",Raw_FDIC!K744=""),"",IF(Raw_FDIC!K744=0,"",Raw_FDIC!BH744/Raw_FDIC!K744*400))</f>
        <v/>
      </c>
      <c r="H89" s="17">
        <f>IF(OR(Raw_FDIC!BA744="",Raw_FDIC!L744=""),"",IF(Raw_FDIC!L744=0,"",Raw_FDIC!BA744/Raw_FDIC!L744*100))</f>
        <v/>
      </c>
      <c r="I89" s="17">
        <f>IF(OR(Raw_FDIC!BB744="",Raw_FDIC!L744=""),"",IF(Raw_FDIC!L744=0,"",Raw_FDIC!BB744/Raw_FDIC!L744*100))</f>
        <v/>
      </c>
      <c r="J89" s="17">
        <f>IF(OR(Raw_FDIC!BC744="",Raw_FDIC!L744=""),"",IF(Raw_FDIC!L744=0,"",Raw_FDIC!BC744/Raw_FDIC!L744*100))</f>
        <v/>
      </c>
      <c r="K89" s="17">
        <f>IF(OR(Raw_FDIC!BI744="",Raw_FDIC!L744=""),"",IF(Raw_FDIC!L744=0,"",Raw_FDIC!BI744/Raw_FDIC!L744*400))</f>
        <v/>
      </c>
      <c r="L89" s="17">
        <f>IF(OR(Raw_FDIC!BD744="",Raw_FDIC!M744=""),"",IF(Raw_FDIC!M744=0,"",Raw_FDIC!BD744/Raw_FDIC!M744*100))</f>
        <v/>
      </c>
      <c r="M89" s="17">
        <f>IF(OR(Raw_FDIC!BE744="",Raw_FDIC!M744=""),"",IF(Raw_FDIC!M744=0,"",Raw_FDIC!BE744/Raw_FDIC!M744*100))</f>
        <v/>
      </c>
      <c r="N89" s="17">
        <f>IF(OR(Raw_FDIC!BF744="",Raw_FDIC!M744=""),"",IF(Raw_FDIC!M744=0,"",Raw_FDIC!BF744/Raw_FDIC!M744*100))</f>
        <v/>
      </c>
      <c r="O89" s="17">
        <f>IF(OR(Raw_FDIC!BJ744="",Raw_FDIC!M744=""),"",IF(Raw_FDIC!M744=0,"",Raw_FDIC!BJ744/Raw_FDIC!M744*400))</f>
        <v/>
      </c>
      <c r="P89" s="17">
        <f>IF(Raw_FDIC!AU744="","",Raw_FDIC!AU744)</f>
        <v/>
      </c>
      <c r="Q89" s="17">
        <f>IF(Raw_FDIC!AV744="","",Raw_FDIC!AV744)</f>
        <v/>
      </c>
      <c r="R89" s="17">
        <f>IF(Raw_FDIC!AW744="","",Raw_FDIC!AW744)</f>
        <v/>
      </c>
      <c r="S89" s="17">
        <f>IF(OR(Raw_FDIC!BK744="",Raw_FDIC!BG744=""),"",IF(Raw_FDIC!BG744=0,"",Raw_FDIC!BK744/Raw_FDIC!BG744*400))</f>
        <v/>
      </c>
    </row>
    <row r="90">
      <c r="A90" s="14">
        <f>IF(_config!$C$110="","",_config!$C$110)</f>
        <v/>
      </c>
      <c r="B90" s="15">
        <f>IF(_config!$B$110="","",_config!$B$110)</f>
        <v/>
      </c>
      <c r="C90" s="16">
        <f>IF(_config!$D$110="","",_config!$D$110)</f>
        <v/>
      </c>
      <c r="D90" s="17">
        <f>IF(OR(Raw_FDIC!AX764="",Raw_FDIC!K764=""),"",IF(Raw_FDIC!K764=0,"",Raw_FDIC!AX764/Raw_FDIC!K764*100))</f>
        <v/>
      </c>
      <c r="E90" s="17">
        <f>IF(OR(Raw_FDIC!AY764="",Raw_FDIC!K764=""),"",IF(Raw_FDIC!K764=0,"",Raw_FDIC!AY764/Raw_FDIC!K764*100))</f>
        <v/>
      </c>
      <c r="F90" s="17">
        <f>IF(OR(Raw_FDIC!AZ764="",Raw_FDIC!K764=""),"",IF(Raw_FDIC!K764=0,"",Raw_FDIC!AZ764/Raw_FDIC!K764*100))</f>
        <v/>
      </c>
      <c r="G90" s="17">
        <f>IF(OR(Raw_FDIC!BH764="",Raw_FDIC!K764=""),"",IF(Raw_FDIC!K764=0,"",Raw_FDIC!BH764/Raw_FDIC!K764*400))</f>
        <v/>
      </c>
      <c r="H90" s="17">
        <f>IF(OR(Raw_FDIC!BA764="",Raw_FDIC!L764=""),"",IF(Raw_FDIC!L764=0,"",Raw_FDIC!BA764/Raw_FDIC!L764*100))</f>
        <v/>
      </c>
      <c r="I90" s="17">
        <f>IF(OR(Raw_FDIC!BB764="",Raw_FDIC!L764=""),"",IF(Raw_FDIC!L764=0,"",Raw_FDIC!BB764/Raw_FDIC!L764*100))</f>
        <v/>
      </c>
      <c r="J90" s="17">
        <f>IF(OR(Raw_FDIC!BC764="",Raw_FDIC!L764=""),"",IF(Raw_FDIC!L764=0,"",Raw_FDIC!BC764/Raw_FDIC!L764*100))</f>
        <v/>
      </c>
      <c r="K90" s="17">
        <f>IF(OR(Raw_FDIC!BI764="",Raw_FDIC!L764=""),"",IF(Raw_FDIC!L764=0,"",Raw_FDIC!BI764/Raw_FDIC!L764*400))</f>
        <v/>
      </c>
      <c r="L90" s="17">
        <f>IF(OR(Raw_FDIC!BD764="",Raw_FDIC!M764=""),"",IF(Raw_FDIC!M764=0,"",Raw_FDIC!BD764/Raw_FDIC!M764*100))</f>
        <v/>
      </c>
      <c r="M90" s="17">
        <f>IF(OR(Raw_FDIC!BE764="",Raw_FDIC!M764=""),"",IF(Raw_FDIC!M764=0,"",Raw_FDIC!BE764/Raw_FDIC!M764*100))</f>
        <v/>
      </c>
      <c r="N90" s="17">
        <f>IF(OR(Raw_FDIC!BF764="",Raw_FDIC!M764=""),"",IF(Raw_FDIC!M764=0,"",Raw_FDIC!BF764/Raw_FDIC!M764*100))</f>
        <v/>
      </c>
      <c r="O90" s="17">
        <f>IF(OR(Raw_FDIC!BJ764="",Raw_FDIC!M764=""),"",IF(Raw_FDIC!M764=0,"",Raw_FDIC!BJ764/Raw_FDIC!M764*400))</f>
        <v/>
      </c>
      <c r="P90" s="17">
        <f>IF(Raw_FDIC!AU764="","",Raw_FDIC!AU764)</f>
        <v/>
      </c>
      <c r="Q90" s="17">
        <f>IF(Raw_FDIC!AV764="","",Raw_FDIC!AV764)</f>
        <v/>
      </c>
      <c r="R90" s="17">
        <f>IF(Raw_FDIC!AW764="","",Raw_FDIC!AW764)</f>
        <v/>
      </c>
      <c r="S90" s="17">
        <f>IF(OR(Raw_FDIC!BK764="",Raw_FDIC!BG764=""),"",IF(Raw_FDIC!BG764=0,"",Raw_FDIC!BK764/Raw_FDIC!BG764*400))</f>
        <v/>
      </c>
    </row>
    <row r="91">
      <c r="A91" s="14">
        <f>IF(_config!$C$111="","",_config!$C$111)</f>
        <v/>
      </c>
      <c r="B91" s="15">
        <f>IF(_config!$B$111="","",_config!$B$111)</f>
        <v/>
      </c>
      <c r="C91" s="16">
        <f>IF(_config!$D$111="","",_config!$D$111)</f>
        <v/>
      </c>
      <c r="D91" s="17">
        <f>IF(OR(Raw_FDIC!AX784="",Raw_FDIC!K784=""),"",IF(Raw_FDIC!K784=0,"",Raw_FDIC!AX784/Raw_FDIC!K784*100))</f>
        <v/>
      </c>
      <c r="E91" s="17">
        <f>IF(OR(Raw_FDIC!AY784="",Raw_FDIC!K784=""),"",IF(Raw_FDIC!K784=0,"",Raw_FDIC!AY784/Raw_FDIC!K784*100))</f>
        <v/>
      </c>
      <c r="F91" s="17">
        <f>IF(OR(Raw_FDIC!AZ784="",Raw_FDIC!K784=""),"",IF(Raw_FDIC!K784=0,"",Raw_FDIC!AZ784/Raw_FDIC!K784*100))</f>
        <v/>
      </c>
      <c r="G91" s="17">
        <f>IF(OR(Raw_FDIC!BH784="",Raw_FDIC!K784=""),"",IF(Raw_FDIC!K784=0,"",Raw_FDIC!BH784/Raw_FDIC!K784*400))</f>
        <v/>
      </c>
      <c r="H91" s="17">
        <f>IF(OR(Raw_FDIC!BA784="",Raw_FDIC!L784=""),"",IF(Raw_FDIC!L784=0,"",Raw_FDIC!BA784/Raw_FDIC!L784*100))</f>
        <v/>
      </c>
      <c r="I91" s="17">
        <f>IF(OR(Raw_FDIC!BB784="",Raw_FDIC!L784=""),"",IF(Raw_FDIC!L784=0,"",Raw_FDIC!BB784/Raw_FDIC!L784*100))</f>
        <v/>
      </c>
      <c r="J91" s="17">
        <f>IF(OR(Raw_FDIC!BC784="",Raw_FDIC!L784=""),"",IF(Raw_FDIC!L784=0,"",Raw_FDIC!BC784/Raw_FDIC!L784*100))</f>
        <v/>
      </c>
      <c r="K91" s="17">
        <f>IF(OR(Raw_FDIC!BI784="",Raw_FDIC!L784=""),"",IF(Raw_FDIC!L784=0,"",Raw_FDIC!BI784/Raw_FDIC!L784*400))</f>
        <v/>
      </c>
      <c r="L91" s="17">
        <f>IF(OR(Raw_FDIC!BD784="",Raw_FDIC!M784=""),"",IF(Raw_FDIC!M784=0,"",Raw_FDIC!BD784/Raw_FDIC!M784*100))</f>
        <v/>
      </c>
      <c r="M91" s="17">
        <f>IF(OR(Raw_FDIC!BE784="",Raw_FDIC!M784=""),"",IF(Raw_FDIC!M784=0,"",Raw_FDIC!BE784/Raw_FDIC!M784*100))</f>
        <v/>
      </c>
      <c r="N91" s="17">
        <f>IF(OR(Raw_FDIC!BF784="",Raw_FDIC!M784=""),"",IF(Raw_FDIC!M784=0,"",Raw_FDIC!BF784/Raw_FDIC!M784*100))</f>
        <v/>
      </c>
      <c r="O91" s="17">
        <f>IF(OR(Raw_FDIC!BJ784="",Raw_FDIC!M784=""),"",IF(Raw_FDIC!M784=0,"",Raw_FDIC!BJ784/Raw_FDIC!M784*400))</f>
        <v/>
      </c>
      <c r="P91" s="17">
        <f>IF(Raw_FDIC!AU784="","",Raw_FDIC!AU784)</f>
        <v/>
      </c>
      <c r="Q91" s="17">
        <f>IF(Raw_FDIC!AV784="","",Raw_FDIC!AV784)</f>
        <v/>
      </c>
      <c r="R91" s="17">
        <f>IF(Raw_FDIC!AW784="","",Raw_FDIC!AW784)</f>
        <v/>
      </c>
      <c r="S91" s="17">
        <f>IF(OR(Raw_FDIC!BK784="",Raw_FDIC!BG784=""),"",IF(Raw_FDIC!BG784=0,"",Raw_FDIC!BK784/Raw_FDIC!BG784*400))</f>
        <v/>
      </c>
    </row>
    <row r="92">
      <c r="A92" s="18" t="inlineStr">
        <is>
          <t>PEER MEDIAN (landed banks; includes stale -- see _readme)</t>
        </is>
      </c>
      <c r="D92" s="19">
        <f>IF(COUNT(D52:D91)=0,"",MEDIAN(D52:D91))</f>
        <v/>
      </c>
      <c r="E92" s="19">
        <f>IF(COUNT(E52:E91)=0,"",MEDIAN(E52:E91))</f>
        <v/>
      </c>
      <c r="F92" s="19">
        <f>IF(COUNT(F52:F91)=0,"",MEDIAN(F52:F91))</f>
        <v/>
      </c>
      <c r="G92" s="19">
        <f>IF(COUNT(G52:G91)=0,"",MEDIAN(G52:G91))</f>
        <v/>
      </c>
      <c r="H92" s="19">
        <f>IF(COUNT(H52:H91)=0,"",MEDIAN(H52:H91))</f>
        <v/>
      </c>
      <c r="I92" s="19">
        <f>IF(COUNT(I52:I91)=0,"",MEDIAN(I52:I91))</f>
        <v/>
      </c>
      <c r="J92" s="19">
        <f>IF(COUNT(J52:J91)=0,"",MEDIAN(J52:J91))</f>
        <v/>
      </c>
      <c r="K92" s="19">
        <f>IF(COUNT(K52:K91)=0,"",MEDIAN(K52:K91))</f>
        <v/>
      </c>
      <c r="L92" s="19">
        <f>IF(COUNT(L52:L91)=0,"",MEDIAN(L52:L91))</f>
        <v/>
      </c>
      <c r="M92" s="19">
        <f>IF(COUNT(M52:M91)=0,"",MEDIAN(M52:M91))</f>
        <v/>
      </c>
      <c r="N92" s="19">
        <f>IF(COUNT(N52:N91)=0,"",MEDIAN(N52:N91))</f>
        <v/>
      </c>
      <c r="O92" s="19">
        <f>IF(COUNT(O52:O91)=0,"",MEDIAN(O52:O91))</f>
        <v/>
      </c>
      <c r="P92" s="19">
        <f>IF(COUNT(P52:P91)=0,"",MEDIAN(P52:P91))</f>
        <v/>
      </c>
      <c r="Q92" s="19">
        <f>IF(COUNT(Q52:Q91)=0,"",MEDIAN(Q52:Q91))</f>
        <v/>
      </c>
      <c r="R92" s="19">
        <f>IF(COUNT(R52:R91)=0,"",MEDIAN(R52:R91))</f>
        <v/>
      </c>
      <c r="S92" s="19">
        <f>IF(COUNT(S52:S91)=0,"",MEDIAN(S52:S91))</f>
        <v/>
      </c>
    </row>
  </sheetData>
  <mergeCells count="13">
    <mergeCell ref="A2:V2"/>
    <mergeCell ref="D5:F5"/>
    <mergeCell ref="A5:C5"/>
    <mergeCell ref="G5:I5"/>
    <mergeCell ref="A1:V1"/>
    <mergeCell ref="D4:F4"/>
    <mergeCell ref="A6:V6"/>
    <mergeCell ref="D3:F3"/>
    <mergeCell ref="A3:C3"/>
    <mergeCell ref="G3:I3"/>
    <mergeCell ref="G4:I4"/>
    <mergeCell ref="A50:S50"/>
    <mergeCell ref="A4:C4"/>
  </mergeCells>
  <conditionalFormatting sqref="D8:D47">
    <cfRule type="expression" priority="1" dxfId="0" stopIfTrue="1">
      <formula>AND(ISNUMBER(D8),D8&gt;=_config!$C$31)</formula>
    </cfRule>
    <cfRule type="expression" priority="2" dxfId="1" stopIfTrue="1">
      <formula>AND(ISNUMBER(D8),D8&gt;=_config!$B$31)</formula>
    </cfRule>
    <cfRule type="colorScale" priority="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E8:E47">
    <cfRule type="expression" priority="4" dxfId="0" stopIfTrue="1">
      <formula>AND(ISNUMBER(E8),E8&gt;=_config!$C$32)</formula>
    </cfRule>
    <cfRule type="expression" priority="5" dxfId="1" stopIfTrue="1">
      <formula>AND(ISNUMBER(E8),E8&gt;=_config!$B$32)</formula>
    </cfRule>
    <cfRule type="colorScale" priority="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F8:F47">
    <cfRule type="expression" priority="7" dxfId="0" stopIfTrue="1">
      <formula>AND(ISNUMBER(F8),F8&gt;=_config!$C$33)</formula>
    </cfRule>
    <cfRule type="expression" priority="8" dxfId="1" stopIfTrue="1">
      <formula>AND(ISNUMBER(F8),F8&gt;=_config!$B$33)</formula>
    </cfRule>
    <cfRule type="colorScale" priority="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G8:G47">
    <cfRule type="expression" priority="10" dxfId="0" stopIfTrue="1">
      <formula>AND(ISNUMBER(G8),G8&gt;=_config!$C$34)</formula>
    </cfRule>
    <cfRule type="expression" priority="11" dxfId="1" stopIfTrue="1">
      <formula>AND(ISNUMBER(G8),G8&gt;=_config!$B$34)</formula>
    </cfRule>
    <cfRule type="colorScale" priority="1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H8:H47">
    <cfRule type="expression" priority="13" dxfId="0" stopIfTrue="1">
      <formula>AND(ISNUMBER(H8),H8&gt;=_config!$C$35)</formula>
    </cfRule>
    <cfRule type="expression" priority="14" dxfId="1" stopIfTrue="1">
      <formula>AND(ISNUMBER(H8),H8&gt;=_config!$B$35)</formula>
    </cfRule>
    <cfRule type="colorScale" priority="15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I8:I47">
    <cfRule type="expression" priority="16" dxfId="0" stopIfTrue="1">
      <formula>AND(ISNUMBER(I8),I8&gt;=_config!$C$36)</formula>
    </cfRule>
    <cfRule type="expression" priority="17" dxfId="1" stopIfTrue="1">
      <formula>AND(ISNUMBER(I8),I8&gt;=_config!$B$36)</formula>
    </cfRule>
    <cfRule type="colorScale" priority="1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J8:J47">
    <cfRule type="expression" priority="19" dxfId="0" stopIfTrue="1">
      <formula>AND(ISNUMBER(J8),J8&gt;=_config!$C$37)</formula>
    </cfRule>
    <cfRule type="expression" priority="20" dxfId="1" stopIfTrue="1">
      <formula>AND(ISNUMBER(J8),J8&gt;=_config!$B$37)</formula>
    </cfRule>
    <cfRule type="colorScale" priority="21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K8:K47">
    <cfRule type="expression" priority="22" dxfId="0" stopIfTrue="1">
      <formula>AND(ISNUMBER(K8),K8&gt;=_config!$C$38)</formula>
    </cfRule>
    <cfRule type="expression" priority="23" dxfId="1" stopIfTrue="1">
      <formula>AND(ISNUMBER(K8),K8&gt;=_config!$B$38)</formula>
    </cfRule>
    <cfRule type="colorScale" priority="24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L8:L47">
    <cfRule type="expression" priority="25" dxfId="0" stopIfTrue="1">
      <formula>AND(ISNUMBER(L8),L8&gt;=_config!$C$39)</formula>
    </cfRule>
    <cfRule type="expression" priority="26" dxfId="1" stopIfTrue="1">
      <formula>AND(ISNUMBER(L8),L8&gt;=_config!$B$39)</formula>
    </cfRule>
    <cfRule type="colorScale" priority="27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M8:M47">
    <cfRule type="expression" priority="28" dxfId="0" stopIfTrue="1">
      <formula>AND(ISNUMBER(M8),M8&gt;=_config!$C$40)</formula>
    </cfRule>
    <cfRule type="expression" priority="29" dxfId="1" stopIfTrue="1">
      <formula>AND(ISNUMBER(M8),M8&gt;=_config!$B$40)</formula>
    </cfRule>
    <cfRule type="colorScale" priority="30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N8:N47">
    <cfRule type="expression" priority="31" dxfId="0" stopIfTrue="1">
      <formula>AND(ISNUMBER(N8),N8&gt;=_config!$C$41)</formula>
    </cfRule>
    <cfRule type="expression" priority="32" dxfId="1" stopIfTrue="1">
      <formula>AND(ISNUMBER(N8),N8&gt;=_config!$B$41)</formula>
    </cfRule>
    <cfRule type="colorScale" priority="3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O8:O47">
    <cfRule type="expression" priority="34" dxfId="0" stopIfTrue="1">
      <formula>AND(ISNUMBER(O8),O8&gt;=_config!$C$42)</formula>
    </cfRule>
    <cfRule type="expression" priority="35" dxfId="1" stopIfTrue="1">
      <formula>AND(ISNUMBER(O8),O8&gt;=_config!$B$42)</formula>
    </cfRule>
    <cfRule type="colorScale" priority="3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P8:P47">
    <cfRule type="expression" priority="37" dxfId="0" stopIfTrue="1">
      <formula>AND(ISNUMBER(P8),P8&gt;=_config!$C$43)</formula>
    </cfRule>
    <cfRule type="expression" priority="38" dxfId="1" stopIfTrue="1">
      <formula>AND(ISNUMBER(P8),P8&gt;=_config!$B$43)</formula>
    </cfRule>
    <cfRule type="colorScale" priority="3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Q8:Q47">
    <cfRule type="expression" priority="40" dxfId="0" stopIfTrue="1">
      <formula>AND(ISNUMBER(Q8),Q8&gt;=_config!$C$44)</formula>
    </cfRule>
    <cfRule type="expression" priority="41" dxfId="1" stopIfTrue="1">
      <formula>AND(ISNUMBER(Q8),Q8&gt;=_config!$B$44)</formula>
    </cfRule>
    <cfRule type="colorScale" priority="4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R8:R47">
    <cfRule type="expression" priority="43" dxfId="0" stopIfTrue="1">
      <formula>AND(ISNUMBER(R8),R8&gt;=_config!$C$45)</formula>
    </cfRule>
    <cfRule type="expression" priority="44" dxfId="1" stopIfTrue="1">
      <formula>AND(ISNUMBER(R8),R8&gt;=_config!$B$45)</formula>
    </cfRule>
    <cfRule type="colorScale" priority="45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S8:S47">
    <cfRule type="expression" priority="46" dxfId="0" stopIfTrue="1">
      <formula>AND(ISNUMBER(S8),S8&gt;=_config!$C$46)</formula>
    </cfRule>
    <cfRule type="expression" priority="47" dxfId="1" stopIfTrue="1">
      <formula>AND(ISNUMBER(S8),S8&gt;=_config!$B$46)</formula>
    </cfRule>
    <cfRule type="colorScale" priority="4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T8:T47">
    <cfRule type="expression" priority="49" dxfId="0" stopIfTrue="1">
      <formula>AND(ISNUMBER(T8),T8&gt;=_config!$C$47)</formula>
    </cfRule>
    <cfRule type="expression" priority="50" dxfId="1" stopIfTrue="1">
      <formula>AND(ISNUMBER(T8),T8&gt;=_config!$B$47)</formula>
    </cfRule>
    <cfRule type="colorScale" priority="51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U8:U47">
    <cfRule type="expression" priority="52" dxfId="0" stopIfTrue="1">
      <formula>AND(ISNUMBER(U8),U8&gt;=_config!$C$48)</formula>
    </cfRule>
    <cfRule type="expression" priority="53" dxfId="1" stopIfTrue="1">
      <formula>AND(ISNUMBER(U8),U8&gt;=_config!$B$48)</formula>
    </cfRule>
    <cfRule type="colorScale" priority="54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V8:V47">
    <cfRule type="expression" priority="55" dxfId="0" stopIfTrue="1">
      <formula>AND(ISNUMBER(V8),V8&gt;=_config!$C$49)</formula>
    </cfRule>
    <cfRule type="expression" priority="56" dxfId="1" stopIfTrue="1">
      <formula>AND(ISNUMBER(V8),V8&gt;=_config!$B$49)</formula>
    </cfRule>
    <cfRule type="colorScale" priority="57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D52:D91">
    <cfRule type="expression" priority="58" dxfId="0" stopIfTrue="1">
      <formula>AND(ISNUMBER(D52),D52&gt;=_config!$C$50)</formula>
    </cfRule>
    <cfRule type="expression" priority="59" dxfId="1" stopIfTrue="1">
      <formula>AND(ISNUMBER(D52),D52&gt;=_config!$B$50)</formula>
    </cfRule>
    <cfRule type="colorScale" priority="60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E52:E91">
    <cfRule type="expression" priority="61" dxfId="0" stopIfTrue="1">
      <formula>AND(ISNUMBER(E52),E52&gt;=_config!$C$51)</formula>
    </cfRule>
    <cfRule type="expression" priority="62" dxfId="1" stopIfTrue="1">
      <formula>AND(ISNUMBER(E52),E52&gt;=_config!$B$51)</formula>
    </cfRule>
    <cfRule type="colorScale" priority="6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F52:F91">
    <cfRule type="expression" priority="64" dxfId="0" stopIfTrue="1">
      <formula>AND(ISNUMBER(F52),F52&gt;=_config!$C$52)</formula>
    </cfRule>
    <cfRule type="expression" priority="65" dxfId="1" stopIfTrue="1">
      <formula>AND(ISNUMBER(F52),F52&gt;=_config!$B$52)</formula>
    </cfRule>
    <cfRule type="colorScale" priority="6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G52:G91">
    <cfRule type="expression" priority="67" dxfId="0" stopIfTrue="1">
      <formula>AND(ISNUMBER(G52),G52&gt;=_config!$C$53)</formula>
    </cfRule>
    <cfRule type="expression" priority="68" dxfId="1" stopIfTrue="1">
      <formula>AND(ISNUMBER(G52),G52&gt;=_config!$B$53)</formula>
    </cfRule>
    <cfRule type="colorScale" priority="6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H52:H91">
    <cfRule type="expression" priority="70" dxfId="0" stopIfTrue="1">
      <formula>AND(ISNUMBER(H52),H52&gt;=_config!$C$54)</formula>
    </cfRule>
    <cfRule type="expression" priority="71" dxfId="1" stopIfTrue="1">
      <formula>AND(ISNUMBER(H52),H52&gt;=_config!$B$54)</formula>
    </cfRule>
    <cfRule type="colorScale" priority="7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I52:I91">
    <cfRule type="expression" priority="73" dxfId="0" stopIfTrue="1">
      <formula>AND(ISNUMBER(I52),I52&gt;=_config!$C$55)</formula>
    </cfRule>
    <cfRule type="expression" priority="74" dxfId="1" stopIfTrue="1">
      <formula>AND(ISNUMBER(I52),I52&gt;=_config!$B$55)</formula>
    </cfRule>
    <cfRule type="colorScale" priority="75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J52:J91">
    <cfRule type="expression" priority="76" dxfId="0" stopIfTrue="1">
      <formula>AND(ISNUMBER(J52),J52&gt;=_config!$C$56)</formula>
    </cfRule>
    <cfRule type="expression" priority="77" dxfId="1" stopIfTrue="1">
      <formula>AND(ISNUMBER(J52),J52&gt;=_config!$B$56)</formula>
    </cfRule>
    <cfRule type="colorScale" priority="78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K52:K91">
    <cfRule type="expression" priority="79" dxfId="0" stopIfTrue="1">
      <formula>AND(ISNUMBER(K52),K52&gt;=_config!$C$57)</formula>
    </cfRule>
    <cfRule type="expression" priority="80" dxfId="1" stopIfTrue="1">
      <formula>AND(ISNUMBER(K52),K52&gt;=_config!$B$57)</formula>
    </cfRule>
    <cfRule type="colorScale" priority="81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L52:L91">
    <cfRule type="expression" priority="82" dxfId="0" stopIfTrue="1">
      <formula>AND(ISNUMBER(L52),L52&gt;=_config!$C$58)</formula>
    </cfRule>
    <cfRule type="expression" priority="83" dxfId="1" stopIfTrue="1">
      <formula>AND(ISNUMBER(L52),L52&gt;=_config!$B$58)</formula>
    </cfRule>
    <cfRule type="colorScale" priority="84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M52:M91">
    <cfRule type="expression" priority="85" dxfId="0" stopIfTrue="1">
      <formula>AND(ISNUMBER(M52),M52&gt;=_config!$C$59)</formula>
    </cfRule>
    <cfRule type="expression" priority="86" dxfId="1" stopIfTrue="1">
      <formula>AND(ISNUMBER(M52),M52&gt;=_config!$B$59)</formula>
    </cfRule>
    <cfRule type="colorScale" priority="87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N52:N91">
    <cfRule type="expression" priority="88" dxfId="0" stopIfTrue="1">
      <formula>AND(ISNUMBER(N52),N52&gt;=_config!$C$60)</formula>
    </cfRule>
    <cfRule type="expression" priority="89" dxfId="1" stopIfTrue="1">
      <formula>AND(ISNUMBER(N52),N52&gt;=_config!$B$60)</formula>
    </cfRule>
    <cfRule type="colorScale" priority="90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O52:O91">
    <cfRule type="expression" priority="91" dxfId="0" stopIfTrue="1">
      <formula>AND(ISNUMBER(O52),O52&gt;=_config!$C$61)</formula>
    </cfRule>
    <cfRule type="expression" priority="92" dxfId="1" stopIfTrue="1">
      <formula>AND(ISNUMBER(O52),O52&gt;=_config!$B$61)</formula>
    </cfRule>
    <cfRule type="colorScale" priority="9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P52:P91">
    <cfRule type="expression" priority="94" dxfId="0" stopIfTrue="1">
      <formula>AND(ISNUMBER(P52),P52&gt;=_config!$C$62)</formula>
    </cfRule>
    <cfRule type="expression" priority="95" dxfId="1" stopIfTrue="1">
      <formula>AND(ISNUMBER(P52),P52&gt;=_config!$B$62)</formula>
    </cfRule>
    <cfRule type="colorScale" priority="96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Q52:Q91">
    <cfRule type="expression" priority="97" dxfId="0" stopIfTrue="1">
      <formula>AND(ISNUMBER(Q52),Q52&gt;=_config!$C$63)</formula>
    </cfRule>
    <cfRule type="expression" priority="98" dxfId="1" stopIfTrue="1">
      <formula>AND(ISNUMBER(Q52),Q52&gt;=_config!$B$63)</formula>
    </cfRule>
    <cfRule type="colorScale" priority="99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R52:R91">
    <cfRule type="expression" priority="100" dxfId="0" stopIfTrue="1">
      <formula>AND(ISNUMBER(R52),R52&gt;=_config!$C$64)</formula>
    </cfRule>
    <cfRule type="expression" priority="101" dxfId="1" stopIfTrue="1">
      <formula>AND(ISNUMBER(R52),R52&gt;=_config!$B$64)</formula>
    </cfRule>
    <cfRule type="colorScale" priority="10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S52:S91">
    <cfRule type="expression" priority="103" dxfId="0" stopIfTrue="1">
      <formula>AND(ISNUMBER(S52),S52&gt;=_config!$C$65)</formula>
    </cfRule>
    <cfRule type="expression" priority="104" dxfId="1" stopIfTrue="1">
      <formula>AND(ISNUMBER(S52),S52&gt;=_config!$B$65)</formula>
    </cfRule>
    <cfRule type="colorScale" priority="105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BL46"/>
  <sheetViews>
    <sheetView showGridLines="0" workbookViewId="0">
      <pane ySplit="4" topLeftCell="A5" activePane="bottomLeft" state="frozen"/>
      <selection pane="bottomLeft" activeCell="A1" sqref="A1"/>
    </sheetView>
  </sheetViews>
  <sheetFormatPr baseColWidth="8" defaultRowHeight="15"/>
  <cols>
    <col width="26" customWidth="1" min="1" max="1"/>
    <col width="9" customWidth="1" min="2" max="2"/>
    <col width="13" customWidth="1" min="3" max="3"/>
    <col width="10" customWidth="1" min="4" max="4"/>
    <col width="11" customWidth="1" min="5" max="5"/>
    <col width="11" customWidth="1" min="6" max="6"/>
    <col width="7" customWidth="1" min="7" max="7"/>
    <col width="34" customWidth="1" min="8" max="8"/>
    <col width="9" customWidth="1" min="10" max="10"/>
    <col width="9" customWidth="1" min="11" max="11"/>
    <col width="9" customWidth="1" min="12" max="12"/>
    <col width="9" customWidth="1" min="13" max="13"/>
    <col width="9" customWidth="1" min="14" max="14"/>
    <col width="9" customWidth="1" min="15" max="15"/>
    <col width="9" customWidth="1" min="16" max="16"/>
    <col width="9" customWidth="1" min="17" max="17"/>
    <col width="9" customWidth="1" min="18" max="18"/>
    <col width="9" customWidth="1" min="19" max="19"/>
    <col width="9" customWidth="1" min="20" max="20"/>
    <col width="9" customWidth="1" min="21" max="21"/>
    <col width="9" customWidth="1" min="22" max="22"/>
    <col width="9" customWidth="1" min="23" max="23"/>
    <col width="9" customWidth="1" min="24" max="24"/>
    <col width="9" customWidth="1" min="25" max="25"/>
    <col width="9" customWidth="1" min="26" max="26"/>
    <col width="9" customWidth="1" min="27" max="27"/>
    <col width="9" customWidth="1" min="28" max="28"/>
    <col width="9" customWidth="1" min="29" max="29"/>
    <col width="9" customWidth="1" min="30" max="30"/>
    <col width="9" customWidth="1" min="31" max="31"/>
    <col width="9" customWidth="1" min="32" max="32"/>
    <col width="9" customWidth="1" min="33" max="33"/>
    <col width="9" customWidth="1" min="34" max="34"/>
    <col width="9" customWidth="1" min="35" max="35"/>
    <col width="9" customWidth="1" min="36" max="36"/>
    <col width="9" customWidth="1" min="37" max="37"/>
    <col width="9" customWidth="1" min="38" max="38"/>
    <col width="9" customWidth="1" min="39" max="39"/>
    <col width="9" customWidth="1" min="40" max="40"/>
    <col width="9" customWidth="1" min="41" max="41"/>
    <col width="9" customWidth="1" min="42" max="42"/>
    <col width="9" customWidth="1" min="43" max="43"/>
    <col width="9" customWidth="1" min="44" max="44"/>
    <col width="9" customWidth="1" min="45" max="45"/>
    <col width="9" customWidth="1" min="46" max="46"/>
    <col width="9" customWidth="1" min="47" max="47"/>
    <col width="9" customWidth="1" min="48" max="48"/>
    <col width="9" customWidth="1" min="49" max="49"/>
    <col width="9" customWidth="1" min="50" max="50"/>
    <col width="9" customWidth="1" min="51" max="51"/>
    <col width="9" customWidth="1" min="52" max="52"/>
    <col width="9" customWidth="1" min="53" max="53"/>
    <col width="9" customWidth="1" min="54" max="54"/>
    <col width="9" customWidth="1" min="55" max="55"/>
    <col width="9" customWidth="1" min="56" max="56"/>
    <col width="9" customWidth="1" min="57" max="57"/>
    <col width="9" customWidth="1" min="58" max="58"/>
    <col width="9" customWidth="1" min="59" max="59"/>
    <col width="9" customWidth="1" min="60" max="60"/>
    <col width="9" customWidth="1" min="61" max="61"/>
    <col width="9" customWidth="1" min="62" max="62"/>
  </cols>
  <sheetData>
    <row r="1" ht="27.6" customHeight="1">
      <c r="A1" s="1" t="inlineStr">
        <is>
          <t>Watchlist -- Ranked Peer / Counterparty Banks</t>
        </is>
      </c>
    </row>
    <row r="2" ht="18.4" customHeight="1">
      <c r="A2" s="3" t="inlineStr">
        <is>
          <t>Ranked by (ALERT flag count, Texas ratio) descending. Flag counts aggregate all 53 metric statuses (helper columns J-BJ); STALE banks are surfaced by the runner's status line and digest, not here (v1).</t>
        </is>
      </c>
      <c r="B2" s="4" t="n"/>
      <c r="C2" s="4" t="n"/>
      <c r="D2" s="4" t="n"/>
      <c r="E2" s="4" t="n"/>
      <c r="F2" s="4" t="n"/>
      <c r="G2" s="4" t="n"/>
      <c r="H2" s="4" t="n"/>
    </row>
    <row r="3" ht="42" customHeight="1">
      <c r="A3" s="22" t="inlineStr">
        <is>
          <t>ENTITY RULE. This lane admits ONLY rows carrying a genuine FDIC certificate join key (cert:NNN from the [PEERS] cert cell, Class A) -- the default-deny validator refuses anything else BY NAME: aggregates, holding companies and name-only rows cannot be monitored as counterparties. Blank/malformed CERT shows REFUSED here; find CERTs with: python runner.py --lookup "&lt;bank name&gt;". RSSD/holding-company promotion is a spec change, not a config edit.</t>
        </is>
      </c>
    </row>
    <row r="4" ht="22" customHeight="1">
      <c r="A4" s="12" t="inlineStr">
        <is>
          <t>Bank</t>
        </is>
      </c>
      <c r="B4" s="12" t="inlineStr">
        <is>
          <t>CERT</t>
        </is>
      </c>
      <c r="C4" s="12" t="inlineStr">
        <is>
          <t>Group</t>
        </is>
      </c>
      <c r="D4" s="13" t="inlineStr">
        <is>
          <t>Texas</t>
        </is>
      </c>
      <c r="E4" s="13" t="inlineStr">
        <is>
          <t>ALERT flags</t>
        </is>
      </c>
      <c r="F4" s="13" t="inlineStr">
        <is>
          <t>WATCH flags</t>
        </is>
      </c>
      <c r="G4" s="23" t="inlineStr">
        <is>
          <t>Rank</t>
        </is>
      </c>
      <c r="H4" s="23" t="inlineStr">
        <is>
          <t>Status</t>
        </is>
      </c>
      <c r="J4" s="24" t="inlineStr">
        <is>
          <t>NCLNLSR</t>
        </is>
      </c>
      <c r="K4" s="24" t="inlineStr">
        <is>
          <t>NTLNLSQR</t>
        </is>
      </c>
      <c r="L4" s="24" t="inlineStr">
        <is>
          <t>PD3089R</t>
        </is>
      </c>
      <c r="M4" s="24" t="inlineStr">
        <is>
          <t>LNATRESR</t>
        </is>
      </c>
      <c r="N4" s="24" t="inlineStr">
        <is>
          <t>LNRESNCR</t>
        </is>
      </c>
      <c r="O4" s="24" t="inlineStr">
        <is>
          <t>TEXAS</t>
        </is>
      </c>
      <c r="P4" s="24" t="inlineStr">
        <is>
          <t>RBC1AAJ</t>
        </is>
      </c>
      <c r="Q4" s="24" t="inlineStr">
        <is>
          <t>RBCRWAJ</t>
        </is>
      </c>
      <c r="R4" s="24" t="inlineStr">
        <is>
          <t>EQV</t>
        </is>
      </c>
      <c r="S4" s="24" t="inlineStr">
        <is>
          <t>ROAQ</t>
        </is>
      </c>
      <c r="T4" s="24" t="inlineStr">
        <is>
          <t>NIMY</t>
        </is>
      </c>
      <c r="U4" s="24" t="inlineStr">
        <is>
          <t>EEFFR</t>
        </is>
      </c>
      <c r="V4" s="24" t="inlineStr">
        <is>
          <t>LNDEPR</t>
        </is>
      </c>
      <c r="W4" s="24" t="inlineStr">
        <is>
          <t>BRODEPR</t>
        </is>
      </c>
      <c r="X4" s="24" t="inlineStr">
        <is>
          <t>CRECONR</t>
        </is>
      </c>
      <c r="Y4" s="24" t="inlineStr">
        <is>
          <t>P3CRCDR</t>
        </is>
      </c>
      <c r="Z4" s="24" t="inlineStr">
        <is>
          <t>P9CRCDR</t>
        </is>
      </c>
      <c r="AA4" s="24" t="inlineStr">
        <is>
          <t>NACRCDR</t>
        </is>
      </c>
      <c r="AB4" s="24" t="inlineStr">
        <is>
          <t>NTCRCDQR</t>
        </is>
      </c>
      <c r="AC4" s="24" t="inlineStr">
        <is>
          <t>P3AUTOR</t>
        </is>
      </c>
      <c r="AD4" s="24" t="inlineStr">
        <is>
          <t>P9AUTOR</t>
        </is>
      </c>
      <c r="AE4" s="24" t="inlineStr">
        <is>
          <t>NAAUTOR</t>
        </is>
      </c>
      <c r="AF4" s="24" t="inlineStr">
        <is>
          <t>NTAUTOQR</t>
        </is>
      </c>
      <c r="AG4" s="24" t="inlineStr">
        <is>
          <t>P3CONOTHR</t>
        </is>
      </c>
      <c r="AH4" s="24" t="inlineStr">
        <is>
          <t>P9CONOTHR</t>
        </is>
      </c>
      <c r="AI4" s="24" t="inlineStr">
        <is>
          <t>NACONOTHR</t>
        </is>
      </c>
      <c r="AJ4" s="24" t="inlineStr">
        <is>
          <t>NTCONOTQR</t>
        </is>
      </c>
      <c r="AK4" s="24" t="inlineStr">
        <is>
          <t>P3RERESR</t>
        </is>
      </c>
      <c r="AL4" s="24" t="inlineStr">
        <is>
          <t>P9RERESR</t>
        </is>
      </c>
      <c r="AM4" s="24" t="inlineStr">
        <is>
          <t>NARERESR</t>
        </is>
      </c>
      <c r="AN4" s="24" t="inlineStr">
        <is>
          <t>NTRERESQR</t>
        </is>
      </c>
      <c r="AO4" s="24" t="inlineStr">
        <is>
          <t>P3RELOCR</t>
        </is>
      </c>
      <c r="AP4" s="24" t="inlineStr">
        <is>
          <t>P9RELOCR</t>
        </is>
      </c>
      <c r="AQ4" s="24" t="inlineStr">
        <is>
          <t>NARELOCR</t>
        </is>
      </c>
      <c r="AR4" s="24" t="inlineStr">
        <is>
          <t>P3RECONSR</t>
        </is>
      </c>
      <c r="AS4" s="24" t="inlineStr">
        <is>
          <t>P9RECONSR</t>
        </is>
      </c>
      <c r="AT4" s="24" t="inlineStr">
        <is>
          <t>NARECONSR</t>
        </is>
      </c>
      <c r="AU4" s="24" t="inlineStr">
        <is>
          <t>NTRECONQR</t>
        </is>
      </c>
      <c r="AV4" s="24" t="inlineStr">
        <is>
          <t>P3RENRESR</t>
        </is>
      </c>
      <c r="AW4" s="24" t="inlineStr">
        <is>
          <t>P9RENRESR</t>
        </is>
      </c>
      <c r="AX4" s="24" t="inlineStr">
        <is>
          <t>NARENRESR</t>
        </is>
      </c>
      <c r="AY4" s="24" t="inlineStr">
        <is>
          <t>NTRENREQR</t>
        </is>
      </c>
      <c r="AZ4" s="24" t="inlineStr">
        <is>
          <t>P3REMULTR</t>
        </is>
      </c>
      <c r="BA4" s="24" t="inlineStr">
        <is>
          <t>P9REMULTR</t>
        </is>
      </c>
      <c r="BB4" s="24" t="inlineStr">
        <is>
          <t>NAREMULTR</t>
        </is>
      </c>
      <c r="BC4" s="24" t="inlineStr">
        <is>
          <t>NTREMULQR</t>
        </is>
      </c>
      <c r="BD4" s="24" t="inlineStr">
        <is>
          <t>P3CIR</t>
        </is>
      </c>
      <c r="BE4" s="24" t="inlineStr">
        <is>
          <t>P9CIR</t>
        </is>
      </c>
      <c r="BF4" s="24" t="inlineStr">
        <is>
          <t>NACIR</t>
        </is>
      </c>
      <c r="BG4" s="24" t="inlineStr">
        <is>
          <t>NTCIQR</t>
        </is>
      </c>
      <c r="BH4" s="24" t="inlineStr">
        <is>
          <t>UNINSDEPR</t>
        </is>
      </c>
      <c r="BI4" s="24" t="inlineStr">
        <is>
          <t>UNRLZCAPR</t>
        </is>
      </c>
      <c r="BJ4" s="24" t="inlineStr">
        <is>
          <t>FHLBASSR</t>
        </is>
      </c>
      <c r="BL4" s="24" t="inlineStr">
        <is>
          <t>rank score</t>
        </is>
      </c>
    </row>
    <row r="5">
      <c r="A5" s="14">
        <f>IF(_config!$C$72="","",_config!$C$72)</f>
        <v/>
      </c>
      <c r="B5" s="25">
        <f>IF(_config!$B$72="","",_config!$B$72)</f>
        <v/>
      </c>
      <c r="C5" s="16">
        <f>IF(_config!$D$72="","",_config!$D$72)</f>
        <v/>
      </c>
      <c r="D5" s="26">
        <f>IF(Dashboard_AssetQuality!I8="","",Dashboard_AssetQuality!I8)</f>
        <v/>
      </c>
      <c r="E5" s="27">
        <f>IF($A5="","",COUNTIF($J5:$BJ5,"ALERT"))</f>
        <v/>
      </c>
      <c r="F5" s="27">
        <f>IF($A5="","",COUNTIF($J5:$BJ5,"WATCH"))</f>
        <v/>
      </c>
      <c r="G5" s="27">
        <f>IF($BL5="","",RANK($BL5,$BL$5:$BL$44))</f>
        <v/>
      </c>
      <c r="H5" s="27">
        <f>IF(_config!$C$72="","",IF(NOT(ISNUMBER(_config!$B$72)),"REFUSED: blank/invalid CERT -- run --lookup",IF(UPPER(_config!$E$72&amp;"")&lt;&gt;"TRUE","OFF",IF($E5&gt;0,"ALERT",IF($F5&gt;0,"WATCH","OK")))))</f>
        <v/>
      </c>
      <c r="J5" s="28">
        <f>IF(NOT(ISNUMBER(Dashboard_AssetQuality!D8)),"",IF(Dashboard_AssetQuality!D8&gt;=_config!$C$16,"ALERT",IF(Dashboard_AssetQuality!D8&gt;=_config!$B$16,"WATCH","OK")))</f>
        <v/>
      </c>
      <c r="K5" s="28">
        <f>IF(NOT(ISNUMBER(Dashboard_AssetQuality!E8)),"",IF(Dashboard_AssetQuality!E8&gt;=_config!$C$17,"ALERT",IF(Dashboard_AssetQuality!E8&gt;=_config!$B$17,"WATCH","OK")))</f>
        <v/>
      </c>
      <c r="L5" s="28">
        <f>IF(NOT(ISNUMBER(Dashboard_AssetQuality!F8)),"",IF(Dashboard_AssetQuality!F8&gt;=_config!$C$18,"ALERT",IF(Dashboard_AssetQuality!F8&gt;=_config!$B$18,"WATCH","OK")))</f>
        <v/>
      </c>
      <c r="M5" s="28">
        <f>IF(NOT(ISNUMBER(Dashboard_AssetQuality!G8)),"",IF(Dashboard_AssetQuality!G8&lt;=_config!$C$19,"ALERT",IF(Dashboard_AssetQuality!G8&lt;=_config!$B$19,"WATCH","OK")))</f>
        <v/>
      </c>
      <c r="N5" s="28">
        <f>IF(NOT(ISNUMBER(Dashboard_AssetQuality!H8)),"",IF(Dashboard_AssetQuality!H8&lt;=_config!$C$20,"ALERT",IF(Dashboard_AssetQuality!H8&lt;=_config!$B$20,"WATCH","OK")))</f>
        <v/>
      </c>
      <c r="O5" s="28">
        <f>IF(NOT(ISNUMBER(Dashboard_AssetQuality!I8)),"",IF(Dashboard_AssetQuality!I8&gt;=_config!$C$21,"ALERT",IF(Dashboard_AssetQuality!I8&gt;=_config!$B$21,"WATCH","OK")))</f>
        <v/>
      </c>
      <c r="P5" s="28">
        <f>IF(NOT(ISNUMBER(Dashboard_Capital_Earnings!D8)),"",IF(Dashboard_Capital_Earnings!D8&lt;=_config!$C$22,"ALERT",IF(Dashboard_Capital_Earnings!D8&lt;=_config!$B$22,"WATCH","OK")))</f>
        <v/>
      </c>
      <c r="Q5" s="28">
        <f>IF(NOT(ISNUMBER(Dashboard_Capital_Earnings!E8)),"",IF(Dashboard_Capital_Earnings!E8&lt;=_config!$C$23,"ALERT",IF(Dashboard_Capital_Earnings!E8&lt;=_config!$B$23,"WATCH","OK")))</f>
        <v/>
      </c>
      <c r="R5" s="28">
        <f>IF(NOT(ISNUMBER(Dashboard_Capital_Earnings!F8)),"",IF(Dashboard_Capital_Earnings!F8&lt;=_config!$C$24,"ALERT",IF(Dashboard_Capital_Earnings!F8&lt;=_config!$B$24,"WATCH","OK")))</f>
        <v/>
      </c>
      <c r="S5" s="28">
        <f>IF(NOT(ISNUMBER(Dashboard_Capital_Earnings!G8)),"",IF(Dashboard_Capital_Earnings!G8&lt;=_config!$C$25,"ALERT",IF(Dashboard_Capital_Earnings!G8&lt;=_config!$B$25,"WATCH","OK")))</f>
        <v/>
      </c>
      <c r="T5" s="28">
        <f>IF(NOT(ISNUMBER(Dashboard_Capital_Earnings!H8)),"",IF(Dashboard_Capital_Earnings!H8&lt;=_config!$C$26,"ALERT",IF(Dashboard_Capital_Earnings!H8&lt;=_config!$B$26,"WATCH","OK")))</f>
        <v/>
      </c>
      <c r="U5" s="28">
        <f>IF(NOT(ISNUMBER(Dashboard_Capital_Earnings!I8)),"",IF(Dashboard_Capital_Earnings!I8&gt;=_config!$C$27,"ALERT",IF(Dashboard_Capital_Earnings!I8&gt;=_config!$B$27,"WATCH","OK")))</f>
        <v/>
      </c>
      <c r="V5" s="28">
        <f>IF(NOT(ISNUMBER(Dashboard_Funding_Concentration!D8)),"",IF(Dashboard_Funding_Concentration!D8&gt;=_config!$C$28,"ALERT",IF(Dashboard_Funding_Concentration!D8&gt;=_config!$B$28,"WATCH","OK")))</f>
        <v/>
      </c>
      <c r="W5" s="28">
        <f>IF(NOT(ISNUMBER(Dashboard_Funding_Concentration!E8)),"",IF(Dashboard_Funding_Concentration!E8&gt;=_config!$C$29,"ALERT",IF(Dashboard_Funding_Concentration!E8&gt;=_config!$B$29,"WATCH","OK")))</f>
        <v/>
      </c>
      <c r="X5" s="28">
        <f>IF(NOT(ISNUMBER(Dashboard_Funding_Concentration!F8)),"",IF(Dashboard_Funding_Concentration!F8&gt;=_config!$C$30,"ALERT",IF(Dashboard_Funding_Concentration!F8&gt;=_config!$B$30,"WATCH","OK")))</f>
        <v/>
      </c>
      <c r="Y5" s="28">
        <f>IF(NOT(ISNUMBER(Dashboard_LoanBook!D8)),"",IF(Dashboard_LoanBook!D8&gt;=_config!$C$31,"ALERT",IF(Dashboard_LoanBook!D8&gt;=_config!$B$31,"WATCH","OK")))</f>
        <v/>
      </c>
      <c r="Z5" s="28">
        <f>IF(NOT(ISNUMBER(Dashboard_LoanBook!E8)),"",IF(Dashboard_LoanBook!E8&gt;=_config!$C$32,"ALERT",IF(Dashboard_LoanBook!E8&gt;=_config!$B$32,"WATCH","OK")))</f>
        <v/>
      </c>
      <c r="AA5" s="28">
        <f>IF(NOT(ISNUMBER(Dashboard_LoanBook!F8)),"",IF(Dashboard_LoanBook!F8&gt;=_config!$C$33,"ALERT",IF(Dashboard_LoanBook!F8&gt;=_config!$B$33,"WATCH","OK")))</f>
        <v/>
      </c>
      <c r="AB5" s="28">
        <f>IF(NOT(ISNUMBER(Dashboard_LoanBook!G8)),"",IF(Dashboard_LoanBook!G8&gt;=_config!$C$34,"ALERT",IF(Dashboard_LoanBook!G8&gt;=_config!$B$34,"WATCH","OK")))</f>
        <v/>
      </c>
      <c r="AC5" s="28">
        <f>IF(NOT(ISNUMBER(Dashboard_LoanBook!H8)),"",IF(Dashboard_LoanBook!H8&gt;=_config!$C$35,"ALERT",IF(Dashboard_LoanBook!H8&gt;=_config!$B$35,"WATCH","OK")))</f>
        <v/>
      </c>
      <c r="AD5" s="28">
        <f>IF(NOT(ISNUMBER(Dashboard_LoanBook!I8)),"",IF(Dashboard_LoanBook!I8&gt;=_config!$C$36,"ALERT",IF(Dashboard_LoanBook!I8&gt;=_config!$B$36,"WATCH","OK")))</f>
        <v/>
      </c>
      <c r="AE5" s="28">
        <f>IF(NOT(ISNUMBER(Dashboard_LoanBook!J8)),"",IF(Dashboard_LoanBook!J8&gt;=_config!$C$37,"ALERT",IF(Dashboard_LoanBook!J8&gt;=_config!$B$37,"WATCH","OK")))</f>
        <v/>
      </c>
      <c r="AF5" s="28">
        <f>IF(NOT(ISNUMBER(Dashboard_LoanBook!K8)),"",IF(Dashboard_LoanBook!K8&gt;=_config!$C$38,"ALERT",IF(Dashboard_LoanBook!K8&gt;=_config!$B$38,"WATCH","OK")))</f>
        <v/>
      </c>
      <c r="AG5" s="28">
        <f>IF(NOT(ISNUMBER(Dashboard_LoanBook!L8)),"",IF(Dashboard_LoanBook!L8&gt;=_config!$C$39,"ALERT",IF(Dashboard_LoanBook!L8&gt;=_config!$B$39,"WATCH","OK")))</f>
        <v/>
      </c>
      <c r="AH5" s="28">
        <f>IF(NOT(ISNUMBER(Dashboard_LoanBook!M8)),"",IF(Dashboard_LoanBook!M8&gt;=_config!$C$40,"ALERT",IF(Dashboard_LoanBook!M8&gt;=_config!$B$40,"WATCH","OK")))</f>
        <v/>
      </c>
      <c r="AI5" s="28">
        <f>IF(NOT(ISNUMBER(Dashboard_LoanBook!N8)),"",IF(Dashboard_LoanBook!N8&gt;=_config!$C$41,"ALERT",IF(Dashboard_LoanBook!N8&gt;=_config!$B$41,"WATCH","OK")))</f>
        <v/>
      </c>
      <c r="AJ5" s="28">
        <f>IF(NOT(ISNUMBER(Dashboard_LoanBook!O8)),"",IF(Dashboard_LoanBook!O8&gt;=_config!$C$42,"ALERT",IF(Dashboard_LoanBook!O8&gt;=_config!$B$42,"WATCH","OK")))</f>
        <v/>
      </c>
      <c r="AK5" s="28">
        <f>IF(NOT(ISNUMBER(Dashboard_LoanBook!P8)),"",IF(Dashboard_LoanBook!P8&gt;=_config!$C$43,"ALERT",IF(Dashboard_LoanBook!P8&gt;=_config!$B$43,"WATCH","OK")))</f>
        <v/>
      </c>
      <c r="AL5" s="28">
        <f>IF(NOT(ISNUMBER(Dashboard_LoanBook!Q8)),"",IF(Dashboard_LoanBook!Q8&gt;=_config!$C$44,"ALERT",IF(Dashboard_LoanBook!Q8&gt;=_config!$B$44,"WATCH","OK")))</f>
        <v/>
      </c>
      <c r="AM5" s="28">
        <f>IF(NOT(ISNUMBER(Dashboard_LoanBook!R8)),"",IF(Dashboard_LoanBook!R8&gt;=_config!$C$45,"ALERT",IF(Dashboard_LoanBook!R8&gt;=_config!$B$45,"WATCH","OK")))</f>
        <v/>
      </c>
      <c r="AN5" s="28">
        <f>IF(NOT(ISNUMBER(Dashboard_LoanBook!S8)),"",IF(Dashboard_LoanBook!S8&gt;=_config!$C$46,"ALERT",IF(Dashboard_LoanBook!S8&gt;=_config!$B$46,"WATCH","OK")))</f>
        <v/>
      </c>
      <c r="AO5" s="28">
        <f>IF(NOT(ISNUMBER(Dashboard_LoanBook!T8)),"",IF(Dashboard_LoanBook!T8&gt;=_config!$C$47,"ALERT",IF(Dashboard_LoanBook!T8&gt;=_config!$B$47,"WATCH","OK")))</f>
        <v/>
      </c>
      <c r="AP5" s="28">
        <f>IF(NOT(ISNUMBER(Dashboard_LoanBook!U8)),"",IF(Dashboard_LoanBook!U8&gt;=_config!$C$48,"ALERT",IF(Dashboard_LoanBook!U8&gt;=_config!$B$48,"WATCH","OK")))</f>
        <v/>
      </c>
      <c r="AQ5" s="28">
        <f>IF(NOT(ISNUMBER(Dashboard_LoanBook!V8)),"",IF(Dashboard_LoanBook!V8&gt;=_config!$C$49,"ALERT",IF(Dashboard_LoanBook!V8&gt;=_config!$B$49,"WATCH","OK")))</f>
        <v/>
      </c>
      <c r="AR5" s="28">
        <f>IF(NOT(ISNUMBER(Dashboard_LoanBook!D52)),"",IF(Dashboard_LoanBook!D52&gt;=_config!$C$50,"ALERT",IF(Dashboard_LoanBook!D52&gt;=_config!$B$50,"WATCH","OK")))</f>
        <v/>
      </c>
      <c r="AS5" s="28">
        <f>IF(NOT(ISNUMBER(Dashboard_LoanBook!E52)),"",IF(Dashboard_LoanBook!E52&gt;=_config!$C$51,"ALERT",IF(Dashboard_LoanBook!E52&gt;=_config!$B$51,"WATCH","OK")))</f>
        <v/>
      </c>
      <c r="AT5" s="28">
        <f>IF(NOT(ISNUMBER(Dashboard_LoanBook!F52)),"",IF(Dashboard_LoanBook!F52&gt;=_config!$C$52,"ALERT",IF(Dashboard_LoanBook!F52&gt;=_config!$B$52,"WATCH","OK")))</f>
        <v/>
      </c>
      <c r="AU5" s="28">
        <f>IF(NOT(ISNUMBER(Dashboard_LoanBook!G52)),"",IF(Dashboard_LoanBook!G52&gt;=_config!$C$53,"ALERT",IF(Dashboard_LoanBook!G52&gt;=_config!$B$53,"WATCH","OK")))</f>
        <v/>
      </c>
      <c r="AV5" s="28">
        <f>IF(NOT(ISNUMBER(Dashboard_LoanBook!H52)),"",IF(Dashboard_LoanBook!H52&gt;=_config!$C$54,"ALERT",IF(Dashboard_LoanBook!H52&gt;=_config!$B$54,"WATCH","OK")))</f>
        <v/>
      </c>
      <c r="AW5" s="28">
        <f>IF(NOT(ISNUMBER(Dashboard_LoanBook!I52)),"",IF(Dashboard_LoanBook!I52&gt;=_config!$C$55,"ALERT",IF(Dashboard_LoanBook!I52&gt;=_config!$B$55,"WATCH","OK")))</f>
        <v/>
      </c>
      <c r="AX5" s="28">
        <f>IF(NOT(ISNUMBER(Dashboard_LoanBook!J52)),"",IF(Dashboard_LoanBook!J52&gt;=_config!$C$56,"ALERT",IF(Dashboard_LoanBook!J52&gt;=_config!$B$56,"WATCH","OK")))</f>
        <v/>
      </c>
      <c r="AY5" s="28">
        <f>IF(NOT(ISNUMBER(Dashboard_LoanBook!K52)),"",IF(Dashboard_LoanBook!K52&gt;=_config!$C$57,"ALERT",IF(Dashboard_LoanBook!K52&gt;=_config!$B$57,"WATCH","OK")))</f>
        <v/>
      </c>
      <c r="AZ5" s="28">
        <f>IF(NOT(ISNUMBER(Dashboard_LoanBook!L52)),"",IF(Dashboard_LoanBook!L52&gt;=_config!$C$58,"ALERT",IF(Dashboard_LoanBook!L52&gt;=_config!$B$58,"WATCH","OK")))</f>
        <v/>
      </c>
      <c r="BA5" s="28">
        <f>IF(NOT(ISNUMBER(Dashboard_LoanBook!M52)),"",IF(Dashboard_LoanBook!M52&gt;=_config!$C$59,"ALERT",IF(Dashboard_LoanBook!M52&gt;=_config!$B$59,"WATCH","OK")))</f>
        <v/>
      </c>
      <c r="BB5" s="28">
        <f>IF(NOT(ISNUMBER(Dashboard_LoanBook!N52)),"",IF(Dashboard_LoanBook!N52&gt;=_config!$C$60,"ALERT",IF(Dashboard_LoanBook!N52&gt;=_config!$B$60,"WATCH","OK")))</f>
        <v/>
      </c>
      <c r="BC5" s="28">
        <f>IF(NOT(ISNUMBER(Dashboard_LoanBook!O52)),"",IF(Dashboard_LoanBook!O52&gt;=_config!$C$61,"ALERT",IF(Dashboard_LoanBook!O52&gt;=_config!$B$61,"WATCH","OK")))</f>
        <v/>
      </c>
      <c r="BD5" s="28">
        <f>IF(NOT(ISNUMBER(Dashboard_LoanBook!P52)),"",IF(Dashboard_LoanBook!P52&gt;=_config!$C$62,"ALERT",IF(Dashboard_LoanBook!P52&gt;=_config!$B$62,"WATCH","OK")))</f>
        <v/>
      </c>
      <c r="BE5" s="28">
        <f>IF(NOT(ISNUMBER(Dashboard_LoanBook!Q52)),"",IF(Dashboard_LoanBook!Q52&gt;=_config!$C$63,"ALERT",IF(Dashboard_LoanBook!Q52&gt;=_config!$B$63,"WATCH","OK")))</f>
        <v/>
      </c>
      <c r="BF5" s="28">
        <f>IF(NOT(ISNUMBER(Dashboard_LoanBook!R52)),"",IF(Dashboard_LoanBook!R52&gt;=_config!$C$64,"ALERT",IF(Dashboard_LoanBook!R52&gt;=_config!$B$64,"WATCH","OK")))</f>
        <v/>
      </c>
      <c r="BG5" s="28">
        <f>IF(NOT(ISNUMBER(Dashboard_LoanBook!S52)),"",IF(Dashboard_LoanBook!S52&gt;=_config!$C$65,"ALERT",IF(Dashboard_LoanBook!S52&gt;=_config!$B$65,"WATCH","OK")))</f>
        <v/>
      </c>
      <c r="BH5" s="28">
        <f>IF(NOT(ISNUMBER(Dashboard_Funding_Concentration!G8)),"",IF(Dashboard_Funding_Concentration!G8&gt;=_config!$C$66,"ALERT",IF(Dashboard_Funding_Concentration!G8&gt;=_config!$B$66,"WATCH","OK")))</f>
        <v/>
      </c>
      <c r="BI5" s="28">
        <f>IF(NOT(ISNUMBER(Dashboard_Funding_Concentration!H8)),"",IF(Dashboard_Funding_Concentration!H8&gt;=_config!$C$67,"ALERT",IF(Dashboard_Funding_Concentration!H8&gt;=_config!$B$67,"WATCH","OK")))</f>
        <v/>
      </c>
      <c r="BJ5" s="28">
        <f>IF(NOT(ISNUMBER(Dashboard_Funding_Concentration!I8)),"",IF(Dashboard_Funding_Concentration!I8&gt;=_config!$C$68,"ALERT",IF(Dashboard_Funding_Concentration!I8&gt;=_config!$B$68,"WATCH","OK")))</f>
        <v/>
      </c>
      <c r="BL5" s="28">
        <f>IF(NOT(ISNUMBER($E5)),"",$E5*10000+IF(ISNUMBER($D5),$D5,0))</f>
        <v/>
      </c>
    </row>
    <row r="6">
      <c r="A6" s="14">
        <f>IF(_config!$C$73="","",_config!$C$73)</f>
        <v/>
      </c>
      <c r="B6" s="25">
        <f>IF(_config!$B$73="","",_config!$B$73)</f>
        <v/>
      </c>
      <c r="C6" s="16">
        <f>IF(_config!$D$73="","",_config!$D$73)</f>
        <v/>
      </c>
      <c r="D6" s="26">
        <f>IF(Dashboard_AssetQuality!I9="","",Dashboard_AssetQuality!I9)</f>
        <v/>
      </c>
      <c r="E6" s="27">
        <f>IF($A6="","",COUNTIF($J6:$BJ6,"ALERT"))</f>
        <v/>
      </c>
      <c r="F6" s="27">
        <f>IF($A6="","",COUNTIF($J6:$BJ6,"WATCH"))</f>
        <v/>
      </c>
      <c r="G6" s="27">
        <f>IF($BL6="","",RANK($BL6,$BL$5:$BL$44))</f>
        <v/>
      </c>
      <c r="H6" s="27">
        <f>IF(_config!$C$73="","",IF(NOT(ISNUMBER(_config!$B$73)),"REFUSED: blank/invalid CERT -- run --lookup",IF(UPPER(_config!$E$73&amp;"")&lt;&gt;"TRUE","OFF",IF($E6&gt;0,"ALERT",IF($F6&gt;0,"WATCH","OK")))))</f>
        <v/>
      </c>
      <c r="J6" s="28">
        <f>IF(NOT(ISNUMBER(Dashboard_AssetQuality!D9)),"",IF(Dashboard_AssetQuality!D9&gt;=_config!$C$16,"ALERT",IF(Dashboard_AssetQuality!D9&gt;=_config!$B$16,"WATCH","OK")))</f>
        <v/>
      </c>
      <c r="K6" s="28">
        <f>IF(NOT(ISNUMBER(Dashboard_AssetQuality!E9)),"",IF(Dashboard_AssetQuality!E9&gt;=_config!$C$17,"ALERT",IF(Dashboard_AssetQuality!E9&gt;=_config!$B$17,"WATCH","OK")))</f>
        <v/>
      </c>
      <c r="L6" s="28">
        <f>IF(NOT(ISNUMBER(Dashboard_AssetQuality!F9)),"",IF(Dashboard_AssetQuality!F9&gt;=_config!$C$18,"ALERT",IF(Dashboard_AssetQuality!F9&gt;=_config!$B$18,"WATCH","OK")))</f>
        <v/>
      </c>
      <c r="M6" s="28">
        <f>IF(NOT(ISNUMBER(Dashboard_AssetQuality!G9)),"",IF(Dashboard_AssetQuality!G9&lt;=_config!$C$19,"ALERT",IF(Dashboard_AssetQuality!G9&lt;=_config!$B$19,"WATCH","OK")))</f>
        <v/>
      </c>
      <c r="N6" s="28">
        <f>IF(NOT(ISNUMBER(Dashboard_AssetQuality!H9)),"",IF(Dashboard_AssetQuality!H9&lt;=_config!$C$20,"ALERT",IF(Dashboard_AssetQuality!H9&lt;=_config!$B$20,"WATCH","OK")))</f>
        <v/>
      </c>
      <c r="O6" s="28">
        <f>IF(NOT(ISNUMBER(Dashboard_AssetQuality!I9)),"",IF(Dashboard_AssetQuality!I9&gt;=_config!$C$21,"ALERT",IF(Dashboard_AssetQuality!I9&gt;=_config!$B$21,"WATCH","OK")))</f>
        <v/>
      </c>
      <c r="P6" s="28">
        <f>IF(NOT(ISNUMBER(Dashboard_Capital_Earnings!D9)),"",IF(Dashboard_Capital_Earnings!D9&lt;=_config!$C$22,"ALERT",IF(Dashboard_Capital_Earnings!D9&lt;=_config!$B$22,"WATCH","OK")))</f>
        <v/>
      </c>
      <c r="Q6" s="28">
        <f>IF(NOT(ISNUMBER(Dashboard_Capital_Earnings!E9)),"",IF(Dashboard_Capital_Earnings!E9&lt;=_config!$C$23,"ALERT",IF(Dashboard_Capital_Earnings!E9&lt;=_config!$B$23,"WATCH","OK")))</f>
        <v/>
      </c>
      <c r="R6" s="28">
        <f>IF(NOT(ISNUMBER(Dashboard_Capital_Earnings!F9)),"",IF(Dashboard_Capital_Earnings!F9&lt;=_config!$C$24,"ALERT",IF(Dashboard_Capital_Earnings!F9&lt;=_config!$B$24,"WATCH","OK")))</f>
        <v/>
      </c>
      <c r="S6" s="28">
        <f>IF(NOT(ISNUMBER(Dashboard_Capital_Earnings!G9)),"",IF(Dashboard_Capital_Earnings!G9&lt;=_config!$C$25,"ALERT",IF(Dashboard_Capital_Earnings!G9&lt;=_config!$B$25,"WATCH","OK")))</f>
        <v/>
      </c>
      <c r="T6" s="28">
        <f>IF(NOT(ISNUMBER(Dashboard_Capital_Earnings!H9)),"",IF(Dashboard_Capital_Earnings!H9&lt;=_config!$C$26,"ALERT",IF(Dashboard_Capital_Earnings!H9&lt;=_config!$B$26,"WATCH","OK")))</f>
        <v/>
      </c>
      <c r="U6" s="28">
        <f>IF(NOT(ISNUMBER(Dashboard_Capital_Earnings!I9)),"",IF(Dashboard_Capital_Earnings!I9&gt;=_config!$C$27,"ALERT",IF(Dashboard_Capital_Earnings!I9&gt;=_config!$B$27,"WATCH","OK")))</f>
        <v/>
      </c>
      <c r="V6" s="28">
        <f>IF(NOT(ISNUMBER(Dashboard_Funding_Concentration!D9)),"",IF(Dashboard_Funding_Concentration!D9&gt;=_config!$C$28,"ALERT",IF(Dashboard_Funding_Concentration!D9&gt;=_config!$B$28,"WATCH","OK")))</f>
        <v/>
      </c>
      <c r="W6" s="28">
        <f>IF(NOT(ISNUMBER(Dashboard_Funding_Concentration!E9)),"",IF(Dashboard_Funding_Concentration!E9&gt;=_config!$C$29,"ALERT",IF(Dashboard_Funding_Concentration!E9&gt;=_config!$B$29,"WATCH","OK")))</f>
        <v/>
      </c>
      <c r="X6" s="28">
        <f>IF(NOT(ISNUMBER(Dashboard_Funding_Concentration!F9)),"",IF(Dashboard_Funding_Concentration!F9&gt;=_config!$C$30,"ALERT",IF(Dashboard_Funding_Concentration!F9&gt;=_config!$B$30,"WATCH","OK")))</f>
        <v/>
      </c>
      <c r="Y6" s="28">
        <f>IF(NOT(ISNUMBER(Dashboard_LoanBook!D9)),"",IF(Dashboard_LoanBook!D9&gt;=_config!$C$31,"ALERT",IF(Dashboard_LoanBook!D9&gt;=_config!$B$31,"WATCH","OK")))</f>
        <v/>
      </c>
      <c r="Z6" s="28">
        <f>IF(NOT(ISNUMBER(Dashboard_LoanBook!E9)),"",IF(Dashboard_LoanBook!E9&gt;=_config!$C$32,"ALERT",IF(Dashboard_LoanBook!E9&gt;=_config!$B$32,"WATCH","OK")))</f>
        <v/>
      </c>
      <c r="AA6" s="28">
        <f>IF(NOT(ISNUMBER(Dashboard_LoanBook!F9)),"",IF(Dashboard_LoanBook!F9&gt;=_config!$C$33,"ALERT",IF(Dashboard_LoanBook!F9&gt;=_config!$B$33,"WATCH","OK")))</f>
        <v/>
      </c>
      <c r="AB6" s="28">
        <f>IF(NOT(ISNUMBER(Dashboard_LoanBook!G9)),"",IF(Dashboard_LoanBook!G9&gt;=_config!$C$34,"ALERT",IF(Dashboard_LoanBook!G9&gt;=_config!$B$34,"WATCH","OK")))</f>
        <v/>
      </c>
      <c r="AC6" s="28">
        <f>IF(NOT(ISNUMBER(Dashboard_LoanBook!H9)),"",IF(Dashboard_LoanBook!H9&gt;=_config!$C$35,"ALERT",IF(Dashboard_LoanBook!H9&gt;=_config!$B$35,"WATCH","OK")))</f>
        <v/>
      </c>
      <c r="AD6" s="28">
        <f>IF(NOT(ISNUMBER(Dashboard_LoanBook!I9)),"",IF(Dashboard_LoanBook!I9&gt;=_config!$C$36,"ALERT",IF(Dashboard_LoanBook!I9&gt;=_config!$B$36,"WATCH","OK")))</f>
        <v/>
      </c>
      <c r="AE6" s="28">
        <f>IF(NOT(ISNUMBER(Dashboard_LoanBook!J9)),"",IF(Dashboard_LoanBook!J9&gt;=_config!$C$37,"ALERT",IF(Dashboard_LoanBook!J9&gt;=_config!$B$37,"WATCH","OK")))</f>
        <v/>
      </c>
      <c r="AF6" s="28">
        <f>IF(NOT(ISNUMBER(Dashboard_LoanBook!K9)),"",IF(Dashboard_LoanBook!K9&gt;=_config!$C$38,"ALERT",IF(Dashboard_LoanBook!K9&gt;=_config!$B$38,"WATCH","OK")))</f>
        <v/>
      </c>
      <c r="AG6" s="28">
        <f>IF(NOT(ISNUMBER(Dashboard_LoanBook!L9)),"",IF(Dashboard_LoanBook!L9&gt;=_config!$C$39,"ALERT",IF(Dashboard_LoanBook!L9&gt;=_config!$B$39,"WATCH","OK")))</f>
        <v/>
      </c>
      <c r="AH6" s="28">
        <f>IF(NOT(ISNUMBER(Dashboard_LoanBook!M9)),"",IF(Dashboard_LoanBook!M9&gt;=_config!$C$40,"ALERT",IF(Dashboard_LoanBook!M9&gt;=_config!$B$40,"WATCH","OK")))</f>
        <v/>
      </c>
      <c r="AI6" s="28">
        <f>IF(NOT(ISNUMBER(Dashboard_LoanBook!N9)),"",IF(Dashboard_LoanBook!N9&gt;=_config!$C$41,"ALERT",IF(Dashboard_LoanBook!N9&gt;=_config!$B$41,"WATCH","OK")))</f>
        <v/>
      </c>
      <c r="AJ6" s="28">
        <f>IF(NOT(ISNUMBER(Dashboard_LoanBook!O9)),"",IF(Dashboard_LoanBook!O9&gt;=_config!$C$42,"ALERT",IF(Dashboard_LoanBook!O9&gt;=_config!$B$42,"WATCH","OK")))</f>
        <v/>
      </c>
      <c r="AK6" s="28">
        <f>IF(NOT(ISNUMBER(Dashboard_LoanBook!P9)),"",IF(Dashboard_LoanBook!P9&gt;=_config!$C$43,"ALERT",IF(Dashboard_LoanBook!P9&gt;=_config!$B$43,"WATCH","OK")))</f>
        <v/>
      </c>
      <c r="AL6" s="28">
        <f>IF(NOT(ISNUMBER(Dashboard_LoanBook!Q9)),"",IF(Dashboard_LoanBook!Q9&gt;=_config!$C$44,"ALERT",IF(Dashboard_LoanBook!Q9&gt;=_config!$B$44,"WATCH","OK")))</f>
        <v/>
      </c>
      <c r="AM6" s="28">
        <f>IF(NOT(ISNUMBER(Dashboard_LoanBook!R9)),"",IF(Dashboard_LoanBook!R9&gt;=_config!$C$45,"ALERT",IF(Dashboard_LoanBook!R9&gt;=_config!$B$45,"WATCH","OK")))</f>
        <v/>
      </c>
      <c r="AN6" s="28">
        <f>IF(NOT(ISNUMBER(Dashboard_LoanBook!S9)),"",IF(Dashboard_LoanBook!S9&gt;=_config!$C$46,"ALERT",IF(Dashboard_LoanBook!S9&gt;=_config!$B$46,"WATCH","OK")))</f>
        <v/>
      </c>
      <c r="AO6" s="28">
        <f>IF(NOT(ISNUMBER(Dashboard_LoanBook!T9)),"",IF(Dashboard_LoanBook!T9&gt;=_config!$C$47,"ALERT",IF(Dashboard_LoanBook!T9&gt;=_config!$B$47,"WATCH","OK")))</f>
        <v/>
      </c>
      <c r="AP6" s="28">
        <f>IF(NOT(ISNUMBER(Dashboard_LoanBook!U9)),"",IF(Dashboard_LoanBook!U9&gt;=_config!$C$48,"ALERT",IF(Dashboard_LoanBook!U9&gt;=_config!$B$48,"WATCH","OK")))</f>
        <v/>
      </c>
      <c r="AQ6" s="28">
        <f>IF(NOT(ISNUMBER(Dashboard_LoanBook!V9)),"",IF(Dashboard_LoanBook!V9&gt;=_config!$C$49,"ALERT",IF(Dashboard_LoanBook!V9&gt;=_config!$B$49,"WATCH","OK")))</f>
        <v/>
      </c>
      <c r="AR6" s="28">
        <f>IF(NOT(ISNUMBER(Dashboard_LoanBook!D53)),"",IF(Dashboard_LoanBook!D53&gt;=_config!$C$50,"ALERT",IF(Dashboard_LoanBook!D53&gt;=_config!$B$50,"WATCH","OK")))</f>
        <v/>
      </c>
      <c r="AS6" s="28">
        <f>IF(NOT(ISNUMBER(Dashboard_LoanBook!E53)),"",IF(Dashboard_LoanBook!E53&gt;=_config!$C$51,"ALERT",IF(Dashboard_LoanBook!E53&gt;=_config!$B$51,"WATCH","OK")))</f>
        <v/>
      </c>
      <c r="AT6" s="28">
        <f>IF(NOT(ISNUMBER(Dashboard_LoanBook!F53)),"",IF(Dashboard_LoanBook!F53&gt;=_config!$C$52,"ALERT",IF(Dashboard_LoanBook!F53&gt;=_config!$B$52,"WATCH","OK")))</f>
        <v/>
      </c>
      <c r="AU6" s="28">
        <f>IF(NOT(ISNUMBER(Dashboard_LoanBook!G53)),"",IF(Dashboard_LoanBook!G53&gt;=_config!$C$53,"ALERT",IF(Dashboard_LoanBook!G53&gt;=_config!$B$53,"WATCH","OK")))</f>
        <v/>
      </c>
      <c r="AV6" s="28">
        <f>IF(NOT(ISNUMBER(Dashboard_LoanBook!H53)),"",IF(Dashboard_LoanBook!H53&gt;=_config!$C$54,"ALERT",IF(Dashboard_LoanBook!H53&gt;=_config!$B$54,"WATCH","OK")))</f>
        <v/>
      </c>
      <c r="AW6" s="28">
        <f>IF(NOT(ISNUMBER(Dashboard_LoanBook!I53)),"",IF(Dashboard_LoanBook!I53&gt;=_config!$C$55,"ALERT",IF(Dashboard_LoanBook!I53&gt;=_config!$B$55,"WATCH","OK")))</f>
        <v/>
      </c>
      <c r="AX6" s="28">
        <f>IF(NOT(ISNUMBER(Dashboard_LoanBook!J53)),"",IF(Dashboard_LoanBook!J53&gt;=_config!$C$56,"ALERT",IF(Dashboard_LoanBook!J53&gt;=_config!$B$56,"WATCH","OK")))</f>
        <v/>
      </c>
      <c r="AY6" s="28">
        <f>IF(NOT(ISNUMBER(Dashboard_LoanBook!K53)),"",IF(Dashboard_LoanBook!K53&gt;=_config!$C$57,"ALERT",IF(Dashboard_LoanBook!K53&gt;=_config!$B$57,"WATCH","OK")))</f>
        <v/>
      </c>
      <c r="AZ6" s="28">
        <f>IF(NOT(ISNUMBER(Dashboard_LoanBook!L53)),"",IF(Dashboard_LoanBook!L53&gt;=_config!$C$58,"ALERT",IF(Dashboard_LoanBook!L53&gt;=_config!$B$58,"WATCH","OK")))</f>
        <v/>
      </c>
      <c r="BA6" s="28">
        <f>IF(NOT(ISNUMBER(Dashboard_LoanBook!M53)),"",IF(Dashboard_LoanBook!M53&gt;=_config!$C$59,"ALERT",IF(Dashboard_LoanBook!M53&gt;=_config!$B$59,"WATCH","OK")))</f>
        <v/>
      </c>
      <c r="BB6" s="28">
        <f>IF(NOT(ISNUMBER(Dashboard_LoanBook!N53)),"",IF(Dashboard_LoanBook!N53&gt;=_config!$C$60,"ALERT",IF(Dashboard_LoanBook!N53&gt;=_config!$B$60,"WATCH","OK")))</f>
        <v/>
      </c>
      <c r="BC6" s="28">
        <f>IF(NOT(ISNUMBER(Dashboard_LoanBook!O53)),"",IF(Dashboard_LoanBook!O53&gt;=_config!$C$61,"ALERT",IF(Dashboard_LoanBook!O53&gt;=_config!$B$61,"WATCH","OK")))</f>
        <v/>
      </c>
      <c r="BD6" s="28">
        <f>IF(NOT(ISNUMBER(Dashboard_LoanBook!P53)),"",IF(Dashboard_LoanBook!P53&gt;=_config!$C$62,"ALERT",IF(Dashboard_LoanBook!P53&gt;=_config!$B$62,"WATCH","OK")))</f>
        <v/>
      </c>
      <c r="BE6" s="28">
        <f>IF(NOT(ISNUMBER(Dashboard_LoanBook!Q53)),"",IF(Dashboard_LoanBook!Q53&gt;=_config!$C$63,"ALERT",IF(Dashboard_LoanBook!Q53&gt;=_config!$B$63,"WATCH","OK")))</f>
        <v/>
      </c>
      <c r="BF6" s="28">
        <f>IF(NOT(ISNUMBER(Dashboard_LoanBook!R53)),"",IF(Dashboard_LoanBook!R53&gt;=_config!$C$64,"ALERT",IF(Dashboard_LoanBook!R53&gt;=_config!$B$64,"WATCH","OK")))</f>
        <v/>
      </c>
      <c r="BG6" s="28">
        <f>IF(NOT(ISNUMBER(Dashboard_LoanBook!S53)),"",IF(Dashboard_LoanBook!S53&gt;=_config!$C$65,"ALERT",IF(Dashboard_LoanBook!S53&gt;=_config!$B$65,"WATCH","OK")))</f>
        <v/>
      </c>
      <c r="BH6" s="28">
        <f>IF(NOT(ISNUMBER(Dashboard_Funding_Concentration!G9)),"",IF(Dashboard_Funding_Concentration!G9&gt;=_config!$C$66,"ALERT",IF(Dashboard_Funding_Concentration!G9&gt;=_config!$B$66,"WATCH","OK")))</f>
        <v/>
      </c>
      <c r="BI6" s="28">
        <f>IF(NOT(ISNUMBER(Dashboard_Funding_Concentration!H9)),"",IF(Dashboard_Funding_Concentration!H9&gt;=_config!$C$67,"ALERT",IF(Dashboard_Funding_Concentration!H9&gt;=_config!$B$67,"WATCH","OK")))</f>
        <v/>
      </c>
      <c r="BJ6" s="28">
        <f>IF(NOT(ISNUMBER(Dashboard_Funding_Concentration!I9)),"",IF(Dashboard_Funding_Concentration!I9&gt;=_config!$C$68,"ALERT",IF(Dashboard_Funding_Concentration!I9&gt;=_config!$B$68,"WATCH","OK")))</f>
        <v/>
      </c>
      <c r="BL6" s="28">
        <f>IF(NOT(ISNUMBER($E6)),"",$E6*10000+IF(ISNUMBER($D6),$D6,0))</f>
        <v/>
      </c>
    </row>
    <row r="7">
      <c r="A7" s="14">
        <f>IF(_config!$C$74="","",_config!$C$74)</f>
        <v/>
      </c>
      <c r="B7" s="25">
        <f>IF(_config!$B$74="","",_config!$B$74)</f>
        <v/>
      </c>
      <c r="C7" s="16">
        <f>IF(_config!$D$74="","",_config!$D$74)</f>
        <v/>
      </c>
      <c r="D7" s="26">
        <f>IF(Dashboard_AssetQuality!I10="","",Dashboard_AssetQuality!I10)</f>
        <v/>
      </c>
      <c r="E7" s="27">
        <f>IF($A7="","",COUNTIF($J7:$BJ7,"ALERT"))</f>
        <v/>
      </c>
      <c r="F7" s="27">
        <f>IF($A7="","",COUNTIF($J7:$BJ7,"WATCH"))</f>
        <v/>
      </c>
      <c r="G7" s="27">
        <f>IF($BL7="","",RANK($BL7,$BL$5:$BL$44))</f>
        <v/>
      </c>
      <c r="H7" s="27">
        <f>IF(_config!$C$74="","",IF(NOT(ISNUMBER(_config!$B$74)),"REFUSED: blank/invalid CERT -- run --lookup",IF(UPPER(_config!$E$74&amp;"")&lt;&gt;"TRUE","OFF",IF($E7&gt;0,"ALERT",IF($F7&gt;0,"WATCH","OK")))))</f>
        <v/>
      </c>
      <c r="J7" s="28">
        <f>IF(NOT(ISNUMBER(Dashboard_AssetQuality!D10)),"",IF(Dashboard_AssetQuality!D10&gt;=_config!$C$16,"ALERT",IF(Dashboard_AssetQuality!D10&gt;=_config!$B$16,"WATCH","OK")))</f>
        <v/>
      </c>
      <c r="K7" s="28">
        <f>IF(NOT(ISNUMBER(Dashboard_AssetQuality!E10)),"",IF(Dashboard_AssetQuality!E10&gt;=_config!$C$17,"ALERT",IF(Dashboard_AssetQuality!E10&gt;=_config!$B$17,"WATCH","OK")))</f>
        <v/>
      </c>
      <c r="L7" s="28">
        <f>IF(NOT(ISNUMBER(Dashboard_AssetQuality!F10)),"",IF(Dashboard_AssetQuality!F10&gt;=_config!$C$18,"ALERT",IF(Dashboard_AssetQuality!F10&gt;=_config!$B$18,"WATCH","OK")))</f>
        <v/>
      </c>
      <c r="M7" s="28">
        <f>IF(NOT(ISNUMBER(Dashboard_AssetQuality!G10)),"",IF(Dashboard_AssetQuality!G10&lt;=_config!$C$19,"ALERT",IF(Dashboard_AssetQuality!G10&lt;=_config!$B$19,"WATCH","OK")))</f>
        <v/>
      </c>
      <c r="N7" s="28">
        <f>IF(NOT(ISNUMBER(Dashboard_AssetQuality!H10)),"",IF(Dashboard_AssetQuality!H10&lt;=_config!$C$20,"ALERT",IF(Dashboard_AssetQuality!H10&lt;=_config!$B$20,"WATCH","OK")))</f>
        <v/>
      </c>
      <c r="O7" s="28">
        <f>IF(NOT(ISNUMBER(Dashboard_AssetQuality!I10)),"",IF(Dashboard_AssetQuality!I10&gt;=_config!$C$21,"ALERT",IF(Dashboard_AssetQuality!I10&gt;=_config!$B$21,"WATCH","OK")))</f>
        <v/>
      </c>
      <c r="P7" s="28">
        <f>IF(NOT(ISNUMBER(Dashboard_Capital_Earnings!D10)),"",IF(Dashboard_Capital_Earnings!D10&lt;=_config!$C$22,"ALERT",IF(Dashboard_Capital_Earnings!D10&lt;=_config!$B$22,"WATCH","OK")))</f>
        <v/>
      </c>
      <c r="Q7" s="28">
        <f>IF(NOT(ISNUMBER(Dashboard_Capital_Earnings!E10)),"",IF(Dashboard_Capital_Earnings!E10&lt;=_config!$C$23,"ALERT",IF(Dashboard_Capital_Earnings!E10&lt;=_config!$B$23,"WATCH","OK")))</f>
        <v/>
      </c>
      <c r="R7" s="28">
        <f>IF(NOT(ISNUMBER(Dashboard_Capital_Earnings!F10)),"",IF(Dashboard_Capital_Earnings!F10&lt;=_config!$C$24,"ALERT",IF(Dashboard_Capital_Earnings!F10&lt;=_config!$B$24,"WATCH","OK")))</f>
        <v/>
      </c>
      <c r="S7" s="28">
        <f>IF(NOT(ISNUMBER(Dashboard_Capital_Earnings!G10)),"",IF(Dashboard_Capital_Earnings!G10&lt;=_config!$C$25,"ALERT",IF(Dashboard_Capital_Earnings!G10&lt;=_config!$B$25,"WATCH","OK")))</f>
        <v/>
      </c>
      <c r="T7" s="28">
        <f>IF(NOT(ISNUMBER(Dashboard_Capital_Earnings!H10)),"",IF(Dashboard_Capital_Earnings!H10&lt;=_config!$C$26,"ALERT",IF(Dashboard_Capital_Earnings!H10&lt;=_config!$B$26,"WATCH","OK")))</f>
        <v/>
      </c>
      <c r="U7" s="28">
        <f>IF(NOT(ISNUMBER(Dashboard_Capital_Earnings!I10)),"",IF(Dashboard_Capital_Earnings!I10&gt;=_config!$C$27,"ALERT",IF(Dashboard_Capital_Earnings!I10&gt;=_config!$B$27,"WATCH","OK")))</f>
        <v/>
      </c>
      <c r="V7" s="28">
        <f>IF(NOT(ISNUMBER(Dashboard_Funding_Concentration!D10)),"",IF(Dashboard_Funding_Concentration!D10&gt;=_config!$C$28,"ALERT",IF(Dashboard_Funding_Concentration!D10&gt;=_config!$B$28,"WATCH","OK")))</f>
        <v/>
      </c>
      <c r="W7" s="28">
        <f>IF(NOT(ISNUMBER(Dashboard_Funding_Concentration!E10)),"",IF(Dashboard_Funding_Concentration!E10&gt;=_config!$C$29,"ALERT",IF(Dashboard_Funding_Concentration!E10&gt;=_config!$B$29,"WATCH","OK")))</f>
        <v/>
      </c>
      <c r="X7" s="28">
        <f>IF(NOT(ISNUMBER(Dashboard_Funding_Concentration!F10)),"",IF(Dashboard_Funding_Concentration!F10&gt;=_config!$C$30,"ALERT",IF(Dashboard_Funding_Concentration!F10&gt;=_config!$B$30,"WATCH","OK")))</f>
        <v/>
      </c>
      <c r="Y7" s="28">
        <f>IF(NOT(ISNUMBER(Dashboard_LoanBook!D10)),"",IF(Dashboard_LoanBook!D10&gt;=_config!$C$31,"ALERT",IF(Dashboard_LoanBook!D10&gt;=_config!$B$31,"WATCH","OK")))</f>
        <v/>
      </c>
      <c r="Z7" s="28">
        <f>IF(NOT(ISNUMBER(Dashboard_LoanBook!E10)),"",IF(Dashboard_LoanBook!E10&gt;=_config!$C$32,"ALERT",IF(Dashboard_LoanBook!E10&gt;=_config!$B$32,"WATCH","OK")))</f>
        <v/>
      </c>
      <c r="AA7" s="28">
        <f>IF(NOT(ISNUMBER(Dashboard_LoanBook!F10)),"",IF(Dashboard_LoanBook!F10&gt;=_config!$C$33,"ALERT",IF(Dashboard_LoanBook!F10&gt;=_config!$B$33,"WATCH","OK")))</f>
        <v/>
      </c>
      <c r="AB7" s="28">
        <f>IF(NOT(ISNUMBER(Dashboard_LoanBook!G10)),"",IF(Dashboard_LoanBook!G10&gt;=_config!$C$34,"ALERT",IF(Dashboard_LoanBook!G10&gt;=_config!$B$34,"WATCH","OK")))</f>
        <v/>
      </c>
      <c r="AC7" s="28">
        <f>IF(NOT(ISNUMBER(Dashboard_LoanBook!H10)),"",IF(Dashboard_LoanBook!H10&gt;=_config!$C$35,"ALERT",IF(Dashboard_LoanBook!H10&gt;=_config!$B$35,"WATCH","OK")))</f>
        <v/>
      </c>
      <c r="AD7" s="28">
        <f>IF(NOT(ISNUMBER(Dashboard_LoanBook!I10)),"",IF(Dashboard_LoanBook!I10&gt;=_config!$C$36,"ALERT",IF(Dashboard_LoanBook!I10&gt;=_config!$B$36,"WATCH","OK")))</f>
        <v/>
      </c>
      <c r="AE7" s="28">
        <f>IF(NOT(ISNUMBER(Dashboard_LoanBook!J10)),"",IF(Dashboard_LoanBook!J10&gt;=_config!$C$37,"ALERT",IF(Dashboard_LoanBook!J10&gt;=_config!$B$37,"WATCH","OK")))</f>
        <v/>
      </c>
      <c r="AF7" s="28">
        <f>IF(NOT(ISNUMBER(Dashboard_LoanBook!K10)),"",IF(Dashboard_LoanBook!K10&gt;=_config!$C$38,"ALERT",IF(Dashboard_LoanBook!K10&gt;=_config!$B$38,"WATCH","OK")))</f>
        <v/>
      </c>
      <c r="AG7" s="28">
        <f>IF(NOT(ISNUMBER(Dashboard_LoanBook!L10)),"",IF(Dashboard_LoanBook!L10&gt;=_config!$C$39,"ALERT",IF(Dashboard_LoanBook!L10&gt;=_config!$B$39,"WATCH","OK")))</f>
        <v/>
      </c>
      <c r="AH7" s="28">
        <f>IF(NOT(ISNUMBER(Dashboard_LoanBook!M10)),"",IF(Dashboard_LoanBook!M10&gt;=_config!$C$40,"ALERT",IF(Dashboard_LoanBook!M10&gt;=_config!$B$40,"WATCH","OK")))</f>
        <v/>
      </c>
      <c r="AI7" s="28">
        <f>IF(NOT(ISNUMBER(Dashboard_LoanBook!N10)),"",IF(Dashboard_LoanBook!N10&gt;=_config!$C$41,"ALERT",IF(Dashboard_LoanBook!N10&gt;=_config!$B$41,"WATCH","OK")))</f>
        <v/>
      </c>
      <c r="AJ7" s="28">
        <f>IF(NOT(ISNUMBER(Dashboard_LoanBook!O10)),"",IF(Dashboard_LoanBook!O10&gt;=_config!$C$42,"ALERT",IF(Dashboard_LoanBook!O10&gt;=_config!$B$42,"WATCH","OK")))</f>
        <v/>
      </c>
      <c r="AK7" s="28">
        <f>IF(NOT(ISNUMBER(Dashboard_LoanBook!P10)),"",IF(Dashboard_LoanBook!P10&gt;=_config!$C$43,"ALERT",IF(Dashboard_LoanBook!P10&gt;=_config!$B$43,"WATCH","OK")))</f>
        <v/>
      </c>
      <c r="AL7" s="28">
        <f>IF(NOT(ISNUMBER(Dashboard_LoanBook!Q10)),"",IF(Dashboard_LoanBook!Q10&gt;=_config!$C$44,"ALERT",IF(Dashboard_LoanBook!Q10&gt;=_config!$B$44,"WATCH","OK")))</f>
        <v/>
      </c>
      <c r="AM7" s="28">
        <f>IF(NOT(ISNUMBER(Dashboard_LoanBook!R10)),"",IF(Dashboard_LoanBook!R10&gt;=_config!$C$45,"ALERT",IF(Dashboard_LoanBook!R10&gt;=_config!$B$45,"WATCH","OK")))</f>
        <v/>
      </c>
      <c r="AN7" s="28">
        <f>IF(NOT(ISNUMBER(Dashboard_LoanBook!S10)),"",IF(Dashboard_LoanBook!S10&gt;=_config!$C$46,"ALERT",IF(Dashboard_LoanBook!S10&gt;=_config!$B$46,"WATCH","OK")))</f>
        <v/>
      </c>
      <c r="AO7" s="28">
        <f>IF(NOT(ISNUMBER(Dashboard_LoanBook!T10)),"",IF(Dashboard_LoanBook!T10&gt;=_config!$C$47,"ALERT",IF(Dashboard_LoanBook!T10&gt;=_config!$B$47,"WATCH","OK")))</f>
        <v/>
      </c>
      <c r="AP7" s="28">
        <f>IF(NOT(ISNUMBER(Dashboard_LoanBook!U10)),"",IF(Dashboard_LoanBook!U10&gt;=_config!$C$48,"ALERT",IF(Dashboard_LoanBook!U10&gt;=_config!$B$48,"WATCH","OK")))</f>
        <v/>
      </c>
      <c r="AQ7" s="28">
        <f>IF(NOT(ISNUMBER(Dashboard_LoanBook!V10)),"",IF(Dashboard_LoanBook!V10&gt;=_config!$C$49,"ALERT",IF(Dashboard_LoanBook!V10&gt;=_config!$B$49,"WATCH","OK")))</f>
        <v/>
      </c>
      <c r="AR7" s="28">
        <f>IF(NOT(ISNUMBER(Dashboard_LoanBook!D54)),"",IF(Dashboard_LoanBook!D54&gt;=_config!$C$50,"ALERT",IF(Dashboard_LoanBook!D54&gt;=_config!$B$50,"WATCH","OK")))</f>
        <v/>
      </c>
      <c r="AS7" s="28">
        <f>IF(NOT(ISNUMBER(Dashboard_LoanBook!E54)),"",IF(Dashboard_LoanBook!E54&gt;=_config!$C$51,"ALERT",IF(Dashboard_LoanBook!E54&gt;=_config!$B$51,"WATCH","OK")))</f>
        <v/>
      </c>
      <c r="AT7" s="28">
        <f>IF(NOT(ISNUMBER(Dashboard_LoanBook!F54)),"",IF(Dashboard_LoanBook!F54&gt;=_config!$C$52,"ALERT",IF(Dashboard_LoanBook!F54&gt;=_config!$B$52,"WATCH","OK")))</f>
        <v/>
      </c>
      <c r="AU7" s="28">
        <f>IF(NOT(ISNUMBER(Dashboard_LoanBook!G54)),"",IF(Dashboard_LoanBook!G54&gt;=_config!$C$53,"ALERT",IF(Dashboard_LoanBook!G54&gt;=_config!$B$53,"WATCH","OK")))</f>
        <v/>
      </c>
      <c r="AV7" s="28">
        <f>IF(NOT(ISNUMBER(Dashboard_LoanBook!H54)),"",IF(Dashboard_LoanBook!H54&gt;=_config!$C$54,"ALERT",IF(Dashboard_LoanBook!H54&gt;=_config!$B$54,"WATCH","OK")))</f>
        <v/>
      </c>
      <c r="AW7" s="28">
        <f>IF(NOT(ISNUMBER(Dashboard_LoanBook!I54)),"",IF(Dashboard_LoanBook!I54&gt;=_config!$C$55,"ALERT",IF(Dashboard_LoanBook!I54&gt;=_config!$B$55,"WATCH","OK")))</f>
        <v/>
      </c>
      <c r="AX7" s="28">
        <f>IF(NOT(ISNUMBER(Dashboard_LoanBook!J54)),"",IF(Dashboard_LoanBook!J54&gt;=_config!$C$56,"ALERT",IF(Dashboard_LoanBook!J54&gt;=_config!$B$56,"WATCH","OK")))</f>
        <v/>
      </c>
      <c r="AY7" s="28">
        <f>IF(NOT(ISNUMBER(Dashboard_LoanBook!K54)),"",IF(Dashboard_LoanBook!K54&gt;=_config!$C$57,"ALERT",IF(Dashboard_LoanBook!K54&gt;=_config!$B$57,"WATCH","OK")))</f>
        <v/>
      </c>
      <c r="AZ7" s="28">
        <f>IF(NOT(ISNUMBER(Dashboard_LoanBook!L54)),"",IF(Dashboard_LoanBook!L54&gt;=_config!$C$58,"ALERT",IF(Dashboard_LoanBook!L54&gt;=_config!$B$58,"WATCH","OK")))</f>
        <v/>
      </c>
      <c r="BA7" s="28">
        <f>IF(NOT(ISNUMBER(Dashboard_LoanBook!M54)),"",IF(Dashboard_LoanBook!M54&gt;=_config!$C$59,"ALERT",IF(Dashboard_LoanBook!M54&gt;=_config!$B$59,"WATCH","OK")))</f>
        <v/>
      </c>
      <c r="BB7" s="28">
        <f>IF(NOT(ISNUMBER(Dashboard_LoanBook!N54)),"",IF(Dashboard_LoanBook!N54&gt;=_config!$C$60,"ALERT",IF(Dashboard_LoanBook!N54&gt;=_config!$B$60,"WATCH","OK")))</f>
        <v/>
      </c>
      <c r="BC7" s="28">
        <f>IF(NOT(ISNUMBER(Dashboard_LoanBook!O54)),"",IF(Dashboard_LoanBook!O54&gt;=_config!$C$61,"ALERT",IF(Dashboard_LoanBook!O54&gt;=_config!$B$61,"WATCH","OK")))</f>
        <v/>
      </c>
      <c r="BD7" s="28">
        <f>IF(NOT(ISNUMBER(Dashboard_LoanBook!P54)),"",IF(Dashboard_LoanBook!P54&gt;=_config!$C$62,"ALERT",IF(Dashboard_LoanBook!P54&gt;=_config!$B$62,"WATCH","OK")))</f>
        <v/>
      </c>
      <c r="BE7" s="28">
        <f>IF(NOT(ISNUMBER(Dashboard_LoanBook!Q54)),"",IF(Dashboard_LoanBook!Q54&gt;=_config!$C$63,"ALERT",IF(Dashboard_LoanBook!Q54&gt;=_config!$B$63,"WATCH","OK")))</f>
        <v/>
      </c>
      <c r="BF7" s="28">
        <f>IF(NOT(ISNUMBER(Dashboard_LoanBook!R54)),"",IF(Dashboard_LoanBook!R54&gt;=_config!$C$64,"ALERT",IF(Dashboard_LoanBook!R54&gt;=_config!$B$64,"WATCH","OK")))</f>
        <v/>
      </c>
      <c r="BG7" s="28">
        <f>IF(NOT(ISNUMBER(Dashboard_LoanBook!S54)),"",IF(Dashboard_LoanBook!S54&gt;=_config!$C$65,"ALERT",IF(Dashboard_LoanBook!S54&gt;=_config!$B$65,"WATCH","OK")))</f>
        <v/>
      </c>
      <c r="BH7" s="28">
        <f>IF(NOT(ISNUMBER(Dashboard_Funding_Concentration!G10)),"",IF(Dashboard_Funding_Concentration!G10&gt;=_config!$C$66,"ALERT",IF(Dashboard_Funding_Concentration!G10&gt;=_config!$B$66,"WATCH","OK")))</f>
        <v/>
      </c>
      <c r="BI7" s="28">
        <f>IF(NOT(ISNUMBER(Dashboard_Funding_Concentration!H10)),"",IF(Dashboard_Funding_Concentration!H10&gt;=_config!$C$67,"ALERT",IF(Dashboard_Funding_Concentration!H10&gt;=_config!$B$67,"WATCH","OK")))</f>
        <v/>
      </c>
      <c r="BJ7" s="28">
        <f>IF(NOT(ISNUMBER(Dashboard_Funding_Concentration!I10)),"",IF(Dashboard_Funding_Concentration!I10&gt;=_config!$C$68,"ALERT",IF(Dashboard_Funding_Concentration!I10&gt;=_config!$B$68,"WATCH","OK")))</f>
        <v/>
      </c>
      <c r="BL7" s="28">
        <f>IF(NOT(ISNUMBER($E7)),"",$E7*10000+IF(ISNUMBER($D7),$D7,0))</f>
        <v/>
      </c>
    </row>
    <row r="8">
      <c r="A8" s="14">
        <f>IF(_config!$C$75="","",_config!$C$75)</f>
        <v/>
      </c>
      <c r="B8" s="25">
        <f>IF(_config!$B$75="","",_config!$B$75)</f>
        <v/>
      </c>
      <c r="C8" s="16">
        <f>IF(_config!$D$75="","",_config!$D$75)</f>
        <v/>
      </c>
      <c r="D8" s="26">
        <f>IF(Dashboard_AssetQuality!I11="","",Dashboard_AssetQuality!I11)</f>
        <v/>
      </c>
      <c r="E8" s="27">
        <f>IF($A8="","",COUNTIF($J8:$BJ8,"ALERT"))</f>
        <v/>
      </c>
      <c r="F8" s="27">
        <f>IF($A8="","",COUNTIF($J8:$BJ8,"WATCH"))</f>
        <v/>
      </c>
      <c r="G8" s="27">
        <f>IF($BL8="","",RANK($BL8,$BL$5:$BL$44))</f>
        <v/>
      </c>
      <c r="H8" s="27">
        <f>IF(_config!$C$75="","",IF(NOT(ISNUMBER(_config!$B$75)),"REFUSED: blank/invalid CERT -- run --lookup",IF(UPPER(_config!$E$75&amp;"")&lt;&gt;"TRUE","OFF",IF($E8&gt;0,"ALERT",IF($F8&gt;0,"WATCH","OK")))))</f>
        <v/>
      </c>
      <c r="J8" s="28">
        <f>IF(NOT(ISNUMBER(Dashboard_AssetQuality!D11)),"",IF(Dashboard_AssetQuality!D11&gt;=_config!$C$16,"ALERT",IF(Dashboard_AssetQuality!D11&gt;=_config!$B$16,"WATCH","OK")))</f>
        <v/>
      </c>
      <c r="K8" s="28">
        <f>IF(NOT(ISNUMBER(Dashboard_AssetQuality!E11)),"",IF(Dashboard_AssetQuality!E11&gt;=_config!$C$17,"ALERT",IF(Dashboard_AssetQuality!E11&gt;=_config!$B$17,"WATCH","OK")))</f>
        <v/>
      </c>
      <c r="L8" s="28">
        <f>IF(NOT(ISNUMBER(Dashboard_AssetQuality!F11)),"",IF(Dashboard_AssetQuality!F11&gt;=_config!$C$18,"ALERT",IF(Dashboard_AssetQuality!F11&gt;=_config!$B$18,"WATCH","OK")))</f>
        <v/>
      </c>
      <c r="M8" s="28">
        <f>IF(NOT(ISNUMBER(Dashboard_AssetQuality!G11)),"",IF(Dashboard_AssetQuality!G11&lt;=_config!$C$19,"ALERT",IF(Dashboard_AssetQuality!G11&lt;=_config!$B$19,"WATCH","OK")))</f>
        <v/>
      </c>
      <c r="N8" s="28">
        <f>IF(NOT(ISNUMBER(Dashboard_AssetQuality!H11)),"",IF(Dashboard_AssetQuality!H11&lt;=_config!$C$20,"ALERT",IF(Dashboard_AssetQuality!H11&lt;=_config!$B$20,"WATCH","OK")))</f>
        <v/>
      </c>
      <c r="O8" s="28">
        <f>IF(NOT(ISNUMBER(Dashboard_AssetQuality!I11)),"",IF(Dashboard_AssetQuality!I11&gt;=_config!$C$21,"ALERT",IF(Dashboard_AssetQuality!I11&gt;=_config!$B$21,"WATCH","OK")))</f>
        <v/>
      </c>
      <c r="P8" s="28">
        <f>IF(NOT(ISNUMBER(Dashboard_Capital_Earnings!D11)),"",IF(Dashboard_Capital_Earnings!D11&lt;=_config!$C$22,"ALERT",IF(Dashboard_Capital_Earnings!D11&lt;=_config!$B$22,"WATCH","OK")))</f>
        <v/>
      </c>
      <c r="Q8" s="28">
        <f>IF(NOT(ISNUMBER(Dashboard_Capital_Earnings!E11)),"",IF(Dashboard_Capital_Earnings!E11&lt;=_config!$C$23,"ALERT",IF(Dashboard_Capital_Earnings!E11&lt;=_config!$B$23,"WATCH","OK")))</f>
        <v/>
      </c>
      <c r="R8" s="28">
        <f>IF(NOT(ISNUMBER(Dashboard_Capital_Earnings!F11)),"",IF(Dashboard_Capital_Earnings!F11&lt;=_config!$C$24,"ALERT",IF(Dashboard_Capital_Earnings!F11&lt;=_config!$B$24,"WATCH","OK")))</f>
        <v/>
      </c>
      <c r="S8" s="28">
        <f>IF(NOT(ISNUMBER(Dashboard_Capital_Earnings!G11)),"",IF(Dashboard_Capital_Earnings!G11&lt;=_config!$C$25,"ALERT",IF(Dashboard_Capital_Earnings!G11&lt;=_config!$B$25,"WATCH","OK")))</f>
        <v/>
      </c>
      <c r="T8" s="28">
        <f>IF(NOT(ISNUMBER(Dashboard_Capital_Earnings!H11)),"",IF(Dashboard_Capital_Earnings!H11&lt;=_config!$C$26,"ALERT",IF(Dashboard_Capital_Earnings!H11&lt;=_config!$B$26,"WATCH","OK")))</f>
        <v/>
      </c>
      <c r="U8" s="28">
        <f>IF(NOT(ISNUMBER(Dashboard_Capital_Earnings!I11)),"",IF(Dashboard_Capital_Earnings!I11&gt;=_config!$C$27,"ALERT",IF(Dashboard_Capital_Earnings!I11&gt;=_config!$B$27,"WATCH","OK")))</f>
        <v/>
      </c>
      <c r="V8" s="28">
        <f>IF(NOT(ISNUMBER(Dashboard_Funding_Concentration!D11)),"",IF(Dashboard_Funding_Concentration!D11&gt;=_config!$C$28,"ALERT",IF(Dashboard_Funding_Concentration!D11&gt;=_config!$B$28,"WATCH","OK")))</f>
        <v/>
      </c>
      <c r="W8" s="28">
        <f>IF(NOT(ISNUMBER(Dashboard_Funding_Concentration!E11)),"",IF(Dashboard_Funding_Concentration!E11&gt;=_config!$C$29,"ALERT",IF(Dashboard_Funding_Concentration!E11&gt;=_config!$B$29,"WATCH","OK")))</f>
        <v/>
      </c>
      <c r="X8" s="28">
        <f>IF(NOT(ISNUMBER(Dashboard_Funding_Concentration!F11)),"",IF(Dashboard_Funding_Concentration!F11&gt;=_config!$C$30,"ALERT",IF(Dashboard_Funding_Concentration!F11&gt;=_config!$B$30,"WATCH","OK")))</f>
        <v/>
      </c>
      <c r="Y8" s="28">
        <f>IF(NOT(ISNUMBER(Dashboard_LoanBook!D11)),"",IF(Dashboard_LoanBook!D11&gt;=_config!$C$31,"ALERT",IF(Dashboard_LoanBook!D11&gt;=_config!$B$31,"WATCH","OK")))</f>
        <v/>
      </c>
      <c r="Z8" s="28">
        <f>IF(NOT(ISNUMBER(Dashboard_LoanBook!E11)),"",IF(Dashboard_LoanBook!E11&gt;=_config!$C$32,"ALERT",IF(Dashboard_LoanBook!E11&gt;=_config!$B$32,"WATCH","OK")))</f>
        <v/>
      </c>
      <c r="AA8" s="28">
        <f>IF(NOT(ISNUMBER(Dashboard_LoanBook!F11)),"",IF(Dashboard_LoanBook!F11&gt;=_config!$C$33,"ALERT",IF(Dashboard_LoanBook!F11&gt;=_config!$B$33,"WATCH","OK")))</f>
        <v/>
      </c>
      <c r="AB8" s="28">
        <f>IF(NOT(ISNUMBER(Dashboard_LoanBook!G11)),"",IF(Dashboard_LoanBook!G11&gt;=_config!$C$34,"ALERT",IF(Dashboard_LoanBook!G11&gt;=_config!$B$34,"WATCH","OK")))</f>
        <v/>
      </c>
      <c r="AC8" s="28">
        <f>IF(NOT(ISNUMBER(Dashboard_LoanBook!H11)),"",IF(Dashboard_LoanBook!H11&gt;=_config!$C$35,"ALERT",IF(Dashboard_LoanBook!H11&gt;=_config!$B$35,"WATCH","OK")))</f>
        <v/>
      </c>
      <c r="AD8" s="28">
        <f>IF(NOT(ISNUMBER(Dashboard_LoanBook!I11)),"",IF(Dashboard_LoanBook!I11&gt;=_config!$C$36,"ALERT",IF(Dashboard_LoanBook!I11&gt;=_config!$B$36,"WATCH","OK")))</f>
        <v/>
      </c>
      <c r="AE8" s="28">
        <f>IF(NOT(ISNUMBER(Dashboard_LoanBook!J11)),"",IF(Dashboard_LoanBook!J11&gt;=_config!$C$37,"ALERT",IF(Dashboard_LoanBook!J11&gt;=_config!$B$37,"WATCH","OK")))</f>
        <v/>
      </c>
      <c r="AF8" s="28">
        <f>IF(NOT(ISNUMBER(Dashboard_LoanBook!K11)),"",IF(Dashboard_LoanBook!K11&gt;=_config!$C$38,"ALERT",IF(Dashboard_LoanBook!K11&gt;=_config!$B$38,"WATCH","OK")))</f>
        <v/>
      </c>
      <c r="AG8" s="28">
        <f>IF(NOT(ISNUMBER(Dashboard_LoanBook!L11)),"",IF(Dashboard_LoanBook!L11&gt;=_config!$C$39,"ALERT",IF(Dashboard_LoanBook!L11&gt;=_config!$B$39,"WATCH","OK")))</f>
        <v/>
      </c>
      <c r="AH8" s="28">
        <f>IF(NOT(ISNUMBER(Dashboard_LoanBook!M11)),"",IF(Dashboard_LoanBook!M11&gt;=_config!$C$40,"ALERT",IF(Dashboard_LoanBook!M11&gt;=_config!$B$40,"WATCH","OK")))</f>
        <v/>
      </c>
      <c r="AI8" s="28">
        <f>IF(NOT(ISNUMBER(Dashboard_LoanBook!N11)),"",IF(Dashboard_LoanBook!N11&gt;=_config!$C$41,"ALERT",IF(Dashboard_LoanBook!N11&gt;=_config!$B$41,"WATCH","OK")))</f>
        <v/>
      </c>
      <c r="AJ8" s="28">
        <f>IF(NOT(ISNUMBER(Dashboard_LoanBook!O11)),"",IF(Dashboard_LoanBook!O11&gt;=_config!$C$42,"ALERT",IF(Dashboard_LoanBook!O11&gt;=_config!$B$42,"WATCH","OK")))</f>
        <v/>
      </c>
      <c r="AK8" s="28">
        <f>IF(NOT(ISNUMBER(Dashboard_LoanBook!P11)),"",IF(Dashboard_LoanBook!P11&gt;=_config!$C$43,"ALERT",IF(Dashboard_LoanBook!P11&gt;=_config!$B$43,"WATCH","OK")))</f>
        <v/>
      </c>
      <c r="AL8" s="28">
        <f>IF(NOT(ISNUMBER(Dashboard_LoanBook!Q11)),"",IF(Dashboard_LoanBook!Q11&gt;=_config!$C$44,"ALERT",IF(Dashboard_LoanBook!Q11&gt;=_config!$B$44,"WATCH","OK")))</f>
        <v/>
      </c>
      <c r="AM8" s="28">
        <f>IF(NOT(ISNUMBER(Dashboard_LoanBook!R11)),"",IF(Dashboard_LoanBook!R11&gt;=_config!$C$45,"ALERT",IF(Dashboard_LoanBook!R11&gt;=_config!$B$45,"WATCH","OK")))</f>
        <v/>
      </c>
      <c r="AN8" s="28">
        <f>IF(NOT(ISNUMBER(Dashboard_LoanBook!S11)),"",IF(Dashboard_LoanBook!S11&gt;=_config!$C$46,"ALERT",IF(Dashboard_LoanBook!S11&gt;=_config!$B$46,"WATCH","OK")))</f>
        <v/>
      </c>
      <c r="AO8" s="28">
        <f>IF(NOT(ISNUMBER(Dashboard_LoanBook!T11)),"",IF(Dashboard_LoanBook!T11&gt;=_config!$C$47,"ALERT",IF(Dashboard_LoanBook!T11&gt;=_config!$B$47,"WATCH","OK")))</f>
        <v/>
      </c>
      <c r="AP8" s="28">
        <f>IF(NOT(ISNUMBER(Dashboard_LoanBook!U11)),"",IF(Dashboard_LoanBook!U11&gt;=_config!$C$48,"ALERT",IF(Dashboard_LoanBook!U11&gt;=_config!$B$48,"WATCH","OK")))</f>
        <v/>
      </c>
      <c r="AQ8" s="28">
        <f>IF(NOT(ISNUMBER(Dashboard_LoanBook!V11)),"",IF(Dashboard_LoanBook!V11&gt;=_config!$C$49,"ALERT",IF(Dashboard_LoanBook!V11&gt;=_config!$B$49,"WATCH","OK")))</f>
        <v/>
      </c>
      <c r="AR8" s="28">
        <f>IF(NOT(ISNUMBER(Dashboard_LoanBook!D55)),"",IF(Dashboard_LoanBook!D55&gt;=_config!$C$50,"ALERT",IF(Dashboard_LoanBook!D55&gt;=_config!$B$50,"WATCH","OK")))</f>
        <v/>
      </c>
      <c r="AS8" s="28">
        <f>IF(NOT(ISNUMBER(Dashboard_LoanBook!E55)),"",IF(Dashboard_LoanBook!E55&gt;=_config!$C$51,"ALERT",IF(Dashboard_LoanBook!E55&gt;=_config!$B$51,"WATCH","OK")))</f>
        <v/>
      </c>
      <c r="AT8" s="28">
        <f>IF(NOT(ISNUMBER(Dashboard_LoanBook!F55)),"",IF(Dashboard_LoanBook!F55&gt;=_config!$C$52,"ALERT",IF(Dashboard_LoanBook!F55&gt;=_config!$B$52,"WATCH","OK")))</f>
        <v/>
      </c>
      <c r="AU8" s="28">
        <f>IF(NOT(ISNUMBER(Dashboard_LoanBook!G55)),"",IF(Dashboard_LoanBook!G55&gt;=_config!$C$53,"ALERT",IF(Dashboard_LoanBook!G55&gt;=_config!$B$53,"WATCH","OK")))</f>
        <v/>
      </c>
      <c r="AV8" s="28">
        <f>IF(NOT(ISNUMBER(Dashboard_LoanBook!H55)),"",IF(Dashboard_LoanBook!H55&gt;=_config!$C$54,"ALERT",IF(Dashboard_LoanBook!H55&gt;=_config!$B$54,"WATCH","OK")))</f>
        <v/>
      </c>
      <c r="AW8" s="28">
        <f>IF(NOT(ISNUMBER(Dashboard_LoanBook!I55)),"",IF(Dashboard_LoanBook!I55&gt;=_config!$C$55,"ALERT",IF(Dashboard_LoanBook!I55&gt;=_config!$B$55,"WATCH","OK")))</f>
        <v/>
      </c>
      <c r="AX8" s="28">
        <f>IF(NOT(ISNUMBER(Dashboard_LoanBook!J55)),"",IF(Dashboard_LoanBook!J55&gt;=_config!$C$56,"ALERT",IF(Dashboard_LoanBook!J55&gt;=_config!$B$56,"WATCH","OK")))</f>
        <v/>
      </c>
      <c r="AY8" s="28">
        <f>IF(NOT(ISNUMBER(Dashboard_LoanBook!K55)),"",IF(Dashboard_LoanBook!K55&gt;=_config!$C$57,"ALERT",IF(Dashboard_LoanBook!K55&gt;=_config!$B$57,"WATCH","OK")))</f>
        <v/>
      </c>
      <c r="AZ8" s="28">
        <f>IF(NOT(ISNUMBER(Dashboard_LoanBook!L55)),"",IF(Dashboard_LoanBook!L55&gt;=_config!$C$58,"ALERT",IF(Dashboard_LoanBook!L55&gt;=_config!$B$58,"WATCH","OK")))</f>
        <v/>
      </c>
      <c r="BA8" s="28">
        <f>IF(NOT(ISNUMBER(Dashboard_LoanBook!M55)),"",IF(Dashboard_LoanBook!M55&gt;=_config!$C$59,"ALERT",IF(Dashboard_LoanBook!M55&gt;=_config!$B$59,"WATCH","OK")))</f>
        <v/>
      </c>
      <c r="BB8" s="28">
        <f>IF(NOT(ISNUMBER(Dashboard_LoanBook!N55)),"",IF(Dashboard_LoanBook!N55&gt;=_config!$C$60,"ALERT",IF(Dashboard_LoanBook!N55&gt;=_config!$B$60,"WATCH","OK")))</f>
        <v/>
      </c>
      <c r="BC8" s="28">
        <f>IF(NOT(ISNUMBER(Dashboard_LoanBook!O55)),"",IF(Dashboard_LoanBook!O55&gt;=_config!$C$61,"ALERT",IF(Dashboard_LoanBook!O55&gt;=_config!$B$61,"WATCH","OK")))</f>
        <v/>
      </c>
      <c r="BD8" s="28">
        <f>IF(NOT(ISNUMBER(Dashboard_LoanBook!P55)),"",IF(Dashboard_LoanBook!P55&gt;=_config!$C$62,"ALERT",IF(Dashboard_LoanBook!P55&gt;=_config!$B$62,"WATCH","OK")))</f>
        <v/>
      </c>
      <c r="BE8" s="28">
        <f>IF(NOT(ISNUMBER(Dashboard_LoanBook!Q55)),"",IF(Dashboard_LoanBook!Q55&gt;=_config!$C$63,"ALERT",IF(Dashboard_LoanBook!Q55&gt;=_config!$B$63,"WATCH","OK")))</f>
        <v/>
      </c>
      <c r="BF8" s="28">
        <f>IF(NOT(ISNUMBER(Dashboard_LoanBook!R55)),"",IF(Dashboard_LoanBook!R55&gt;=_config!$C$64,"ALERT",IF(Dashboard_LoanBook!R55&gt;=_config!$B$64,"WATCH","OK")))</f>
        <v/>
      </c>
      <c r="BG8" s="28">
        <f>IF(NOT(ISNUMBER(Dashboard_LoanBook!S55)),"",IF(Dashboard_LoanBook!S55&gt;=_config!$C$65,"ALERT",IF(Dashboard_LoanBook!S55&gt;=_config!$B$65,"WATCH","OK")))</f>
        <v/>
      </c>
      <c r="BH8" s="28">
        <f>IF(NOT(ISNUMBER(Dashboard_Funding_Concentration!G11)),"",IF(Dashboard_Funding_Concentration!G11&gt;=_config!$C$66,"ALERT",IF(Dashboard_Funding_Concentration!G11&gt;=_config!$B$66,"WATCH","OK")))</f>
        <v/>
      </c>
      <c r="BI8" s="28">
        <f>IF(NOT(ISNUMBER(Dashboard_Funding_Concentration!H11)),"",IF(Dashboard_Funding_Concentration!H11&gt;=_config!$C$67,"ALERT",IF(Dashboard_Funding_Concentration!H11&gt;=_config!$B$67,"WATCH","OK")))</f>
        <v/>
      </c>
      <c r="BJ8" s="28">
        <f>IF(NOT(ISNUMBER(Dashboard_Funding_Concentration!I11)),"",IF(Dashboard_Funding_Concentration!I11&gt;=_config!$C$68,"ALERT",IF(Dashboard_Funding_Concentration!I11&gt;=_config!$B$68,"WATCH","OK")))</f>
        <v/>
      </c>
      <c r="BL8" s="28">
        <f>IF(NOT(ISNUMBER($E8)),"",$E8*10000+IF(ISNUMBER($D8),$D8,0))</f>
        <v/>
      </c>
    </row>
    <row r="9">
      <c r="A9" s="14">
        <f>IF(_config!$C$76="","",_config!$C$76)</f>
        <v/>
      </c>
      <c r="B9" s="25">
        <f>IF(_config!$B$76="","",_config!$B$76)</f>
        <v/>
      </c>
      <c r="C9" s="16">
        <f>IF(_config!$D$76="","",_config!$D$76)</f>
        <v/>
      </c>
      <c r="D9" s="26">
        <f>IF(Dashboard_AssetQuality!I12="","",Dashboard_AssetQuality!I12)</f>
        <v/>
      </c>
      <c r="E9" s="27">
        <f>IF($A9="","",COUNTIF($J9:$BJ9,"ALERT"))</f>
        <v/>
      </c>
      <c r="F9" s="27">
        <f>IF($A9="","",COUNTIF($J9:$BJ9,"WATCH"))</f>
        <v/>
      </c>
      <c r="G9" s="27">
        <f>IF($BL9="","",RANK($BL9,$BL$5:$BL$44))</f>
        <v/>
      </c>
      <c r="H9" s="27">
        <f>IF(_config!$C$76="","",IF(NOT(ISNUMBER(_config!$B$76)),"REFUSED: blank/invalid CERT -- run --lookup",IF(UPPER(_config!$E$76&amp;"")&lt;&gt;"TRUE","OFF",IF($E9&gt;0,"ALERT",IF($F9&gt;0,"WATCH","OK")))))</f>
        <v/>
      </c>
      <c r="J9" s="28">
        <f>IF(NOT(ISNUMBER(Dashboard_AssetQuality!D12)),"",IF(Dashboard_AssetQuality!D12&gt;=_config!$C$16,"ALERT",IF(Dashboard_AssetQuality!D12&gt;=_config!$B$16,"WATCH","OK")))</f>
        <v/>
      </c>
      <c r="K9" s="28">
        <f>IF(NOT(ISNUMBER(Dashboard_AssetQuality!E12)),"",IF(Dashboard_AssetQuality!E12&gt;=_config!$C$17,"ALERT",IF(Dashboard_AssetQuality!E12&gt;=_config!$B$17,"WATCH","OK")))</f>
        <v/>
      </c>
      <c r="L9" s="28">
        <f>IF(NOT(ISNUMBER(Dashboard_AssetQuality!F12)),"",IF(Dashboard_AssetQuality!F12&gt;=_config!$C$18,"ALERT",IF(Dashboard_AssetQuality!F12&gt;=_config!$B$18,"WATCH","OK")))</f>
        <v/>
      </c>
      <c r="M9" s="28">
        <f>IF(NOT(ISNUMBER(Dashboard_AssetQuality!G12)),"",IF(Dashboard_AssetQuality!G12&lt;=_config!$C$19,"ALERT",IF(Dashboard_AssetQuality!G12&lt;=_config!$B$19,"WATCH","OK")))</f>
        <v/>
      </c>
      <c r="N9" s="28">
        <f>IF(NOT(ISNUMBER(Dashboard_AssetQuality!H12)),"",IF(Dashboard_AssetQuality!H12&lt;=_config!$C$20,"ALERT",IF(Dashboard_AssetQuality!H12&lt;=_config!$B$20,"WATCH","OK")))</f>
        <v/>
      </c>
      <c r="O9" s="28">
        <f>IF(NOT(ISNUMBER(Dashboard_AssetQuality!I12)),"",IF(Dashboard_AssetQuality!I12&gt;=_config!$C$21,"ALERT",IF(Dashboard_AssetQuality!I12&gt;=_config!$B$21,"WATCH","OK")))</f>
        <v/>
      </c>
      <c r="P9" s="28">
        <f>IF(NOT(ISNUMBER(Dashboard_Capital_Earnings!D12)),"",IF(Dashboard_Capital_Earnings!D12&lt;=_config!$C$22,"ALERT",IF(Dashboard_Capital_Earnings!D12&lt;=_config!$B$22,"WATCH","OK")))</f>
        <v/>
      </c>
      <c r="Q9" s="28">
        <f>IF(NOT(ISNUMBER(Dashboard_Capital_Earnings!E12)),"",IF(Dashboard_Capital_Earnings!E12&lt;=_config!$C$23,"ALERT",IF(Dashboard_Capital_Earnings!E12&lt;=_config!$B$23,"WATCH","OK")))</f>
        <v/>
      </c>
      <c r="R9" s="28">
        <f>IF(NOT(ISNUMBER(Dashboard_Capital_Earnings!F12)),"",IF(Dashboard_Capital_Earnings!F12&lt;=_config!$C$24,"ALERT",IF(Dashboard_Capital_Earnings!F12&lt;=_config!$B$24,"WATCH","OK")))</f>
        <v/>
      </c>
      <c r="S9" s="28">
        <f>IF(NOT(ISNUMBER(Dashboard_Capital_Earnings!G12)),"",IF(Dashboard_Capital_Earnings!G12&lt;=_config!$C$25,"ALERT",IF(Dashboard_Capital_Earnings!G12&lt;=_config!$B$25,"WATCH","OK")))</f>
        <v/>
      </c>
      <c r="T9" s="28">
        <f>IF(NOT(ISNUMBER(Dashboard_Capital_Earnings!H12)),"",IF(Dashboard_Capital_Earnings!H12&lt;=_config!$C$26,"ALERT",IF(Dashboard_Capital_Earnings!H12&lt;=_config!$B$26,"WATCH","OK")))</f>
        <v/>
      </c>
      <c r="U9" s="28">
        <f>IF(NOT(ISNUMBER(Dashboard_Capital_Earnings!I12)),"",IF(Dashboard_Capital_Earnings!I12&gt;=_config!$C$27,"ALERT",IF(Dashboard_Capital_Earnings!I12&gt;=_config!$B$27,"WATCH","OK")))</f>
        <v/>
      </c>
      <c r="V9" s="28">
        <f>IF(NOT(ISNUMBER(Dashboard_Funding_Concentration!D12)),"",IF(Dashboard_Funding_Concentration!D12&gt;=_config!$C$28,"ALERT",IF(Dashboard_Funding_Concentration!D12&gt;=_config!$B$28,"WATCH","OK")))</f>
        <v/>
      </c>
      <c r="W9" s="28">
        <f>IF(NOT(ISNUMBER(Dashboard_Funding_Concentration!E12)),"",IF(Dashboard_Funding_Concentration!E12&gt;=_config!$C$29,"ALERT",IF(Dashboard_Funding_Concentration!E12&gt;=_config!$B$29,"WATCH","OK")))</f>
        <v/>
      </c>
      <c r="X9" s="28">
        <f>IF(NOT(ISNUMBER(Dashboard_Funding_Concentration!F12)),"",IF(Dashboard_Funding_Concentration!F12&gt;=_config!$C$30,"ALERT",IF(Dashboard_Funding_Concentration!F12&gt;=_config!$B$30,"WATCH","OK")))</f>
        <v/>
      </c>
      <c r="Y9" s="28">
        <f>IF(NOT(ISNUMBER(Dashboard_LoanBook!D12)),"",IF(Dashboard_LoanBook!D12&gt;=_config!$C$31,"ALERT",IF(Dashboard_LoanBook!D12&gt;=_config!$B$31,"WATCH","OK")))</f>
        <v/>
      </c>
      <c r="Z9" s="28">
        <f>IF(NOT(ISNUMBER(Dashboard_LoanBook!E12)),"",IF(Dashboard_LoanBook!E12&gt;=_config!$C$32,"ALERT",IF(Dashboard_LoanBook!E12&gt;=_config!$B$32,"WATCH","OK")))</f>
        <v/>
      </c>
      <c r="AA9" s="28">
        <f>IF(NOT(ISNUMBER(Dashboard_LoanBook!F12)),"",IF(Dashboard_LoanBook!F12&gt;=_config!$C$33,"ALERT",IF(Dashboard_LoanBook!F12&gt;=_config!$B$33,"WATCH","OK")))</f>
        <v/>
      </c>
      <c r="AB9" s="28">
        <f>IF(NOT(ISNUMBER(Dashboard_LoanBook!G12)),"",IF(Dashboard_LoanBook!G12&gt;=_config!$C$34,"ALERT",IF(Dashboard_LoanBook!G12&gt;=_config!$B$34,"WATCH","OK")))</f>
        <v/>
      </c>
      <c r="AC9" s="28">
        <f>IF(NOT(ISNUMBER(Dashboard_LoanBook!H12)),"",IF(Dashboard_LoanBook!H12&gt;=_config!$C$35,"ALERT",IF(Dashboard_LoanBook!H12&gt;=_config!$B$35,"WATCH","OK")))</f>
        <v/>
      </c>
      <c r="AD9" s="28">
        <f>IF(NOT(ISNUMBER(Dashboard_LoanBook!I12)),"",IF(Dashboard_LoanBook!I12&gt;=_config!$C$36,"ALERT",IF(Dashboard_LoanBook!I12&gt;=_config!$B$36,"WATCH","OK")))</f>
        <v/>
      </c>
      <c r="AE9" s="28">
        <f>IF(NOT(ISNUMBER(Dashboard_LoanBook!J12)),"",IF(Dashboard_LoanBook!J12&gt;=_config!$C$37,"ALERT",IF(Dashboard_LoanBook!J12&gt;=_config!$B$37,"WATCH","OK")))</f>
        <v/>
      </c>
      <c r="AF9" s="28">
        <f>IF(NOT(ISNUMBER(Dashboard_LoanBook!K12)),"",IF(Dashboard_LoanBook!K12&gt;=_config!$C$38,"ALERT",IF(Dashboard_LoanBook!K12&gt;=_config!$B$38,"WATCH","OK")))</f>
        <v/>
      </c>
      <c r="AG9" s="28">
        <f>IF(NOT(ISNUMBER(Dashboard_LoanBook!L12)),"",IF(Dashboard_LoanBook!L12&gt;=_config!$C$39,"ALERT",IF(Dashboard_LoanBook!L12&gt;=_config!$B$39,"WATCH","OK")))</f>
        <v/>
      </c>
      <c r="AH9" s="28">
        <f>IF(NOT(ISNUMBER(Dashboard_LoanBook!M12)),"",IF(Dashboard_LoanBook!M12&gt;=_config!$C$40,"ALERT",IF(Dashboard_LoanBook!M12&gt;=_config!$B$40,"WATCH","OK")))</f>
        <v/>
      </c>
      <c r="AI9" s="28">
        <f>IF(NOT(ISNUMBER(Dashboard_LoanBook!N12)),"",IF(Dashboard_LoanBook!N12&gt;=_config!$C$41,"ALERT",IF(Dashboard_LoanBook!N12&gt;=_config!$B$41,"WATCH","OK")))</f>
        <v/>
      </c>
      <c r="AJ9" s="28">
        <f>IF(NOT(ISNUMBER(Dashboard_LoanBook!O12)),"",IF(Dashboard_LoanBook!O12&gt;=_config!$C$42,"ALERT",IF(Dashboard_LoanBook!O12&gt;=_config!$B$42,"WATCH","OK")))</f>
        <v/>
      </c>
      <c r="AK9" s="28">
        <f>IF(NOT(ISNUMBER(Dashboard_LoanBook!P12)),"",IF(Dashboard_LoanBook!P12&gt;=_config!$C$43,"ALERT",IF(Dashboard_LoanBook!P12&gt;=_config!$B$43,"WATCH","OK")))</f>
        <v/>
      </c>
      <c r="AL9" s="28">
        <f>IF(NOT(ISNUMBER(Dashboard_LoanBook!Q12)),"",IF(Dashboard_LoanBook!Q12&gt;=_config!$C$44,"ALERT",IF(Dashboard_LoanBook!Q12&gt;=_config!$B$44,"WATCH","OK")))</f>
        <v/>
      </c>
      <c r="AM9" s="28">
        <f>IF(NOT(ISNUMBER(Dashboard_LoanBook!R12)),"",IF(Dashboard_LoanBook!R12&gt;=_config!$C$45,"ALERT",IF(Dashboard_LoanBook!R12&gt;=_config!$B$45,"WATCH","OK")))</f>
        <v/>
      </c>
      <c r="AN9" s="28">
        <f>IF(NOT(ISNUMBER(Dashboard_LoanBook!S12)),"",IF(Dashboard_LoanBook!S12&gt;=_config!$C$46,"ALERT",IF(Dashboard_LoanBook!S12&gt;=_config!$B$46,"WATCH","OK")))</f>
        <v/>
      </c>
      <c r="AO9" s="28">
        <f>IF(NOT(ISNUMBER(Dashboard_LoanBook!T12)),"",IF(Dashboard_LoanBook!T12&gt;=_config!$C$47,"ALERT",IF(Dashboard_LoanBook!T12&gt;=_config!$B$47,"WATCH","OK")))</f>
        <v/>
      </c>
      <c r="AP9" s="28">
        <f>IF(NOT(ISNUMBER(Dashboard_LoanBook!U12)),"",IF(Dashboard_LoanBook!U12&gt;=_config!$C$48,"ALERT",IF(Dashboard_LoanBook!U12&gt;=_config!$B$48,"WATCH","OK")))</f>
        <v/>
      </c>
      <c r="AQ9" s="28">
        <f>IF(NOT(ISNUMBER(Dashboard_LoanBook!V12)),"",IF(Dashboard_LoanBook!V12&gt;=_config!$C$49,"ALERT",IF(Dashboard_LoanBook!V12&gt;=_config!$B$49,"WATCH","OK")))</f>
        <v/>
      </c>
      <c r="AR9" s="28">
        <f>IF(NOT(ISNUMBER(Dashboard_LoanBook!D56)),"",IF(Dashboard_LoanBook!D56&gt;=_config!$C$50,"ALERT",IF(Dashboard_LoanBook!D56&gt;=_config!$B$50,"WATCH","OK")))</f>
        <v/>
      </c>
      <c r="AS9" s="28">
        <f>IF(NOT(ISNUMBER(Dashboard_LoanBook!E56)),"",IF(Dashboard_LoanBook!E56&gt;=_config!$C$51,"ALERT",IF(Dashboard_LoanBook!E56&gt;=_config!$B$51,"WATCH","OK")))</f>
        <v/>
      </c>
      <c r="AT9" s="28">
        <f>IF(NOT(ISNUMBER(Dashboard_LoanBook!F56)),"",IF(Dashboard_LoanBook!F56&gt;=_config!$C$52,"ALERT",IF(Dashboard_LoanBook!F56&gt;=_config!$B$52,"WATCH","OK")))</f>
        <v/>
      </c>
      <c r="AU9" s="28">
        <f>IF(NOT(ISNUMBER(Dashboard_LoanBook!G56)),"",IF(Dashboard_LoanBook!G56&gt;=_config!$C$53,"ALERT",IF(Dashboard_LoanBook!G56&gt;=_config!$B$53,"WATCH","OK")))</f>
        <v/>
      </c>
      <c r="AV9" s="28">
        <f>IF(NOT(ISNUMBER(Dashboard_LoanBook!H56)),"",IF(Dashboard_LoanBook!H56&gt;=_config!$C$54,"ALERT",IF(Dashboard_LoanBook!H56&gt;=_config!$B$54,"WATCH","OK")))</f>
        <v/>
      </c>
      <c r="AW9" s="28">
        <f>IF(NOT(ISNUMBER(Dashboard_LoanBook!I56)),"",IF(Dashboard_LoanBook!I56&gt;=_config!$C$55,"ALERT",IF(Dashboard_LoanBook!I56&gt;=_config!$B$55,"WATCH","OK")))</f>
        <v/>
      </c>
      <c r="AX9" s="28">
        <f>IF(NOT(ISNUMBER(Dashboard_LoanBook!J56)),"",IF(Dashboard_LoanBook!J56&gt;=_config!$C$56,"ALERT",IF(Dashboard_LoanBook!J56&gt;=_config!$B$56,"WATCH","OK")))</f>
        <v/>
      </c>
      <c r="AY9" s="28">
        <f>IF(NOT(ISNUMBER(Dashboard_LoanBook!K56)),"",IF(Dashboard_LoanBook!K56&gt;=_config!$C$57,"ALERT",IF(Dashboard_LoanBook!K56&gt;=_config!$B$57,"WATCH","OK")))</f>
        <v/>
      </c>
      <c r="AZ9" s="28">
        <f>IF(NOT(ISNUMBER(Dashboard_LoanBook!L56)),"",IF(Dashboard_LoanBook!L56&gt;=_config!$C$58,"ALERT",IF(Dashboard_LoanBook!L56&gt;=_config!$B$58,"WATCH","OK")))</f>
        <v/>
      </c>
      <c r="BA9" s="28">
        <f>IF(NOT(ISNUMBER(Dashboard_LoanBook!M56)),"",IF(Dashboard_LoanBook!M56&gt;=_config!$C$59,"ALERT",IF(Dashboard_LoanBook!M56&gt;=_config!$B$59,"WATCH","OK")))</f>
        <v/>
      </c>
      <c r="BB9" s="28">
        <f>IF(NOT(ISNUMBER(Dashboard_LoanBook!N56)),"",IF(Dashboard_LoanBook!N56&gt;=_config!$C$60,"ALERT",IF(Dashboard_LoanBook!N56&gt;=_config!$B$60,"WATCH","OK")))</f>
        <v/>
      </c>
      <c r="BC9" s="28">
        <f>IF(NOT(ISNUMBER(Dashboard_LoanBook!O56)),"",IF(Dashboard_LoanBook!O56&gt;=_config!$C$61,"ALERT",IF(Dashboard_LoanBook!O56&gt;=_config!$B$61,"WATCH","OK")))</f>
        <v/>
      </c>
      <c r="BD9" s="28">
        <f>IF(NOT(ISNUMBER(Dashboard_LoanBook!P56)),"",IF(Dashboard_LoanBook!P56&gt;=_config!$C$62,"ALERT",IF(Dashboard_LoanBook!P56&gt;=_config!$B$62,"WATCH","OK")))</f>
        <v/>
      </c>
      <c r="BE9" s="28">
        <f>IF(NOT(ISNUMBER(Dashboard_LoanBook!Q56)),"",IF(Dashboard_LoanBook!Q56&gt;=_config!$C$63,"ALERT",IF(Dashboard_LoanBook!Q56&gt;=_config!$B$63,"WATCH","OK")))</f>
        <v/>
      </c>
      <c r="BF9" s="28">
        <f>IF(NOT(ISNUMBER(Dashboard_LoanBook!R56)),"",IF(Dashboard_LoanBook!R56&gt;=_config!$C$64,"ALERT",IF(Dashboard_LoanBook!R56&gt;=_config!$B$64,"WATCH","OK")))</f>
        <v/>
      </c>
      <c r="BG9" s="28">
        <f>IF(NOT(ISNUMBER(Dashboard_LoanBook!S56)),"",IF(Dashboard_LoanBook!S56&gt;=_config!$C$65,"ALERT",IF(Dashboard_LoanBook!S56&gt;=_config!$B$65,"WATCH","OK")))</f>
        <v/>
      </c>
      <c r="BH9" s="28">
        <f>IF(NOT(ISNUMBER(Dashboard_Funding_Concentration!G12)),"",IF(Dashboard_Funding_Concentration!G12&gt;=_config!$C$66,"ALERT",IF(Dashboard_Funding_Concentration!G12&gt;=_config!$B$66,"WATCH","OK")))</f>
        <v/>
      </c>
      <c r="BI9" s="28">
        <f>IF(NOT(ISNUMBER(Dashboard_Funding_Concentration!H12)),"",IF(Dashboard_Funding_Concentration!H12&gt;=_config!$C$67,"ALERT",IF(Dashboard_Funding_Concentration!H12&gt;=_config!$B$67,"WATCH","OK")))</f>
        <v/>
      </c>
      <c r="BJ9" s="28">
        <f>IF(NOT(ISNUMBER(Dashboard_Funding_Concentration!I12)),"",IF(Dashboard_Funding_Concentration!I12&gt;=_config!$C$68,"ALERT",IF(Dashboard_Funding_Concentration!I12&gt;=_config!$B$68,"WATCH","OK")))</f>
        <v/>
      </c>
      <c r="BL9" s="28">
        <f>IF(NOT(ISNUMBER($E9)),"",$E9*10000+IF(ISNUMBER($D9),$D9,0))</f>
        <v/>
      </c>
    </row>
    <row r="10">
      <c r="A10" s="14">
        <f>IF(_config!$C$77="","",_config!$C$77)</f>
        <v/>
      </c>
      <c r="B10" s="25">
        <f>IF(_config!$B$77="","",_config!$B$77)</f>
        <v/>
      </c>
      <c r="C10" s="16">
        <f>IF(_config!$D$77="","",_config!$D$77)</f>
        <v/>
      </c>
      <c r="D10" s="26">
        <f>IF(Dashboard_AssetQuality!I13="","",Dashboard_AssetQuality!I13)</f>
        <v/>
      </c>
      <c r="E10" s="27">
        <f>IF($A10="","",COUNTIF($J10:$BJ10,"ALERT"))</f>
        <v/>
      </c>
      <c r="F10" s="27">
        <f>IF($A10="","",COUNTIF($J10:$BJ10,"WATCH"))</f>
        <v/>
      </c>
      <c r="G10" s="27">
        <f>IF($BL10="","",RANK($BL10,$BL$5:$BL$44))</f>
        <v/>
      </c>
      <c r="H10" s="27">
        <f>IF(_config!$C$77="","",IF(NOT(ISNUMBER(_config!$B$77)),"REFUSED: blank/invalid CERT -- run --lookup",IF(UPPER(_config!$E$77&amp;"")&lt;&gt;"TRUE","OFF",IF($E10&gt;0,"ALERT",IF($F10&gt;0,"WATCH","OK")))))</f>
        <v/>
      </c>
      <c r="J10" s="28">
        <f>IF(NOT(ISNUMBER(Dashboard_AssetQuality!D13)),"",IF(Dashboard_AssetQuality!D13&gt;=_config!$C$16,"ALERT",IF(Dashboard_AssetQuality!D13&gt;=_config!$B$16,"WATCH","OK")))</f>
        <v/>
      </c>
      <c r="K10" s="28">
        <f>IF(NOT(ISNUMBER(Dashboard_AssetQuality!E13)),"",IF(Dashboard_AssetQuality!E13&gt;=_config!$C$17,"ALERT",IF(Dashboard_AssetQuality!E13&gt;=_config!$B$17,"WATCH","OK")))</f>
        <v/>
      </c>
      <c r="L10" s="28">
        <f>IF(NOT(ISNUMBER(Dashboard_AssetQuality!F13)),"",IF(Dashboard_AssetQuality!F13&gt;=_config!$C$18,"ALERT",IF(Dashboard_AssetQuality!F13&gt;=_config!$B$18,"WATCH","OK")))</f>
        <v/>
      </c>
      <c r="M10" s="28">
        <f>IF(NOT(ISNUMBER(Dashboard_AssetQuality!G13)),"",IF(Dashboard_AssetQuality!G13&lt;=_config!$C$19,"ALERT",IF(Dashboard_AssetQuality!G13&lt;=_config!$B$19,"WATCH","OK")))</f>
        <v/>
      </c>
      <c r="N10" s="28">
        <f>IF(NOT(ISNUMBER(Dashboard_AssetQuality!H13)),"",IF(Dashboard_AssetQuality!H13&lt;=_config!$C$20,"ALERT",IF(Dashboard_AssetQuality!H13&lt;=_config!$B$20,"WATCH","OK")))</f>
        <v/>
      </c>
      <c r="O10" s="28">
        <f>IF(NOT(ISNUMBER(Dashboard_AssetQuality!I13)),"",IF(Dashboard_AssetQuality!I13&gt;=_config!$C$21,"ALERT",IF(Dashboard_AssetQuality!I13&gt;=_config!$B$21,"WATCH","OK")))</f>
        <v/>
      </c>
      <c r="P10" s="28">
        <f>IF(NOT(ISNUMBER(Dashboard_Capital_Earnings!D13)),"",IF(Dashboard_Capital_Earnings!D13&lt;=_config!$C$22,"ALERT",IF(Dashboard_Capital_Earnings!D13&lt;=_config!$B$22,"WATCH","OK")))</f>
        <v/>
      </c>
      <c r="Q10" s="28">
        <f>IF(NOT(ISNUMBER(Dashboard_Capital_Earnings!E13)),"",IF(Dashboard_Capital_Earnings!E13&lt;=_config!$C$23,"ALERT",IF(Dashboard_Capital_Earnings!E13&lt;=_config!$B$23,"WATCH","OK")))</f>
        <v/>
      </c>
      <c r="R10" s="28">
        <f>IF(NOT(ISNUMBER(Dashboard_Capital_Earnings!F13)),"",IF(Dashboard_Capital_Earnings!F13&lt;=_config!$C$24,"ALERT",IF(Dashboard_Capital_Earnings!F13&lt;=_config!$B$24,"WATCH","OK")))</f>
        <v/>
      </c>
      <c r="S10" s="28">
        <f>IF(NOT(ISNUMBER(Dashboard_Capital_Earnings!G13)),"",IF(Dashboard_Capital_Earnings!G13&lt;=_config!$C$25,"ALERT",IF(Dashboard_Capital_Earnings!G13&lt;=_config!$B$25,"WATCH","OK")))</f>
        <v/>
      </c>
      <c r="T10" s="28">
        <f>IF(NOT(ISNUMBER(Dashboard_Capital_Earnings!H13)),"",IF(Dashboard_Capital_Earnings!H13&lt;=_config!$C$26,"ALERT",IF(Dashboard_Capital_Earnings!H13&lt;=_config!$B$26,"WATCH","OK")))</f>
        <v/>
      </c>
      <c r="U10" s="28">
        <f>IF(NOT(ISNUMBER(Dashboard_Capital_Earnings!I13)),"",IF(Dashboard_Capital_Earnings!I13&gt;=_config!$C$27,"ALERT",IF(Dashboard_Capital_Earnings!I13&gt;=_config!$B$27,"WATCH","OK")))</f>
        <v/>
      </c>
      <c r="V10" s="28">
        <f>IF(NOT(ISNUMBER(Dashboard_Funding_Concentration!D13)),"",IF(Dashboard_Funding_Concentration!D13&gt;=_config!$C$28,"ALERT",IF(Dashboard_Funding_Concentration!D13&gt;=_config!$B$28,"WATCH","OK")))</f>
        <v/>
      </c>
      <c r="W10" s="28">
        <f>IF(NOT(ISNUMBER(Dashboard_Funding_Concentration!E13)),"",IF(Dashboard_Funding_Concentration!E13&gt;=_config!$C$29,"ALERT",IF(Dashboard_Funding_Concentration!E13&gt;=_config!$B$29,"WATCH","OK")))</f>
        <v/>
      </c>
      <c r="X10" s="28">
        <f>IF(NOT(ISNUMBER(Dashboard_Funding_Concentration!F13)),"",IF(Dashboard_Funding_Concentration!F13&gt;=_config!$C$30,"ALERT",IF(Dashboard_Funding_Concentration!F13&gt;=_config!$B$30,"WATCH","OK")))</f>
        <v/>
      </c>
      <c r="Y10" s="28">
        <f>IF(NOT(ISNUMBER(Dashboard_LoanBook!D13)),"",IF(Dashboard_LoanBook!D13&gt;=_config!$C$31,"ALERT",IF(Dashboard_LoanBook!D13&gt;=_config!$B$31,"WATCH","OK")))</f>
        <v/>
      </c>
      <c r="Z10" s="28">
        <f>IF(NOT(ISNUMBER(Dashboard_LoanBook!E13)),"",IF(Dashboard_LoanBook!E13&gt;=_config!$C$32,"ALERT",IF(Dashboard_LoanBook!E13&gt;=_config!$B$32,"WATCH","OK")))</f>
        <v/>
      </c>
      <c r="AA10" s="28">
        <f>IF(NOT(ISNUMBER(Dashboard_LoanBook!F13)),"",IF(Dashboard_LoanBook!F13&gt;=_config!$C$33,"ALERT",IF(Dashboard_LoanBook!F13&gt;=_config!$B$33,"WATCH","OK")))</f>
        <v/>
      </c>
      <c r="AB10" s="28">
        <f>IF(NOT(ISNUMBER(Dashboard_LoanBook!G13)),"",IF(Dashboard_LoanBook!G13&gt;=_config!$C$34,"ALERT",IF(Dashboard_LoanBook!G13&gt;=_config!$B$34,"WATCH","OK")))</f>
        <v/>
      </c>
      <c r="AC10" s="28">
        <f>IF(NOT(ISNUMBER(Dashboard_LoanBook!H13)),"",IF(Dashboard_LoanBook!H13&gt;=_config!$C$35,"ALERT",IF(Dashboard_LoanBook!H13&gt;=_config!$B$35,"WATCH","OK")))</f>
        <v/>
      </c>
      <c r="AD10" s="28">
        <f>IF(NOT(ISNUMBER(Dashboard_LoanBook!I13)),"",IF(Dashboard_LoanBook!I13&gt;=_config!$C$36,"ALERT",IF(Dashboard_LoanBook!I13&gt;=_config!$B$36,"WATCH","OK")))</f>
        <v/>
      </c>
      <c r="AE10" s="28">
        <f>IF(NOT(ISNUMBER(Dashboard_LoanBook!J13)),"",IF(Dashboard_LoanBook!J13&gt;=_config!$C$37,"ALERT",IF(Dashboard_LoanBook!J13&gt;=_config!$B$37,"WATCH","OK")))</f>
        <v/>
      </c>
      <c r="AF10" s="28">
        <f>IF(NOT(ISNUMBER(Dashboard_LoanBook!K13)),"",IF(Dashboard_LoanBook!K13&gt;=_config!$C$38,"ALERT",IF(Dashboard_LoanBook!K13&gt;=_config!$B$38,"WATCH","OK")))</f>
        <v/>
      </c>
      <c r="AG10" s="28">
        <f>IF(NOT(ISNUMBER(Dashboard_LoanBook!L13)),"",IF(Dashboard_LoanBook!L13&gt;=_config!$C$39,"ALERT",IF(Dashboard_LoanBook!L13&gt;=_config!$B$39,"WATCH","OK")))</f>
        <v/>
      </c>
      <c r="AH10" s="28">
        <f>IF(NOT(ISNUMBER(Dashboard_LoanBook!M13)),"",IF(Dashboard_LoanBook!M13&gt;=_config!$C$40,"ALERT",IF(Dashboard_LoanBook!M13&gt;=_config!$B$40,"WATCH","OK")))</f>
        <v/>
      </c>
      <c r="AI10" s="28">
        <f>IF(NOT(ISNUMBER(Dashboard_LoanBook!N13)),"",IF(Dashboard_LoanBook!N13&gt;=_config!$C$41,"ALERT",IF(Dashboard_LoanBook!N13&gt;=_config!$B$41,"WATCH","OK")))</f>
        <v/>
      </c>
      <c r="AJ10" s="28">
        <f>IF(NOT(ISNUMBER(Dashboard_LoanBook!O13)),"",IF(Dashboard_LoanBook!O13&gt;=_config!$C$42,"ALERT",IF(Dashboard_LoanBook!O13&gt;=_config!$B$42,"WATCH","OK")))</f>
        <v/>
      </c>
      <c r="AK10" s="28">
        <f>IF(NOT(ISNUMBER(Dashboard_LoanBook!P13)),"",IF(Dashboard_LoanBook!P13&gt;=_config!$C$43,"ALERT",IF(Dashboard_LoanBook!P13&gt;=_config!$B$43,"WATCH","OK")))</f>
        <v/>
      </c>
      <c r="AL10" s="28">
        <f>IF(NOT(ISNUMBER(Dashboard_LoanBook!Q13)),"",IF(Dashboard_LoanBook!Q13&gt;=_config!$C$44,"ALERT",IF(Dashboard_LoanBook!Q13&gt;=_config!$B$44,"WATCH","OK")))</f>
        <v/>
      </c>
      <c r="AM10" s="28">
        <f>IF(NOT(ISNUMBER(Dashboard_LoanBook!R13)),"",IF(Dashboard_LoanBook!R13&gt;=_config!$C$45,"ALERT",IF(Dashboard_LoanBook!R13&gt;=_config!$B$45,"WATCH","OK")))</f>
        <v/>
      </c>
      <c r="AN10" s="28">
        <f>IF(NOT(ISNUMBER(Dashboard_LoanBook!S13)),"",IF(Dashboard_LoanBook!S13&gt;=_config!$C$46,"ALERT",IF(Dashboard_LoanBook!S13&gt;=_config!$B$46,"WATCH","OK")))</f>
        <v/>
      </c>
      <c r="AO10" s="28">
        <f>IF(NOT(ISNUMBER(Dashboard_LoanBook!T13)),"",IF(Dashboard_LoanBook!T13&gt;=_config!$C$47,"ALERT",IF(Dashboard_LoanBook!T13&gt;=_config!$B$47,"WATCH","OK")))</f>
        <v/>
      </c>
      <c r="AP10" s="28">
        <f>IF(NOT(ISNUMBER(Dashboard_LoanBook!U13)),"",IF(Dashboard_LoanBook!U13&gt;=_config!$C$48,"ALERT",IF(Dashboard_LoanBook!U13&gt;=_config!$B$48,"WATCH","OK")))</f>
        <v/>
      </c>
      <c r="AQ10" s="28">
        <f>IF(NOT(ISNUMBER(Dashboard_LoanBook!V13)),"",IF(Dashboard_LoanBook!V13&gt;=_config!$C$49,"ALERT",IF(Dashboard_LoanBook!V13&gt;=_config!$B$49,"WATCH","OK")))</f>
        <v/>
      </c>
      <c r="AR10" s="28">
        <f>IF(NOT(ISNUMBER(Dashboard_LoanBook!D57)),"",IF(Dashboard_LoanBook!D57&gt;=_config!$C$50,"ALERT",IF(Dashboard_LoanBook!D57&gt;=_config!$B$50,"WATCH","OK")))</f>
        <v/>
      </c>
      <c r="AS10" s="28">
        <f>IF(NOT(ISNUMBER(Dashboard_LoanBook!E57)),"",IF(Dashboard_LoanBook!E57&gt;=_config!$C$51,"ALERT",IF(Dashboard_LoanBook!E57&gt;=_config!$B$51,"WATCH","OK")))</f>
        <v/>
      </c>
      <c r="AT10" s="28">
        <f>IF(NOT(ISNUMBER(Dashboard_LoanBook!F57)),"",IF(Dashboard_LoanBook!F57&gt;=_config!$C$52,"ALERT",IF(Dashboard_LoanBook!F57&gt;=_config!$B$52,"WATCH","OK")))</f>
        <v/>
      </c>
      <c r="AU10" s="28">
        <f>IF(NOT(ISNUMBER(Dashboard_LoanBook!G57)),"",IF(Dashboard_LoanBook!G57&gt;=_config!$C$53,"ALERT",IF(Dashboard_LoanBook!G57&gt;=_config!$B$53,"WATCH","OK")))</f>
        <v/>
      </c>
      <c r="AV10" s="28">
        <f>IF(NOT(ISNUMBER(Dashboard_LoanBook!H57)),"",IF(Dashboard_LoanBook!H57&gt;=_config!$C$54,"ALERT",IF(Dashboard_LoanBook!H57&gt;=_config!$B$54,"WATCH","OK")))</f>
        <v/>
      </c>
      <c r="AW10" s="28">
        <f>IF(NOT(ISNUMBER(Dashboard_LoanBook!I57)),"",IF(Dashboard_LoanBook!I57&gt;=_config!$C$55,"ALERT",IF(Dashboard_LoanBook!I57&gt;=_config!$B$55,"WATCH","OK")))</f>
        <v/>
      </c>
      <c r="AX10" s="28">
        <f>IF(NOT(ISNUMBER(Dashboard_LoanBook!J57)),"",IF(Dashboard_LoanBook!J57&gt;=_config!$C$56,"ALERT",IF(Dashboard_LoanBook!J57&gt;=_config!$B$56,"WATCH","OK")))</f>
        <v/>
      </c>
      <c r="AY10" s="28">
        <f>IF(NOT(ISNUMBER(Dashboard_LoanBook!K57)),"",IF(Dashboard_LoanBook!K57&gt;=_config!$C$57,"ALERT",IF(Dashboard_LoanBook!K57&gt;=_config!$B$57,"WATCH","OK")))</f>
        <v/>
      </c>
      <c r="AZ10" s="28">
        <f>IF(NOT(ISNUMBER(Dashboard_LoanBook!L57)),"",IF(Dashboard_LoanBook!L57&gt;=_config!$C$58,"ALERT",IF(Dashboard_LoanBook!L57&gt;=_config!$B$58,"WATCH","OK")))</f>
        <v/>
      </c>
      <c r="BA10" s="28">
        <f>IF(NOT(ISNUMBER(Dashboard_LoanBook!M57)),"",IF(Dashboard_LoanBook!M57&gt;=_config!$C$59,"ALERT",IF(Dashboard_LoanBook!M57&gt;=_config!$B$59,"WATCH","OK")))</f>
        <v/>
      </c>
      <c r="BB10" s="28">
        <f>IF(NOT(ISNUMBER(Dashboard_LoanBook!N57)),"",IF(Dashboard_LoanBook!N57&gt;=_config!$C$60,"ALERT",IF(Dashboard_LoanBook!N57&gt;=_config!$B$60,"WATCH","OK")))</f>
        <v/>
      </c>
      <c r="BC10" s="28">
        <f>IF(NOT(ISNUMBER(Dashboard_LoanBook!O57)),"",IF(Dashboard_LoanBook!O57&gt;=_config!$C$61,"ALERT",IF(Dashboard_LoanBook!O57&gt;=_config!$B$61,"WATCH","OK")))</f>
        <v/>
      </c>
      <c r="BD10" s="28">
        <f>IF(NOT(ISNUMBER(Dashboard_LoanBook!P57)),"",IF(Dashboard_LoanBook!P57&gt;=_config!$C$62,"ALERT",IF(Dashboard_LoanBook!P57&gt;=_config!$B$62,"WATCH","OK")))</f>
        <v/>
      </c>
      <c r="BE10" s="28">
        <f>IF(NOT(ISNUMBER(Dashboard_LoanBook!Q57)),"",IF(Dashboard_LoanBook!Q57&gt;=_config!$C$63,"ALERT",IF(Dashboard_LoanBook!Q57&gt;=_config!$B$63,"WATCH","OK")))</f>
        <v/>
      </c>
      <c r="BF10" s="28">
        <f>IF(NOT(ISNUMBER(Dashboard_LoanBook!R57)),"",IF(Dashboard_LoanBook!R57&gt;=_config!$C$64,"ALERT",IF(Dashboard_LoanBook!R57&gt;=_config!$B$64,"WATCH","OK")))</f>
        <v/>
      </c>
      <c r="BG10" s="28">
        <f>IF(NOT(ISNUMBER(Dashboard_LoanBook!S57)),"",IF(Dashboard_LoanBook!S57&gt;=_config!$C$65,"ALERT",IF(Dashboard_LoanBook!S57&gt;=_config!$B$65,"WATCH","OK")))</f>
        <v/>
      </c>
      <c r="BH10" s="28">
        <f>IF(NOT(ISNUMBER(Dashboard_Funding_Concentration!G13)),"",IF(Dashboard_Funding_Concentration!G13&gt;=_config!$C$66,"ALERT",IF(Dashboard_Funding_Concentration!G13&gt;=_config!$B$66,"WATCH","OK")))</f>
        <v/>
      </c>
      <c r="BI10" s="28">
        <f>IF(NOT(ISNUMBER(Dashboard_Funding_Concentration!H13)),"",IF(Dashboard_Funding_Concentration!H13&gt;=_config!$C$67,"ALERT",IF(Dashboard_Funding_Concentration!H13&gt;=_config!$B$67,"WATCH","OK")))</f>
        <v/>
      </c>
      <c r="BJ10" s="28">
        <f>IF(NOT(ISNUMBER(Dashboard_Funding_Concentration!I13)),"",IF(Dashboard_Funding_Concentration!I13&gt;=_config!$C$68,"ALERT",IF(Dashboard_Funding_Concentration!I13&gt;=_config!$B$68,"WATCH","OK")))</f>
        <v/>
      </c>
      <c r="BL10" s="28">
        <f>IF(NOT(ISNUMBER($E10)),"",$E10*10000+IF(ISNUMBER($D10),$D10,0))</f>
        <v/>
      </c>
    </row>
    <row r="11">
      <c r="A11" s="14">
        <f>IF(_config!$C$78="","",_config!$C$78)</f>
        <v/>
      </c>
      <c r="B11" s="25">
        <f>IF(_config!$B$78="","",_config!$B$78)</f>
        <v/>
      </c>
      <c r="C11" s="16">
        <f>IF(_config!$D$78="","",_config!$D$78)</f>
        <v/>
      </c>
      <c r="D11" s="26">
        <f>IF(Dashboard_AssetQuality!I14="","",Dashboard_AssetQuality!I14)</f>
        <v/>
      </c>
      <c r="E11" s="27">
        <f>IF($A11="","",COUNTIF($J11:$BJ11,"ALERT"))</f>
        <v/>
      </c>
      <c r="F11" s="27">
        <f>IF($A11="","",COUNTIF($J11:$BJ11,"WATCH"))</f>
        <v/>
      </c>
      <c r="G11" s="27">
        <f>IF($BL11="","",RANK($BL11,$BL$5:$BL$44))</f>
        <v/>
      </c>
      <c r="H11" s="27">
        <f>IF(_config!$C$78="","",IF(NOT(ISNUMBER(_config!$B$78)),"REFUSED: blank/invalid CERT -- run --lookup",IF(UPPER(_config!$E$78&amp;"")&lt;&gt;"TRUE","OFF",IF($E11&gt;0,"ALERT",IF($F11&gt;0,"WATCH","OK")))))</f>
        <v/>
      </c>
      <c r="J11" s="28">
        <f>IF(NOT(ISNUMBER(Dashboard_AssetQuality!D14)),"",IF(Dashboard_AssetQuality!D14&gt;=_config!$C$16,"ALERT",IF(Dashboard_AssetQuality!D14&gt;=_config!$B$16,"WATCH","OK")))</f>
        <v/>
      </c>
      <c r="K11" s="28">
        <f>IF(NOT(ISNUMBER(Dashboard_AssetQuality!E14)),"",IF(Dashboard_AssetQuality!E14&gt;=_config!$C$17,"ALERT",IF(Dashboard_AssetQuality!E14&gt;=_config!$B$17,"WATCH","OK")))</f>
        <v/>
      </c>
      <c r="L11" s="28">
        <f>IF(NOT(ISNUMBER(Dashboard_AssetQuality!F14)),"",IF(Dashboard_AssetQuality!F14&gt;=_config!$C$18,"ALERT",IF(Dashboard_AssetQuality!F14&gt;=_config!$B$18,"WATCH","OK")))</f>
        <v/>
      </c>
      <c r="M11" s="28">
        <f>IF(NOT(ISNUMBER(Dashboard_AssetQuality!G14)),"",IF(Dashboard_AssetQuality!G14&lt;=_config!$C$19,"ALERT",IF(Dashboard_AssetQuality!G14&lt;=_config!$B$19,"WATCH","OK")))</f>
        <v/>
      </c>
      <c r="N11" s="28">
        <f>IF(NOT(ISNUMBER(Dashboard_AssetQuality!H14)),"",IF(Dashboard_AssetQuality!H14&lt;=_config!$C$20,"ALERT",IF(Dashboard_AssetQuality!H14&lt;=_config!$B$20,"WATCH","OK")))</f>
        <v/>
      </c>
      <c r="O11" s="28">
        <f>IF(NOT(ISNUMBER(Dashboard_AssetQuality!I14)),"",IF(Dashboard_AssetQuality!I14&gt;=_config!$C$21,"ALERT",IF(Dashboard_AssetQuality!I14&gt;=_config!$B$21,"WATCH","OK")))</f>
        <v/>
      </c>
      <c r="P11" s="28">
        <f>IF(NOT(ISNUMBER(Dashboard_Capital_Earnings!D14)),"",IF(Dashboard_Capital_Earnings!D14&lt;=_config!$C$22,"ALERT",IF(Dashboard_Capital_Earnings!D14&lt;=_config!$B$22,"WATCH","OK")))</f>
        <v/>
      </c>
      <c r="Q11" s="28">
        <f>IF(NOT(ISNUMBER(Dashboard_Capital_Earnings!E14)),"",IF(Dashboard_Capital_Earnings!E14&lt;=_config!$C$23,"ALERT",IF(Dashboard_Capital_Earnings!E14&lt;=_config!$B$23,"WATCH","OK")))</f>
        <v/>
      </c>
      <c r="R11" s="28">
        <f>IF(NOT(ISNUMBER(Dashboard_Capital_Earnings!F14)),"",IF(Dashboard_Capital_Earnings!F14&lt;=_config!$C$24,"ALERT",IF(Dashboard_Capital_Earnings!F14&lt;=_config!$B$24,"WATCH","OK")))</f>
        <v/>
      </c>
      <c r="S11" s="28">
        <f>IF(NOT(ISNUMBER(Dashboard_Capital_Earnings!G14)),"",IF(Dashboard_Capital_Earnings!G14&lt;=_config!$C$25,"ALERT",IF(Dashboard_Capital_Earnings!G14&lt;=_config!$B$25,"WATCH","OK")))</f>
        <v/>
      </c>
      <c r="T11" s="28">
        <f>IF(NOT(ISNUMBER(Dashboard_Capital_Earnings!H14)),"",IF(Dashboard_Capital_Earnings!H14&lt;=_config!$C$26,"ALERT",IF(Dashboard_Capital_Earnings!H14&lt;=_config!$B$26,"WATCH","OK")))</f>
        <v/>
      </c>
      <c r="U11" s="28">
        <f>IF(NOT(ISNUMBER(Dashboard_Capital_Earnings!I14)),"",IF(Dashboard_Capital_Earnings!I14&gt;=_config!$C$27,"ALERT",IF(Dashboard_Capital_Earnings!I14&gt;=_config!$B$27,"WATCH","OK")))</f>
        <v/>
      </c>
      <c r="V11" s="28">
        <f>IF(NOT(ISNUMBER(Dashboard_Funding_Concentration!D14)),"",IF(Dashboard_Funding_Concentration!D14&gt;=_config!$C$28,"ALERT",IF(Dashboard_Funding_Concentration!D14&gt;=_config!$B$28,"WATCH","OK")))</f>
        <v/>
      </c>
      <c r="W11" s="28">
        <f>IF(NOT(ISNUMBER(Dashboard_Funding_Concentration!E14)),"",IF(Dashboard_Funding_Concentration!E14&gt;=_config!$C$29,"ALERT",IF(Dashboard_Funding_Concentration!E14&gt;=_config!$B$29,"WATCH","OK")))</f>
        <v/>
      </c>
      <c r="X11" s="28">
        <f>IF(NOT(ISNUMBER(Dashboard_Funding_Concentration!F14)),"",IF(Dashboard_Funding_Concentration!F14&gt;=_config!$C$30,"ALERT",IF(Dashboard_Funding_Concentration!F14&gt;=_config!$B$30,"WATCH","OK")))</f>
        <v/>
      </c>
      <c r="Y11" s="28">
        <f>IF(NOT(ISNUMBER(Dashboard_LoanBook!D14)),"",IF(Dashboard_LoanBook!D14&gt;=_config!$C$31,"ALERT",IF(Dashboard_LoanBook!D14&gt;=_config!$B$31,"WATCH","OK")))</f>
        <v/>
      </c>
      <c r="Z11" s="28">
        <f>IF(NOT(ISNUMBER(Dashboard_LoanBook!E14)),"",IF(Dashboard_LoanBook!E14&gt;=_config!$C$32,"ALERT",IF(Dashboard_LoanBook!E14&gt;=_config!$B$32,"WATCH","OK")))</f>
        <v/>
      </c>
      <c r="AA11" s="28">
        <f>IF(NOT(ISNUMBER(Dashboard_LoanBook!F14)),"",IF(Dashboard_LoanBook!F14&gt;=_config!$C$33,"ALERT",IF(Dashboard_LoanBook!F14&gt;=_config!$B$33,"WATCH","OK")))</f>
        <v/>
      </c>
      <c r="AB11" s="28">
        <f>IF(NOT(ISNUMBER(Dashboard_LoanBook!G14)),"",IF(Dashboard_LoanBook!G14&gt;=_config!$C$34,"ALERT",IF(Dashboard_LoanBook!G14&gt;=_config!$B$34,"WATCH","OK")))</f>
        <v/>
      </c>
      <c r="AC11" s="28">
        <f>IF(NOT(ISNUMBER(Dashboard_LoanBook!H14)),"",IF(Dashboard_LoanBook!H14&gt;=_config!$C$35,"ALERT",IF(Dashboard_LoanBook!H14&gt;=_config!$B$35,"WATCH","OK")))</f>
        <v/>
      </c>
      <c r="AD11" s="28">
        <f>IF(NOT(ISNUMBER(Dashboard_LoanBook!I14)),"",IF(Dashboard_LoanBook!I14&gt;=_config!$C$36,"ALERT",IF(Dashboard_LoanBook!I14&gt;=_config!$B$36,"WATCH","OK")))</f>
        <v/>
      </c>
      <c r="AE11" s="28">
        <f>IF(NOT(ISNUMBER(Dashboard_LoanBook!J14)),"",IF(Dashboard_LoanBook!J14&gt;=_config!$C$37,"ALERT",IF(Dashboard_LoanBook!J14&gt;=_config!$B$37,"WATCH","OK")))</f>
        <v/>
      </c>
      <c r="AF11" s="28">
        <f>IF(NOT(ISNUMBER(Dashboard_LoanBook!K14)),"",IF(Dashboard_LoanBook!K14&gt;=_config!$C$38,"ALERT",IF(Dashboard_LoanBook!K14&gt;=_config!$B$38,"WATCH","OK")))</f>
        <v/>
      </c>
      <c r="AG11" s="28">
        <f>IF(NOT(ISNUMBER(Dashboard_LoanBook!L14)),"",IF(Dashboard_LoanBook!L14&gt;=_config!$C$39,"ALERT",IF(Dashboard_LoanBook!L14&gt;=_config!$B$39,"WATCH","OK")))</f>
        <v/>
      </c>
      <c r="AH11" s="28">
        <f>IF(NOT(ISNUMBER(Dashboard_LoanBook!M14)),"",IF(Dashboard_LoanBook!M14&gt;=_config!$C$40,"ALERT",IF(Dashboard_LoanBook!M14&gt;=_config!$B$40,"WATCH","OK")))</f>
        <v/>
      </c>
      <c r="AI11" s="28">
        <f>IF(NOT(ISNUMBER(Dashboard_LoanBook!N14)),"",IF(Dashboard_LoanBook!N14&gt;=_config!$C$41,"ALERT",IF(Dashboard_LoanBook!N14&gt;=_config!$B$41,"WATCH","OK")))</f>
        <v/>
      </c>
      <c r="AJ11" s="28">
        <f>IF(NOT(ISNUMBER(Dashboard_LoanBook!O14)),"",IF(Dashboard_LoanBook!O14&gt;=_config!$C$42,"ALERT",IF(Dashboard_LoanBook!O14&gt;=_config!$B$42,"WATCH","OK")))</f>
        <v/>
      </c>
      <c r="AK11" s="28">
        <f>IF(NOT(ISNUMBER(Dashboard_LoanBook!P14)),"",IF(Dashboard_LoanBook!P14&gt;=_config!$C$43,"ALERT",IF(Dashboard_LoanBook!P14&gt;=_config!$B$43,"WATCH","OK")))</f>
        <v/>
      </c>
      <c r="AL11" s="28">
        <f>IF(NOT(ISNUMBER(Dashboard_LoanBook!Q14)),"",IF(Dashboard_LoanBook!Q14&gt;=_config!$C$44,"ALERT",IF(Dashboard_LoanBook!Q14&gt;=_config!$B$44,"WATCH","OK")))</f>
        <v/>
      </c>
      <c r="AM11" s="28">
        <f>IF(NOT(ISNUMBER(Dashboard_LoanBook!R14)),"",IF(Dashboard_LoanBook!R14&gt;=_config!$C$45,"ALERT",IF(Dashboard_LoanBook!R14&gt;=_config!$B$45,"WATCH","OK")))</f>
        <v/>
      </c>
      <c r="AN11" s="28">
        <f>IF(NOT(ISNUMBER(Dashboard_LoanBook!S14)),"",IF(Dashboard_LoanBook!S14&gt;=_config!$C$46,"ALERT",IF(Dashboard_LoanBook!S14&gt;=_config!$B$46,"WATCH","OK")))</f>
        <v/>
      </c>
      <c r="AO11" s="28">
        <f>IF(NOT(ISNUMBER(Dashboard_LoanBook!T14)),"",IF(Dashboard_LoanBook!T14&gt;=_config!$C$47,"ALERT",IF(Dashboard_LoanBook!T14&gt;=_config!$B$47,"WATCH","OK")))</f>
        <v/>
      </c>
      <c r="AP11" s="28">
        <f>IF(NOT(ISNUMBER(Dashboard_LoanBook!U14)),"",IF(Dashboard_LoanBook!U14&gt;=_config!$C$48,"ALERT",IF(Dashboard_LoanBook!U14&gt;=_config!$B$48,"WATCH","OK")))</f>
        <v/>
      </c>
      <c r="AQ11" s="28">
        <f>IF(NOT(ISNUMBER(Dashboard_LoanBook!V14)),"",IF(Dashboard_LoanBook!V14&gt;=_config!$C$49,"ALERT",IF(Dashboard_LoanBook!V14&gt;=_config!$B$49,"WATCH","OK")))</f>
        <v/>
      </c>
      <c r="AR11" s="28">
        <f>IF(NOT(ISNUMBER(Dashboard_LoanBook!D58)),"",IF(Dashboard_LoanBook!D58&gt;=_config!$C$50,"ALERT",IF(Dashboard_LoanBook!D58&gt;=_config!$B$50,"WATCH","OK")))</f>
        <v/>
      </c>
      <c r="AS11" s="28">
        <f>IF(NOT(ISNUMBER(Dashboard_LoanBook!E58)),"",IF(Dashboard_LoanBook!E58&gt;=_config!$C$51,"ALERT",IF(Dashboard_LoanBook!E58&gt;=_config!$B$51,"WATCH","OK")))</f>
        <v/>
      </c>
      <c r="AT11" s="28">
        <f>IF(NOT(ISNUMBER(Dashboard_LoanBook!F58)),"",IF(Dashboard_LoanBook!F58&gt;=_config!$C$52,"ALERT",IF(Dashboard_LoanBook!F58&gt;=_config!$B$52,"WATCH","OK")))</f>
        <v/>
      </c>
      <c r="AU11" s="28">
        <f>IF(NOT(ISNUMBER(Dashboard_LoanBook!G58)),"",IF(Dashboard_LoanBook!G58&gt;=_config!$C$53,"ALERT",IF(Dashboard_LoanBook!G58&gt;=_config!$B$53,"WATCH","OK")))</f>
        <v/>
      </c>
      <c r="AV11" s="28">
        <f>IF(NOT(ISNUMBER(Dashboard_LoanBook!H58)),"",IF(Dashboard_LoanBook!H58&gt;=_config!$C$54,"ALERT",IF(Dashboard_LoanBook!H58&gt;=_config!$B$54,"WATCH","OK")))</f>
        <v/>
      </c>
      <c r="AW11" s="28">
        <f>IF(NOT(ISNUMBER(Dashboard_LoanBook!I58)),"",IF(Dashboard_LoanBook!I58&gt;=_config!$C$55,"ALERT",IF(Dashboard_LoanBook!I58&gt;=_config!$B$55,"WATCH","OK")))</f>
        <v/>
      </c>
      <c r="AX11" s="28">
        <f>IF(NOT(ISNUMBER(Dashboard_LoanBook!J58)),"",IF(Dashboard_LoanBook!J58&gt;=_config!$C$56,"ALERT",IF(Dashboard_LoanBook!J58&gt;=_config!$B$56,"WATCH","OK")))</f>
        <v/>
      </c>
      <c r="AY11" s="28">
        <f>IF(NOT(ISNUMBER(Dashboard_LoanBook!K58)),"",IF(Dashboard_LoanBook!K58&gt;=_config!$C$57,"ALERT",IF(Dashboard_LoanBook!K58&gt;=_config!$B$57,"WATCH","OK")))</f>
        <v/>
      </c>
      <c r="AZ11" s="28">
        <f>IF(NOT(ISNUMBER(Dashboard_LoanBook!L58)),"",IF(Dashboard_LoanBook!L58&gt;=_config!$C$58,"ALERT",IF(Dashboard_LoanBook!L58&gt;=_config!$B$58,"WATCH","OK")))</f>
        <v/>
      </c>
      <c r="BA11" s="28">
        <f>IF(NOT(ISNUMBER(Dashboard_LoanBook!M58)),"",IF(Dashboard_LoanBook!M58&gt;=_config!$C$59,"ALERT",IF(Dashboard_LoanBook!M58&gt;=_config!$B$59,"WATCH","OK")))</f>
        <v/>
      </c>
      <c r="BB11" s="28">
        <f>IF(NOT(ISNUMBER(Dashboard_LoanBook!N58)),"",IF(Dashboard_LoanBook!N58&gt;=_config!$C$60,"ALERT",IF(Dashboard_LoanBook!N58&gt;=_config!$B$60,"WATCH","OK")))</f>
        <v/>
      </c>
      <c r="BC11" s="28">
        <f>IF(NOT(ISNUMBER(Dashboard_LoanBook!O58)),"",IF(Dashboard_LoanBook!O58&gt;=_config!$C$61,"ALERT",IF(Dashboard_LoanBook!O58&gt;=_config!$B$61,"WATCH","OK")))</f>
        <v/>
      </c>
      <c r="BD11" s="28">
        <f>IF(NOT(ISNUMBER(Dashboard_LoanBook!P58)),"",IF(Dashboard_LoanBook!P58&gt;=_config!$C$62,"ALERT",IF(Dashboard_LoanBook!P58&gt;=_config!$B$62,"WATCH","OK")))</f>
        <v/>
      </c>
      <c r="BE11" s="28">
        <f>IF(NOT(ISNUMBER(Dashboard_LoanBook!Q58)),"",IF(Dashboard_LoanBook!Q58&gt;=_config!$C$63,"ALERT",IF(Dashboard_LoanBook!Q58&gt;=_config!$B$63,"WATCH","OK")))</f>
        <v/>
      </c>
      <c r="BF11" s="28">
        <f>IF(NOT(ISNUMBER(Dashboard_LoanBook!R58)),"",IF(Dashboard_LoanBook!R58&gt;=_config!$C$64,"ALERT",IF(Dashboard_LoanBook!R58&gt;=_config!$B$64,"WATCH","OK")))</f>
        <v/>
      </c>
      <c r="BG11" s="28">
        <f>IF(NOT(ISNUMBER(Dashboard_LoanBook!S58)),"",IF(Dashboard_LoanBook!S58&gt;=_config!$C$65,"ALERT",IF(Dashboard_LoanBook!S58&gt;=_config!$B$65,"WATCH","OK")))</f>
        <v/>
      </c>
      <c r="BH11" s="28">
        <f>IF(NOT(ISNUMBER(Dashboard_Funding_Concentration!G14)),"",IF(Dashboard_Funding_Concentration!G14&gt;=_config!$C$66,"ALERT",IF(Dashboard_Funding_Concentration!G14&gt;=_config!$B$66,"WATCH","OK")))</f>
        <v/>
      </c>
      <c r="BI11" s="28">
        <f>IF(NOT(ISNUMBER(Dashboard_Funding_Concentration!H14)),"",IF(Dashboard_Funding_Concentration!H14&gt;=_config!$C$67,"ALERT",IF(Dashboard_Funding_Concentration!H14&gt;=_config!$B$67,"WATCH","OK")))</f>
        <v/>
      </c>
      <c r="BJ11" s="28">
        <f>IF(NOT(ISNUMBER(Dashboard_Funding_Concentration!I14)),"",IF(Dashboard_Funding_Concentration!I14&gt;=_config!$C$68,"ALERT",IF(Dashboard_Funding_Concentration!I14&gt;=_config!$B$68,"WATCH","OK")))</f>
        <v/>
      </c>
      <c r="BL11" s="28">
        <f>IF(NOT(ISNUMBER($E11)),"",$E11*10000+IF(ISNUMBER($D11),$D11,0))</f>
        <v/>
      </c>
    </row>
    <row r="12">
      <c r="A12" s="14">
        <f>IF(_config!$C$79="","",_config!$C$79)</f>
        <v/>
      </c>
      <c r="B12" s="25">
        <f>IF(_config!$B$79="","",_config!$B$79)</f>
        <v/>
      </c>
      <c r="C12" s="16">
        <f>IF(_config!$D$79="","",_config!$D$79)</f>
        <v/>
      </c>
      <c r="D12" s="26">
        <f>IF(Dashboard_AssetQuality!I15="","",Dashboard_AssetQuality!I15)</f>
        <v/>
      </c>
      <c r="E12" s="27">
        <f>IF($A12="","",COUNTIF($J12:$BJ12,"ALERT"))</f>
        <v/>
      </c>
      <c r="F12" s="27">
        <f>IF($A12="","",COUNTIF($J12:$BJ12,"WATCH"))</f>
        <v/>
      </c>
      <c r="G12" s="27">
        <f>IF($BL12="","",RANK($BL12,$BL$5:$BL$44))</f>
        <v/>
      </c>
      <c r="H12" s="27">
        <f>IF(_config!$C$79="","",IF(NOT(ISNUMBER(_config!$B$79)),"REFUSED: blank/invalid CERT -- run --lookup",IF(UPPER(_config!$E$79&amp;"")&lt;&gt;"TRUE","OFF",IF($E12&gt;0,"ALERT",IF($F12&gt;0,"WATCH","OK")))))</f>
        <v/>
      </c>
      <c r="J12" s="28">
        <f>IF(NOT(ISNUMBER(Dashboard_AssetQuality!D15)),"",IF(Dashboard_AssetQuality!D15&gt;=_config!$C$16,"ALERT",IF(Dashboard_AssetQuality!D15&gt;=_config!$B$16,"WATCH","OK")))</f>
        <v/>
      </c>
      <c r="K12" s="28">
        <f>IF(NOT(ISNUMBER(Dashboard_AssetQuality!E15)),"",IF(Dashboard_AssetQuality!E15&gt;=_config!$C$17,"ALERT",IF(Dashboard_AssetQuality!E15&gt;=_config!$B$17,"WATCH","OK")))</f>
        <v/>
      </c>
      <c r="L12" s="28">
        <f>IF(NOT(ISNUMBER(Dashboard_AssetQuality!F15)),"",IF(Dashboard_AssetQuality!F15&gt;=_config!$C$18,"ALERT",IF(Dashboard_AssetQuality!F15&gt;=_config!$B$18,"WATCH","OK")))</f>
        <v/>
      </c>
      <c r="M12" s="28">
        <f>IF(NOT(ISNUMBER(Dashboard_AssetQuality!G15)),"",IF(Dashboard_AssetQuality!G15&lt;=_config!$C$19,"ALERT",IF(Dashboard_AssetQuality!G15&lt;=_config!$B$19,"WATCH","OK")))</f>
        <v/>
      </c>
      <c r="N12" s="28">
        <f>IF(NOT(ISNUMBER(Dashboard_AssetQuality!H15)),"",IF(Dashboard_AssetQuality!H15&lt;=_config!$C$20,"ALERT",IF(Dashboard_AssetQuality!H15&lt;=_config!$B$20,"WATCH","OK")))</f>
        <v/>
      </c>
      <c r="O12" s="28">
        <f>IF(NOT(ISNUMBER(Dashboard_AssetQuality!I15)),"",IF(Dashboard_AssetQuality!I15&gt;=_config!$C$21,"ALERT",IF(Dashboard_AssetQuality!I15&gt;=_config!$B$21,"WATCH","OK")))</f>
        <v/>
      </c>
      <c r="P12" s="28">
        <f>IF(NOT(ISNUMBER(Dashboard_Capital_Earnings!D15)),"",IF(Dashboard_Capital_Earnings!D15&lt;=_config!$C$22,"ALERT",IF(Dashboard_Capital_Earnings!D15&lt;=_config!$B$22,"WATCH","OK")))</f>
        <v/>
      </c>
      <c r="Q12" s="28">
        <f>IF(NOT(ISNUMBER(Dashboard_Capital_Earnings!E15)),"",IF(Dashboard_Capital_Earnings!E15&lt;=_config!$C$23,"ALERT",IF(Dashboard_Capital_Earnings!E15&lt;=_config!$B$23,"WATCH","OK")))</f>
        <v/>
      </c>
      <c r="R12" s="28">
        <f>IF(NOT(ISNUMBER(Dashboard_Capital_Earnings!F15)),"",IF(Dashboard_Capital_Earnings!F15&lt;=_config!$C$24,"ALERT",IF(Dashboard_Capital_Earnings!F15&lt;=_config!$B$24,"WATCH","OK")))</f>
        <v/>
      </c>
      <c r="S12" s="28">
        <f>IF(NOT(ISNUMBER(Dashboard_Capital_Earnings!G15)),"",IF(Dashboard_Capital_Earnings!G15&lt;=_config!$C$25,"ALERT",IF(Dashboard_Capital_Earnings!G15&lt;=_config!$B$25,"WATCH","OK")))</f>
        <v/>
      </c>
      <c r="T12" s="28">
        <f>IF(NOT(ISNUMBER(Dashboard_Capital_Earnings!H15)),"",IF(Dashboard_Capital_Earnings!H15&lt;=_config!$C$26,"ALERT",IF(Dashboard_Capital_Earnings!H15&lt;=_config!$B$26,"WATCH","OK")))</f>
        <v/>
      </c>
      <c r="U12" s="28">
        <f>IF(NOT(ISNUMBER(Dashboard_Capital_Earnings!I15)),"",IF(Dashboard_Capital_Earnings!I15&gt;=_config!$C$27,"ALERT",IF(Dashboard_Capital_Earnings!I15&gt;=_config!$B$27,"WATCH","OK")))</f>
        <v/>
      </c>
      <c r="V12" s="28">
        <f>IF(NOT(ISNUMBER(Dashboard_Funding_Concentration!D15)),"",IF(Dashboard_Funding_Concentration!D15&gt;=_config!$C$28,"ALERT",IF(Dashboard_Funding_Concentration!D15&gt;=_config!$B$28,"WATCH","OK")))</f>
        <v/>
      </c>
      <c r="W12" s="28">
        <f>IF(NOT(ISNUMBER(Dashboard_Funding_Concentration!E15)),"",IF(Dashboard_Funding_Concentration!E15&gt;=_config!$C$29,"ALERT",IF(Dashboard_Funding_Concentration!E15&gt;=_config!$B$29,"WATCH","OK")))</f>
        <v/>
      </c>
      <c r="X12" s="28">
        <f>IF(NOT(ISNUMBER(Dashboard_Funding_Concentration!F15)),"",IF(Dashboard_Funding_Concentration!F15&gt;=_config!$C$30,"ALERT",IF(Dashboard_Funding_Concentration!F15&gt;=_config!$B$30,"WATCH","OK")))</f>
        <v/>
      </c>
      <c r="Y12" s="28">
        <f>IF(NOT(ISNUMBER(Dashboard_LoanBook!D15)),"",IF(Dashboard_LoanBook!D15&gt;=_config!$C$31,"ALERT",IF(Dashboard_LoanBook!D15&gt;=_config!$B$31,"WATCH","OK")))</f>
        <v/>
      </c>
      <c r="Z12" s="28">
        <f>IF(NOT(ISNUMBER(Dashboard_LoanBook!E15)),"",IF(Dashboard_LoanBook!E15&gt;=_config!$C$32,"ALERT",IF(Dashboard_LoanBook!E15&gt;=_config!$B$32,"WATCH","OK")))</f>
        <v/>
      </c>
      <c r="AA12" s="28">
        <f>IF(NOT(ISNUMBER(Dashboard_LoanBook!F15)),"",IF(Dashboard_LoanBook!F15&gt;=_config!$C$33,"ALERT",IF(Dashboard_LoanBook!F15&gt;=_config!$B$33,"WATCH","OK")))</f>
        <v/>
      </c>
      <c r="AB12" s="28">
        <f>IF(NOT(ISNUMBER(Dashboard_LoanBook!G15)),"",IF(Dashboard_LoanBook!G15&gt;=_config!$C$34,"ALERT",IF(Dashboard_LoanBook!G15&gt;=_config!$B$34,"WATCH","OK")))</f>
        <v/>
      </c>
      <c r="AC12" s="28">
        <f>IF(NOT(ISNUMBER(Dashboard_LoanBook!H15)),"",IF(Dashboard_LoanBook!H15&gt;=_config!$C$35,"ALERT",IF(Dashboard_LoanBook!H15&gt;=_config!$B$35,"WATCH","OK")))</f>
        <v/>
      </c>
      <c r="AD12" s="28">
        <f>IF(NOT(ISNUMBER(Dashboard_LoanBook!I15)),"",IF(Dashboard_LoanBook!I15&gt;=_config!$C$36,"ALERT",IF(Dashboard_LoanBook!I15&gt;=_config!$B$36,"WATCH","OK")))</f>
        <v/>
      </c>
      <c r="AE12" s="28">
        <f>IF(NOT(ISNUMBER(Dashboard_LoanBook!J15)),"",IF(Dashboard_LoanBook!J15&gt;=_config!$C$37,"ALERT",IF(Dashboard_LoanBook!J15&gt;=_config!$B$37,"WATCH","OK")))</f>
        <v/>
      </c>
      <c r="AF12" s="28">
        <f>IF(NOT(ISNUMBER(Dashboard_LoanBook!K15)),"",IF(Dashboard_LoanBook!K15&gt;=_config!$C$38,"ALERT",IF(Dashboard_LoanBook!K15&gt;=_config!$B$38,"WATCH","OK")))</f>
        <v/>
      </c>
      <c r="AG12" s="28">
        <f>IF(NOT(ISNUMBER(Dashboard_LoanBook!L15)),"",IF(Dashboard_LoanBook!L15&gt;=_config!$C$39,"ALERT",IF(Dashboard_LoanBook!L15&gt;=_config!$B$39,"WATCH","OK")))</f>
        <v/>
      </c>
      <c r="AH12" s="28">
        <f>IF(NOT(ISNUMBER(Dashboard_LoanBook!M15)),"",IF(Dashboard_LoanBook!M15&gt;=_config!$C$40,"ALERT",IF(Dashboard_LoanBook!M15&gt;=_config!$B$40,"WATCH","OK")))</f>
        <v/>
      </c>
      <c r="AI12" s="28">
        <f>IF(NOT(ISNUMBER(Dashboard_LoanBook!N15)),"",IF(Dashboard_LoanBook!N15&gt;=_config!$C$41,"ALERT",IF(Dashboard_LoanBook!N15&gt;=_config!$B$41,"WATCH","OK")))</f>
        <v/>
      </c>
      <c r="AJ12" s="28">
        <f>IF(NOT(ISNUMBER(Dashboard_LoanBook!O15)),"",IF(Dashboard_LoanBook!O15&gt;=_config!$C$42,"ALERT",IF(Dashboard_LoanBook!O15&gt;=_config!$B$42,"WATCH","OK")))</f>
        <v/>
      </c>
      <c r="AK12" s="28">
        <f>IF(NOT(ISNUMBER(Dashboard_LoanBook!P15)),"",IF(Dashboard_LoanBook!P15&gt;=_config!$C$43,"ALERT",IF(Dashboard_LoanBook!P15&gt;=_config!$B$43,"WATCH","OK")))</f>
        <v/>
      </c>
      <c r="AL12" s="28">
        <f>IF(NOT(ISNUMBER(Dashboard_LoanBook!Q15)),"",IF(Dashboard_LoanBook!Q15&gt;=_config!$C$44,"ALERT",IF(Dashboard_LoanBook!Q15&gt;=_config!$B$44,"WATCH","OK")))</f>
        <v/>
      </c>
      <c r="AM12" s="28">
        <f>IF(NOT(ISNUMBER(Dashboard_LoanBook!R15)),"",IF(Dashboard_LoanBook!R15&gt;=_config!$C$45,"ALERT",IF(Dashboard_LoanBook!R15&gt;=_config!$B$45,"WATCH","OK")))</f>
        <v/>
      </c>
      <c r="AN12" s="28">
        <f>IF(NOT(ISNUMBER(Dashboard_LoanBook!S15)),"",IF(Dashboard_LoanBook!S15&gt;=_config!$C$46,"ALERT",IF(Dashboard_LoanBook!S15&gt;=_config!$B$46,"WATCH","OK")))</f>
        <v/>
      </c>
      <c r="AO12" s="28">
        <f>IF(NOT(ISNUMBER(Dashboard_LoanBook!T15)),"",IF(Dashboard_LoanBook!T15&gt;=_config!$C$47,"ALERT",IF(Dashboard_LoanBook!T15&gt;=_config!$B$47,"WATCH","OK")))</f>
        <v/>
      </c>
      <c r="AP12" s="28">
        <f>IF(NOT(ISNUMBER(Dashboard_LoanBook!U15)),"",IF(Dashboard_LoanBook!U15&gt;=_config!$C$48,"ALERT",IF(Dashboard_LoanBook!U15&gt;=_config!$B$48,"WATCH","OK")))</f>
        <v/>
      </c>
      <c r="AQ12" s="28">
        <f>IF(NOT(ISNUMBER(Dashboard_LoanBook!V15)),"",IF(Dashboard_LoanBook!V15&gt;=_config!$C$49,"ALERT",IF(Dashboard_LoanBook!V15&gt;=_config!$B$49,"WATCH","OK")))</f>
        <v/>
      </c>
      <c r="AR12" s="28">
        <f>IF(NOT(ISNUMBER(Dashboard_LoanBook!D59)),"",IF(Dashboard_LoanBook!D59&gt;=_config!$C$50,"ALERT",IF(Dashboard_LoanBook!D59&gt;=_config!$B$50,"WATCH","OK")))</f>
        <v/>
      </c>
      <c r="AS12" s="28">
        <f>IF(NOT(ISNUMBER(Dashboard_LoanBook!E59)),"",IF(Dashboard_LoanBook!E59&gt;=_config!$C$51,"ALERT",IF(Dashboard_LoanBook!E59&gt;=_config!$B$51,"WATCH","OK")))</f>
        <v/>
      </c>
      <c r="AT12" s="28">
        <f>IF(NOT(ISNUMBER(Dashboard_LoanBook!F59)),"",IF(Dashboard_LoanBook!F59&gt;=_config!$C$52,"ALERT",IF(Dashboard_LoanBook!F59&gt;=_config!$B$52,"WATCH","OK")))</f>
        <v/>
      </c>
      <c r="AU12" s="28">
        <f>IF(NOT(ISNUMBER(Dashboard_LoanBook!G59)),"",IF(Dashboard_LoanBook!G59&gt;=_config!$C$53,"ALERT",IF(Dashboard_LoanBook!G59&gt;=_config!$B$53,"WATCH","OK")))</f>
        <v/>
      </c>
      <c r="AV12" s="28">
        <f>IF(NOT(ISNUMBER(Dashboard_LoanBook!H59)),"",IF(Dashboard_LoanBook!H59&gt;=_config!$C$54,"ALERT",IF(Dashboard_LoanBook!H59&gt;=_config!$B$54,"WATCH","OK")))</f>
        <v/>
      </c>
      <c r="AW12" s="28">
        <f>IF(NOT(ISNUMBER(Dashboard_LoanBook!I59)),"",IF(Dashboard_LoanBook!I59&gt;=_config!$C$55,"ALERT",IF(Dashboard_LoanBook!I59&gt;=_config!$B$55,"WATCH","OK")))</f>
        <v/>
      </c>
      <c r="AX12" s="28">
        <f>IF(NOT(ISNUMBER(Dashboard_LoanBook!J59)),"",IF(Dashboard_LoanBook!J59&gt;=_config!$C$56,"ALERT",IF(Dashboard_LoanBook!J59&gt;=_config!$B$56,"WATCH","OK")))</f>
        <v/>
      </c>
      <c r="AY12" s="28">
        <f>IF(NOT(ISNUMBER(Dashboard_LoanBook!K59)),"",IF(Dashboard_LoanBook!K59&gt;=_config!$C$57,"ALERT",IF(Dashboard_LoanBook!K59&gt;=_config!$B$57,"WATCH","OK")))</f>
        <v/>
      </c>
      <c r="AZ12" s="28">
        <f>IF(NOT(ISNUMBER(Dashboard_LoanBook!L59)),"",IF(Dashboard_LoanBook!L59&gt;=_config!$C$58,"ALERT",IF(Dashboard_LoanBook!L59&gt;=_config!$B$58,"WATCH","OK")))</f>
        <v/>
      </c>
      <c r="BA12" s="28">
        <f>IF(NOT(ISNUMBER(Dashboard_LoanBook!M59)),"",IF(Dashboard_LoanBook!M59&gt;=_config!$C$59,"ALERT",IF(Dashboard_LoanBook!M59&gt;=_config!$B$59,"WATCH","OK")))</f>
        <v/>
      </c>
      <c r="BB12" s="28">
        <f>IF(NOT(ISNUMBER(Dashboard_LoanBook!N59)),"",IF(Dashboard_LoanBook!N59&gt;=_config!$C$60,"ALERT",IF(Dashboard_LoanBook!N59&gt;=_config!$B$60,"WATCH","OK")))</f>
        <v/>
      </c>
      <c r="BC12" s="28">
        <f>IF(NOT(ISNUMBER(Dashboard_LoanBook!O59)),"",IF(Dashboard_LoanBook!O59&gt;=_config!$C$61,"ALERT",IF(Dashboard_LoanBook!O59&gt;=_config!$B$61,"WATCH","OK")))</f>
        <v/>
      </c>
      <c r="BD12" s="28">
        <f>IF(NOT(ISNUMBER(Dashboard_LoanBook!P59)),"",IF(Dashboard_LoanBook!P59&gt;=_config!$C$62,"ALERT",IF(Dashboard_LoanBook!P59&gt;=_config!$B$62,"WATCH","OK")))</f>
        <v/>
      </c>
      <c r="BE12" s="28">
        <f>IF(NOT(ISNUMBER(Dashboard_LoanBook!Q59)),"",IF(Dashboard_LoanBook!Q59&gt;=_config!$C$63,"ALERT",IF(Dashboard_LoanBook!Q59&gt;=_config!$B$63,"WATCH","OK")))</f>
        <v/>
      </c>
      <c r="BF12" s="28">
        <f>IF(NOT(ISNUMBER(Dashboard_LoanBook!R59)),"",IF(Dashboard_LoanBook!R59&gt;=_config!$C$64,"ALERT",IF(Dashboard_LoanBook!R59&gt;=_config!$B$64,"WATCH","OK")))</f>
        <v/>
      </c>
      <c r="BG12" s="28">
        <f>IF(NOT(ISNUMBER(Dashboard_LoanBook!S59)),"",IF(Dashboard_LoanBook!S59&gt;=_config!$C$65,"ALERT",IF(Dashboard_LoanBook!S59&gt;=_config!$B$65,"WATCH","OK")))</f>
        <v/>
      </c>
      <c r="BH12" s="28">
        <f>IF(NOT(ISNUMBER(Dashboard_Funding_Concentration!G15)),"",IF(Dashboard_Funding_Concentration!G15&gt;=_config!$C$66,"ALERT",IF(Dashboard_Funding_Concentration!G15&gt;=_config!$B$66,"WATCH","OK")))</f>
        <v/>
      </c>
      <c r="BI12" s="28">
        <f>IF(NOT(ISNUMBER(Dashboard_Funding_Concentration!H15)),"",IF(Dashboard_Funding_Concentration!H15&gt;=_config!$C$67,"ALERT",IF(Dashboard_Funding_Concentration!H15&gt;=_config!$B$67,"WATCH","OK")))</f>
        <v/>
      </c>
      <c r="BJ12" s="28">
        <f>IF(NOT(ISNUMBER(Dashboard_Funding_Concentration!I15)),"",IF(Dashboard_Funding_Concentration!I15&gt;=_config!$C$68,"ALERT",IF(Dashboard_Funding_Concentration!I15&gt;=_config!$B$68,"WATCH","OK")))</f>
        <v/>
      </c>
      <c r="BL12" s="28">
        <f>IF(NOT(ISNUMBER($E12)),"",$E12*10000+IF(ISNUMBER($D12),$D12,0))</f>
        <v/>
      </c>
    </row>
    <row r="13">
      <c r="A13" s="14">
        <f>IF(_config!$C$80="","",_config!$C$80)</f>
        <v/>
      </c>
      <c r="B13" s="25">
        <f>IF(_config!$B$80="","",_config!$B$80)</f>
        <v/>
      </c>
      <c r="C13" s="16">
        <f>IF(_config!$D$80="","",_config!$D$80)</f>
        <v/>
      </c>
      <c r="D13" s="26">
        <f>IF(Dashboard_AssetQuality!I16="","",Dashboard_AssetQuality!I16)</f>
        <v/>
      </c>
      <c r="E13" s="27">
        <f>IF($A13="","",COUNTIF($J13:$BJ13,"ALERT"))</f>
        <v/>
      </c>
      <c r="F13" s="27">
        <f>IF($A13="","",COUNTIF($J13:$BJ13,"WATCH"))</f>
        <v/>
      </c>
      <c r="G13" s="27">
        <f>IF($BL13="","",RANK($BL13,$BL$5:$BL$44))</f>
        <v/>
      </c>
      <c r="H13" s="27">
        <f>IF(_config!$C$80="","",IF(NOT(ISNUMBER(_config!$B$80)),"REFUSED: blank/invalid CERT -- run --lookup",IF(UPPER(_config!$E$80&amp;"")&lt;&gt;"TRUE","OFF",IF($E13&gt;0,"ALERT",IF($F13&gt;0,"WATCH","OK")))))</f>
        <v/>
      </c>
      <c r="J13" s="28">
        <f>IF(NOT(ISNUMBER(Dashboard_AssetQuality!D16)),"",IF(Dashboard_AssetQuality!D16&gt;=_config!$C$16,"ALERT",IF(Dashboard_AssetQuality!D16&gt;=_config!$B$16,"WATCH","OK")))</f>
        <v/>
      </c>
      <c r="K13" s="28">
        <f>IF(NOT(ISNUMBER(Dashboard_AssetQuality!E16)),"",IF(Dashboard_AssetQuality!E16&gt;=_config!$C$17,"ALERT",IF(Dashboard_AssetQuality!E16&gt;=_config!$B$17,"WATCH","OK")))</f>
        <v/>
      </c>
      <c r="L13" s="28">
        <f>IF(NOT(ISNUMBER(Dashboard_AssetQuality!F16)),"",IF(Dashboard_AssetQuality!F16&gt;=_config!$C$18,"ALERT",IF(Dashboard_AssetQuality!F16&gt;=_config!$B$18,"WATCH","OK")))</f>
        <v/>
      </c>
      <c r="M13" s="28">
        <f>IF(NOT(ISNUMBER(Dashboard_AssetQuality!G16)),"",IF(Dashboard_AssetQuality!G16&lt;=_config!$C$19,"ALERT",IF(Dashboard_AssetQuality!G16&lt;=_config!$B$19,"WATCH","OK")))</f>
        <v/>
      </c>
      <c r="N13" s="28">
        <f>IF(NOT(ISNUMBER(Dashboard_AssetQuality!H16)),"",IF(Dashboard_AssetQuality!H16&lt;=_config!$C$20,"ALERT",IF(Dashboard_AssetQuality!H16&lt;=_config!$B$20,"WATCH","OK")))</f>
        <v/>
      </c>
      <c r="O13" s="28">
        <f>IF(NOT(ISNUMBER(Dashboard_AssetQuality!I16)),"",IF(Dashboard_AssetQuality!I16&gt;=_config!$C$21,"ALERT",IF(Dashboard_AssetQuality!I16&gt;=_config!$B$21,"WATCH","OK")))</f>
        <v/>
      </c>
      <c r="P13" s="28">
        <f>IF(NOT(ISNUMBER(Dashboard_Capital_Earnings!D16)),"",IF(Dashboard_Capital_Earnings!D16&lt;=_config!$C$22,"ALERT",IF(Dashboard_Capital_Earnings!D16&lt;=_config!$B$22,"WATCH","OK")))</f>
        <v/>
      </c>
      <c r="Q13" s="28">
        <f>IF(NOT(ISNUMBER(Dashboard_Capital_Earnings!E16)),"",IF(Dashboard_Capital_Earnings!E16&lt;=_config!$C$23,"ALERT",IF(Dashboard_Capital_Earnings!E16&lt;=_config!$B$23,"WATCH","OK")))</f>
        <v/>
      </c>
      <c r="R13" s="28">
        <f>IF(NOT(ISNUMBER(Dashboard_Capital_Earnings!F16)),"",IF(Dashboard_Capital_Earnings!F16&lt;=_config!$C$24,"ALERT",IF(Dashboard_Capital_Earnings!F16&lt;=_config!$B$24,"WATCH","OK")))</f>
        <v/>
      </c>
      <c r="S13" s="28">
        <f>IF(NOT(ISNUMBER(Dashboard_Capital_Earnings!G16)),"",IF(Dashboard_Capital_Earnings!G16&lt;=_config!$C$25,"ALERT",IF(Dashboard_Capital_Earnings!G16&lt;=_config!$B$25,"WATCH","OK")))</f>
        <v/>
      </c>
      <c r="T13" s="28">
        <f>IF(NOT(ISNUMBER(Dashboard_Capital_Earnings!H16)),"",IF(Dashboard_Capital_Earnings!H16&lt;=_config!$C$26,"ALERT",IF(Dashboard_Capital_Earnings!H16&lt;=_config!$B$26,"WATCH","OK")))</f>
        <v/>
      </c>
      <c r="U13" s="28">
        <f>IF(NOT(ISNUMBER(Dashboard_Capital_Earnings!I16)),"",IF(Dashboard_Capital_Earnings!I16&gt;=_config!$C$27,"ALERT",IF(Dashboard_Capital_Earnings!I16&gt;=_config!$B$27,"WATCH","OK")))</f>
        <v/>
      </c>
      <c r="V13" s="28">
        <f>IF(NOT(ISNUMBER(Dashboard_Funding_Concentration!D16)),"",IF(Dashboard_Funding_Concentration!D16&gt;=_config!$C$28,"ALERT",IF(Dashboard_Funding_Concentration!D16&gt;=_config!$B$28,"WATCH","OK")))</f>
        <v/>
      </c>
      <c r="W13" s="28">
        <f>IF(NOT(ISNUMBER(Dashboard_Funding_Concentration!E16)),"",IF(Dashboard_Funding_Concentration!E16&gt;=_config!$C$29,"ALERT",IF(Dashboard_Funding_Concentration!E16&gt;=_config!$B$29,"WATCH","OK")))</f>
        <v/>
      </c>
      <c r="X13" s="28">
        <f>IF(NOT(ISNUMBER(Dashboard_Funding_Concentration!F16)),"",IF(Dashboard_Funding_Concentration!F16&gt;=_config!$C$30,"ALERT",IF(Dashboard_Funding_Concentration!F16&gt;=_config!$B$30,"WATCH","OK")))</f>
        <v/>
      </c>
      <c r="Y13" s="28">
        <f>IF(NOT(ISNUMBER(Dashboard_LoanBook!D16)),"",IF(Dashboard_LoanBook!D16&gt;=_config!$C$31,"ALERT",IF(Dashboard_LoanBook!D16&gt;=_config!$B$31,"WATCH","OK")))</f>
        <v/>
      </c>
      <c r="Z13" s="28">
        <f>IF(NOT(ISNUMBER(Dashboard_LoanBook!E16)),"",IF(Dashboard_LoanBook!E16&gt;=_config!$C$32,"ALERT",IF(Dashboard_LoanBook!E16&gt;=_config!$B$32,"WATCH","OK")))</f>
        <v/>
      </c>
      <c r="AA13" s="28">
        <f>IF(NOT(ISNUMBER(Dashboard_LoanBook!F16)),"",IF(Dashboard_LoanBook!F16&gt;=_config!$C$33,"ALERT",IF(Dashboard_LoanBook!F16&gt;=_config!$B$33,"WATCH","OK")))</f>
        <v/>
      </c>
      <c r="AB13" s="28">
        <f>IF(NOT(ISNUMBER(Dashboard_LoanBook!G16)),"",IF(Dashboard_LoanBook!G16&gt;=_config!$C$34,"ALERT",IF(Dashboard_LoanBook!G16&gt;=_config!$B$34,"WATCH","OK")))</f>
        <v/>
      </c>
      <c r="AC13" s="28">
        <f>IF(NOT(ISNUMBER(Dashboard_LoanBook!H16)),"",IF(Dashboard_LoanBook!H16&gt;=_config!$C$35,"ALERT",IF(Dashboard_LoanBook!H16&gt;=_config!$B$35,"WATCH","OK")))</f>
        <v/>
      </c>
      <c r="AD13" s="28">
        <f>IF(NOT(ISNUMBER(Dashboard_LoanBook!I16)),"",IF(Dashboard_LoanBook!I16&gt;=_config!$C$36,"ALERT",IF(Dashboard_LoanBook!I16&gt;=_config!$B$36,"WATCH","OK")))</f>
        <v/>
      </c>
      <c r="AE13" s="28">
        <f>IF(NOT(ISNUMBER(Dashboard_LoanBook!J16)),"",IF(Dashboard_LoanBook!J16&gt;=_config!$C$37,"ALERT",IF(Dashboard_LoanBook!J16&gt;=_config!$B$37,"WATCH","OK")))</f>
        <v/>
      </c>
      <c r="AF13" s="28">
        <f>IF(NOT(ISNUMBER(Dashboard_LoanBook!K16)),"",IF(Dashboard_LoanBook!K16&gt;=_config!$C$38,"ALERT",IF(Dashboard_LoanBook!K16&gt;=_config!$B$38,"WATCH","OK")))</f>
        <v/>
      </c>
      <c r="AG13" s="28">
        <f>IF(NOT(ISNUMBER(Dashboard_LoanBook!L16)),"",IF(Dashboard_LoanBook!L16&gt;=_config!$C$39,"ALERT",IF(Dashboard_LoanBook!L16&gt;=_config!$B$39,"WATCH","OK")))</f>
        <v/>
      </c>
      <c r="AH13" s="28">
        <f>IF(NOT(ISNUMBER(Dashboard_LoanBook!M16)),"",IF(Dashboard_LoanBook!M16&gt;=_config!$C$40,"ALERT",IF(Dashboard_LoanBook!M16&gt;=_config!$B$40,"WATCH","OK")))</f>
        <v/>
      </c>
      <c r="AI13" s="28">
        <f>IF(NOT(ISNUMBER(Dashboard_LoanBook!N16)),"",IF(Dashboard_LoanBook!N16&gt;=_config!$C$41,"ALERT",IF(Dashboard_LoanBook!N16&gt;=_config!$B$41,"WATCH","OK")))</f>
        <v/>
      </c>
      <c r="AJ13" s="28">
        <f>IF(NOT(ISNUMBER(Dashboard_LoanBook!O16)),"",IF(Dashboard_LoanBook!O16&gt;=_config!$C$42,"ALERT",IF(Dashboard_LoanBook!O16&gt;=_config!$B$42,"WATCH","OK")))</f>
        <v/>
      </c>
      <c r="AK13" s="28">
        <f>IF(NOT(ISNUMBER(Dashboard_LoanBook!P16)),"",IF(Dashboard_LoanBook!P16&gt;=_config!$C$43,"ALERT",IF(Dashboard_LoanBook!P16&gt;=_config!$B$43,"WATCH","OK")))</f>
        <v/>
      </c>
      <c r="AL13" s="28">
        <f>IF(NOT(ISNUMBER(Dashboard_LoanBook!Q16)),"",IF(Dashboard_LoanBook!Q16&gt;=_config!$C$44,"ALERT",IF(Dashboard_LoanBook!Q16&gt;=_config!$B$44,"WATCH","OK")))</f>
        <v/>
      </c>
      <c r="AM13" s="28">
        <f>IF(NOT(ISNUMBER(Dashboard_LoanBook!R16)),"",IF(Dashboard_LoanBook!R16&gt;=_config!$C$45,"ALERT",IF(Dashboard_LoanBook!R16&gt;=_config!$B$45,"WATCH","OK")))</f>
        <v/>
      </c>
      <c r="AN13" s="28">
        <f>IF(NOT(ISNUMBER(Dashboard_LoanBook!S16)),"",IF(Dashboard_LoanBook!S16&gt;=_config!$C$46,"ALERT",IF(Dashboard_LoanBook!S16&gt;=_config!$B$46,"WATCH","OK")))</f>
        <v/>
      </c>
      <c r="AO13" s="28">
        <f>IF(NOT(ISNUMBER(Dashboard_LoanBook!T16)),"",IF(Dashboard_LoanBook!T16&gt;=_config!$C$47,"ALERT",IF(Dashboard_LoanBook!T16&gt;=_config!$B$47,"WATCH","OK")))</f>
        <v/>
      </c>
      <c r="AP13" s="28">
        <f>IF(NOT(ISNUMBER(Dashboard_LoanBook!U16)),"",IF(Dashboard_LoanBook!U16&gt;=_config!$C$48,"ALERT",IF(Dashboard_LoanBook!U16&gt;=_config!$B$48,"WATCH","OK")))</f>
        <v/>
      </c>
      <c r="AQ13" s="28">
        <f>IF(NOT(ISNUMBER(Dashboard_LoanBook!V16)),"",IF(Dashboard_LoanBook!V16&gt;=_config!$C$49,"ALERT",IF(Dashboard_LoanBook!V16&gt;=_config!$B$49,"WATCH","OK")))</f>
        <v/>
      </c>
      <c r="AR13" s="28">
        <f>IF(NOT(ISNUMBER(Dashboard_LoanBook!D60)),"",IF(Dashboard_LoanBook!D60&gt;=_config!$C$50,"ALERT",IF(Dashboard_LoanBook!D60&gt;=_config!$B$50,"WATCH","OK")))</f>
        <v/>
      </c>
      <c r="AS13" s="28">
        <f>IF(NOT(ISNUMBER(Dashboard_LoanBook!E60)),"",IF(Dashboard_LoanBook!E60&gt;=_config!$C$51,"ALERT",IF(Dashboard_LoanBook!E60&gt;=_config!$B$51,"WATCH","OK")))</f>
        <v/>
      </c>
      <c r="AT13" s="28">
        <f>IF(NOT(ISNUMBER(Dashboard_LoanBook!F60)),"",IF(Dashboard_LoanBook!F60&gt;=_config!$C$52,"ALERT",IF(Dashboard_LoanBook!F60&gt;=_config!$B$52,"WATCH","OK")))</f>
        <v/>
      </c>
      <c r="AU13" s="28">
        <f>IF(NOT(ISNUMBER(Dashboard_LoanBook!G60)),"",IF(Dashboard_LoanBook!G60&gt;=_config!$C$53,"ALERT",IF(Dashboard_LoanBook!G60&gt;=_config!$B$53,"WATCH","OK")))</f>
        <v/>
      </c>
      <c r="AV13" s="28">
        <f>IF(NOT(ISNUMBER(Dashboard_LoanBook!H60)),"",IF(Dashboard_LoanBook!H60&gt;=_config!$C$54,"ALERT",IF(Dashboard_LoanBook!H60&gt;=_config!$B$54,"WATCH","OK")))</f>
        <v/>
      </c>
      <c r="AW13" s="28">
        <f>IF(NOT(ISNUMBER(Dashboard_LoanBook!I60)),"",IF(Dashboard_LoanBook!I60&gt;=_config!$C$55,"ALERT",IF(Dashboard_LoanBook!I60&gt;=_config!$B$55,"WATCH","OK")))</f>
        <v/>
      </c>
      <c r="AX13" s="28">
        <f>IF(NOT(ISNUMBER(Dashboard_LoanBook!J60)),"",IF(Dashboard_LoanBook!J60&gt;=_config!$C$56,"ALERT",IF(Dashboard_LoanBook!J60&gt;=_config!$B$56,"WATCH","OK")))</f>
        <v/>
      </c>
      <c r="AY13" s="28">
        <f>IF(NOT(ISNUMBER(Dashboard_LoanBook!K60)),"",IF(Dashboard_LoanBook!K60&gt;=_config!$C$57,"ALERT",IF(Dashboard_LoanBook!K60&gt;=_config!$B$57,"WATCH","OK")))</f>
        <v/>
      </c>
      <c r="AZ13" s="28">
        <f>IF(NOT(ISNUMBER(Dashboard_LoanBook!L60)),"",IF(Dashboard_LoanBook!L60&gt;=_config!$C$58,"ALERT",IF(Dashboard_LoanBook!L60&gt;=_config!$B$58,"WATCH","OK")))</f>
        <v/>
      </c>
      <c r="BA13" s="28">
        <f>IF(NOT(ISNUMBER(Dashboard_LoanBook!M60)),"",IF(Dashboard_LoanBook!M60&gt;=_config!$C$59,"ALERT",IF(Dashboard_LoanBook!M60&gt;=_config!$B$59,"WATCH","OK")))</f>
        <v/>
      </c>
      <c r="BB13" s="28">
        <f>IF(NOT(ISNUMBER(Dashboard_LoanBook!N60)),"",IF(Dashboard_LoanBook!N60&gt;=_config!$C$60,"ALERT",IF(Dashboard_LoanBook!N60&gt;=_config!$B$60,"WATCH","OK")))</f>
        <v/>
      </c>
      <c r="BC13" s="28">
        <f>IF(NOT(ISNUMBER(Dashboard_LoanBook!O60)),"",IF(Dashboard_LoanBook!O60&gt;=_config!$C$61,"ALERT",IF(Dashboard_LoanBook!O60&gt;=_config!$B$61,"WATCH","OK")))</f>
        <v/>
      </c>
      <c r="BD13" s="28">
        <f>IF(NOT(ISNUMBER(Dashboard_LoanBook!P60)),"",IF(Dashboard_LoanBook!P60&gt;=_config!$C$62,"ALERT",IF(Dashboard_LoanBook!P60&gt;=_config!$B$62,"WATCH","OK")))</f>
        <v/>
      </c>
      <c r="BE13" s="28">
        <f>IF(NOT(ISNUMBER(Dashboard_LoanBook!Q60)),"",IF(Dashboard_LoanBook!Q60&gt;=_config!$C$63,"ALERT",IF(Dashboard_LoanBook!Q60&gt;=_config!$B$63,"WATCH","OK")))</f>
        <v/>
      </c>
      <c r="BF13" s="28">
        <f>IF(NOT(ISNUMBER(Dashboard_LoanBook!R60)),"",IF(Dashboard_LoanBook!R60&gt;=_config!$C$64,"ALERT",IF(Dashboard_LoanBook!R60&gt;=_config!$B$64,"WATCH","OK")))</f>
        <v/>
      </c>
      <c r="BG13" s="28">
        <f>IF(NOT(ISNUMBER(Dashboard_LoanBook!S60)),"",IF(Dashboard_LoanBook!S60&gt;=_config!$C$65,"ALERT",IF(Dashboard_LoanBook!S60&gt;=_config!$B$65,"WATCH","OK")))</f>
        <v/>
      </c>
      <c r="BH13" s="28">
        <f>IF(NOT(ISNUMBER(Dashboard_Funding_Concentration!G16)),"",IF(Dashboard_Funding_Concentration!G16&gt;=_config!$C$66,"ALERT",IF(Dashboard_Funding_Concentration!G16&gt;=_config!$B$66,"WATCH","OK")))</f>
        <v/>
      </c>
      <c r="BI13" s="28">
        <f>IF(NOT(ISNUMBER(Dashboard_Funding_Concentration!H16)),"",IF(Dashboard_Funding_Concentration!H16&gt;=_config!$C$67,"ALERT",IF(Dashboard_Funding_Concentration!H16&gt;=_config!$B$67,"WATCH","OK")))</f>
        <v/>
      </c>
      <c r="BJ13" s="28">
        <f>IF(NOT(ISNUMBER(Dashboard_Funding_Concentration!I16)),"",IF(Dashboard_Funding_Concentration!I16&gt;=_config!$C$68,"ALERT",IF(Dashboard_Funding_Concentration!I16&gt;=_config!$B$68,"WATCH","OK")))</f>
        <v/>
      </c>
      <c r="BL13" s="28">
        <f>IF(NOT(ISNUMBER($E13)),"",$E13*10000+IF(ISNUMBER($D13),$D13,0))</f>
        <v/>
      </c>
    </row>
    <row r="14">
      <c r="A14" s="14">
        <f>IF(_config!$C$81="","",_config!$C$81)</f>
        <v/>
      </c>
      <c r="B14" s="25">
        <f>IF(_config!$B$81="","",_config!$B$81)</f>
        <v/>
      </c>
      <c r="C14" s="16">
        <f>IF(_config!$D$81="","",_config!$D$81)</f>
        <v/>
      </c>
      <c r="D14" s="26">
        <f>IF(Dashboard_AssetQuality!I17="","",Dashboard_AssetQuality!I17)</f>
        <v/>
      </c>
      <c r="E14" s="27">
        <f>IF($A14="","",COUNTIF($J14:$BJ14,"ALERT"))</f>
        <v/>
      </c>
      <c r="F14" s="27">
        <f>IF($A14="","",COUNTIF($J14:$BJ14,"WATCH"))</f>
        <v/>
      </c>
      <c r="G14" s="27">
        <f>IF($BL14="","",RANK($BL14,$BL$5:$BL$44))</f>
        <v/>
      </c>
      <c r="H14" s="27">
        <f>IF(_config!$C$81="","",IF(NOT(ISNUMBER(_config!$B$81)),"REFUSED: blank/invalid CERT -- run --lookup",IF(UPPER(_config!$E$81&amp;"")&lt;&gt;"TRUE","OFF",IF($E14&gt;0,"ALERT",IF($F14&gt;0,"WATCH","OK")))))</f>
        <v/>
      </c>
      <c r="J14" s="28">
        <f>IF(NOT(ISNUMBER(Dashboard_AssetQuality!D17)),"",IF(Dashboard_AssetQuality!D17&gt;=_config!$C$16,"ALERT",IF(Dashboard_AssetQuality!D17&gt;=_config!$B$16,"WATCH","OK")))</f>
        <v/>
      </c>
      <c r="K14" s="28">
        <f>IF(NOT(ISNUMBER(Dashboard_AssetQuality!E17)),"",IF(Dashboard_AssetQuality!E17&gt;=_config!$C$17,"ALERT",IF(Dashboard_AssetQuality!E17&gt;=_config!$B$17,"WATCH","OK")))</f>
        <v/>
      </c>
      <c r="L14" s="28">
        <f>IF(NOT(ISNUMBER(Dashboard_AssetQuality!F17)),"",IF(Dashboard_AssetQuality!F17&gt;=_config!$C$18,"ALERT",IF(Dashboard_AssetQuality!F17&gt;=_config!$B$18,"WATCH","OK")))</f>
        <v/>
      </c>
      <c r="M14" s="28">
        <f>IF(NOT(ISNUMBER(Dashboard_AssetQuality!G17)),"",IF(Dashboard_AssetQuality!G17&lt;=_config!$C$19,"ALERT",IF(Dashboard_AssetQuality!G17&lt;=_config!$B$19,"WATCH","OK")))</f>
        <v/>
      </c>
      <c r="N14" s="28">
        <f>IF(NOT(ISNUMBER(Dashboard_AssetQuality!H17)),"",IF(Dashboard_AssetQuality!H17&lt;=_config!$C$20,"ALERT",IF(Dashboard_AssetQuality!H17&lt;=_config!$B$20,"WATCH","OK")))</f>
        <v/>
      </c>
      <c r="O14" s="28">
        <f>IF(NOT(ISNUMBER(Dashboard_AssetQuality!I17)),"",IF(Dashboard_AssetQuality!I17&gt;=_config!$C$21,"ALERT",IF(Dashboard_AssetQuality!I17&gt;=_config!$B$21,"WATCH","OK")))</f>
        <v/>
      </c>
      <c r="P14" s="28">
        <f>IF(NOT(ISNUMBER(Dashboard_Capital_Earnings!D17)),"",IF(Dashboard_Capital_Earnings!D17&lt;=_config!$C$22,"ALERT",IF(Dashboard_Capital_Earnings!D17&lt;=_config!$B$22,"WATCH","OK")))</f>
        <v/>
      </c>
      <c r="Q14" s="28">
        <f>IF(NOT(ISNUMBER(Dashboard_Capital_Earnings!E17)),"",IF(Dashboard_Capital_Earnings!E17&lt;=_config!$C$23,"ALERT",IF(Dashboard_Capital_Earnings!E17&lt;=_config!$B$23,"WATCH","OK")))</f>
        <v/>
      </c>
      <c r="R14" s="28">
        <f>IF(NOT(ISNUMBER(Dashboard_Capital_Earnings!F17)),"",IF(Dashboard_Capital_Earnings!F17&lt;=_config!$C$24,"ALERT",IF(Dashboard_Capital_Earnings!F17&lt;=_config!$B$24,"WATCH","OK")))</f>
        <v/>
      </c>
      <c r="S14" s="28">
        <f>IF(NOT(ISNUMBER(Dashboard_Capital_Earnings!G17)),"",IF(Dashboard_Capital_Earnings!G17&lt;=_config!$C$25,"ALERT",IF(Dashboard_Capital_Earnings!G17&lt;=_config!$B$25,"WATCH","OK")))</f>
        <v/>
      </c>
      <c r="T14" s="28">
        <f>IF(NOT(ISNUMBER(Dashboard_Capital_Earnings!H17)),"",IF(Dashboard_Capital_Earnings!H17&lt;=_config!$C$26,"ALERT",IF(Dashboard_Capital_Earnings!H17&lt;=_config!$B$26,"WATCH","OK")))</f>
        <v/>
      </c>
      <c r="U14" s="28">
        <f>IF(NOT(ISNUMBER(Dashboard_Capital_Earnings!I17)),"",IF(Dashboard_Capital_Earnings!I17&gt;=_config!$C$27,"ALERT",IF(Dashboard_Capital_Earnings!I17&gt;=_config!$B$27,"WATCH","OK")))</f>
        <v/>
      </c>
      <c r="V14" s="28">
        <f>IF(NOT(ISNUMBER(Dashboard_Funding_Concentration!D17)),"",IF(Dashboard_Funding_Concentration!D17&gt;=_config!$C$28,"ALERT",IF(Dashboard_Funding_Concentration!D17&gt;=_config!$B$28,"WATCH","OK")))</f>
        <v/>
      </c>
      <c r="W14" s="28">
        <f>IF(NOT(ISNUMBER(Dashboard_Funding_Concentration!E17)),"",IF(Dashboard_Funding_Concentration!E17&gt;=_config!$C$29,"ALERT",IF(Dashboard_Funding_Concentration!E17&gt;=_config!$B$29,"WATCH","OK")))</f>
        <v/>
      </c>
      <c r="X14" s="28">
        <f>IF(NOT(ISNUMBER(Dashboard_Funding_Concentration!F17)),"",IF(Dashboard_Funding_Concentration!F17&gt;=_config!$C$30,"ALERT",IF(Dashboard_Funding_Concentration!F17&gt;=_config!$B$30,"WATCH","OK")))</f>
        <v/>
      </c>
      <c r="Y14" s="28">
        <f>IF(NOT(ISNUMBER(Dashboard_LoanBook!D17)),"",IF(Dashboard_LoanBook!D17&gt;=_config!$C$31,"ALERT",IF(Dashboard_LoanBook!D17&gt;=_config!$B$31,"WATCH","OK")))</f>
        <v/>
      </c>
      <c r="Z14" s="28">
        <f>IF(NOT(ISNUMBER(Dashboard_LoanBook!E17)),"",IF(Dashboard_LoanBook!E17&gt;=_config!$C$32,"ALERT",IF(Dashboard_LoanBook!E17&gt;=_config!$B$32,"WATCH","OK")))</f>
        <v/>
      </c>
      <c r="AA14" s="28">
        <f>IF(NOT(ISNUMBER(Dashboard_LoanBook!F17)),"",IF(Dashboard_LoanBook!F17&gt;=_config!$C$33,"ALERT",IF(Dashboard_LoanBook!F17&gt;=_config!$B$33,"WATCH","OK")))</f>
        <v/>
      </c>
      <c r="AB14" s="28">
        <f>IF(NOT(ISNUMBER(Dashboard_LoanBook!G17)),"",IF(Dashboard_LoanBook!G17&gt;=_config!$C$34,"ALERT",IF(Dashboard_LoanBook!G17&gt;=_config!$B$34,"WATCH","OK")))</f>
        <v/>
      </c>
      <c r="AC14" s="28">
        <f>IF(NOT(ISNUMBER(Dashboard_LoanBook!H17)),"",IF(Dashboard_LoanBook!H17&gt;=_config!$C$35,"ALERT",IF(Dashboard_LoanBook!H17&gt;=_config!$B$35,"WATCH","OK")))</f>
        <v/>
      </c>
      <c r="AD14" s="28">
        <f>IF(NOT(ISNUMBER(Dashboard_LoanBook!I17)),"",IF(Dashboard_LoanBook!I17&gt;=_config!$C$36,"ALERT",IF(Dashboard_LoanBook!I17&gt;=_config!$B$36,"WATCH","OK")))</f>
        <v/>
      </c>
      <c r="AE14" s="28">
        <f>IF(NOT(ISNUMBER(Dashboard_LoanBook!J17)),"",IF(Dashboard_LoanBook!J17&gt;=_config!$C$37,"ALERT",IF(Dashboard_LoanBook!J17&gt;=_config!$B$37,"WATCH","OK")))</f>
        <v/>
      </c>
      <c r="AF14" s="28">
        <f>IF(NOT(ISNUMBER(Dashboard_LoanBook!K17)),"",IF(Dashboard_LoanBook!K17&gt;=_config!$C$38,"ALERT",IF(Dashboard_LoanBook!K17&gt;=_config!$B$38,"WATCH","OK")))</f>
        <v/>
      </c>
      <c r="AG14" s="28">
        <f>IF(NOT(ISNUMBER(Dashboard_LoanBook!L17)),"",IF(Dashboard_LoanBook!L17&gt;=_config!$C$39,"ALERT",IF(Dashboard_LoanBook!L17&gt;=_config!$B$39,"WATCH","OK")))</f>
        <v/>
      </c>
      <c r="AH14" s="28">
        <f>IF(NOT(ISNUMBER(Dashboard_LoanBook!M17)),"",IF(Dashboard_LoanBook!M17&gt;=_config!$C$40,"ALERT",IF(Dashboard_LoanBook!M17&gt;=_config!$B$40,"WATCH","OK")))</f>
        <v/>
      </c>
      <c r="AI14" s="28">
        <f>IF(NOT(ISNUMBER(Dashboard_LoanBook!N17)),"",IF(Dashboard_LoanBook!N17&gt;=_config!$C$41,"ALERT",IF(Dashboard_LoanBook!N17&gt;=_config!$B$41,"WATCH","OK")))</f>
        <v/>
      </c>
      <c r="AJ14" s="28">
        <f>IF(NOT(ISNUMBER(Dashboard_LoanBook!O17)),"",IF(Dashboard_LoanBook!O17&gt;=_config!$C$42,"ALERT",IF(Dashboard_LoanBook!O17&gt;=_config!$B$42,"WATCH","OK")))</f>
        <v/>
      </c>
      <c r="AK14" s="28">
        <f>IF(NOT(ISNUMBER(Dashboard_LoanBook!P17)),"",IF(Dashboard_LoanBook!P17&gt;=_config!$C$43,"ALERT",IF(Dashboard_LoanBook!P17&gt;=_config!$B$43,"WATCH","OK")))</f>
        <v/>
      </c>
      <c r="AL14" s="28">
        <f>IF(NOT(ISNUMBER(Dashboard_LoanBook!Q17)),"",IF(Dashboard_LoanBook!Q17&gt;=_config!$C$44,"ALERT",IF(Dashboard_LoanBook!Q17&gt;=_config!$B$44,"WATCH","OK")))</f>
        <v/>
      </c>
      <c r="AM14" s="28">
        <f>IF(NOT(ISNUMBER(Dashboard_LoanBook!R17)),"",IF(Dashboard_LoanBook!R17&gt;=_config!$C$45,"ALERT",IF(Dashboard_LoanBook!R17&gt;=_config!$B$45,"WATCH","OK")))</f>
        <v/>
      </c>
      <c r="AN14" s="28">
        <f>IF(NOT(ISNUMBER(Dashboard_LoanBook!S17)),"",IF(Dashboard_LoanBook!S17&gt;=_config!$C$46,"ALERT",IF(Dashboard_LoanBook!S17&gt;=_config!$B$46,"WATCH","OK")))</f>
        <v/>
      </c>
      <c r="AO14" s="28">
        <f>IF(NOT(ISNUMBER(Dashboard_LoanBook!T17)),"",IF(Dashboard_LoanBook!T17&gt;=_config!$C$47,"ALERT",IF(Dashboard_LoanBook!T17&gt;=_config!$B$47,"WATCH","OK")))</f>
        <v/>
      </c>
      <c r="AP14" s="28">
        <f>IF(NOT(ISNUMBER(Dashboard_LoanBook!U17)),"",IF(Dashboard_LoanBook!U17&gt;=_config!$C$48,"ALERT",IF(Dashboard_LoanBook!U17&gt;=_config!$B$48,"WATCH","OK")))</f>
        <v/>
      </c>
      <c r="AQ14" s="28">
        <f>IF(NOT(ISNUMBER(Dashboard_LoanBook!V17)),"",IF(Dashboard_LoanBook!V17&gt;=_config!$C$49,"ALERT",IF(Dashboard_LoanBook!V17&gt;=_config!$B$49,"WATCH","OK")))</f>
        <v/>
      </c>
      <c r="AR14" s="28">
        <f>IF(NOT(ISNUMBER(Dashboard_LoanBook!D61)),"",IF(Dashboard_LoanBook!D61&gt;=_config!$C$50,"ALERT",IF(Dashboard_LoanBook!D61&gt;=_config!$B$50,"WATCH","OK")))</f>
        <v/>
      </c>
      <c r="AS14" s="28">
        <f>IF(NOT(ISNUMBER(Dashboard_LoanBook!E61)),"",IF(Dashboard_LoanBook!E61&gt;=_config!$C$51,"ALERT",IF(Dashboard_LoanBook!E61&gt;=_config!$B$51,"WATCH","OK")))</f>
        <v/>
      </c>
      <c r="AT14" s="28">
        <f>IF(NOT(ISNUMBER(Dashboard_LoanBook!F61)),"",IF(Dashboard_LoanBook!F61&gt;=_config!$C$52,"ALERT",IF(Dashboard_LoanBook!F61&gt;=_config!$B$52,"WATCH","OK")))</f>
        <v/>
      </c>
      <c r="AU14" s="28">
        <f>IF(NOT(ISNUMBER(Dashboard_LoanBook!G61)),"",IF(Dashboard_LoanBook!G61&gt;=_config!$C$53,"ALERT",IF(Dashboard_LoanBook!G61&gt;=_config!$B$53,"WATCH","OK")))</f>
        <v/>
      </c>
      <c r="AV14" s="28">
        <f>IF(NOT(ISNUMBER(Dashboard_LoanBook!H61)),"",IF(Dashboard_LoanBook!H61&gt;=_config!$C$54,"ALERT",IF(Dashboard_LoanBook!H61&gt;=_config!$B$54,"WATCH","OK")))</f>
        <v/>
      </c>
      <c r="AW14" s="28">
        <f>IF(NOT(ISNUMBER(Dashboard_LoanBook!I61)),"",IF(Dashboard_LoanBook!I61&gt;=_config!$C$55,"ALERT",IF(Dashboard_LoanBook!I61&gt;=_config!$B$55,"WATCH","OK")))</f>
        <v/>
      </c>
      <c r="AX14" s="28">
        <f>IF(NOT(ISNUMBER(Dashboard_LoanBook!J61)),"",IF(Dashboard_LoanBook!J61&gt;=_config!$C$56,"ALERT",IF(Dashboard_LoanBook!J61&gt;=_config!$B$56,"WATCH","OK")))</f>
        <v/>
      </c>
      <c r="AY14" s="28">
        <f>IF(NOT(ISNUMBER(Dashboard_LoanBook!K61)),"",IF(Dashboard_LoanBook!K61&gt;=_config!$C$57,"ALERT",IF(Dashboard_LoanBook!K61&gt;=_config!$B$57,"WATCH","OK")))</f>
        <v/>
      </c>
      <c r="AZ14" s="28">
        <f>IF(NOT(ISNUMBER(Dashboard_LoanBook!L61)),"",IF(Dashboard_LoanBook!L61&gt;=_config!$C$58,"ALERT",IF(Dashboard_LoanBook!L61&gt;=_config!$B$58,"WATCH","OK")))</f>
        <v/>
      </c>
      <c r="BA14" s="28">
        <f>IF(NOT(ISNUMBER(Dashboard_LoanBook!M61)),"",IF(Dashboard_LoanBook!M61&gt;=_config!$C$59,"ALERT",IF(Dashboard_LoanBook!M61&gt;=_config!$B$59,"WATCH","OK")))</f>
        <v/>
      </c>
      <c r="BB14" s="28">
        <f>IF(NOT(ISNUMBER(Dashboard_LoanBook!N61)),"",IF(Dashboard_LoanBook!N61&gt;=_config!$C$60,"ALERT",IF(Dashboard_LoanBook!N61&gt;=_config!$B$60,"WATCH","OK")))</f>
        <v/>
      </c>
      <c r="BC14" s="28">
        <f>IF(NOT(ISNUMBER(Dashboard_LoanBook!O61)),"",IF(Dashboard_LoanBook!O61&gt;=_config!$C$61,"ALERT",IF(Dashboard_LoanBook!O61&gt;=_config!$B$61,"WATCH","OK")))</f>
        <v/>
      </c>
      <c r="BD14" s="28">
        <f>IF(NOT(ISNUMBER(Dashboard_LoanBook!P61)),"",IF(Dashboard_LoanBook!P61&gt;=_config!$C$62,"ALERT",IF(Dashboard_LoanBook!P61&gt;=_config!$B$62,"WATCH","OK")))</f>
        <v/>
      </c>
      <c r="BE14" s="28">
        <f>IF(NOT(ISNUMBER(Dashboard_LoanBook!Q61)),"",IF(Dashboard_LoanBook!Q61&gt;=_config!$C$63,"ALERT",IF(Dashboard_LoanBook!Q61&gt;=_config!$B$63,"WATCH","OK")))</f>
        <v/>
      </c>
      <c r="BF14" s="28">
        <f>IF(NOT(ISNUMBER(Dashboard_LoanBook!R61)),"",IF(Dashboard_LoanBook!R61&gt;=_config!$C$64,"ALERT",IF(Dashboard_LoanBook!R61&gt;=_config!$B$64,"WATCH","OK")))</f>
        <v/>
      </c>
      <c r="BG14" s="28">
        <f>IF(NOT(ISNUMBER(Dashboard_LoanBook!S61)),"",IF(Dashboard_LoanBook!S61&gt;=_config!$C$65,"ALERT",IF(Dashboard_LoanBook!S61&gt;=_config!$B$65,"WATCH","OK")))</f>
        <v/>
      </c>
      <c r="BH14" s="28">
        <f>IF(NOT(ISNUMBER(Dashboard_Funding_Concentration!G17)),"",IF(Dashboard_Funding_Concentration!G17&gt;=_config!$C$66,"ALERT",IF(Dashboard_Funding_Concentration!G17&gt;=_config!$B$66,"WATCH","OK")))</f>
        <v/>
      </c>
      <c r="BI14" s="28">
        <f>IF(NOT(ISNUMBER(Dashboard_Funding_Concentration!H17)),"",IF(Dashboard_Funding_Concentration!H17&gt;=_config!$C$67,"ALERT",IF(Dashboard_Funding_Concentration!H17&gt;=_config!$B$67,"WATCH","OK")))</f>
        <v/>
      </c>
      <c r="BJ14" s="28">
        <f>IF(NOT(ISNUMBER(Dashboard_Funding_Concentration!I17)),"",IF(Dashboard_Funding_Concentration!I17&gt;=_config!$C$68,"ALERT",IF(Dashboard_Funding_Concentration!I17&gt;=_config!$B$68,"WATCH","OK")))</f>
        <v/>
      </c>
      <c r="BL14" s="28">
        <f>IF(NOT(ISNUMBER($E14)),"",$E14*10000+IF(ISNUMBER($D14),$D14,0))</f>
        <v/>
      </c>
    </row>
    <row r="15">
      <c r="A15" s="14">
        <f>IF(_config!$C$82="","",_config!$C$82)</f>
        <v/>
      </c>
      <c r="B15" s="25">
        <f>IF(_config!$B$82="","",_config!$B$82)</f>
        <v/>
      </c>
      <c r="C15" s="16">
        <f>IF(_config!$D$82="","",_config!$D$82)</f>
        <v/>
      </c>
      <c r="D15" s="26">
        <f>IF(Dashboard_AssetQuality!I18="","",Dashboard_AssetQuality!I18)</f>
        <v/>
      </c>
      <c r="E15" s="27">
        <f>IF($A15="","",COUNTIF($J15:$BJ15,"ALERT"))</f>
        <v/>
      </c>
      <c r="F15" s="27">
        <f>IF($A15="","",COUNTIF($J15:$BJ15,"WATCH"))</f>
        <v/>
      </c>
      <c r="G15" s="27">
        <f>IF($BL15="","",RANK($BL15,$BL$5:$BL$44))</f>
        <v/>
      </c>
      <c r="H15" s="27">
        <f>IF(_config!$C$82="","",IF(NOT(ISNUMBER(_config!$B$82)),"REFUSED: blank/invalid CERT -- run --lookup",IF(UPPER(_config!$E$82&amp;"")&lt;&gt;"TRUE","OFF",IF($E15&gt;0,"ALERT",IF($F15&gt;0,"WATCH","OK")))))</f>
        <v/>
      </c>
      <c r="J15" s="28">
        <f>IF(NOT(ISNUMBER(Dashboard_AssetQuality!D18)),"",IF(Dashboard_AssetQuality!D18&gt;=_config!$C$16,"ALERT",IF(Dashboard_AssetQuality!D18&gt;=_config!$B$16,"WATCH","OK")))</f>
        <v/>
      </c>
      <c r="K15" s="28">
        <f>IF(NOT(ISNUMBER(Dashboard_AssetQuality!E18)),"",IF(Dashboard_AssetQuality!E18&gt;=_config!$C$17,"ALERT",IF(Dashboard_AssetQuality!E18&gt;=_config!$B$17,"WATCH","OK")))</f>
        <v/>
      </c>
      <c r="L15" s="28">
        <f>IF(NOT(ISNUMBER(Dashboard_AssetQuality!F18)),"",IF(Dashboard_AssetQuality!F18&gt;=_config!$C$18,"ALERT",IF(Dashboard_AssetQuality!F18&gt;=_config!$B$18,"WATCH","OK")))</f>
        <v/>
      </c>
      <c r="M15" s="28">
        <f>IF(NOT(ISNUMBER(Dashboard_AssetQuality!G18)),"",IF(Dashboard_AssetQuality!G18&lt;=_config!$C$19,"ALERT",IF(Dashboard_AssetQuality!G18&lt;=_config!$B$19,"WATCH","OK")))</f>
        <v/>
      </c>
      <c r="N15" s="28">
        <f>IF(NOT(ISNUMBER(Dashboard_AssetQuality!H18)),"",IF(Dashboard_AssetQuality!H18&lt;=_config!$C$20,"ALERT",IF(Dashboard_AssetQuality!H18&lt;=_config!$B$20,"WATCH","OK")))</f>
        <v/>
      </c>
      <c r="O15" s="28">
        <f>IF(NOT(ISNUMBER(Dashboard_AssetQuality!I18)),"",IF(Dashboard_AssetQuality!I18&gt;=_config!$C$21,"ALERT",IF(Dashboard_AssetQuality!I18&gt;=_config!$B$21,"WATCH","OK")))</f>
        <v/>
      </c>
      <c r="P15" s="28">
        <f>IF(NOT(ISNUMBER(Dashboard_Capital_Earnings!D18)),"",IF(Dashboard_Capital_Earnings!D18&lt;=_config!$C$22,"ALERT",IF(Dashboard_Capital_Earnings!D18&lt;=_config!$B$22,"WATCH","OK")))</f>
        <v/>
      </c>
      <c r="Q15" s="28">
        <f>IF(NOT(ISNUMBER(Dashboard_Capital_Earnings!E18)),"",IF(Dashboard_Capital_Earnings!E18&lt;=_config!$C$23,"ALERT",IF(Dashboard_Capital_Earnings!E18&lt;=_config!$B$23,"WATCH","OK")))</f>
        <v/>
      </c>
      <c r="R15" s="28">
        <f>IF(NOT(ISNUMBER(Dashboard_Capital_Earnings!F18)),"",IF(Dashboard_Capital_Earnings!F18&lt;=_config!$C$24,"ALERT",IF(Dashboard_Capital_Earnings!F18&lt;=_config!$B$24,"WATCH","OK")))</f>
        <v/>
      </c>
      <c r="S15" s="28">
        <f>IF(NOT(ISNUMBER(Dashboard_Capital_Earnings!G18)),"",IF(Dashboard_Capital_Earnings!G18&lt;=_config!$C$25,"ALERT",IF(Dashboard_Capital_Earnings!G18&lt;=_config!$B$25,"WATCH","OK")))</f>
        <v/>
      </c>
      <c r="T15" s="28">
        <f>IF(NOT(ISNUMBER(Dashboard_Capital_Earnings!H18)),"",IF(Dashboard_Capital_Earnings!H18&lt;=_config!$C$26,"ALERT",IF(Dashboard_Capital_Earnings!H18&lt;=_config!$B$26,"WATCH","OK")))</f>
        <v/>
      </c>
      <c r="U15" s="28">
        <f>IF(NOT(ISNUMBER(Dashboard_Capital_Earnings!I18)),"",IF(Dashboard_Capital_Earnings!I18&gt;=_config!$C$27,"ALERT",IF(Dashboard_Capital_Earnings!I18&gt;=_config!$B$27,"WATCH","OK")))</f>
        <v/>
      </c>
      <c r="V15" s="28">
        <f>IF(NOT(ISNUMBER(Dashboard_Funding_Concentration!D18)),"",IF(Dashboard_Funding_Concentration!D18&gt;=_config!$C$28,"ALERT",IF(Dashboard_Funding_Concentration!D18&gt;=_config!$B$28,"WATCH","OK")))</f>
        <v/>
      </c>
      <c r="W15" s="28">
        <f>IF(NOT(ISNUMBER(Dashboard_Funding_Concentration!E18)),"",IF(Dashboard_Funding_Concentration!E18&gt;=_config!$C$29,"ALERT",IF(Dashboard_Funding_Concentration!E18&gt;=_config!$B$29,"WATCH","OK")))</f>
        <v/>
      </c>
      <c r="X15" s="28">
        <f>IF(NOT(ISNUMBER(Dashboard_Funding_Concentration!F18)),"",IF(Dashboard_Funding_Concentration!F18&gt;=_config!$C$30,"ALERT",IF(Dashboard_Funding_Concentration!F18&gt;=_config!$B$30,"WATCH","OK")))</f>
        <v/>
      </c>
      <c r="Y15" s="28">
        <f>IF(NOT(ISNUMBER(Dashboard_LoanBook!D18)),"",IF(Dashboard_LoanBook!D18&gt;=_config!$C$31,"ALERT",IF(Dashboard_LoanBook!D18&gt;=_config!$B$31,"WATCH","OK")))</f>
        <v/>
      </c>
      <c r="Z15" s="28">
        <f>IF(NOT(ISNUMBER(Dashboard_LoanBook!E18)),"",IF(Dashboard_LoanBook!E18&gt;=_config!$C$32,"ALERT",IF(Dashboard_LoanBook!E18&gt;=_config!$B$32,"WATCH","OK")))</f>
        <v/>
      </c>
      <c r="AA15" s="28">
        <f>IF(NOT(ISNUMBER(Dashboard_LoanBook!F18)),"",IF(Dashboard_LoanBook!F18&gt;=_config!$C$33,"ALERT",IF(Dashboard_LoanBook!F18&gt;=_config!$B$33,"WATCH","OK")))</f>
        <v/>
      </c>
      <c r="AB15" s="28">
        <f>IF(NOT(ISNUMBER(Dashboard_LoanBook!G18)),"",IF(Dashboard_LoanBook!G18&gt;=_config!$C$34,"ALERT",IF(Dashboard_LoanBook!G18&gt;=_config!$B$34,"WATCH","OK")))</f>
        <v/>
      </c>
      <c r="AC15" s="28">
        <f>IF(NOT(ISNUMBER(Dashboard_LoanBook!H18)),"",IF(Dashboard_LoanBook!H18&gt;=_config!$C$35,"ALERT",IF(Dashboard_LoanBook!H18&gt;=_config!$B$35,"WATCH","OK")))</f>
        <v/>
      </c>
      <c r="AD15" s="28">
        <f>IF(NOT(ISNUMBER(Dashboard_LoanBook!I18)),"",IF(Dashboard_LoanBook!I18&gt;=_config!$C$36,"ALERT",IF(Dashboard_LoanBook!I18&gt;=_config!$B$36,"WATCH","OK")))</f>
        <v/>
      </c>
      <c r="AE15" s="28">
        <f>IF(NOT(ISNUMBER(Dashboard_LoanBook!J18)),"",IF(Dashboard_LoanBook!J18&gt;=_config!$C$37,"ALERT",IF(Dashboard_LoanBook!J18&gt;=_config!$B$37,"WATCH","OK")))</f>
        <v/>
      </c>
      <c r="AF15" s="28">
        <f>IF(NOT(ISNUMBER(Dashboard_LoanBook!K18)),"",IF(Dashboard_LoanBook!K18&gt;=_config!$C$38,"ALERT",IF(Dashboard_LoanBook!K18&gt;=_config!$B$38,"WATCH","OK")))</f>
        <v/>
      </c>
      <c r="AG15" s="28">
        <f>IF(NOT(ISNUMBER(Dashboard_LoanBook!L18)),"",IF(Dashboard_LoanBook!L18&gt;=_config!$C$39,"ALERT",IF(Dashboard_LoanBook!L18&gt;=_config!$B$39,"WATCH","OK")))</f>
        <v/>
      </c>
      <c r="AH15" s="28">
        <f>IF(NOT(ISNUMBER(Dashboard_LoanBook!M18)),"",IF(Dashboard_LoanBook!M18&gt;=_config!$C$40,"ALERT",IF(Dashboard_LoanBook!M18&gt;=_config!$B$40,"WATCH","OK")))</f>
        <v/>
      </c>
      <c r="AI15" s="28">
        <f>IF(NOT(ISNUMBER(Dashboard_LoanBook!N18)),"",IF(Dashboard_LoanBook!N18&gt;=_config!$C$41,"ALERT",IF(Dashboard_LoanBook!N18&gt;=_config!$B$41,"WATCH","OK")))</f>
        <v/>
      </c>
      <c r="AJ15" s="28">
        <f>IF(NOT(ISNUMBER(Dashboard_LoanBook!O18)),"",IF(Dashboard_LoanBook!O18&gt;=_config!$C$42,"ALERT",IF(Dashboard_LoanBook!O18&gt;=_config!$B$42,"WATCH","OK")))</f>
        <v/>
      </c>
      <c r="AK15" s="28">
        <f>IF(NOT(ISNUMBER(Dashboard_LoanBook!P18)),"",IF(Dashboard_LoanBook!P18&gt;=_config!$C$43,"ALERT",IF(Dashboard_LoanBook!P18&gt;=_config!$B$43,"WATCH","OK")))</f>
        <v/>
      </c>
      <c r="AL15" s="28">
        <f>IF(NOT(ISNUMBER(Dashboard_LoanBook!Q18)),"",IF(Dashboard_LoanBook!Q18&gt;=_config!$C$44,"ALERT",IF(Dashboard_LoanBook!Q18&gt;=_config!$B$44,"WATCH","OK")))</f>
        <v/>
      </c>
      <c r="AM15" s="28">
        <f>IF(NOT(ISNUMBER(Dashboard_LoanBook!R18)),"",IF(Dashboard_LoanBook!R18&gt;=_config!$C$45,"ALERT",IF(Dashboard_LoanBook!R18&gt;=_config!$B$45,"WATCH","OK")))</f>
        <v/>
      </c>
      <c r="AN15" s="28">
        <f>IF(NOT(ISNUMBER(Dashboard_LoanBook!S18)),"",IF(Dashboard_LoanBook!S18&gt;=_config!$C$46,"ALERT",IF(Dashboard_LoanBook!S18&gt;=_config!$B$46,"WATCH","OK")))</f>
        <v/>
      </c>
      <c r="AO15" s="28">
        <f>IF(NOT(ISNUMBER(Dashboard_LoanBook!T18)),"",IF(Dashboard_LoanBook!T18&gt;=_config!$C$47,"ALERT",IF(Dashboard_LoanBook!T18&gt;=_config!$B$47,"WATCH","OK")))</f>
        <v/>
      </c>
      <c r="AP15" s="28">
        <f>IF(NOT(ISNUMBER(Dashboard_LoanBook!U18)),"",IF(Dashboard_LoanBook!U18&gt;=_config!$C$48,"ALERT",IF(Dashboard_LoanBook!U18&gt;=_config!$B$48,"WATCH","OK")))</f>
        <v/>
      </c>
      <c r="AQ15" s="28">
        <f>IF(NOT(ISNUMBER(Dashboard_LoanBook!V18)),"",IF(Dashboard_LoanBook!V18&gt;=_config!$C$49,"ALERT",IF(Dashboard_LoanBook!V18&gt;=_config!$B$49,"WATCH","OK")))</f>
        <v/>
      </c>
      <c r="AR15" s="28">
        <f>IF(NOT(ISNUMBER(Dashboard_LoanBook!D62)),"",IF(Dashboard_LoanBook!D62&gt;=_config!$C$50,"ALERT",IF(Dashboard_LoanBook!D62&gt;=_config!$B$50,"WATCH","OK")))</f>
        <v/>
      </c>
      <c r="AS15" s="28">
        <f>IF(NOT(ISNUMBER(Dashboard_LoanBook!E62)),"",IF(Dashboard_LoanBook!E62&gt;=_config!$C$51,"ALERT",IF(Dashboard_LoanBook!E62&gt;=_config!$B$51,"WATCH","OK")))</f>
        <v/>
      </c>
      <c r="AT15" s="28">
        <f>IF(NOT(ISNUMBER(Dashboard_LoanBook!F62)),"",IF(Dashboard_LoanBook!F62&gt;=_config!$C$52,"ALERT",IF(Dashboard_LoanBook!F62&gt;=_config!$B$52,"WATCH","OK")))</f>
        <v/>
      </c>
      <c r="AU15" s="28">
        <f>IF(NOT(ISNUMBER(Dashboard_LoanBook!G62)),"",IF(Dashboard_LoanBook!G62&gt;=_config!$C$53,"ALERT",IF(Dashboard_LoanBook!G62&gt;=_config!$B$53,"WATCH","OK")))</f>
        <v/>
      </c>
      <c r="AV15" s="28">
        <f>IF(NOT(ISNUMBER(Dashboard_LoanBook!H62)),"",IF(Dashboard_LoanBook!H62&gt;=_config!$C$54,"ALERT",IF(Dashboard_LoanBook!H62&gt;=_config!$B$54,"WATCH","OK")))</f>
        <v/>
      </c>
      <c r="AW15" s="28">
        <f>IF(NOT(ISNUMBER(Dashboard_LoanBook!I62)),"",IF(Dashboard_LoanBook!I62&gt;=_config!$C$55,"ALERT",IF(Dashboard_LoanBook!I62&gt;=_config!$B$55,"WATCH","OK")))</f>
        <v/>
      </c>
      <c r="AX15" s="28">
        <f>IF(NOT(ISNUMBER(Dashboard_LoanBook!J62)),"",IF(Dashboard_LoanBook!J62&gt;=_config!$C$56,"ALERT",IF(Dashboard_LoanBook!J62&gt;=_config!$B$56,"WATCH","OK")))</f>
        <v/>
      </c>
      <c r="AY15" s="28">
        <f>IF(NOT(ISNUMBER(Dashboard_LoanBook!K62)),"",IF(Dashboard_LoanBook!K62&gt;=_config!$C$57,"ALERT",IF(Dashboard_LoanBook!K62&gt;=_config!$B$57,"WATCH","OK")))</f>
        <v/>
      </c>
      <c r="AZ15" s="28">
        <f>IF(NOT(ISNUMBER(Dashboard_LoanBook!L62)),"",IF(Dashboard_LoanBook!L62&gt;=_config!$C$58,"ALERT",IF(Dashboard_LoanBook!L62&gt;=_config!$B$58,"WATCH","OK")))</f>
        <v/>
      </c>
      <c r="BA15" s="28">
        <f>IF(NOT(ISNUMBER(Dashboard_LoanBook!M62)),"",IF(Dashboard_LoanBook!M62&gt;=_config!$C$59,"ALERT",IF(Dashboard_LoanBook!M62&gt;=_config!$B$59,"WATCH","OK")))</f>
        <v/>
      </c>
      <c r="BB15" s="28">
        <f>IF(NOT(ISNUMBER(Dashboard_LoanBook!N62)),"",IF(Dashboard_LoanBook!N62&gt;=_config!$C$60,"ALERT",IF(Dashboard_LoanBook!N62&gt;=_config!$B$60,"WATCH","OK")))</f>
        <v/>
      </c>
      <c r="BC15" s="28">
        <f>IF(NOT(ISNUMBER(Dashboard_LoanBook!O62)),"",IF(Dashboard_LoanBook!O62&gt;=_config!$C$61,"ALERT",IF(Dashboard_LoanBook!O62&gt;=_config!$B$61,"WATCH","OK")))</f>
        <v/>
      </c>
      <c r="BD15" s="28">
        <f>IF(NOT(ISNUMBER(Dashboard_LoanBook!P62)),"",IF(Dashboard_LoanBook!P62&gt;=_config!$C$62,"ALERT",IF(Dashboard_LoanBook!P62&gt;=_config!$B$62,"WATCH","OK")))</f>
        <v/>
      </c>
      <c r="BE15" s="28">
        <f>IF(NOT(ISNUMBER(Dashboard_LoanBook!Q62)),"",IF(Dashboard_LoanBook!Q62&gt;=_config!$C$63,"ALERT",IF(Dashboard_LoanBook!Q62&gt;=_config!$B$63,"WATCH","OK")))</f>
        <v/>
      </c>
      <c r="BF15" s="28">
        <f>IF(NOT(ISNUMBER(Dashboard_LoanBook!R62)),"",IF(Dashboard_LoanBook!R62&gt;=_config!$C$64,"ALERT",IF(Dashboard_LoanBook!R62&gt;=_config!$B$64,"WATCH","OK")))</f>
        <v/>
      </c>
      <c r="BG15" s="28">
        <f>IF(NOT(ISNUMBER(Dashboard_LoanBook!S62)),"",IF(Dashboard_LoanBook!S62&gt;=_config!$C$65,"ALERT",IF(Dashboard_LoanBook!S62&gt;=_config!$B$65,"WATCH","OK")))</f>
        <v/>
      </c>
      <c r="BH15" s="28">
        <f>IF(NOT(ISNUMBER(Dashboard_Funding_Concentration!G18)),"",IF(Dashboard_Funding_Concentration!G18&gt;=_config!$C$66,"ALERT",IF(Dashboard_Funding_Concentration!G18&gt;=_config!$B$66,"WATCH","OK")))</f>
        <v/>
      </c>
      <c r="BI15" s="28">
        <f>IF(NOT(ISNUMBER(Dashboard_Funding_Concentration!H18)),"",IF(Dashboard_Funding_Concentration!H18&gt;=_config!$C$67,"ALERT",IF(Dashboard_Funding_Concentration!H18&gt;=_config!$B$67,"WATCH","OK")))</f>
        <v/>
      </c>
      <c r="BJ15" s="28">
        <f>IF(NOT(ISNUMBER(Dashboard_Funding_Concentration!I18)),"",IF(Dashboard_Funding_Concentration!I18&gt;=_config!$C$68,"ALERT",IF(Dashboard_Funding_Concentration!I18&gt;=_config!$B$68,"WATCH","OK")))</f>
        <v/>
      </c>
      <c r="BL15" s="28">
        <f>IF(NOT(ISNUMBER($E15)),"",$E15*10000+IF(ISNUMBER($D15),$D15,0))</f>
        <v/>
      </c>
    </row>
    <row r="16">
      <c r="A16" s="14">
        <f>IF(_config!$C$83="","",_config!$C$83)</f>
        <v/>
      </c>
      <c r="B16" s="25">
        <f>IF(_config!$B$83="","",_config!$B$83)</f>
        <v/>
      </c>
      <c r="C16" s="16">
        <f>IF(_config!$D$83="","",_config!$D$83)</f>
        <v/>
      </c>
      <c r="D16" s="26">
        <f>IF(Dashboard_AssetQuality!I19="","",Dashboard_AssetQuality!I19)</f>
        <v/>
      </c>
      <c r="E16" s="27">
        <f>IF($A16="","",COUNTIF($J16:$BJ16,"ALERT"))</f>
        <v/>
      </c>
      <c r="F16" s="27">
        <f>IF($A16="","",COUNTIF($J16:$BJ16,"WATCH"))</f>
        <v/>
      </c>
      <c r="G16" s="27">
        <f>IF($BL16="","",RANK($BL16,$BL$5:$BL$44))</f>
        <v/>
      </c>
      <c r="H16" s="27">
        <f>IF(_config!$C$83="","",IF(NOT(ISNUMBER(_config!$B$83)),"REFUSED: blank/invalid CERT -- run --lookup",IF(UPPER(_config!$E$83&amp;"")&lt;&gt;"TRUE","OFF",IF($E16&gt;0,"ALERT",IF($F16&gt;0,"WATCH","OK")))))</f>
        <v/>
      </c>
      <c r="J16" s="28">
        <f>IF(NOT(ISNUMBER(Dashboard_AssetQuality!D19)),"",IF(Dashboard_AssetQuality!D19&gt;=_config!$C$16,"ALERT",IF(Dashboard_AssetQuality!D19&gt;=_config!$B$16,"WATCH","OK")))</f>
        <v/>
      </c>
      <c r="K16" s="28">
        <f>IF(NOT(ISNUMBER(Dashboard_AssetQuality!E19)),"",IF(Dashboard_AssetQuality!E19&gt;=_config!$C$17,"ALERT",IF(Dashboard_AssetQuality!E19&gt;=_config!$B$17,"WATCH","OK")))</f>
        <v/>
      </c>
      <c r="L16" s="28">
        <f>IF(NOT(ISNUMBER(Dashboard_AssetQuality!F19)),"",IF(Dashboard_AssetQuality!F19&gt;=_config!$C$18,"ALERT",IF(Dashboard_AssetQuality!F19&gt;=_config!$B$18,"WATCH","OK")))</f>
        <v/>
      </c>
      <c r="M16" s="28">
        <f>IF(NOT(ISNUMBER(Dashboard_AssetQuality!G19)),"",IF(Dashboard_AssetQuality!G19&lt;=_config!$C$19,"ALERT",IF(Dashboard_AssetQuality!G19&lt;=_config!$B$19,"WATCH","OK")))</f>
        <v/>
      </c>
      <c r="N16" s="28">
        <f>IF(NOT(ISNUMBER(Dashboard_AssetQuality!H19)),"",IF(Dashboard_AssetQuality!H19&lt;=_config!$C$20,"ALERT",IF(Dashboard_AssetQuality!H19&lt;=_config!$B$20,"WATCH","OK")))</f>
        <v/>
      </c>
      <c r="O16" s="28">
        <f>IF(NOT(ISNUMBER(Dashboard_AssetQuality!I19)),"",IF(Dashboard_AssetQuality!I19&gt;=_config!$C$21,"ALERT",IF(Dashboard_AssetQuality!I19&gt;=_config!$B$21,"WATCH","OK")))</f>
        <v/>
      </c>
      <c r="P16" s="28">
        <f>IF(NOT(ISNUMBER(Dashboard_Capital_Earnings!D19)),"",IF(Dashboard_Capital_Earnings!D19&lt;=_config!$C$22,"ALERT",IF(Dashboard_Capital_Earnings!D19&lt;=_config!$B$22,"WATCH","OK")))</f>
        <v/>
      </c>
      <c r="Q16" s="28">
        <f>IF(NOT(ISNUMBER(Dashboard_Capital_Earnings!E19)),"",IF(Dashboard_Capital_Earnings!E19&lt;=_config!$C$23,"ALERT",IF(Dashboard_Capital_Earnings!E19&lt;=_config!$B$23,"WATCH","OK")))</f>
        <v/>
      </c>
      <c r="R16" s="28">
        <f>IF(NOT(ISNUMBER(Dashboard_Capital_Earnings!F19)),"",IF(Dashboard_Capital_Earnings!F19&lt;=_config!$C$24,"ALERT",IF(Dashboard_Capital_Earnings!F19&lt;=_config!$B$24,"WATCH","OK")))</f>
        <v/>
      </c>
      <c r="S16" s="28">
        <f>IF(NOT(ISNUMBER(Dashboard_Capital_Earnings!G19)),"",IF(Dashboard_Capital_Earnings!G19&lt;=_config!$C$25,"ALERT",IF(Dashboard_Capital_Earnings!G19&lt;=_config!$B$25,"WATCH","OK")))</f>
        <v/>
      </c>
      <c r="T16" s="28">
        <f>IF(NOT(ISNUMBER(Dashboard_Capital_Earnings!H19)),"",IF(Dashboard_Capital_Earnings!H19&lt;=_config!$C$26,"ALERT",IF(Dashboard_Capital_Earnings!H19&lt;=_config!$B$26,"WATCH","OK")))</f>
        <v/>
      </c>
      <c r="U16" s="28">
        <f>IF(NOT(ISNUMBER(Dashboard_Capital_Earnings!I19)),"",IF(Dashboard_Capital_Earnings!I19&gt;=_config!$C$27,"ALERT",IF(Dashboard_Capital_Earnings!I19&gt;=_config!$B$27,"WATCH","OK")))</f>
        <v/>
      </c>
      <c r="V16" s="28">
        <f>IF(NOT(ISNUMBER(Dashboard_Funding_Concentration!D19)),"",IF(Dashboard_Funding_Concentration!D19&gt;=_config!$C$28,"ALERT",IF(Dashboard_Funding_Concentration!D19&gt;=_config!$B$28,"WATCH","OK")))</f>
        <v/>
      </c>
      <c r="W16" s="28">
        <f>IF(NOT(ISNUMBER(Dashboard_Funding_Concentration!E19)),"",IF(Dashboard_Funding_Concentration!E19&gt;=_config!$C$29,"ALERT",IF(Dashboard_Funding_Concentration!E19&gt;=_config!$B$29,"WATCH","OK")))</f>
        <v/>
      </c>
      <c r="X16" s="28">
        <f>IF(NOT(ISNUMBER(Dashboard_Funding_Concentration!F19)),"",IF(Dashboard_Funding_Concentration!F19&gt;=_config!$C$30,"ALERT",IF(Dashboard_Funding_Concentration!F19&gt;=_config!$B$30,"WATCH","OK")))</f>
        <v/>
      </c>
      <c r="Y16" s="28">
        <f>IF(NOT(ISNUMBER(Dashboard_LoanBook!D19)),"",IF(Dashboard_LoanBook!D19&gt;=_config!$C$31,"ALERT",IF(Dashboard_LoanBook!D19&gt;=_config!$B$31,"WATCH","OK")))</f>
        <v/>
      </c>
      <c r="Z16" s="28">
        <f>IF(NOT(ISNUMBER(Dashboard_LoanBook!E19)),"",IF(Dashboard_LoanBook!E19&gt;=_config!$C$32,"ALERT",IF(Dashboard_LoanBook!E19&gt;=_config!$B$32,"WATCH","OK")))</f>
        <v/>
      </c>
      <c r="AA16" s="28">
        <f>IF(NOT(ISNUMBER(Dashboard_LoanBook!F19)),"",IF(Dashboard_LoanBook!F19&gt;=_config!$C$33,"ALERT",IF(Dashboard_LoanBook!F19&gt;=_config!$B$33,"WATCH","OK")))</f>
        <v/>
      </c>
      <c r="AB16" s="28">
        <f>IF(NOT(ISNUMBER(Dashboard_LoanBook!G19)),"",IF(Dashboard_LoanBook!G19&gt;=_config!$C$34,"ALERT",IF(Dashboard_LoanBook!G19&gt;=_config!$B$34,"WATCH","OK")))</f>
        <v/>
      </c>
      <c r="AC16" s="28">
        <f>IF(NOT(ISNUMBER(Dashboard_LoanBook!H19)),"",IF(Dashboard_LoanBook!H19&gt;=_config!$C$35,"ALERT",IF(Dashboard_LoanBook!H19&gt;=_config!$B$35,"WATCH","OK")))</f>
        <v/>
      </c>
      <c r="AD16" s="28">
        <f>IF(NOT(ISNUMBER(Dashboard_LoanBook!I19)),"",IF(Dashboard_LoanBook!I19&gt;=_config!$C$36,"ALERT",IF(Dashboard_LoanBook!I19&gt;=_config!$B$36,"WATCH","OK")))</f>
        <v/>
      </c>
      <c r="AE16" s="28">
        <f>IF(NOT(ISNUMBER(Dashboard_LoanBook!J19)),"",IF(Dashboard_LoanBook!J19&gt;=_config!$C$37,"ALERT",IF(Dashboard_LoanBook!J19&gt;=_config!$B$37,"WATCH","OK")))</f>
        <v/>
      </c>
      <c r="AF16" s="28">
        <f>IF(NOT(ISNUMBER(Dashboard_LoanBook!K19)),"",IF(Dashboard_LoanBook!K19&gt;=_config!$C$38,"ALERT",IF(Dashboard_LoanBook!K19&gt;=_config!$B$38,"WATCH","OK")))</f>
        <v/>
      </c>
      <c r="AG16" s="28">
        <f>IF(NOT(ISNUMBER(Dashboard_LoanBook!L19)),"",IF(Dashboard_LoanBook!L19&gt;=_config!$C$39,"ALERT",IF(Dashboard_LoanBook!L19&gt;=_config!$B$39,"WATCH","OK")))</f>
        <v/>
      </c>
      <c r="AH16" s="28">
        <f>IF(NOT(ISNUMBER(Dashboard_LoanBook!M19)),"",IF(Dashboard_LoanBook!M19&gt;=_config!$C$40,"ALERT",IF(Dashboard_LoanBook!M19&gt;=_config!$B$40,"WATCH","OK")))</f>
        <v/>
      </c>
      <c r="AI16" s="28">
        <f>IF(NOT(ISNUMBER(Dashboard_LoanBook!N19)),"",IF(Dashboard_LoanBook!N19&gt;=_config!$C$41,"ALERT",IF(Dashboard_LoanBook!N19&gt;=_config!$B$41,"WATCH","OK")))</f>
        <v/>
      </c>
      <c r="AJ16" s="28">
        <f>IF(NOT(ISNUMBER(Dashboard_LoanBook!O19)),"",IF(Dashboard_LoanBook!O19&gt;=_config!$C$42,"ALERT",IF(Dashboard_LoanBook!O19&gt;=_config!$B$42,"WATCH","OK")))</f>
        <v/>
      </c>
      <c r="AK16" s="28">
        <f>IF(NOT(ISNUMBER(Dashboard_LoanBook!P19)),"",IF(Dashboard_LoanBook!P19&gt;=_config!$C$43,"ALERT",IF(Dashboard_LoanBook!P19&gt;=_config!$B$43,"WATCH","OK")))</f>
        <v/>
      </c>
      <c r="AL16" s="28">
        <f>IF(NOT(ISNUMBER(Dashboard_LoanBook!Q19)),"",IF(Dashboard_LoanBook!Q19&gt;=_config!$C$44,"ALERT",IF(Dashboard_LoanBook!Q19&gt;=_config!$B$44,"WATCH","OK")))</f>
        <v/>
      </c>
      <c r="AM16" s="28">
        <f>IF(NOT(ISNUMBER(Dashboard_LoanBook!R19)),"",IF(Dashboard_LoanBook!R19&gt;=_config!$C$45,"ALERT",IF(Dashboard_LoanBook!R19&gt;=_config!$B$45,"WATCH","OK")))</f>
        <v/>
      </c>
      <c r="AN16" s="28">
        <f>IF(NOT(ISNUMBER(Dashboard_LoanBook!S19)),"",IF(Dashboard_LoanBook!S19&gt;=_config!$C$46,"ALERT",IF(Dashboard_LoanBook!S19&gt;=_config!$B$46,"WATCH","OK")))</f>
        <v/>
      </c>
      <c r="AO16" s="28">
        <f>IF(NOT(ISNUMBER(Dashboard_LoanBook!T19)),"",IF(Dashboard_LoanBook!T19&gt;=_config!$C$47,"ALERT",IF(Dashboard_LoanBook!T19&gt;=_config!$B$47,"WATCH","OK")))</f>
        <v/>
      </c>
      <c r="AP16" s="28">
        <f>IF(NOT(ISNUMBER(Dashboard_LoanBook!U19)),"",IF(Dashboard_LoanBook!U19&gt;=_config!$C$48,"ALERT",IF(Dashboard_LoanBook!U19&gt;=_config!$B$48,"WATCH","OK")))</f>
        <v/>
      </c>
      <c r="AQ16" s="28">
        <f>IF(NOT(ISNUMBER(Dashboard_LoanBook!V19)),"",IF(Dashboard_LoanBook!V19&gt;=_config!$C$49,"ALERT",IF(Dashboard_LoanBook!V19&gt;=_config!$B$49,"WATCH","OK")))</f>
        <v/>
      </c>
      <c r="AR16" s="28">
        <f>IF(NOT(ISNUMBER(Dashboard_LoanBook!D63)),"",IF(Dashboard_LoanBook!D63&gt;=_config!$C$50,"ALERT",IF(Dashboard_LoanBook!D63&gt;=_config!$B$50,"WATCH","OK")))</f>
        <v/>
      </c>
      <c r="AS16" s="28">
        <f>IF(NOT(ISNUMBER(Dashboard_LoanBook!E63)),"",IF(Dashboard_LoanBook!E63&gt;=_config!$C$51,"ALERT",IF(Dashboard_LoanBook!E63&gt;=_config!$B$51,"WATCH","OK")))</f>
        <v/>
      </c>
      <c r="AT16" s="28">
        <f>IF(NOT(ISNUMBER(Dashboard_LoanBook!F63)),"",IF(Dashboard_LoanBook!F63&gt;=_config!$C$52,"ALERT",IF(Dashboard_LoanBook!F63&gt;=_config!$B$52,"WATCH","OK")))</f>
        <v/>
      </c>
      <c r="AU16" s="28">
        <f>IF(NOT(ISNUMBER(Dashboard_LoanBook!G63)),"",IF(Dashboard_LoanBook!G63&gt;=_config!$C$53,"ALERT",IF(Dashboard_LoanBook!G63&gt;=_config!$B$53,"WATCH","OK")))</f>
        <v/>
      </c>
      <c r="AV16" s="28">
        <f>IF(NOT(ISNUMBER(Dashboard_LoanBook!H63)),"",IF(Dashboard_LoanBook!H63&gt;=_config!$C$54,"ALERT",IF(Dashboard_LoanBook!H63&gt;=_config!$B$54,"WATCH","OK")))</f>
        <v/>
      </c>
      <c r="AW16" s="28">
        <f>IF(NOT(ISNUMBER(Dashboard_LoanBook!I63)),"",IF(Dashboard_LoanBook!I63&gt;=_config!$C$55,"ALERT",IF(Dashboard_LoanBook!I63&gt;=_config!$B$55,"WATCH","OK")))</f>
        <v/>
      </c>
      <c r="AX16" s="28">
        <f>IF(NOT(ISNUMBER(Dashboard_LoanBook!J63)),"",IF(Dashboard_LoanBook!J63&gt;=_config!$C$56,"ALERT",IF(Dashboard_LoanBook!J63&gt;=_config!$B$56,"WATCH","OK")))</f>
        <v/>
      </c>
      <c r="AY16" s="28">
        <f>IF(NOT(ISNUMBER(Dashboard_LoanBook!K63)),"",IF(Dashboard_LoanBook!K63&gt;=_config!$C$57,"ALERT",IF(Dashboard_LoanBook!K63&gt;=_config!$B$57,"WATCH","OK")))</f>
        <v/>
      </c>
      <c r="AZ16" s="28">
        <f>IF(NOT(ISNUMBER(Dashboard_LoanBook!L63)),"",IF(Dashboard_LoanBook!L63&gt;=_config!$C$58,"ALERT",IF(Dashboard_LoanBook!L63&gt;=_config!$B$58,"WATCH","OK")))</f>
        <v/>
      </c>
      <c r="BA16" s="28">
        <f>IF(NOT(ISNUMBER(Dashboard_LoanBook!M63)),"",IF(Dashboard_LoanBook!M63&gt;=_config!$C$59,"ALERT",IF(Dashboard_LoanBook!M63&gt;=_config!$B$59,"WATCH","OK")))</f>
        <v/>
      </c>
      <c r="BB16" s="28">
        <f>IF(NOT(ISNUMBER(Dashboard_LoanBook!N63)),"",IF(Dashboard_LoanBook!N63&gt;=_config!$C$60,"ALERT",IF(Dashboard_LoanBook!N63&gt;=_config!$B$60,"WATCH","OK")))</f>
        <v/>
      </c>
      <c r="BC16" s="28">
        <f>IF(NOT(ISNUMBER(Dashboard_LoanBook!O63)),"",IF(Dashboard_LoanBook!O63&gt;=_config!$C$61,"ALERT",IF(Dashboard_LoanBook!O63&gt;=_config!$B$61,"WATCH","OK")))</f>
        <v/>
      </c>
      <c r="BD16" s="28">
        <f>IF(NOT(ISNUMBER(Dashboard_LoanBook!P63)),"",IF(Dashboard_LoanBook!P63&gt;=_config!$C$62,"ALERT",IF(Dashboard_LoanBook!P63&gt;=_config!$B$62,"WATCH","OK")))</f>
        <v/>
      </c>
      <c r="BE16" s="28">
        <f>IF(NOT(ISNUMBER(Dashboard_LoanBook!Q63)),"",IF(Dashboard_LoanBook!Q63&gt;=_config!$C$63,"ALERT",IF(Dashboard_LoanBook!Q63&gt;=_config!$B$63,"WATCH","OK")))</f>
        <v/>
      </c>
      <c r="BF16" s="28">
        <f>IF(NOT(ISNUMBER(Dashboard_LoanBook!R63)),"",IF(Dashboard_LoanBook!R63&gt;=_config!$C$64,"ALERT",IF(Dashboard_LoanBook!R63&gt;=_config!$B$64,"WATCH","OK")))</f>
        <v/>
      </c>
      <c r="BG16" s="28">
        <f>IF(NOT(ISNUMBER(Dashboard_LoanBook!S63)),"",IF(Dashboard_LoanBook!S63&gt;=_config!$C$65,"ALERT",IF(Dashboard_LoanBook!S63&gt;=_config!$B$65,"WATCH","OK")))</f>
        <v/>
      </c>
      <c r="BH16" s="28">
        <f>IF(NOT(ISNUMBER(Dashboard_Funding_Concentration!G19)),"",IF(Dashboard_Funding_Concentration!G19&gt;=_config!$C$66,"ALERT",IF(Dashboard_Funding_Concentration!G19&gt;=_config!$B$66,"WATCH","OK")))</f>
        <v/>
      </c>
      <c r="BI16" s="28">
        <f>IF(NOT(ISNUMBER(Dashboard_Funding_Concentration!H19)),"",IF(Dashboard_Funding_Concentration!H19&gt;=_config!$C$67,"ALERT",IF(Dashboard_Funding_Concentration!H19&gt;=_config!$B$67,"WATCH","OK")))</f>
        <v/>
      </c>
      <c r="BJ16" s="28">
        <f>IF(NOT(ISNUMBER(Dashboard_Funding_Concentration!I19)),"",IF(Dashboard_Funding_Concentration!I19&gt;=_config!$C$68,"ALERT",IF(Dashboard_Funding_Concentration!I19&gt;=_config!$B$68,"WATCH","OK")))</f>
        <v/>
      </c>
      <c r="BL16" s="28">
        <f>IF(NOT(ISNUMBER($E16)),"",$E16*10000+IF(ISNUMBER($D16),$D16,0))</f>
        <v/>
      </c>
    </row>
    <row r="17">
      <c r="A17" s="14">
        <f>IF(_config!$C$84="","",_config!$C$84)</f>
        <v/>
      </c>
      <c r="B17" s="25">
        <f>IF(_config!$B$84="","",_config!$B$84)</f>
        <v/>
      </c>
      <c r="C17" s="16">
        <f>IF(_config!$D$84="","",_config!$D$84)</f>
        <v/>
      </c>
      <c r="D17" s="26">
        <f>IF(Dashboard_AssetQuality!I20="","",Dashboard_AssetQuality!I20)</f>
        <v/>
      </c>
      <c r="E17" s="27">
        <f>IF($A17="","",COUNTIF($J17:$BJ17,"ALERT"))</f>
        <v/>
      </c>
      <c r="F17" s="27">
        <f>IF($A17="","",COUNTIF($J17:$BJ17,"WATCH"))</f>
        <v/>
      </c>
      <c r="G17" s="27">
        <f>IF($BL17="","",RANK($BL17,$BL$5:$BL$44))</f>
        <v/>
      </c>
      <c r="H17" s="27">
        <f>IF(_config!$C$84="","",IF(NOT(ISNUMBER(_config!$B$84)),"REFUSED: blank/invalid CERT -- run --lookup",IF(UPPER(_config!$E$84&amp;"")&lt;&gt;"TRUE","OFF",IF($E17&gt;0,"ALERT",IF($F17&gt;0,"WATCH","OK")))))</f>
        <v/>
      </c>
      <c r="J17" s="28">
        <f>IF(NOT(ISNUMBER(Dashboard_AssetQuality!D20)),"",IF(Dashboard_AssetQuality!D20&gt;=_config!$C$16,"ALERT",IF(Dashboard_AssetQuality!D20&gt;=_config!$B$16,"WATCH","OK")))</f>
        <v/>
      </c>
      <c r="K17" s="28">
        <f>IF(NOT(ISNUMBER(Dashboard_AssetQuality!E20)),"",IF(Dashboard_AssetQuality!E20&gt;=_config!$C$17,"ALERT",IF(Dashboard_AssetQuality!E20&gt;=_config!$B$17,"WATCH","OK")))</f>
        <v/>
      </c>
      <c r="L17" s="28">
        <f>IF(NOT(ISNUMBER(Dashboard_AssetQuality!F20)),"",IF(Dashboard_AssetQuality!F20&gt;=_config!$C$18,"ALERT",IF(Dashboard_AssetQuality!F20&gt;=_config!$B$18,"WATCH","OK")))</f>
        <v/>
      </c>
      <c r="M17" s="28">
        <f>IF(NOT(ISNUMBER(Dashboard_AssetQuality!G20)),"",IF(Dashboard_AssetQuality!G20&lt;=_config!$C$19,"ALERT",IF(Dashboard_AssetQuality!G20&lt;=_config!$B$19,"WATCH","OK")))</f>
        <v/>
      </c>
      <c r="N17" s="28">
        <f>IF(NOT(ISNUMBER(Dashboard_AssetQuality!H20)),"",IF(Dashboard_AssetQuality!H20&lt;=_config!$C$20,"ALERT",IF(Dashboard_AssetQuality!H20&lt;=_config!$B$20,"WATCH","OK")))</f>
        <v/>
      </c>
      <c r="O17" s="28">
        <f>IF(NOT(ISNUMBER(Dashboard_AssetQuality!I20)),"",IF(Dashboard_AssetQuality!I20&gt;=_config!$C$21,"ALERT",IF(Dashboard_AssetQuality!I20&gt;=_config!$B$21,"WATCH","OK")))</f>
        <v/>
      </c>
      <c r="P17" s="28">
        <f>IF(NOT(ISNUMBER(Dashboard_Capital_Earnings!D20)),"",IF(Dashboard_Capital_Earnings!D20&lt;=_config!$C$22,"ALERT",IF(Dashboard_Capital_Earnings!D20&lt;=_config!$B$22,"WATCH","OK")))</f>
        <v/>
      </c>
      <c r="Q17" s="28">
        <f>IF(NOT(ISNUMBER(Dashboard_Capital_Earnings!E20)),"",IF(Dashboard_Capital_Earnings!E20&lt;=_config!$C$23,"ALERT",IF(Dashboard_Capital_Earnings!E20&lt;=_config!$B$23,"WATCH","OK")))</f>
        <v/>
      </c>
      <c r="R17" s="28">
        <f>IF(NOT(ISNUMBER(Dashboard_Capital_Earnings!F20)),"",IF(Dashboard_Capital_Earnings!F20&lt;=_config!$C$24,"ALERT",IF(Dashboard_Capital_Earnings!F20&lt;=_config!$B$24,"WATCH","OK")))</f>
        <v/>
      </c>
      <c r="S17" s="28">
        <f>IF(NOT(ISNUMBER(Dashboard_Capital_Earnings!G20)),"",IF(Dashboard_Capital_Earnings!G20&lt;=_config!$C$25,"ALERT",IF(Dashboard_Capital_Earnings!G20&lt;=_config!$B$25,"WATCH","OK")))</f>
        <v/>
      </c>
      <c r="T17" s="28">
        <f>IF(NOT(ISNUMBER(Dashboard_Capital_Earnings!H20)),"",IF(Dashboard_Capital_Earnings!H20&lt;=_config!$C$26,"ALERT",IF(Dashboard_Capital_Earnings!H20&lt;=_config!$B$26,"WATCH","OK")))</f>
        <v/>
      </c>
      <c r="U17" s="28">
        <f>IF(NOT(ISNUMBER(Dashboard_Capital_Earnings!I20)),"",IF(Dashboard_Capital_Earnings!I20&gt;=_config!$C$27,"ALERT",IF(Dashboard_Capital_Earnings!I20&gt;=_config!$B$27,"WATCH","OK")))</f>
        <v/>
      </c>
      <c r="V17" s="28">
        <f>IF(NOT(ISNUMBER(Dashboard_Funding_Concentration!D20)),"",IF(Dashboard_Funding_Concentration!D20&gt;=_config!$C$28,"ALERT",IF(Dashboard_Funding_Concentration!D20&gt;=_config!$B$28,"WATCH","OK")))</f>
        <v/>
      </c>
      <c r="W17" s="28">
        <f>IF(NOT(ISNUMBER(Dashboard_Funding_Concentration!E20)),"",IF(Dashboard_Funding_Concentration!E20&gt;=_config!$C$29,"ALERT",IF(Dashboard_Funding_Concentration!E20&gt;=_config!$B$29,"WATCH","OK")))</f>
        <v/>
      </c>
      <c r="X17" s="28">
        <f>IF(NOT(ISNUMBER(Dashboard_Funding_Concentration!F20)),"",IF(Dashboard_Funding_Concentration!F20&gt;=_config!$C$30,"ALERT",IF(Dashboard_Funding_Concentration!F20&gt;=_config!$B$30,"WATCH","OK")))</f>
        <v/>
      </c>
      <c r="Y17" s="28">
        <f>IF(NOT(ISNUMBER(Dashboard_LoanBook!D20)),"",IF(Dashboard_LoanBook!D20&gt;=_config!$C$31,"ALERT",IF(Dashboard_LoanBook!D20&gt;=_config!$B$31,"WATCH","OK")))</f>
        <v/>
      </c>
      <c r="Z17" s="28">
        <f>IF(NOT(ISNUMBER(Dashboard_LoanBook!E20)),"",IF(Dashboard_LoanBook!E20&gt;=_config!$C$32,"ALERT",IF(Dashboard_LoanBook!E20&gt;=_config!$B$32,"WATCH","OK")))</f>
        <v/>
      </c>
      <c r="AA17" s="28">
        <f>IF(NOT(ISNUMBER(Dashboard_LoanBook!F20)),"",IF(Dashboard_LoanBook!F20&gt;=_config!$C$33,"ALERT",IF(Dashboard_LoanBook!F20&gt;=_config!$B$33,"WATCH","OK")))</f>
        <v/>
      </c>
      <c r="AB17" s="28">
        <f>IF(NOT(ISNUMBER(Dashboard_LoanBook!G20)),"",IF(Dashboard_LoanBook!G20&gt;=_config!$C$34,"ALERT",IF(Dashboard_LoanBook!G20&gt;=_config!$B$34,"WATCH","OK")))</f>
        <v/>
      </c>
      <c r="AC17" s="28">
        <f>IF(NOT(ISNUMBER(Dashboard_LoanBook!H20)),"",IF(Dashboard_LoanBook!H20&gt;=_config!$C$35,"ALERT",IF(Dashboard_LoanBook!H20&gt;=_config!$B$35,"WATCH","OK")))</f>
        <v/>
      </c>
      <c r="AD17" s="28">
        <f>IF(NOT(ISNUMBER(Dashboard_LoanBook!I20)),"",IF(Dashboard_LoanBook!I20&gt;=_config!$C$36,"ALERT",IF(Dashboard_LoanBook!I20&gt;=_config!$B$36,"WATCH","OK")))</f>
        <v/>
      </c>
      <c r="AE17" s="28">
        <f>IF(NOT(ISNUMBER(Dashboard_LoanBook!J20)),"",IF(Dashboard_LoanBook!J20&gt;=_config!$C$37,"ALERT",IF(Dashboard_LoanBook!J20&gt;=_config!$B$37,"WATCH","OK")))</f>
        <v/>
      </c>
      <c r="AF17" s="28">
        <f>IF(NOT(ISNUMBER(Dashboard_LoanBook!K20)),"",IF(Dashboard_LoanBook!K20&gt;=_config!$C$38,"ALERT",IF(Dashboard_LoanBook!K20&gt;=_config!$B$38,"WATCH","OK")))</f>
        <v/>
      </c>
      <c r="AG17" s="28">
        <f>IF(NOT(ISNUMBER(Dashboard_LoanBook!L20)),"",IF(Dashboard_LoanBook!L20&gt;=_config!$C$39,"ALERT",IF(Dashboard_LoanBook!L20&gt;=_config!$B$39,"WATCH","OK")))</f>
        <v/>
      </c>
      <c r="AH17" s="28">
        <f>IF(NOT(ISNUMBER(Dashboard_LoanBook!M20)),"",IF(Dashboard_LoanBook!M20&gt;=_config!$C$40,"ALERT",IF(Dashboard_LoanBook!M20&gt;=_config!$B$40,"WATCH","OK")))</f>
        <v/>
      </c>
      <c r="AI17" s="28">
        <f>IF(NOT(ISNUMBER(Dashboard_LoanBook!N20)),"",IF(Dashboard_LoanBook!N20&gt;=_config!$C$41,"ALERT",IF(Dashboard_LoanBook!N20&gt;=_config!$B$41,"WATCH","OK")))</f>
        <v/>
      </c>
      <c r="AJ17" s="28">
        <f>IF(NOT(ISNUMBER(Dashboard_LoanBook!O20)),"",IF(Dashboard_LoanBook!O20&gt;=_config!$C$42,"ALERT",IF(Dashboard_LoanBook!O20&gt;=_config!$B$42,"WATCH","OK")))</f>
        <v/>
      </c>
      <c r="AK17" s="28">
        <f>IF(NOT(ISNUMBER(Dashboard_LoanBook!P20)),"",IF(Dashboard_LoanBook!P20&gt;=_config!$C$43,"ALERT",IF(Dashboard_LoanBook!P20&gt;=_config!$B$43,"WATCH","OK")))</f>
        <v/>
      </c>
      <c r="AL17" s="28">
        <f>IF(NOT(ISNUMBER(Dashboard_LoanBook!Q20)),"",IF(Dashboard_LoanBook!Q20&gt;=_config!$C$44,"ALERT",IF(Dashboard_LoanBook!Q20&gt;=_config!$B$44,"WATCH","OK")))</f>
        <v/>
      </c>
      <c r="AM17" s="28">
        <f>IF(NOT(ISNUMBER(Dashboard_LoanBook!R20)),"",IF(Dashboard_LoanBook!R20&gt;=_config!$C$45,"ALERT",IF(Dashboard_LoanBook!R20&gt;=_config!$B$45,"WATCH","OK")))</f>
        <v/>
      </c>
      <c r="AN17" s="28">
        <f>IF(NOT(ISNUMBER(Dashboard_LoanBook!S20)),"",IF(Dashboard_LoanBook!S20&gt;=_config!$C$46,"ALERT",IF(Dashboard_LoanBook!S20&gt;=_config!$B$46,"WATCH","OK")))</f>
        <v/>
      </c>
      <c r="AO17" s="28">
        <f>IF(NOT(ISNUMBER(Dashboard_LoanBook!T20)),"",IF(Dashboard_LoanBook!T20&gt;=_config!$C$47,"ALERT",IF(Dashboard_LoanBook!T20&gt;=_config!$B$47,"WATCH","OK")))</f>
        <v/>
      </c>
      <c r="AP17" s="28">
        <f>IF(NOT(ISNUMBER(Dashboard_LoanBook!U20)),"",IF(Dashboard_LoanBook!U20&gt;=_config!$C$48,"ALERT",IF(Dashboard_LoanBook!U20&gt;=_config!$B$48,"WATCH","OK")))</f>
        <v/>
      </c>
      <c r="AQ17" s="28">
        <f>IF(NOT(ISNUMBER(Dashboard_LoanBook!V20)),"",IF(Dashboard_LoanBook!V20&gt;=_config!$C$49,"ALERT",IF(Dashboard_LoanBook!V20&gt;=_config!$B$49,"WATCH","OK")))</f>
        <v/>
      </c>
      <c r="AR17" s="28">
        <f>IF(NOT(ISNUMBER(Dashboard_LoanBook!D64)),"",IF(Dashboard_LoanBook!D64&gt;=_config!$C$50,"ALERT",IF(Dashboard_LoanBook!D64&gt;=_config!$B$50,"WATCH","OK")))</f>
        <v/>
      </c>
      <c r="AS17" s="28">
        <f>IF(NOT(ISNUMBER(Dashboard_LoanBook!E64)),"",IF(Dashboard_LoanBook!E64&gt;=_config!$C$51,"ALERT",IF(Dashboard_LoanBook!E64&gt;=_config!$B$51,"WATCH","OK")))</f>
        <v/>
      </c>
      <c r="AT17" s="28">
        <f>IF(NOT(ISNUMBER(Dashboard_LoanBook!F64)),"",IF(Dashboard_LoanBook!F64&gt;=_config!$C$52,"ALERT",IF(Dashboard_LoanBook!F64&gt;=_config!$B$52,"WATCH","OK")))</f>
        <v/>
      </c>
      <c r="AU17" s="28">
        <f>IF(NOT(ISNUMBER(Dashboard_LoanBook!G64)),"",IF(Dashboard_LoanBook!G64&gt;=_config!$C$53,"ALERT",IF(Dashboard_LoanBook!G64&gt;=_config!$B$53,"WATCH","OK")))</f>
        <v/>
      </c>
      <c r="AV17" s="28">
        <f>IF(NOT(ISNUMBER(Dashboard_LoanBook!H64)),"",IF(Dashboard_LoanBook!H64&gt;=_config!$C$54,"ALERT",IF(Dashboard_LoanBook!H64&gt;=_config!$B$54,"WATCH","OK")))</f>
        <v/>
      </c>
      <c r="AW17" s="28">
        <f>IF(NOT(ISNUMBER(Dashboard_LoanBook!I64)),"",IF(Dashboard_LoanBook!I64&gt;=_config!$C$55,"ALERT",IF(Dashboard_LoanBook!I64&gt;=_config!$B$55,"WATCH","OK")))</f>
        <v/>
      </c>
      <c r="AX17" s="28">
        <f>IF(NOT(ISNUMBER(Dashboard_LoanBook!J64)),"",IF(Dashboard_LoanBook!J64&gt;=_config!$C$56,"ALERT",IF(Dashboard_LoanBook!J64&gt;=_config!$B$56,"WATCH","OK")))</f>
        <v/>
      </c>
      <c r="AY17" s="28">
        <f>IF(NOT(ISNUMBER(Dashboard_LoanBook!K64)),"",IF(Dashboard_LoanBook!K64&gt;=_config!$C$57,"ALERT",IF(Dashboard_LoanBook!K64&gt;=_config!$B$57,"WATCH","OK")))</f>
        <v/>
      </c>
      <c r="AZ17" s="28">
        <f>IF(NOT(ISNUMBER(Dashboard_LoanBook!L64)),"",IF(Dashboard_LoanBook!L64&gt;=_config!$C$58,"ALERT",IF(Dashboard_LoanBook!L64&gt;=_config!$B$58,"WATCH","OK")))</f>
        <v/>
      </c>
      <c r="BA17" s="28">
        <f>IF(NOT(ISNUMBER(Dashboard_LoanBook!M64)),"",IF(Dashboard_LoanBook!M64&gt;=_config!$C$59,"ALERT",IF(Dashboard_LoanBook!M64&gt;=_config!$B$59,"WATCH","OK")))</f>
        <v/>
      </c>
      <c r="BB17" s="28">
        <f>IF(NOT(ISNUMBER(Dashboard_LoanBook!N64)),"",IF(Dashboard_LoanBook!N64&gt;=_config!$C$60,"ALERT",IF(Dashboard_LoanBook!N64&gt;=_config!$B$60,"WATCH","OK")))</f>
        <v/>
      </c>
      <c r="BC17" s="28">
        <f>IF(NOT(ISNUMBER(Dashboard_LoanBook!O64)),"",IF(Dashboard_LoanBook!O64&gt;=_config!$C$61,"ALERT",IF(Dashboard_LoanBook!O64&gt;=_config!$B$61,"WATCH","OK")))</f>
        <v/>
      </c>
      <c r="BD17" s="28">
        <f>IF(NOT(ISNUMBER(Dashboard_LoanBook!P64)),"",IF(Dashboard_LoanBook!P64&gt;=_config!$C$62,"ALERT",IF(Dashboard_LoanBook!P64&gt;=_config!$B$62,"WATCH","OK")))</f>
        <v/>
      </c>
      <c r="BE17" s="28">
        <f>IF(NOT(ISNUMBER(Dashboard_LoanBook!Q64)),"",IF(Dashboard_LoanBook!Q64&gt;=_config!$C$63,"ALERT",IF(Dashboard_LoanBook!Q64&gt;=_config!$B$63,"WATCH","OK")))</f>
        <v/>
      </c>
      <c r="BF17" s="28">
        <f>IF(NOT(ISNUMBER(Dashboard_LoanBook!R64)),"",IF(Dashboard_LoanBook!R64&gt;=_config!$C$64,"ALERT",IF(Dashboard_LoanBook!R64&gt;=_config!$B$64,"WATCH","OK")))</f>
        <v/>
      </c>
      <c r="BG17" s="28">
        <f>IF(NOT(ISNUMBER(Dashboard_LoanBook!S64)),"",IF(Dashboard_LoanBook!S64&gt;=_config!$C$65,"ALERT",IF(Dashboard_LoanBook!S64&gt;=_config!$B$65,"WATCH","OK")))</f>
        <v/>
      </c>
      <c r="BH17" s="28">
        <f>IF(NOT(ISNUMBER(Dashboard_Funding_Concentration!G20)),"",IF(Dashboard_Funding_Concentration!G20&gt;=_config!$C$66,"ALERT",IF(Dashboard_Funding_Concentration!G20&gt;=_config!$B$66,"WATCH","OK")))</f>
        <v/>
      </c>
      <c r="BI17" s="28">
        <f>IF(NOT(ISNUMBER(Dashboard_Funding_Concentration!H20)),"",IF(Dashboard_Funding_Concentration!H20&gt;=_config!$C$67,"ALERT",IF(Dashboard_Funding_Concentration!H20&gt;=_config!$B$67,"WATCH","OK")))</f>
        <v/>
      </c>
      <c r="BJ17" s="28">
        <f>IF(NOT(ISNUMBER(Dashboard_Funding_Concentration!I20)),"",IF(Dashboard_Funding_Concentration!I20&gt;=_config!$C$68,"ALERT",IF(Dashboard_Funding_Concentration!I20&gt;=_config!$B$68,"WATCH","OK")))</f>
        <v/>
      </c>
      <c r="BL17" s="28">
        <f>IF(NOT(ISNUMBER($E17)),"",$E17*10000+IF(ISNUMBER($D17),$D17,0))</f>
        <v/>
      </c>
    </row>
    <row r="18">
      <c r="A18" s="14">
        <f>IF(_config!$C$85="","",_config!$C$85)</f>
        <v/>
      </c>
      <c r="B18" s="25">
        <f>IF(_config!$B$85="","",_config!$B$85)</f>
        <v/>
      </c>
      <c r="C18" s="16">
        <f>IF(_config!$D$85="","",_config!$D$85)</f>
        <v/>
      </c>
      <c r="D18" s="26">
        <f>IF(Dashboard_AssetQuality!I21="","",Dashboard_AssetQuality!I21)</f>
        <v/>
      </c>
      <c r="E18" s="27">
        <f>IF($A18="","",COUNTIF($J18:$BJ18,"ALERT"))</f>
        <v/>
      </c>
      <c r="F18" s="27">
        <f>IF($A18="","",COUNTIF($J18:$BJ18,"WATCH"))</f>
        <v/>
      </c>
      <c r="G18" s="27">
        <f>IF($BL18="","",RANK($BL18,$BL$5:$BL$44))</f>
        <v/>
      </c>
      <c r="H18" s="27">
        <f>IF(_config!$C$85="","",IF(NOT(ISNUMBER(_config!$B$85)),"REFUSED: blank/invalid CERT -- run --lookup",IF(UPPER(_config!$E$85&amp;"")&lt;&gt;"TRUE","OFF",IF($E18&gt;0,"ALERT",IF($F18&gt;0,"WATCH","OK")))))</f>
        <v/>
      </c>
      <c r="J18" s="28">
        <f>IF(NOT(ISNUMBER(Dashboard_AssetQuality!D21)),"",IF(Dashboard_AssetQuality!D21&gt;=_config!$C$16,"ALERT",IF(Dashboard_AssetQuality!D21&gt;=_config!$B$16,"WATCH","OK")))</f>
        <v/>
      </c>
      <c r="K18" s="28">
        <f>IF(NOT(ISNUMBER(Dashboard_AssetQuality!E21)),"",IF(Dashboard_AssetQuality!E21&gt;=_config!$C$17,"ALERT",IF(Dashboard_AssetQuality!E21&gt;=_config!$B$17,"WATCH","OK")))</f>
        <v/>
      </c>
      <c r="L18" s="28">
        <f>IF(NOT(ISNUMBER(Dashboard_AssetQuality!F21)),"",IF(Dashboard_AssetQuality!F21&gt;=_config!$C$18,"ALERT",IF(Dashboard_AssetQuality!F21&gt;=_config!$B$18,"WATCH","OK")))</f>
        <v/>
      </c>
      <c r="M18" s="28">
        <f>IF(NOT(ISNUMBER(Dashboard_AssetQuality!G21)),"",IF(Dashboard_AssetQuality!G21&lt;=_config!$C$19,"ALERT",IF(Dashboard_AssetQuality!G21&lt;=_config!$B$19,"WATCH","OK")))</f>
        <v/>
      </c>
      <c r="N18" s="28">
        <f>IF(NOT(ISNUMBER(Dashboard_AssetQuality!H21)),"",IF(Dashboard_AssetQuality!H21&lt;=_config!$C$20,"ALERT",IF(Dashboard_AssetQuality!H21&lt;=_config!$B$20,"WATCH","OK")))</f>
        <v/>
      </c>
      <c r="O18" s="28">
        <f>IF(NOT(ISNUMBER(Dashboard_AssetQuality!I21)),"",IF(Dashboard_AssetQuality!I21&gt;=_config!$C$21,"ALERT",IF(Dashboard_AssetQuality!I21&gt;=_config!$B$21,"WATCH","OK")))</f>
        <v/>
      </c>
      <c r="P18" s="28">
        <f>IF(NOT(ISNUMBER(Dashboard_Capital_Earnings!D21)),"",IF(Dashboard_Capital_Earnings!D21&lt;=_config!$C$22,"ALERT",IF(Dashboard_Capital_Earnings!D21&lt;=_config!$B$22,"WATCH","OK")))</f>
        <v/>
      </c>
      <c r="Q18" s="28">
        <f>IF(NOT(ISNUMBER(Dashboard_Capital_Earnings!E21)),"",IF(Dashboard_Capital_Earnings!E21&lt;=_config!$C$23,"ALERT",IF(Dashboard_Capital_Earnings!E21&lt;=_config!$B$23,"WATCH","OK")))</f>
        <v/>
      </c>
      <c r="R18" s="28">
        <f>IF(NOT(ISNUMBER(Dashboard_Capital_Earnings!F21)),"",IF(Dashboard_Capital_Earnings!F21&lt;=_config!$C$24,"ALERT",IF(Dashboard_Capital_Earnings!F21&lt;=_config!$B$24,"WATCH","OK")))</f>
        <v/>
      </c>
      <c r="S18" s="28">
        <f>IF(NOT(ISNUMBER(Dashboard_Capital_Earnings!G21)),"",IF(Dashboard_Capital_Earnings!G21&lt;=_config!$C$25,"ALERT",IF(Dashboard_Capital_Earnings!G21&lt;=_config!$B$25,"WATCH","OK")))</f>
        <v/>
      </c>
      <c r="T18" s="28">
        <f>IF(NOT(ISNUMBER(Dashboard_Capital_Earnings!H21)),"",IF(Dashboard_Capital_Earnings!H21&lt;=_config!$C$26,"ALERT",IF(Dashboard_Capital_Earnings!H21&lt;=_config!$B$26,"WATCH","OK")))</f>
        <v/>
      </c>
      <c r="U18" s="28">
        <f>IF(NOT(ISNUMBER(Dashboard_Capital_Earnings!I21)),"",IF(Dashboard_Capital_Earnings!I21&gt;=_config!$C$27,"ALERT",IF(Dashboard_Capital_Earnings!I21&gt;=_config!$B$27,"WATCH","OK")))</f>
        <v/>
      </c>
      <c r="V18" s="28">
        <f>IF(NOT(ISNUMBER(Dashboard_Funding_Concentration!D21)),"",IF(Dashboard_Funding_Concentration!D21&gt;=_config!$C$28,"ALERT",IF(Dashboard_Funding_Concentration!D21&gt;=_config!$B$28,"WATCH","OK")))</f>
        <v/>
      </c>
      <c r="W18" s="28">
        <f>IF(NOT(ISNUMBER(Dashboard_Funding_Concentration!E21)),"",IF(Dashboard_Funding_Concentration!E21&gt;=_config!$C$29,"ALERT",IF(Dashboard_Funding_Concentration!E21&gt;=_config!$B$29,"WATCH","OK")))</f>
        <v/>
      </c>
      <c r="X18" s="28">
        <f>IF(NOT(ISNUMBER(Dashboard_Funding_Concentration!F21)),"",IF(Dashboard_Funding_Concentration!F21&gt;=_config!$C$30,"ALERT",IF(Dashboard_Funding_Concentration!F21&gt;=_config!$B$30,"WATCH","OK")))</f>
        <v/>
      </c>
      <c r="Y18" s="28">
        <f>IF(NOT(ISNUMBER(Dashboard_LoanBook!D21)),"",IF(Dashboard_LoanBook!D21&gt;=_config!$C$31,"ALERT",IF(Dashboard_LoanBook!D21&gt;=_config!$B$31,"WATCH","OK")))</f>
        <v/>
      </c>
      <c r="Z18" s="28">
        <f>IF(NOT(ISNUMBER(Dashboard_LoanBook!E21)),"",IF(Dashboard_LoanBook!E21&gt;=_config!$C$32,"ALERT",IF(Dashboard_LoanBook!E21&gt;=_config!$B$32,"WATCH","OK")))</f>
        <v/>
      </c>
      <c r="AA18" s="28">
        <f>IF(NOT(ISNUMBER(Dashboard_LoanBook!F21)),"",IF(Dashboard_LoanBook!F21&gt;=_config!$C$33,"ALERT",IF(Dashboard_LoanBook!F21&gt;=_config!$B$33,"WATCH","OK")))</f>
        <v/>
      </c>
      <c r="AB18" s="28">
        <f>IF(NOT(ISNUMBER(Dashboard_LoanBook!G21)),"",IF(Dashboard_LoanBook!G21&gt;=_config!$C$34,"ALERT",IF(Dashboard_LoanBook!G21&gt;=_config!$B$34,"WATCH","OK")))</f>
        <v/>
      </c>
      <c r="AC18" s="28">
        <f>IF(NOT(ISNUMBER(Dashboard_LoanBook!H21)),"",IF(Dashboard_LoanBook!H21&gt;=_config!$C$35,"ALERT",IF(Dashboard_LoanBook!H21&gt;=_config!$B$35,"WATCH","OK")))</f>
        <v/>
      </c>
      <c r="AD18" s="28">
        <f>IF(NOT(ISNUMBER(Dashboard_LoanBook!I21)),"",IF(Dashboard_LoanBook!I21&gt;=_config!$C$36,"ALERT",IF(Dashboard_LoanBook!I21&gt;=_config!$B$36,"WATCH","OK")))</f>
        <v/>
      </c>
      <c r="AE18" s="28">
        <f>IF(NOT(ISNUMBER(Dashboard_LoanBook!J21)),"",IF(Dashboard_LoanBook!J21&gt;=_config!$C$37,"ALERT",IF(Dashboard_LoanBook!J21&gt;=_config!$B$37,"WATCH","OK")))</f>
        <v/>
      </c>
      <c r="AF18" s="28">
        <f>IF(NOT(ISNUMBER(Dashboard_LoanBook!K21)),"",IF(Dashboard_LoanBook!K21&gt;=_config!$C$38,"ALERT",IF(Dashboard_LoanBook!K21&gt;=_config!$B$38,"WATCH","OK")))</f>
        <v/>
      </c>
      <c r="AG18" s="28">
        <f>IF(NOT(ISNUMBER(Dashboard_LoanBook!L21)),"",IF(Dashboard_LoanBook!L21&gt;=_config!$C$39,"ALERT",IF(Dashboard_LoanBook!L21&gt;=_config!$B$39,"WATCH","OK")))</f>
        <v/>
      </c>
      <c r="AH18" s="28">
        <f>IF(NOT(ISNUMBER(Dashboard_LoanBook!M21)),"",IF(Dashboard_LoanBook!M21&gt;=_config!$C$40,"ALERT",IF(Dashboard_LoanBook!M21&gt;=_config!$B$40,"WATCH","OK")))</f>
        <v/>
      </c>
      <c r="AI18" s="28">
        <f>IF(NOT(ISNUMBER(Dashboard_LoanBook!N21)),"",IF(Dashboard_LoanBook!N21&gt;=_config!$C$41,"ALERT",IF(Dashboard_LoanBook!N21&gt;=_config!$B$41,"WATCH","OK")))</f>
        <v/>
      </c>
      <c r="AJ18" s="28">
        <f>IF(NOT(ISNUMBER(Dashboard_LoanBook!O21)),"",IF(Dashboard_LoanBook!O21&gt;=_config!$C$42,"ALERT",IF(Dashboard_LoanBook!O21&gt;=_config!$B$42,"WATCH","OK")))</f>
        <v/>
      </c>
      <c r="AK18" s="28">
        <f>IF(NOT(ISNUMBER(Dashboard_LoanBook!P21)),"",IF(Dashboard_LoanBook!P21&gt;=_config!$C$43,"ALERT",IF(Dashboard_LoanBook!P21&gt;=_config!$B$43,"WATCH","OK")))</f>
        <v/>
      </c>
      <c r="AL18" s="28">
        <f>IF(NOT(ISNUMBER(Dashboard_LoanBook!Q21)),"",IF(Dashboard_LoanBook!Q21&gt;=_config!$C$44,"ALERT",IF(Dashboard_LoanBook!Q21&gt;=_config!$B$44,"WATCH","OK")))</f>
        <v/>
      </c>
      <c r="AM18" s="28">
        <f>IF(NOT(ISNUMBER(Dashboard_LoanBook!R21)),"",IF(Dashboard_LoanBook!R21&gt;=_config!$C$45,"ALERT",IF(Dashboard_LoanBook!R21&gt;=_config!$B$45,"WATCH","OK")))</f>
        <v/>
      </c>
      <c r="AN18" s="28">
        <f>IF(NOT(ISNUMBER(Dashboard_LoanBook!S21)),"",IF(Dashboard_LoanBook!S21&gt;=_config!$C$46,"ALERT",IF(Dashboard_LoanBook!S21&gt;=_config!$B$46,"WATCH","OK")))</f>
        <v/>
      </c>
      <c r="AO18" s="28">
        <f>IF(NOT(ISNUMBER(Dashboard_LoanBook!T21)),"",IF(Dashboard_LoanBook!T21&gt;=_config!$C$47,"ALERT",IF(Dashboard_LoanBook!T21&gt;=_config!$B$47,"WATCH","OK")))</f>
        <v/>
      </c>
      <c r="AP18" s="28">
        <f>IF(NOT(ISNUMBER(Dashboard_LoanBook!U21)),"",IF(Dashboard_LoanBook!U21&gt;=_config!$C$48,"ALERT",IF(Dashboard_LoanBook!U21&gt;=_config!$B$48,"WATCH","OK")))</f>
        <v/>
      </c>
      <c r="AQ18" s="28">
        <f>IF(NOT(ISNUMBER(Dashboard_LoanBook!V21)),"",IF(Dashboard_LoanBook!V21&gt;=_config!$C$49,"ALERT",IF(Dashboard_LoanBook!V21&gt;=_config!$B$49,"WATCH","OK")))</f>
        <v/>
      </c>
      <c r="AR18" s="28">
        <f>IF(NOT(ISNUMBER(Dashboard_LoanBook!D65)),"",IF(Dashboard_LoanBook!D65&gt;=_config!$C$50,"ALERT",IF(Dashboard_LoanBook!D65&gt;=_config!$B$50,"WATCH","OK")))</f>
        <v/>
      </c>
      <c r="AS18" s="28">
        <f>IF(NOT(ISNUMBER(Dashboard_LoanBook!E65)),"",IF(Dashboard_LoanBook!E65&gt;=_config!$C$51,"ALERT",IF(Dashboard_LoanBook!E65&gt;=_config!$B$51,"WATCH","OK")))</f>
        <v/>
      </c>
      <c r="AT18" s="28">
        <f>IF(NOT(ISNUMBER(Dashboard_LoanBook!F65)),"",IF(Dashboard_LoanBook!F65&gt;=_config!$C$52,"ALERT",IF(Dashboard_LoanBook!F65&gt;=_config!$B$52,"WATCH","OK")))</f>
        <v/>
      </c>
      <c r="AU18" s="28">
        <f>IF(NOT(ISNUMBER(Dashboard_LoanBook!G65)),"",IF(Dashboard_LoanBook!G65&gt;=_config!$C$53,"ALERT",IF(Dashboard_LoanBook!G65&gt;=_config!$B$53,"WATCH","OK")))</f>
        <v/>
      </c>
      <c r="AV18" s="28">
        <f>IF(NOT(ISNUMBER(Dashboard_LoanBook!H65)),"",IF(Dashboard_LoanBook!H65&gt;=_config!$C$54,"ALERT",IF(Dashboard_LoanBook!H65&gt;=_config!$B$54,"WATCH","OK")))</f>
        <v/>
      </c>
      <c r="AW18" s="28">
        <f>IF(NOT(ISNUMBER(Dashboard_LoanBook!I65)),"",IF(Dashboard_LoanBook!I65&gt;=_config!$C$55,"ALERT",IF(Dashboard_LoanBook!I65&gt;=_config!$B$55,"WATCH","OK")))</f>
        <v/>
      </c>
      <c r="AX18" s="28">
        <f>IF(NOT(ISNUMBER(Dashboard_LoanBook!J65)),"",IF(Dashboard_LoanBook!J65&gt;=_config!$C$56,"ALERT",IF(Dashboard_LoanBook!J65&gt;=_config!$B$56,"WATCH","OK")))</f>
        <v/>
      </c>
      <c r="AY18" s="28">
        <f>IF(NOT(ISNUMBER(Dashboard_LoanBook!K65)),"",IF(Dashboard_LoanBook!K65&gt;=_config!$C$57,"ALERT",IF(Dashboard_LoanBook!K65&gt;=_config!$B$57,"WATCH","OK")))</f>
        <v/>
      </c>
      <c r="AZ18" s="28">
        <f>IF(NOT(ISNUMBER(Dashboard_LoanBook!L65)),"",IF(Dashboard_LoanBook!L65&gt;=_config!$C$58,"ALERT",IF(Dashboard_LoanBook!L65&gt;=_config!$B$58,"WATCH","OK")))</f>
        <v/>
      </c>
      <c r="BA18" s="28">
        <f>IF(NOT(ISNUMBER(Dashboard_LoanBook!M65)),"",IF(Dashboard_LoanBook!M65&gt;=_config!$C$59,"ALERT",IF(Dashboard_LoanBook!M65&gt;=_config!$B$59,"WATCH","OK")))</f>
        <v/>
      </c>
      <c r="BB18" s="28">
        <f>IF(NOT(ISNUMBER(Dashboard_LoanBook!N65)),"",IF(Dashboard_LoanBook!N65&gt;=_config!$C$60,"ALERT",IF(Dashboard_LoanBook!N65&gt;=_config!$B$60,"WATCH","OK")))</f>
        <v/>
      </c>
      <c r="BC18" s="28">
        <f>IF(NOT(ISNUMBER(Dashboard_LoanBook!O65)),"",IF(Dashboard_LoanBook!O65&gt;=_config!$C$61,"ALERT",IF(Dashboard_LoanBook!O65&gt;=_config!$B$61,"WATCH","OK")))</f>
        <v/>
      </c>
      <c r="BD18" s="28">
        <f>IF(NOT(ISNUMBER(Dashboard_LoanBook!P65)),"",IF(Dashboard_LoanBook!P65&gt;=_config!$C$62,"ALERT",IF(Dashboard_LoanBook!P65&gt;=_config!$B$62,"WATCH","OK")))</f>
        <v/>
      </c>
      <c r="BE18" s="28">
        <f>IF(NOT(ISNUMBER(Dashboard_LoanBook!Q65)),"",IF(Dashboard_LoanBook!Q65&gt;=_config!$C$63,"ALERT",IF(Dashboard_LoanBook!Q65&gt;=_config!$B$63,"WATCH","OK")))</f>
        <v/>
      </c>
      <c r="BF18" s="28">
        <f>IF(NOT(ISNUMBER(Dashboard_LoanBook!R65)),"",IF(Dashboard_LoanBook!R65&gt;=_config!$C$64,"ALERT",IF(Dashboard_LoanBook!R65&gt;=_config!$B$64,"WATCH","OK")))</f>
        <v/>
      </c>
      <c r="BG18" s="28">
        <f>IF(NOT(ISNUMBER(Dashboard_LoanBook!S65)),"",IF(Dashboard_LoanBook!S65&gt;=_config!$C$65,"ALERT",IF(Dashboard_LoanBook!S65&gt;=_config!$B$65,"WATCH","OK")))</f>
        <v/>
      </c>
      <c r="BH18" s="28">
        <f>IF(NOT(ISNUMBER(Dashboard_Funding_Concentration!G21)),"",IF(Dashboard_Funding_Concentration!G21&gt;=_config!$C$66,"ALERT",IF(Dashboard_Funding_Concentration!G21&gt;=_config!$B$66,"WATCH","OK")))</f>
        <v/>
      </c>
      <c r="BI18" s="28">
        <f>IF(NOT(ISNUMBER(Dashboard_Funding_Concentration!H21)),"",IF(Dashboard_Funding_Concentration!H21&gt;=_config!$C$67,"ALERT",IF(Dashboard_Funding_Concentration!H21&gt;=_config!$B$67,"WATCH","OK")))</f>
        <v/>
      </c>
      <c r="BJ18" s="28">
        <f>IF(NOT(ISNUMBER(Dashboard_Funding_Concentration!I21)),"",IF(Dashboard_Funding_Concentration!I21&gt;=_config!$C$68,"ALERT",IF(Dashboard_Funding_Concentration!I21&gt;=_config!$B$68,"WATCH","OK")))</f>
        <v/>
      </c>
      <c r="BL18" s="28">
        <f>IF(NOT(ISNUMBER($E18)),"",$E18*10000+IF(ISNUMBER($D18),$D18,0))</f>
        <v/>
      </c>
    </row>
    <row r="19">
      <c r="A19" s="14">
        <f>IF(_config!$C$86="","",_config!$C$86)</f>
        <v/>
      </c>
      <c r="B19" s="25">
        <f>IF(_config!$B$86="","",_config!$B$86)</f>
        <v/>
      </c>
      <c r="C19" s="16">
        <f>IF(_config!$D$86="","",_config!$D$86)</f>
        <v/>
      </c>
      <c r="D19" s="26">
        <f>IF(Dashboard_AssetQuality!I22="","",Dashboard_AssetQuality!I22)</f>
        <v/>
      </c>
      <c r="E19" s="27">
        <f>IF($A19="","",COUNTIF($J19:$BJ19,"ALERT"))</f>
        <v/>
      </c>
      <c r="F19" s="27">
        <f>IF($A19="","",COUNTIF($J19:$BJ19,"WATCH"))</f>
        <v/>
      </c>
      <c r="G19" s="27">
        <f>IF($BL19="","",RANK($BL19,$BL$5:$BL$44))</f>
        <v/>
      </c>
      <c r="H19" s="27">
        <f>IF(_config!$C$86="","",IF(NOT(ISNUMBER(_config!$B$86)),"REFUSED: blank/invalid CERT -- run --lookup",IF(UPPER(_config!$E$86&amp;"")&lt;&gt;"TRUE","OFF",IF($E19&gt;0,"ALERT",IF($F19&gt;0,"WATCH","OK")))))</f>
        <v/>
      </c>
      <c r="J19" s="28">
        <f>IF(NOT(ISNUMBER(Dashboard_AssetQuality!D22)),"",IF(Dashboard_AssetQuality!D22&gt;=_config!$C$16,"ALERT",IF(Dashboard_AssetQuality!D22&gt;=_config!$B$16,"WATCH","OK")))</f>
        <v/>
      </c>
      <c r="K19" s="28">
        <f>IF(NOT(ISNUMBER(Dashboard_AssetQuality!E22)),"",IF(Dashboard_AssetQuality!E22&gt;=_config!$C$17,"ALERT",IF(Dashboard_AssetQuality!E22&gt;=_config!$B$17,"WATCH","OK")))</f>
        <v/>
      </c>
      <c r="L19" s="28">
        <f>IF(NOT(ISNUMBER(Dashboard_AssetQuality!F22)),"",IF(Dashboard_AssetQuality!F22&gt;=_config!$C$18,"ALERT",IF(Dashboard_AssetQuality!F22&gt;=_config!$B$18,"WATCH","OK")))</f>
        <v/>
      </c>
      <c r="M19" s="28">
        <f>IF(NOT(ISNUMBER(Dashboard_AssetQuality!G22)),"",IF(Dashboard_AssetQuality!G22&lt;=_config!$C$19,"ALERT",IF(Dashboard_AssetQuality!G22&lt;=_config!$B$19,"WATCH","OK")))</f>
        <v/>
      </c>
      <c r="N19" s="28">
        <f>IF(NOT(ISNUMBER(Dashboard_AssetQuality!H22)),"",IF(Dashboard_AssetQuality!H22&lt;=_config!$C$20,"ALERT",IF(Dashboard_AssetQuality!H22&lt;=_config!$B$20,"WATCH","OK")))</f>
        <v/>
      </c>
      <c r="O19" s="28">
        <f>IF(NOT(ISNUMBER(Dashboard_AssetQuality!I22)),"",IF(Dashboard_AssetQuality!I22&gt;=_config!$C$21,"ALERT",IF(Dashboard_AssetQuality!I22&gt;=_config!$B$21,"WATCH","OK")))</f>
        <v/>
      </c>
      <c r="P19" s="28">
        <f>IF(NOT(ISNUMBER(Dashboard_Capital_Earnings!D22)),"",IF(Dashboard_Capital_Earnings!D22&lt;=_config!$C$22,"ALERT",IF(Dashboard_Capital_Earnings!D22&lt;=_config!$B$22,"WATCH","OK")))</f>
        <v/>
      </c>
      <c r="Q19" s="28">
        <f>IF(NOT(ISNUMBER(Dashboard_Capital_Earnings!E22)),"",IF(Dashboard_Capital_Earnings!E22&lt;=_config!$C$23,"ALERT",IF(Dashboard_Capital_Earnings!E22&lt;=_config!$B$23,"WATCH","OK")))</f>
        <v/>
      </c>
      <c r="R19" s="28">
        <f>IF(NOT(ISNUMBER(Dashboard_Capital_Earnings!F22)),"",IF(Dashboard_Capital_Earnings!F22&lt;=_config!$C$24,"ALERT",IF(Dashboard_Capital_Earnings!F22&lt;=_config!$B$24,"WATCH","OK")))</f>
        <v/>
      </c>
      <c r="S19" s="28">
        <f>IF(NOT(ISNUMBER(Dashboard_Capital_Earnings!G22)),"",IF(Dashboard_Capital_Earnings!G22&lt;=_config!$C$25,"ALERT",IF(Dashboard_Capital_Earnings!G22&lt;=_config!$B$25,"WATCH","OK")))</f>
        <v/>
      </c>
      <c r="T19" s="28">
        <f>IF(NOT(ISNUMBER(Dashboard_Capital_Earnings!H22)),"",IF(Dashboard_Capital_Earnings!H22&lt;=_config!$C$26,"ALERT",IF(Dashboard_Capital_Earnings!H22&lt;=_config!$B$26,"WATCH","OK")))</f>
        <v/>
      </c>
      <c r="U19" s="28">
        <f>IF(NOT(ISNUMBER(Dashboard_Capital_Earnings!I22)),"",IF(Dashboard_Capital_Earnings!I22&gt;=_config!$C$27,"ALERT",IF(Dashboard_Capital_Earnings!I22&gt;=_config!$B$27,"WATCH","OK")))</f>
        <v/>
      </c>
      <c r="V19" s="28">
        <f>IF(NOT(ISNUMBER(Dashboard_Funding_Concentration!D22)),"",IF(Dashboard_Funding_Concentration!D22&gt;=_config!$C$28,"ALERT",IF(Dashboard_Funding_Concentration!D22&gt;=_config!$B$28,"WATCH","OK")))</f>
        <v/>
      </c>
      <c r="W19" s="28">
        <f>IF(NOT(ISNUMBER(Dashboard_Funding_Concentration!E22)),"",IF(Dashboard_Funding_Concentration!E22&gt;=_config!$C$29,"ALERT",IF(Dashboard_Funding_Concentration!E22&gt;=_config!$B$29,"WATCH","OK")))</f>
        <v/>
      </c>
      <c r="X19" s="28">
        <f>IF(NOT(ISNUMBER(Dashboard_Funding_Concentration!F22)),"",IF(Dashboard_Funding_Concentration!F22&gt;=_config!$C$30,"ALERT",IF(Dashboard_Funding_Concentration!F22&gt;=_config!$B$30,"WATCH","OK")))</f>
        <v/>
      </c>
      <c r="Y19" s="28">
        <f>IF(NOT(ISNUMBER(Dashboard_LoanBook!D22)),"",IF(Dashboard_LoanBook!D22&gt;=_config!$C$31,"ALERT",IF(Dashboard_LoanBook!D22&gt;=_config!$B$31,"WATCH","OK")))</f>
        <v/>
      </c>
      <c r="Z19" s="28">
        <f>IF(NOT(ISNUMBER(Dashboard_LoanBook!E22)),"",IF(Dashboard_LoanBook!E22&gt;=_config!$C$32,"ALERT",IF(Dashboard_LoanBook!E22&gt;=_config!$B$32,"WATCH","OK")))</f>
        <v/>
      </c>
      <c r="AA19" s="28">
        <f>IF(NOT(ISNUMBER(Dashboard_LoanBook!F22)),"",IF(Dashboard_LoanBook!F22&gt;=_config!$C$33,"ALERT",IF(Dashboard_LoanBook!F22&gt;=_config!$B$33,"WATCH","OK")))</f>
        <v/>
      </c>
      <c r="AB19" s="28">
        <f>IF(NOT(ISNUMBER(Dashboard_LoanBook!G22)),"",IF(Dashboard_LoanBook!G22&gt;=_config!$C$34,"ALERT",IF(Dashboard_LoanBook!G22&gt;=_config!$B$34,"WATCH","OK")))</f>
        <v/>
      </c>
      <c r="AC19" s="28">
        <f>IF(NOT(ISNUMBER(Dashboard_LoanBook!H22)),"",IF(Dashboard_LoanBook!H22&gt;=_config!$C$35,"ALERT",IF(Dashboard_LoanBook!H22&gt;=_config!$B$35,"WATCH","OK")))</f>
        <v/>
      </c>
      <c r="AD19" s="28">
        <f>IF(NOT(ISNUMBER(Dashboard_LoanBook!I22)),"",IF(Dashboard_LoanBook!I22&gt;=_config!$C$36,"ALERT",IF(Dashboard_LoanBook!I22&gt;=_config!$B$36,"WATCH","OK")))</f>
        <v/>
      </c>
      <c r="AE19" s="28">
        <f>IF(NOT(ISNUMBER(Dashboard_LoanBook!J22)),"",IF(Dashboard_LoanBook!J22&gt;=_config!$C$37,"ALERT",IF(Dashboard_LoanBook!J22&gt;=_config!$B$37,"WATCH","OK")))</f>
        <v/>
      </c>
      <c r="AF19" s="28">
        <f>IF(NOT(ISNUMBER(Dashboard_LoanBook!K22)),"",IF(Dashboard_LoanBook!K22&gt;=_config!$C$38,"ALERT",IF(Dashboard_LoanBook!K22&gt;=_config!$B$38,"WATCH","OK")))</f>
        <v/>
      </c>
      <c r="AG19" s="28">
        <f>IF(NOT(ISNUMBER(Dashboard_LoanBook!L22)),"",IF(Dashboard_LoanBook!L22&gt;=_config!$C$39,"ALERT",IF(Dashboard_LoanBook!L22&gt;=_config!$B$39,"WATCH","OK")))</f>
        <v/>
      </c>
      <c r="AH19" s="28">
        <f>IF(NOT(ISNUMBER(Dashboard_LoanBook!M22)),"",IF(Dashboard_LoanBook!M22&gt;=_config!$C$40,"ALERT",IF(Dashboard_LoanBook!M22&gt;=_config!$B$40,"WATCH","OK")))</f>
        <v/>
      </c>
      <c r="AI19" s="28">
        <f>IF(NOT(ISNUMBER(Dashboard_LoanBook!N22)),"",IF(Dashboard_LoanBook!N22&gt;=_config!$C$41,"ALERT",IF(Dashboard_LoanBook!N22&gt;=_config!$B$41,"WATCH","OK")))</f>
        <v/>
      </c>
      <c r="AJ19" s="28">
        <f>IF(NOT(ISNUMBER(Dashboard_LoanBook!O22)),"",IF(Dashboard_LoanBook!O22&gt;=_config!$C$42,"ALERT",IF(Dashboard_LoanBook!O22&gt;=_config!$B$42,"WATCH","OK")))</f>
        <v/>
      </c>
      <c r="AK19" s="28">
        <f>IF(NOT(ISNUMBER(Dashboard_LoanBook!P22)),"",IF(Dashboard_LoanBook!P22&gt;=_config!$C$43,"ALERT",IF(Dashboard_LoanBook!P22&gt;=_config!$B$43,"WATCH","OK")))</f>
        <v/>
      </c>
      <c r="AL19" s="28">
        <f>IF(NOT(ISNUMBER(Dashboard_LoanBook!Q22)),"",IF(Dashboard_LoanBook!Q22&gt;=_config!$C$44,"ALERT",IF(Dashboard_LoanBook!Q22&gt;=_config!$B$44,"WATCH","OK")))</f>
        <v/>
      </c>
      <c r="AM19" s="28">
        <f>IF(NOT(ISNUMBER(Dashboard_LoanBook!R22)),"",IF(Dashboard_LoanBook!R22&gt;=_config!$C$45,"ALERT",IF(Dashboard_LoanBook!R22&gt;=_config!$B$45,"WATCH","OK")))</f>
        <v/>
      </c>
      <c r="AN19" s="28">
        <f>IF(NOT(ISNUMBER(Dashboard_LoanBook!S22)),"",IF(Dashboard_LoanBook!S22&gt;=_config!$C$46,"ALERT",IF(Dashboard_LoanBook!S22&gt;=_config!$B$46,"WATCH","OK")))</f>
        <v/>
      </c>
      <c r="AO19" s="28">
        <f>IF(NOT(ISNUMBER(Dashboard_LoanBook!T22)),"",IF(Dashboard_LoanBook!T22&gt;=_config!$C$47,"ALERT",IF(Dashboard_LoanBook!T22&gt;=_config!$B$47,"WATCH","OK")))</f>
        <v/>
      </c>
      <c r="AP19" s="28">
        <f>IF(NOT(ISNUMBER(Dashboard_LoanBook!U22)),"",IF(Dashboard_LoanBook!U22&gt;=_config!$C$48,"ALERT",IF(Dashboard_LoanBook!U22&gt;=_config!$B$48,"WATCH","OK")))</f>
        <v/>
      </c>
      <c r="AQ19" s="28">
        <f>IF(NOT(ISNUMBER(Dashboard_LoanBook!V22)),"",IF(Dashboard_LoanBook!V22&gt;=_config!$C$49,"ALERT",IF(Dashboard_LoanBook!V22&gt;=_config!$B$49,"WATCH","OK")))</f>
        <v/>
      </c>
      <c r="AR19" s="28">
        <f>IF(NOT(ISNUMBER(Dashboard_LoanBook!D66)),"",IF(Dashboard_LoanBook!D66&gt;=_config!$C$50,"ALERT",IF(Dashboard_LoanBook!D66&gt;=_config!$B$50,"WATCH","OK")))</f>
        <v/>
      </c>
      <c r="AS19" s="28">
        <f>IF(NOT(ISNUMBER(Dashboard_LoanBook!E66)),"",IF(Dashboard_LoanBook!E66&gt;=_config!$C$51,"ALERT",IF(Dashboard_LoanBook!E66&gt;=_config!$B$51,"WATCH","OK")))</f>
        <v/>
      </c>
      <c r="AT19" s="28">
        <f>IF(NOT(ISNUMBER(Dashboard_LoanBook!F66)),"",IF(Dashboard_LoanBook!F66&gt;=_config!$C$52,"ALERT",IF(Dashboard_LoanBook!F66&gt;=_config!$B$52,"WATCH","OK")))</f>
        <v/>
      </c>
      <c r="AU19" s="28">
        <f>IF(NOT(ISNUMBER(Dashboard_LoanBook!G66)),"",IF(Dashboard_LoanBook!G66&gt;=_config!$C$53,"ALERT",IF(Dashboard_LoanBook!G66&gt;=_config!$B$53,"WATCH","OK")))</f>
        <v/>
      </c>
      <c r="AV19" s="28">
        <f>IF(NOT(ISNUMBER(Dashboard_LoanBook!H66)),"",IF(Dashboard_LoanBook!H66&gt;=_config!$C$54,"ALERT",IF(Dashboard_LoanBook!H66&gt;=_config!$B$54,"WATCH","OK")))</f>
        <v/>
      </c>
      <c r="AW19" s="28">
        <f>IF(NOT(ISNUMBER(Dashboard_LoanBook!I66)),"",IF(Dashboard_LoanBook!I66&gt;=_config!$C$55,"ALERT",IF(Dashboard_LoanBook!I66&gt;=_config!$B$55,"WATCH","OK")))</f>
        <v/>
      </c>
      <c r="AX19" s="28">
        <f>IF(NOT(ISNUMBER(Dashboard_LoanBook!J66)),"",IF(Dashboard_LoanBook!J66&gt;=_config!$C$56,"ALERT",IF(Dashboard_LoanBook!J66&gt;=_config!$B$56,"WATCH","OK")))</f>
        <v/>
      </c>
      <c r="AY19" s="28">
        <f>IF(NOT(ISNUMBER(Dashboard_LoanBook!K66)),"",IF(Dashboard_LoanBook!K66&gt;=_config!$C$57,"ALERT",IF(Dashboard_LoanBook!K66&gt;=_config!$B$57,"WATCH","OK")))</f>
        <v/>
      </c>
      <c r="AZ19" s="28">
        <f>IF(NOT(ISNUMBER(Dashboard_LoanBook!L66)),"",IF(Dashboard_LoanBook!L66&gt;=_config!$C$58,"ALERT",IF(Dashboard_LoanBook!L66&gt;=_config!$B$58,"WATCH","OK")))</f>
        <v/>
      </c>
      <c r="BA19" s="28">
        <f>IF(NOT(ISNUMBER(Dashboard_LoanBook!M66)),"",IF(Dashboard_LoanBook!M66&gt;=_config!$C$59,"ALERT",IF(Dashboard_LoanBook!M66&gt;=_config!$B$59,"WATCH","OK")))</f>
        <v/>
      </c>
      <c r="BB19" s="28">
        <f>IF(NOT(ISNUMBER(Dashboard_LoanBook!N66)),"",IF(Dashboard_LoanBook!N66&gt;=_config!$C$60,"ALERT",IF(Dashboard_LoanBook!N66&gt;=_config!$B$60,"WATCH","OK")))</f>
        <v/>
      </c>
      <c r="BC19" s="28">
        <f>IF(NOT(ISNUMBER(Dashboard_LoanBook!O66)),"",IF(Dashboard_LoanBook!O66&gt;=_config!$C$61,"ALERT",IF(Dashboard_LoanBook!O66&gt;=_config!$B$61,"WATCH","OK")))</f>
        <v/>
      </c>
      <c r="BD19" s="28">
        <f>IF(NOT(ISNUMBER(Dashboard_LoanBook!P66)),"",IF(Dashboard_LoanBook!P66&gt;=_config!$C$62,"ALERT",IF(Dashboard_LoanBook!P66&gt;=_config!$B$62,"WATCH","OK")))</f>
        <v/>
      </c>
      <c r="BE19" s="28">
        <f>IF(NOT(ISNUMBER(Dashboard_LoanBook!Q66)),"",IF(Dashboard_LoanBook!Q66&gt;=_config!$C$63,"ALERT",IF(Dashboard_LoanBook!Q66&gt;=_config!$B$63,"WATCH","OK")))</f>
        <v/>
      </c>
      <c r="BF19" s="28">
        <f>IF(NOT(ISNUMBER(Dashboard_LoanBook!R66)),"",IF(Dashboard_LoanBook!R66&gt;=_config!$C$64,"ALERT",IF(Dashboard_LoanBook!R66&gt;=_config!$B$64,"WATCH","OK")))</f>
        <v/>
      </c>
      <c r="BG19" s="28">
        <f>IF(NOT(ISNUMBER(Dashboard_LoanBook!S66)),"",IF(Dashboard_LoanBook!S66&gt;=_config!$C$65,"ALERT",IF(Dashboard_LoanBook!S66&gt;=_config!$B$65,"WATCH","OK")))</f>
        <v/>
      </c>
      <c r="BH19" s="28">
        <f>IF(NOT(ISNUMBER(Dashboard_Funding_Concentration!G22)),"",IF(Dashboard_Funding_Concentration!G22&gt;=_config!$C$66,"ALERT",IF(Dashboard_Funding_Concentration!G22&gt;=_config!$B$66,"WATCH","OK")))</f>
        <v/>
      </c>
      <c r="BI19" s="28">
        <f>IF(NOT(ISNUMBER(Dashboard_Funding_Concentration!H22)),"",IF(Dashboard_Funding_Concentration!H22&gt;=_config!$C$67,"ALERT",IF(Dashboard_Funding_Concentration!H22&gt;=_config!$B$67,"WATCH","OK")))</f>
        <v/>
      </c>
      <c r="BJ19" s="28">
        <f>IF(NOT(ISNUMBER(Dashboard_Funding_Concentration!I22)),"",IF(Dashboard_Funding_Concentration!I22&gt;=_config!$C$68,"ALERT",IF(Dashboard_Funding_Concentration!I22&gt;=_config!$B$68,"WATCH","OK")))</f>
        <v/>
      </c>
      <c r="BL19" s="28">
        <f>IF(NOT(ISNUMBER($E19)),"",$E19*10000+IF(ISNUMBER($D19),$D19,0))</f>
        <v/>
      </c>
    </row>
    <row r="20">
      <c r="A20" s="14">
        <f>IF(_config!$C$87="","",_config!$C$87)</f>
        <v/>
      </c>
      <c r="B20" s="25">
        <f>IF(_config!$B$87="","",_config!$B$87)</f>
        <v/>
      </c>
      <c r="C20" s="16">
        <f>IF(_config!$D$87="","",_config!$D$87)</f>
        <v/>
      </c>
      <c r="D20" s="26">
        <f>IF(Dashboard_AssetQuality!I23="","",Dashboard_AssetQuality!I23)</f>
        <v/>
      </c>
      <c r="E20" s="27">
        <f>IF($A20="","",COUNTIF($J20:$BJ20,"ALERT"))</f>
        <v/>
      </c>
      <c r="F20" s="27">
        <f>IF($A20="","",COUNTIF($J20:$BJ20,"WATCH"))</f>
        <v/>
      </c>
      <c r="G20" s="27">
        <f>IF($BL20="","",RANK($BL20,$BL$5:$BL$44))</f>
        <v/>
      </c>
      <c r="H20" s="27">
        <f>IF(_config!$C$87="","",IF(NOT(ISNUMBER(_config!$B$87)),"REFUSED: blank/invalid CERT -- run --lookup",IF(UPPER(_config!$E$87&amp;"")&lt;&gt;"TRUE","OFF",IF($E20&gt;0,"ALERT",IF($F20&gt;0,"WATCH","OK")))))</f>
        <v/>
      </c>
      <c r="J20" s="28">
        <f>IF(NOT(ISNUMBER(Dashboard_AssetQuality!D23)),"",IF(Dashboard_AssetQuality!D23&gt;=_config!$C$16,"ALERT",IF(Dashboard_AssetQuality!D23&gt;=_config!$B$16,"WATCH","OK")))</f>
        <v/>
      </c>
      <c r="K20" s="28">
        <f>IF(NOT(ISNUMBER(Dashboard_AssetQuality!E23)),"",IF(Dashboard_AssetQuality!E23&gt;=_config!$C$17,"ALERT",IF(Dashboard_AssetQuality!E23&gt;=_config!$B$17,"WATCH","OK")))</f>
        <v/>
      </c>
      <c r="L20" s="28">
        <f>IF(NOT(ISNUMBER(Dashboard_AssetQuality!F23)),"",IF(Dashboard_AssetQuality!F23&gt;=_config!$C$18,"ALERT",IF(Dashboard_AssetQuality!F23&gt;=_config!$B$18,"WATCH","OK")))</f>
        <v/>
      </c>
      <c r="M20" s="28">
        <f>IF(NOT(ISNUMBER(Dashboard_AssetQuality!G23)),"",IF(Dashboard_AssetQuality!G23&lt;=_config!$C$19,"ALERT",IF(Dashboard_AssetQuality!G23&lt;=_config!$B$19,"WATCH","OK")))</f>
        <v/>
      </c>
      <c r="N20" s="28">
        <f>IF(NOT(ISNUMBER(Dashboard_AssetQuality!H23)),"",IF(Dashboard_AssetQuality!H23&lt;=_config!$C$20,"ALERT",IF(Dashboard_AssetQuality!H23&lt;=_config!$B$20,"WATCH","OK")))</f>
        <v/>
      </c>
      <c r="O20" s="28">
        <f>IF(NOT(ISNUMBER(Dashboard_AssetQuality!I23)),"",IF(Dashboard_AssetQuality!I23&gt;=_config!$C$21,"ALERT",IF(Dashboard_AssetQuality!I23&gt;=_config!$B$21,"WATCH","OK")))</f>
        <v/>
      </c>
      <c r="P20" s="28">
        <f>IF(NOT(ISNUMBER(Dashboard_Capital_Earnings!D23)),"",IF(Dashboard_Capital_Earnings!D23&lt;=_config!$C$22,"ALERT",IF(Dashboard_Capital_Earnings!D23&lt;=_config!$B$22,"WATCH","OK")))</f>
        <v/>
      </c>
      <c r="Q20" s="28">
        <f>IF(NOT(ISNUMBER(Dashboard_Capital_Earnings!E23)),"",IF(Dashboard_Capital_Earnings!E23&lt;=_config!$C$23,"ALERT",IF(Dashboard_Capital_Earnings!E23&lt;=_config!$B$23,"WATCH","OK")))</f>
        <v/>
      </c>
      <c r="R20" s="28">
        <f>IF(NOT(ISNUMBER(Dashboard_Capital_Earnings!F23)),"",IF(Dashboard_Capital_Earnings!F23&lt;=_config!$C$24,"ALERT",IF(Dashboard_Capital_Earnings!F23&lt;=_config!$B$24,"WATCH","OK")))</f>
        <v/>
      </c>
      <c r="S20" s="28">
        <f>IF(NOT(ISNUMBER(Dashboard_Capital_Earnings!G23)),"",IF(Dashboard_Capital_Earnings!G23&lt;=_config!$C$25,"ALERT",IF(Dashboard_Capital_Earnings!G23&lt;=_config!$B$25,"WATCH","OK")))</f>
        <v/>
      </c>
      <c r="T20" s="28">
        <f>IF(NOT(ISNUMBER(Dashboard_Capital_Earnings!H23)),"",IF(Dashboard_Capital_Earnings!H23&lt;=_config!$C$26,"ALERT",IF(Dashboard_Capital_Earnings!H23&lt;=_config!$B$26,"WATCH","OK")))</f>
        <v/>
      </c>
      <c r="U20" s="28">
        <f>IF(NOT(ISNUMBER(Dashboard_Capital_Earnings!I23)),"",IF(Dashboard_Capital_Earnings!I23&gt;=_config!$C$27,"ALERT",IF(Dashboard_Capital_Earnings!I23&gt;=_config!$B$27,"WATCH","OK")))</f>
        <v/>
      </c>
      <c r="V20" s="28">
        <f>IF(NOT(ISNUMBER(Dashboard_Funding_Concentration!D23)),"",IF(Dashboard_Funding_Concentration!D23&gt;=_config!$C$28,"ALERT",IF(Dashboard_Funding_Concentration!D23&gt;=_config!$B$28,"WATCH","OK")))</f>
        <v/>
      </c>
      <c r="W20" s="28">
        <f>IF(NOT(ISNUMBER(Dashboard_Funding_Concentration!E23)),"",IF(Dashboard_Funding_Concentration!E23&gt;=_config!$C$29,"ALERT",IF(Dashboard_Funding_Concentration!E23&gt;=_config!$B$29,"WATCH","OK")))</f>
        <v/>
      </c>
      <c r="X20" s="28">
        <f>IF(NOT(ISNUMBER(Dashboard_Funding_Concentration!F23)),"",IF(Dashboard_Funding_Concentration!F23&gt;=_config!$C$30,"ALERT",IF(Dashboard_Funding_Concentration!F23&gt;=_config!$B$30,"WATCH","OK")))</f>
        <v/>
      </c>
      <c r="Y20" s="28">
        <f>IF(NOT(ISNUMBER(Dashboard_LoanBook!D23)),"",IF(Dashboard_LoanBook!D23&gt;=_config!$C$31,"ALERT",IF(Dashboard_LoanBook!D23&gt;=_config!$B$31,"WATCH","OK")))</f>
        <v/>
      </c>
      <c r="Z20" s="28">
        <f>IF(NOT(ISNUMBER(Dashboard_LoanBook!E23)),"",IF(Dashboard_LoanBook!E23&gt;=_config!$C$32,"ALERT",IF(Dashboard_LoanBook!E23&gt;=_config!$B$32,"WATCH","OK")))</f>
        <v/>
      </c>
      <c r="AA20" s="28">
        <f>IF(NOT(ISNUMBER(Dashboard_LoanBook!F23)),"",IF(Dashboard_LoanBook!F23&gt;=_config!$C$33,"ALERT",IF(Dashboard_LoanBook!F23&gt;=_config!$B$33,"WATCH","OK")))</f>
        <v/>
      </c>
      <c r="AB20" s="28">
        <f>IF(NOT(ISNUMBER(Dashboard_LoanBook!G23)),"",IF(Dashboard_LoanBook!G23&gt;=_config!$C$34,"ALERT",IF(Dashboard_LoanBook!G23&gt;=_config!$B$34,"WATCH","OK")))</f>
        <v/>
      </c>
      <c r="AC20" s="28">
        <f>IF(NOT(ISNUMBER(Dashboard_LoanBook!H23)),"",IF(Dashboard_LoanBook!H23&gt;=_config!$C$35,"ALERT",IF(Dashboard_LoanBook!H23&gt;=_config!$B$35,"WATCH","OK")))</f>
        <v/>
      </c>
      <c r="AD20" s="28">
        <f>IF(NOT(ISNUMBER(Dashboard_LoanBook!I23)),"",IF(Dashboard_LoanBook!I23&gt;=_config!$C$36,"ALERT",IF(Dashboard_LoanBook!I23&gt;=_config!$B$36,"WATCH","OK")))</f>
        <v/>
      </c>
      <c r="AE20" s="28">
        <f>IF(NOT(ISNUMBER(Dashboard_LoanBook!J23)),"",IF(Dashboard_LoanBook!J23&gt;=_config!$C$37,"ALERT",IF(Dashboard_LoanBook!J23&gt;=_config!$B$37,"WATCH","OK")))</f>
        <v/>
      </c>
      <c r="AF20" s="28">
        <f>IF(NOT(ISNUMBER(Dashboard_LoanBook!K23)),"",IF(Dashboard_LoanBook!K23&gt;=_config!$C$38,"ALERT",IF(Dashboard_LoanBook!K23&gt;=_config!$B$38,"WATCH","OK")))</f>
        <v/>
      </c>
      <c r="AG20" s="28">
        <f>IF(NOT(ISNUMBER(Dashboard_LoanBook!L23)),"",IF(Dashboard_LoanBook!L23&gt;=_config!$C$39,"ALERT",IF(Dashboard_LoanBook!L23&gt;=_config!$B$39,"WATCH","OK")))</f>
        <v/>
      </c>
      <c r="AH20" s="28">
        <f>IF(NOT(ISNUMBER(Dashboard_LoanBook!M23)),"",IF(Dashboard_LoanBook!M23&gt;=_config!$C$40,"ALERT",IF(Dashboard_LoanBook!M23&gt;=_config!$B$40,"WATCH","OK")))</f>
        <v/>
      </c>
      <c r="AI20" s="28">
        <f>IF(NOT(ISNUMBER(Dashboard_LoanBook!N23)),"",IF(Dashboard_LoanBook!N23&gt;=_config!$C$41,"ALERT",IF(Dashboard_LoanBook!N23&gt;=_config!$B$41,"WATCH","OK")))</f>
        <v/>
      </c>
      <c r="AJ20" s="28">
        <f>IF(NOT(ISNUMBER(Dashboard_LoanBook!O23)),"",IF(Dashboard_LoanBook!O23&gt;=_config!$C$42,"ALERT",IF(Dashboard_LoanBook!O23&gt;=_config!$B$42,"WATCH","OK")))</f>
        <v/>
      </c>
      <c r="AK20" s="28">
        <f>IF(NOT(ISNUMBER(Dashboard_LoanBook!P23)),"",IF(Dashboard_LoanBook!P23&gt;=_config!$C$43,"ALERT",IF(Dashboard_LoanBook!P23&gt;=_config!$B$43,"WATCH","OK")))</f>
        <v/>
      </c>
      <c r="AL20" s="28">
        <f>IF(NOT(ISNUMBER(Dashboard_LoanBook!Q23)),"",IF(Dashboard_LoanBook!Q23&gt;=_config!$C$44,"ALERT",IF(Dashboard_LoanBook!Q23&gt;=_config!$B$44,"WATCH","OK")))</f>
        <v/>
      </c>
      <c r="AM20" s="28">
        <f>IF(NOT(ISNUMBER(Dashboard_LoanBook!R23)),"",IF(Dashboard_LoanBook!R23&gt;=_config!$C$45,"ALERT",IF(Dashboard_LoanBook!R23&gt;=_config!$B$45,"WATCH","OK")))</f>
        <v/>
      </c>
      <c r="AN20" s="28">
        <f>IF(NOT(ISNUMBER(Dashboard_LoanBook!S23)),"",IF(Dashboard_LoanBook!S23&gt;=_config!$C$46,"ALERT",IF(Dashboard_LoanBook!S23&gt;=_config!$B$46,"WATCH","OK")))</f>
        <v/>
      </c>
      <c r="AO20" s="28">
        <f>IF(NOT(ISNUMBER(Dashboard_LoanBook!T23)),"",IF(Dashboard_LoanBook!T23&gt;=_config!$C$47,"ALERT",IF(Dashboard_LoanBook!T23&gt;=_config!$B$47,"WATCH","OK")))</f>
        <v/>
      </c>
      <c r="AP20" s="28">
        <f>IF(NOT(ISNUMBER(Dashboard_LoanBook!U23)),"",IF(Dashboard_LoanBook!U23&gt;=_config!$C$48,"ALERT",IF(Dashboard_LoanBook!U23&gt;=_config!$B$48,"WATCH","OK")))</f>
        <v/>
      </c>
      <c r="AQ20" s="28">
        <f>IF(NOT(ISNUMBER(Dashboard_LoanBook!V23)),"",IF(Dashboard_LoanBook!V23&gt;=_config!$C$49,"ALERT",IF(Dashboard_LoanBook!V23&gt;=_config!$B$49,"WATCH","OK")))</f>
        <v/>
      </c>
      <c r="AR20" s="28">
        <f>IF(NOT(ISNUMBER(Dashboard_LoanBook!D67)),"",IF(Dashboard_LoanBook!D67&gt;=_config!$C$50,"ALERT",IF(Dashboard_LoanBook!D67&gt;=_config!$B$50,"WATCH","OK")))</f>
        <v/>
      </c>
      <c r="AS20" s="28">
        <f>IF(NOT(ISNUMBER(Dashboard_LoanBook!E67)),"",IF(Dashboard_LoanBook!E67&gt;=_config!$C$51,"ALERT",IF(Dashboard_LoanBook!E67&gt;=_config!$B$51,"WATCH","OK")))</f>
        <v/>
      </c>
      <c r="AT20" s="28">
        <f>IF(NOT(ISNUMBER(Dashboard_LoanBook!F67)),"",IF(Dashboard_LoanBook!F67&gt;=_config!$C$52,"ALERT",IF(Dashboard_LoanBook!F67&gt;=_config!$B$52,"WATCH","OK")))</f>
        <v/>
      </c>
      <c r="AU20" s="28">
        <f>IF(NOT(ISNUMBER(Dashboard_LoanBook!G67)),"",IF(Dashboard_LoanBook!G67&gt;=_config!$C$53,"ALERT",IF(Dashboard_LoanBook!G67&gt;=_config!$B$53,"WATCH","OK")))</f>
        <v/>
      </c>
      <c r="AV20" s="28">
        <f>IF(NOT(ISNUMBER(Dashboard_LoanBook!H67)),"",IF(Dashboard_LoanBook!H67&gt;=_config!$C$54,"ALERT",IF(Dashboard_LoanBook!H67&gt;=_config!$B$54,"WATCH","OK")))</f>
        <v/>
      </c>
      <c r="AW20" s="28">
        <f>IF(NOT(ISNUMBER(Dashboard_LoanBook!I67)),"",IF(Dashboard_LoanBook!I67&gt;=_config!$C$55,"ALERT",IF(Dashboard_LoanBook!I67&gt;=_config!$B$55,"WATCH","OK")))</f>
        <v/>
      </c>
      <c r="AX20" s="28">
        <f>IF(NOT(ISNUMBER(Dashboard_LoanBook!J67)),"",IF(Dashboard_LoanBook!J67&gt;=_config!$C$56,"ALERT",IF(Dashboard_LoanBook!J67&gt;=_config!$B$56,"WATCH","OK")))</f>
        <v/>
      </c>
      <c r="AY20" s="28">
        <f>IF(NOT(ISNUMBER(Dashboard_LoanBook!K67)),"",IF(Dashboard_LoanBook!K67&gt;=_config!$C$57,"ALERT",IF(Dashboard_LoanBook!K67&gt;=_config!$B$57,"WATCH","OK")))</f>
        <v/>
      </c>
      <c r="AZ20" s="28">
        <f>IF(NOT(ISNUMBER(Dashboard_LoanBook!L67)),"",IF(Dashboard_LoanBook!L67&gt;=_config!$C$58,"ALERT",IF(Dashboard_LoanBook!L67&gt;=_config!$B$58,"WATCH","OK")))</f>
        <v/>
      </c>
      <c r="BA20" s="28">
        <f>IF(NOT(ISNUMBER(Dashboard_LoanBook!M67)),"",IF(Dashboard_LoanBook!M67&gt;=_config!$C$59,"ALERT",IF(Dashboard_LoanBook!M67&gt;=_config!$B$59,"WATCH","OK")))</f>
        <v/>
      </c>
      <c r="BB20" s="28">
        <f>IF(NOT(ISNUMBER(Dashboard_LoanBook!N67)),"",IF(Dashboard_LoanBook!N67&gt;=_config!$C$60,"ALERT",IF(Dashboard_LoanBook!N67&gt;=_config!$B$60,"WATCH","OK")))</f>
        <v/>
      </c>
      <c r="BC20" s="28">
        <f>IF(NOT(ISNUMBER(Dashboard_LoanBook!O67)),"",IF(Dashboard_LoanBook!O67&gt;=_config!$C$61,"ALERT",IF(Dashboard_LoanBook!O67&gt;=_config!$B$61,"WATCH","OK")))</f>
        <v/>
      </c>
      <c r="BD20" s="28">
        <f>IF(NOT(ISNUMBER(Dashboard_LoanBook!P67)),"",IF(Dashboard_LoanBook!P67&gt;=_config!$C$62,"ALERT",IF(Dashboard_LoanBook!P67&gt;=_config!$B$62,"WATCH","OK")))</f>
        <v/>
      </c>
      <c r="BE20" s="28">
        <f>IF(NOT(ISNUMBER(Dashboard_LoanBook!Q67)),"",IF(Dashboard_LoanBook!Q67&gt;=_config!$C$63,"ALERT",IF(Dashboard_LoanBook!Q67&gt;=_config!$B$63,"WATCH","OK")))</f>
        <v/>
      </c>
      <c r="BF20" s="28">
        <f>IF(NOT(ISNUMBER(Dashboard_LoanBook!R67)),"",IF(Dashboard_LoanBook!R67&gt;=_config!$C$64,"ALERT",IF(Dashboard_LoanBook!R67&gt;=_config!$B$64,"WATCH","OK")))</f>
        <v/>
      </c>
      <c r="BG20" s="28">
        <f>IF(NOT(ISNUMBER(Dashboard_LoanBook!S67)),"",IF(Dashboard_LoanBook!S67&gt;=_config!$C$65,"ALERT",IF(Dashboard_LoanBook!S67&gt;=_config!$B$65,"WATCH","OK")))</f>
        <v/>
      </c>
      <c r="BH20" s="28">
        <f>IF(NOT(ISNUMBER(Dashboard_Funding_Concentration!G23)),"",IF(Dashboard_Funding_Concentration!G23&gt;=_config!$C$66,"ALERT",IF(Dashboard_Funding_Concentration!G23&gt;=_config!$B$66,"WATCH","OK")))</f>
        <v/>
      </c>
      <c r="BI20" s="28">
        <f>IF(NOT(ISNUMBER(Dashboard_Funding_Concentration!H23)),"",IF(Dashboard_Funding_Concentration!H23&gt;=_config!$C$67,"ALERT",IF(Dashboard_Funding_Concentration!H23&gt;=_config!$B$67,"WATCH","OK")))</f>
        <v/>
      </c>
      <c r="BJ20" s="28">
        <f>IF(NOT(ISNUMBER(Dashboard_Funding_Concentration!I23)),"",IF(Dashboard_Funding_Concentration!I23&gt;=_config!$C$68,"ALERT",IF(Dashboard_Funding_Concentration!I23&gt;=_config!$B$68,"WATCH","OK")))</f>
        <v/>
      </c>
      <c r="BL20" s="28">
        <f>IF(NOT(ISNUMBER($E20)),"",$E20*10000+IF(ISNUMBER($D20),$D20,0))</f>
        <v/>
      </c>
    </row>
    <row r="21">
      <c r="A21" s="14">
        <f>IF(_config!$C$88="","",_config!$C$88)</f>
        <v/>
      </c>
      <c r="B21" s="25">
        <f>IF(_config!$B$88="","",_config!$B$88)</f>
        <v/>
      </c>
      <c r="C21" s="16">
        <f>IF(_config!$D$88="","",_config!$D$88)</f>
        <v/>
      </c>
      <c r="D21" s="26">
        <f>IF(Dashboard_AssetQuality!I24="","",Dashboard_AssetQuality!I24)</f>
        <v/>
      </c>
      <c r="E21" s="27">
        <f>IF($A21="","",COUNTIF($J21:$BJ21,"ALERT"))</f>
        <v/>
      </c>
      <c r="F21" s="27">
        <f>IF($A21="","",COUNTIF($J21:$BJ21,"WATCH"))</f>
        <v/>
      </c>
      <c r="G21" s="27">
        <f>IF($BL21="","",RANK($BL21,$BL$5:$BL$44))</f>
        <v/>
      </c>
      <c r="H21" s="27">
        <f>IF(_config!$C$88="","",IF(NOT(ISNUMBER(_config!$B$88)),"REFUSED: blank/invalid CERT -- run --lookup",IF(UPPER(_config!$E$88&amp;"")&lt;&gt;"TRUE","OFF",IF($E21&gt;0,"ALERT",IF($F21&gt;0,"WATCH","OK")))))</f>
        <v/>
      </c>
      <c r="J21" s="28">
        <f>IF(NOT(ISNUMBER(Dashboard_AssetQuality!D24)),"",IF(Dashboard_AssetQuality!D24&gt;=_config!$C$16,"ALERT",IF(Dashboard_AssetQuality!D24&gt;=_config!$B$16,"WATCH","OK")))</f>
        <v/>
      </c>
      <c r="K21" s="28">
        <f>IF(NOT(ISNUMBER(Dashboard_AssetQuality!E24)),"",IF(Dashboard_AssetQuality!E24&gt;=_config!$C$17,"ALERT",IF(Dashboard_AssetQuality!E24&gt;=_config!$B$17,"WATCH","OK")))</f>
        <v/>
      </c>
      <c r="L21" s="28">
        <f>IF(NOT(ISNUMBER(Dashboard_AssetQuality!F24)),"",IF(Dashboard_AssetQuality!F24&gt;=_config!$C$18,"ALERT",IF(Dashboard_AssetQuality!F24&gt;=_config!$B$18,"WATCH","OK")))</f>
        <v/>
      </c>
      <c r="M21" s="28">
        <f>IF(NOT(ISNUMBER(Dashboard_AssetQuality!G24)),"",IF(Dashboard_AssetQuality!G24&lt;=_config!$C$19,"ALERT",IF(Dashboard_AssetQuality!G24&lt;=_config!$B$19,"WATCH","OK")))</f>
        <v/>
      </c>
      <c r="N21" s="28">
        <f>IF(NOT(ISNUMBER(Dashboard_AssetQuality!H24)),"",IF(Dashboard_AssetQuality!H24&lt;=_config!$C$20,"ALERT",IF(Dashboard_AssetQuality!H24&lt;=_config!$B$20,"WATCH","OK")))</f>
        <v/>
      </c>
      <c r="O21" s="28">
        <f>IF(NOT(ISNUMBER(Dashboard_AssetQuality!I24)),"",IF(Dashboard_AssetQuality!I24&gt;=_config!$C$21,"ALERT",IF(Dashboard_AssetQuality!I24&gt;=_config!$B$21,"WATCH","OK")))</f>
        <v/>
      </c>
      <c r="P21" s="28">
        <f>IF(NOT(ISNUMBER(Dashboard_Capital_Earnings!D24)),"",IF(Dashboard_Capital_Earnings!D24&lt;=_config!$C$22,"ALERT",IF(Dashboard_Capital_Earnings!D24&lt;=_config!$B$22,"WATCH","OK")))</f>
        <v/>
      </c>
      <c r="Q21" s="28">
        <f>IF(NOT(ISNUMBER(Dashboard_Capital_Earnings!E24)),"",IF(Dashboard_Capital_Earnings!E24&lt;=_config!$C$23,"ALERT",IF(Dashboard_Capital_Earnings!E24&lt;=_config!$B$23,"WATCH","OK")))</f>
        <v/>
      </c>
      <c r="R21" s="28">
        <f>IF(NOT(ISNUMBER(Dashboard_Capital_Earnings!F24)),"",IF(Dashboard_Capital_Earnings!F24&lt;=_config!$C$24,"ALERT",IF(Dashboard_Capital_Earnings!F24&lt;=_config!$B$24,"WATCH","OK")))</f>
        <v/>
      </c>
      <c r="S21" s="28">
        <f>IF(NOT(ISNUMBER(Dashboard_Capital_Earnings!G24)),"",IF(Dashboard_Capital_Earnings!G24&lt;=_config!$C$25,"ALERT",IF(Dashboard_Capital_Earnings!G24&lt;=_config!$B$25,"WATCH","OK")))</f>
        <v/>
      </c>
      <c r="T21" s="28">
        <f>IF(NOT(ISNUMBER(Dashboard_Capital_Earnings!H24)),"",IF(Dashboard_Capital_Earnings!H24&lt;=_config!$C$26,"ALERT",IF(Dashboard_Capital_Earnings!H24&lt;=_config!$B$26,"WATCH","OK")))</f>
        <v/>
      </c>
      <c r="U21" s="28">
        <f>IF(NOT(ISNUMBER(Dashboard_Capital_Earnings!I24)),"",IF(Dashboard_Capital_Earnings!I24&gt;=_config!$C$27,"ALERT",IF(Dashboard_Capital_Earnings!I24&gt;=_config!$B$27,"WATCH","OK")))</f>
        <v/>
      </c>
      <c r="V21" s="28">
        <f>IF(NOT(ISNUMBER(Dashboard_Funding_Concentration!D24)),"",IF(Dashboard_Funding_Concentration!D24&gt;=_config!$C$28,"ALERT",IF(Dashboard_Funding_Concentration!D24&gt;=_config!$B$28,"WATCH","OK")))</f>
        <v/>
      </c>
      <c r="W21" s="28">
        <f>IF(NOT(ISNUMBER(Dashboard_Funding_Concentration!E24)),"",IF(Dashboard_Funding_Concentration!E24&gt;=_config!$C$29,"ALERT",IF(Dashboard_Funding_Concentration!E24&gt;=_config!$B$29,"WATCH","OK")))</f>
        <v/>
      </c>
      <c r="X21" s="28">
        <f>IF(NOT(ISNUMBER(Dashboard_Funding_Concentration!F24)),"",IF(Dashboard_Funding_Concentration!F24&gt;=_config!$C$30,"ALERT",IF(Dashboard_Funding_Concentration!F24&gt;=_config!$B$30,"WATCH","OK")))</f>
        <v/>
      </c>
      <c r="Y21" s="28">
        <f>IF(NOT(ISNUMBER(Dashboard_LoanBook!D24)),"",IF(Dashboard_LoanBook!D24&gt;=_config!$C$31,"ALERT",IF(Dashboard_LoanBook!D24&gt;=_config!$B$31,"WATCH","OK")))</f>
        <v/>
      </c>
      <c r="Z21" s="28">
        <f>IF(NOT(ISNUMBER(Dashboard_LoanBook!E24)),"",IF(Dashboard_LoanBook!E24&gt;=_config!$C$32,"ALERT",IF(Dashboard_LoanBook!E24&gt;=_config!$B$32,"WATCH","OK")))</f>
        <v/>
      </c>
      <c r="AA21" s="28">
        <f>IF(NOT(ISNUMBER(Dashboard_LoanBook!F24)),"",IF(Dashboard_LoanBook!F24&gt;=_config!$C$33,"ALERT",IF(Dashboard_LoanBook!F24&gt;=_config!$B$33,"WATCH","OK")))</f>
        <v/>
      </c>
      <c r="AB21" s="28">
        <f>IF(NOT(ISNUMBER(Dashboard_LoanBook!G24)),"",IF(Dashboard_LoanBook!G24&gt;=_config!$C$34,"ALERT",IF(Dashboard_LoanBook!G24&gt;=_config!$B$34,"WATCH","OK")))</f>
        <v/>
      </c>
      <c r="AC21" s="28">
        <f>IF(NOT(ISNUMBER(Dashboard_LoanBook!H24)),"",IF(Dashboard_LoanBook!H24&gt;=_config!$C$35,"ALERT",IF(Dashboard_LoanBook!H24&gt;=_config!$B$35,"WATCH","OK")))</f>
        <v/>
      </c>
      <c r="AD21" s="28">
        <f>IF(NOT(ISNUMBER(Dashboard_LoanBook!I24)),"",IF(Dashboard_LoanBook!I24&gt;=_config!$C$36,"ALERT",IF(Dashboard_LoanBook!I24&gt;=_config!$B$36,"WATCH","OK")))</f>
        <v/>
      </c>
      <c r="AE21" s="28">
        <f>IF(NOT(ISNUMBER(Dashboard_LoanBook!J24)),"",IF(Dashboard_LoanBook!J24&gt;=_config!$C$37,"ALERT",IF(Dashboard_LoanBook!J24&gt;=_config!$B$37,"WATCH","OK")))</f>
        <v/>
      </c>
      <c r="AF21" s="28">
        <f>IF(NOT(ISNUMBER(Dashboard_LoanBook!K24)),"",IF(Dashboard_LoanBook!K24&gt;=_config!$C$38,"ALERT",IF(Dashboard_LoanBook!K24&gt;=_config!$B$38,"WATCH","OK")))</f>
        <v/>
      </c>
      <c r="AG21" s="28">
        <f>IF(NOT(ISNUMBER(Dashboard_LoanBook!L24)),"",IF(Dashboard_LoanBook!L24&gt;=_config!$C$39,"ALERT",IF(Dashboard_LoanBook!L24&gt;=_config!$B$39,"WATCH","OK")))</f>
        <v/>
      </c>
      <c r="AH21" s="28">
        <f>IF(NOT(ISNUMBER(Dashboard_LoanBook!M24)),"",IF(Dashboard_LoanBook!M24&gt;=_config!$C$40,"ALERT",IF(Dashboard_LoanBook!M24&gt;=_config!$B$40,"WATCH","OK")))</f>
        <v/>
      </c>
      <c r="AI21" s="28">
        <f>IF(NOT(ISNUMBER(Dashboard_LoanBook!N24)),"",IF(Dashboard_LoanBook!N24&gt;=_config!$C$41,"ALERT",IF(Dashboard_LoanBook!N24&gt;=_config!$B$41,"WATCH","OK")))</f>
        <v/>
      </c>
      <c r="AJ21" s="28">
        <f>IF(NOT(ISNUMBER(Dashboard_LoanBook!O24)),"",IF(Dashboard_LoanBook!O24&gt;=_config!$C$42,"ALERT",IF(Dashboard_LoanBook!O24&gt;=_config!$B$42,"WATCH","OK")))</f>
        <v/>
      </c>
      <c r="AK21" s="28">
        <f>IF(NOT(ISNUMBER(Dashboard_LoanBook!P24)),"",IF(Dashboard_LoanBook!P24&gt;=_config!$C$43,"ALERT",IF(Dashboard_LoanBook!P24&gt;=_config!$B$43,"WATCH","OK")))</f>
        <v/>
      </c>
      <c r="AL21" s="28">
        <f>IF(NOT(ISNUMBER(Dashboard_LoanBook!Q24)),"",IF(Dashboard_LoanBook!Q24&gt;=_config!$C$44,"ALERT",IF(Dashboard_LoanBook!Q24&gt;=_config!$B$44,"WATCH","OK")))</f>
        <v/>
      </c>
      <c r="AM21" s="28">
        <f>IF(NOT(ISNUMBER(Dashboard_LoanBook!R24)),"",IF(Dashboard_LoanBook!R24&gt;=_config!$C$45,"ALERT",IF(Dashboard_LoanBook!R24&gt;=_config!$B$45,"WATCH","OK")))</f>
        <v/>
      </c>
      <c r="AN21" s="28">
        <f>IF(NOT(ISNUMBER(Dashboard_LoanBook!S24)),"",IF(Dashboard_LoanBook!S24&gt;=_config!$C$46,"ALERT",IF(Dashboard_LoanBook!S24&gt;=_config!$B$46,"WATCH","OK")))</f>
        <v/>
      </c>
      <c r="AO21" s="28">
        <f>IF(NOT(ISNUMBER(Dashboard_LoanBook!T24)),"",IF(Dashboard_LoanBook!T24&gt;=_config!$C$47,"ALERT",IF(Dashboard_LoanBook!T24&gt;=_config!$B$47,"WATCH","OK")))</f>
        <v/>
      </c>
      <c r="AP21" s="28">
        <f>IF(NOT(ISNUMBER(Dashboard_LoanBook!U24)),"",IF(Dashboard_LoanBook!U24&gt;=_config!$C$48,"ALERT",IF(Dashboard_LoanBook!U24&gt;=_config!$B$48,"WATCH","OK")))</f>
        <v/>
      </c>
      <c r="AQ21" s="28">
        <f>IF(NOT(ISNUMBER(Dashboard_LoanBook!V24)),"",IF(Dashboard_LoanBook!V24&gt;=_config!$C$49,"ALERT",IF(Dashboard_LoanBook!V24&gt;=_config!$B$49,"WATCH","OK")))</f>
        <v/>
      </c>
      <c r="AR21" s="28">
        <f>IF(NOT(ISNUMBER(Dashboard_LoanBook!D68)),"",IF(Dashboard_LoanBook!D68&gt;=_config!$C$50,"ALERT",IF(Dashboard_LoanBook!D68&gt;=_config!$B$50,"WATCH","OK")))</f>
        <v/>
      </c>
      <c r="AS21" s="28">
        <f>IF(NOT(ISNUMBER(Dashboard_LoanBook!E68)),"",IF(Dashboard_LoanBook!E68&gt;=_config!$C$51,"ALERT",IF(Dashboard_LoanBook!E68&gt;=_config!$B$51,"WATCH","OK")))</f>
        <v/>
      </c>
      <c r="AT21" s="28">
        <f>IF(NOT(ISNUMBER(Dashboard_LoanBook!F68)),"",IF(Dashboard_LoanBook!F68&gt;=_config!$C$52,"ALERT",IF(Dashboard_LoanBook!F68&gt;=_config!$B$52,"WATCH","OK")))</f>
        <v/>
      </c>
      <c r="AU21" s="28">
        <f>IF(NOT(ISNUMBER(Dashboard_LoanBook!G68)),"",IF(Dashboard_LoanBook!G68&gt;=_config!$C$53,"ALERT",IF(Dashboard_LoanBook!G68&gt;=_config!$B$53,"WATCH","OK")))</f>
        <v/>
      </c>
      <c r="AV21" s="28">
        <f>IF(NOT(ISNUMBER(Dashboard_LoanBook!H68)),"",IF(Dashboard_LoanBook!H68&gt;=_config!$C$54,"ALERT",IF(Dashboard_LoanBook!H68&gt;=_config!$B$54,"WATCH","OK")))</f>
        <v/>
      </c>
      <c r="AW21" s="28">
        <f>IF(NOT(ISNUMBER(Dashboard_LoanBook!I68)),"",IF(Dashboard_LoanBook!I68&gt;=_config!$C$55,"ALERT",IF(Dashboard_LoanBook!I68&gt;=_config!$B$55,"WATCH","OK")))</f>
        <v/>
      </c>
      <c r="AX21" s="28">
        <f>IF(NOT(ISNUMBER(Dashboard_LoanBook!J68)),"",IF(Dashboard_LoanBook!J68&gt;=_config!$C$56,"ALERT",IF(Dashboard_LoanBook!J68&gt;=_config!$B$56,"WATCH","OK")))</f>
        <v/>
      </c>
      <c r="AY21" s="28">
        <f>IF(NOT(ISNUMBER(Dashboard_LoanBook!K68)),"",IF(Dashboard_LoanBook!K68&gt;=_config!$C$57,"ALERT",IF(Dashboard_LoanBook!K68&gt;=_config!$B$57,"WATCH","OK")))</f>
        <v/>
      </c>
      <c r="AZ21" s="28">
        <f>IF(NOT(ISNUMBER(Dashboard_LoanBook!L68)),"",IF(Dashboard_LoanBook!L68&gt;=_config!$C$58,"ALERT",IF(Dashboard_LoanBook!L68&gt;=_config!$B$58,"WATCH","OK")))</f>
        <v/>
      </c>
      <c r="BA21" s="28">
        <f>IF(NOT(ISNUMBER(Dashboard_LoanBook!M68)),"",IF(Dashboard_LoanBook!M68&gt;=_config!$C$59,"ALERT",IF(Dashboard_LoanBook!M68&gt;=_config!$B$59,"WATCH","OK")))</f>
        <v/>
      </c>
      <c r="BB21" s="28">
        <f>IF(NOT(ISNUMBER(Dashboard_LoanBook!N68)),"",IF(Dashboard_LoanBook!N68&gt;=_config!$C$60,"ALERT",IF(Dashboard_LoanBook!N68&gt;=_config!$B$60,"WATCH","OK")))</f>
        <v/>
      </c>
      <c r="BC21" s="28">
        <f>IF(NOT(ISNUMBER(Dashboard_LoanBook!O68)),"",IF(Dashboard_LoanBook!O68&gt;=_config!$C$61,"ALERT",IF(Dashboard_LoanBook!O68&gt;=_config!$B$61,"WATCH","OK")))</f>
        <v/>
      </c>
      <c r="BD21" s="28">
        <f>IF(NOT(ISNUMBER(Dashboard_LoanBook!P68)),"",IF(Dashboard_LoanBook!P68&gt;=_config!$C$62,"ALERT",IF(Dashboard_LoanBook!P68&gt;=_config!$B$62,"WATCH","OK")))</f>
        <v/>
      </c>
      <c r="BE21" s="28">
        <f>IF(NOT(ISNUMBER(Dashboard_LoanBook!Q68)),"",IF(Dashboard_LoanBook!Q68&gt;=_config!$C$63,"ALERT",IF(Dashboard_LoanBook!Q68&gt;=_config!$B$63,"WATCH","OK")))</f>
        <v/>
      </c>
      <c r="BF21" s="28">
        <f>IF(NOT(ISNUMBER(Dashboard_LoanBook!R68)),"",IF(Dashboard_LoanBook!R68&gt;=_config!$C$64,"ALERT",IF(Dashboard_LoanBook!R68&gt;=_config!$B$64,"WATCH","OK")))</f>
        <v/>
      </c>
      <c r="BG21" s="28">
        <f>IF(NOT(ISNUMBER(Dashboard_LoanBook!S68)),"",IF(Dashboard_LoanBook!S68&gt;=_config!$C$65,"ALERT",IF(Dashboard_LoanBook!S68&gt;=_config!$B$65,"WATCH","OK")))</f>
        <v/>
      </c>
      <c r="BH21" s="28">
        <f>IF(NOT(ISNUMBER(Dashboard_Funding_Concentration!G24)),"",IF(Dashboard_Funding_Concentration!G24&gt;=_config!$C$66,"ALERT",IF(Dashboard_Funding_Concentration!G24&gt;=_config!$B$66,"WATCH","OK")))</f>
        <v/>
      </c>
      <c r="BI21" s="28">
        <f>IF(NOT(ISNUMBER(Dashboard_Funding_Concentration!H24)),"",IF(Dashboard_Funding_Concentration!H24&gt;=_config!$C$67,"ALERT",IF(Dashboard_Funding_Concentration!H24&gt;=_config!$B$67,"WATCH","OK")))</f>
        <v/>
      </c>
      <c r="BJ21" s="28">
        <f>IF(NOT(ISNUMBER(Dashboard_Funding_Concentration!I24)),"",IF(Dashboard_Funding_Concentration!I24&gt;=_config!$C$68,"ALERT",IF(Dashboard_Funding_Concentration!I24&gt;=_config!$B$68,"WATCH","OK")))</f>
        <v/>
      </c>
      <c r="BL21" s="28">
        <f>IF(NOT(ISNUMBER($E21)),"",$E21*10000+IF(ISNUMBER($D21),$D21,0))</f>
        <v/>
      </c>
    </row>
    <row r="22">
      <c r="A22" s="14">
        <f>IF(_config!$C$89="","",_config!$C$89)</f>
        <v/>
      </c>
      <c r="B22" s="25">
        <f>IF(_config!$B$89="","",_config!$B$89)</f>
        <v/>
      </c>
      <c r="C22" s="16">
        <f>IF(_config!$D$89="","",_config!$D$89)</f>
        <v/>
      </c>
      <c r="D22" s="26">
        <f>IF(Dashboard_AssetQuality!I25="","",Dashboard_AssetQuality!I25)</f>
        <v/>
      </c>
      <c r="E22" s="27">
        <f>IF($A22="","",COUNTIF($J22:$BJ22,"ALERT"))</f>
        <v/>
      </c>
      <c r="F22" s="27">
        <f>IF($A22="","",COUNTIF($J22:$BJ22,"WATCH"))</f>
        <v/>
      </c>
      <c r="G22" s="27">
        <f>IF($BL22="","",RANK($BL22,$BL$5:$BL$44))</f>
        <v/>
      </c>
      <c r="H22" s="27">
        <f>IF(_config!$C$89="","",IF(NOT(ISNUMBER(_config!$B$89)),"REFUSED: blank/invalid CERT -- run --lookup",IF(UPPER(_config!$E$89&amp;"")&lt;&gt;"TRUE","OFF",IF($E22&gt;0,"ALERT",IF($F22&gt;0,"WATCH","OK")))))</f>
        <v/>
      </c>
      <c r="J22" s="28">
        <f>IF(NOT(ISNUMBER(Dashboard_AssetQuality!D25)),"",IF(Dashboard_AssetQuality!D25&gt;=_config!$C$16,"ALERT",IF(Dashboard_AssetQuality!D25&gt;=_config!$B$16,"WATCH","OK")))</f>
        <v/>
      </c>
      <c r="K22" s="28">
        <f>IF(NOT(ISNUMBER(Dashboard_AssetQuality!E25)),"",IF(Dashboard_AssetQuality!E25&gt;=_config!$C$17,"ALERT",IF(Dashboard_AssetQuality!E25&gt;=_config!$B$17,"WATCH","OK")))</f>
        <v/>
      </c>
      <c r="L22" s="28">
        <f>IF(NOT(ISNUMBER(Dashboard_AssetQuality!F25)),"",IF(Dashboard_AssetQuality!F25&gt;=_config!$C$18,"ALERT",IF(Dashboard_AssetQuality!F25&gt;=_config!$B$18,"WATCH","OK")))</f>
        <v/>
      </c>
      <c r="M22" s="28">
        <f>IF(NOT(ISNUMBER(Dashboard_AssetQuality!G25)),"",IF(Dashboard_AssetQuality!G25&lt;=_config!$C$19,"ALERT",IF(Dashboard_AssetQuality!G25&lt;=_config!$B$19,"WATCH","OK")))</f>
        <v/>
      </c>
      <c r="N22" s="28">
        <f>IF(NOT(ISNUMBER(Dashboard_AssetQuality!H25)),"",IF(Dashboard_AssetQuality!H25&lt;=_config!$C$20,"ALERT",IF(Dashboard_AssetQuality!H25&lt;=_config!$B$20,"WATCH","OK")))</f>
        <v/>
      </c>
      <c r="O22" s="28">
        <f>IF(NOT(ISNUMBER(Dashboard_AssetQuality!I25)),"",IF(Dashboard_AssetQuality!I25&gt;=_config!$C$21,"ALERT",IF(Dashboard_AssetQuality!I25&gt;=_config!$B$21,"WATCH","OK")))</f>
        <v/>
      </c>
      <c r="P22" s="28">
        <f>IF(NOT(ISNUMBER(Dashboard_Capital_Earnings!D25)),"",IF(Dashboard_Capital_Earnings!D25&lt;=_config!$C$22,"ALERT",IF(Dashboard_Capital_Earnings!D25&lt;=_config!$B$22,"WATCH","OK")))</f>
        <v/>
      </c>
      <c r="Q22" s="28">
        <f>IF(NOT(ISNUMBER(Dashboard_Capital_Earnings!E25)),"",IF(Dashboard_Capital_Earnings!E25&lt;=_config!$C$23,"ALERT",IF(Dashboard_Capital_Earnings!E25&lt;=_config!$B$23,"WATCH","OK")))</f>
        <v/>
      </c>
      <c r="R22" s="28">
        <f>IF(NOT(ISNUMBER(Dashboard_Capital_Earnings!F25)),"",IF(Dashboard_Capital_Earnings!F25&lt;=_config!$C$24,"ALERT",IF(Dashboard_Capital_Earnings!F25&lt;=_config!$B$24,"WATCH","OK")))</f>
        <v/>
      </c>
      <c r="S22" s="28">
        <f>IF(NOT(ISNUMBER(Dashboard_Capital_Earnings!G25)),"",IF(Dashboard_Capital_Earnings!G25&lt;=_config!$C$25,"ALERT",IF(Dashboard_Capital_Earnings!G25&lt;=_config!$B$25,"WATCH","OK")))</f>
        <v/>
      </c>
      <c r="T22" s="28">
        <f>IF(NOT(ISNUMBER(Dashboard_Capital_Earnings!H25)),"",IF(Dashboard_Capital_Earnings!H25&lt;=_config!$C$26,"ALERT",IF(Dashboard_Capital_Earnings!H25&lt;=_config!$B$26,"WATCH","OK")))</f>
        <v/>
      </c>
      <c r="U22" s="28">
        <f>IF(NOT(ISNUMBER(Dashboard_Capital_Earnings!I25)),"",IF(Dashboard_Capital_Earnings!I25&gt;=_config!$C$27,"ALERT",IF(Dashboard_Capital_Earnings!I25&gt;=_config!$B$27,"WATCH","OK")))</f>
        <v/>
      </c>
      <c r="V22" s="28">
        <f>IF(NOT(ISNUMBER(Dashboard_Funding_Concentration!D25)),"",IF(Dashboard_Funding_Concentration!D25&gt;=_config!$C$28,"ALERT",IF(Dashboard_Funding_Concentration!D25&gt;=_config!$B$28,"WATCH","OK")))</f>
        <v/>
      </c>
      <c r="W22" s="28">
        <f>IF(NOT(ISNUMBER(Dashboard_Funding_Concentration!E25)),"",IF(Dashboard_Funding_Concentration!E25&gt;=_config!$C$29,"ALERT",IF(Dashboard_Funding_Concentration!E25&gt;=_config!$B$29,"WATCH","OK")))</f>
        <v/>
      </c>
      <c r="X22" s="28">
        <f>IF(NOT(ISNUMBER(Dashboard_Funding_Concentration!F25)),"",IF(Dashboard_Funding_Concentration!F25&gt;=_config!$C$30,"ALERT",IF(Dashboard_Funding_Concentration!F25&gt;=_config!$B$30,"WATCH","OK")))</f>
        <v/>
      </c>
      <c r="Y22" s="28">
        <f>IF(NOT(ISNUMBER(Dashboard_LoanBook!D25)),"",IF(Dashboard_LoanBook!D25&gt;=_config!$C$31,"ALERT",IF(Dashboard_LoanBook!D25&gt;=_config!$B$31,"WATCH","OK")))</f>
        <v/>
      </c>
      <c r="Z22" s="28">
        <f>IF(NOT(ISNUMBER(Dashboard_LoanBook!E25)),"",IF(Dashboard_LoanBook!E25&gt;=_config!$C$32,"ALERT",IF(Dashboard_LoanBook!E25&gt;=_config!$B$32,"WATCH","OK")))</f>
        <v/>
      </c>
      <c r="AA22" s="28">
        <f>IF(NOT(ISNUMBER(Dashboard_LoanBook!F25)),"",IF(Dashboard_LoanBook!F25&gt;=_config!$C$33,"ALERT",IF(Dashboard_LoanBook!F25&gt;=_config!$B$33,"WATCH","OK")))</f>
        <v/>
      </c>
      <c r="AB22" s="28">
        <f>IF(NOT(ISNUMBER(Dashboard_LoanBook!G25)),"",IF(Dashboard_LoanBook!G25&gt;=_config!$C$34,"ALERT",IF(Dashboard_LoanBook!G25&gt;=_config!$B$34,"WATCH","OK")))</f>
        <v/>
      </c>
      <c r="AC22" s="28">
        <f>IF(NOT(ISNUMBER(Dashboard_LoanBook!H25)),"",IF(Dashboard_LoanBook!H25&gt;=_config!$C$35,"ALERT",IF(Dashboard_LoanBook!H25&gt;=_config!$B$35,"WATCH","OK")))</f>
        <v/>
      </c>
      <c r="AD22" s="28">
        <f>IF(NOT(ISNUMBER(Dashboard_LoanBook!I25)),"",IF(Dashboard_LoanBook!I25&gt;=_config!$C$36,"ALERT",IF(Dashboard_LoanBook!I25&gt;=_config!$B$36,"WATCH","OK")))</f>
        <v/>
      </c>
      <c r="AE22" s="28">
        <f>IF(NOT(ISNUMBER(Dashboard_LoanBook!J25)),"",IF(Dashboard_LoanBook!J25&gt;=_config!$C$37,"ALERT",IF(Dashboard_LoanBook!J25&gt;=_config!$B$37,"WATCH","OK")))</f>
        <v/>
      </c>
      <c r="AF22" s="28">
        <f>IF(NOT(ISNUMBER(Dashboard_LoanBook!K25)),"",IF(Dashboard_LoanBook!K25&gt;=_config!$C$38,"ALERT",IF(Dashboard_LoanBook!K25&gt;=_config!$B$38,"WATCH","OK")))</f>
        <v/>
      </c>
      <c r="AG22" s="28">
        <f>IF(NOT(ISNUMBER(Dashboard_LoanBook!L25)),"",IF(Dashboard_LoanBook!L25&gt;=_config!$C$39,"ALERT",IF(Dashboard_LoanBook!L25&gt;=_config!$B$39,"WATCH","OK")))</f>
        <v/>
      </c>
      <c r="AH22" s="28">
        <f>IF(NOT(ISNUMBER(Dashboard_LoanBook!M25)),"",IF(Dashboard_LoanBook!M25&gt;=_config!$C$40,"ALERT",IF(Dashboard_LoanBook!M25&gt;=_config!$B$40,"WATCH","OK")))</f>
        <v/>
      </c>
      <c r="AI22" s="28">
        <f>IF(NOT(ISNUMBER(Dashboard_LoanBook!N25)),"",IF(Dashboard_LoanBook!N25&gt;=_config!$C$41,"ALERT",IF(Dashboard_LoanBook!N25&gt;=_config!$B$41,"WATCH","OK")))</f>
        <v/>
      </c>
      <c r="AJ22" s="28">
        <f>IF(NOT(ISNUMBER(Dashboard_LoanBook!O25)),"",IF(Dashboard_LoanBook!O25&gt;=_config!$C$42,"ALERT",IF(Dashboard_LoanBook!O25&gt;=_config!$B$42,"WATCH","OK")))</f>
        <v/>
      </c>
      <c r="AK22" s="28">
        <f>IF(NOT(ISNUMBER(Dashboard_LoanBook!P25)),"",IF(Dashboard_LoanBook!P25&gt;=_config!$C$43,"ALERT",IF(Dashboard_LoanBook!P25&gt;=_config!$B$43,"WATCH","OK")))</f>
        <v/>
      </c>
      <c r="AL22" s="28">
        <f>IF(NOT(ISNUMBER(Dashboard_LoanBook!Q25)),"",IF(Dashboard_LoanBook!Q25&gt;=_config!$C$44,"ALERT",IF(Dashboard_LoanBook!Q25&gt;=_config!$B$44,"WATCH","OK")))</f>
        <v/>
      </c>
      <c r="AM22" s="28">
        <f>IF(NOT(ISNUMBER(Dashboard_LoanBook!R25)),"",IF(Dashboard_LoanBook!R25&gt;=_config!$C$45,"ALERT",IF(Dashboard_LoanBook!R25&gt;=_config!$B$45,"WATCH","OK")))</f>
        <v/>
      </c>
      <c r="AN22" s="28">
        <f>IF(NOT(ISNUMBER(Dashboard_LoanBook!S25)),"",IF(Dashboard_LoanBook!S25&gt;=_config!$C$46,"ALERT",IF(Dashboard_LoanBook!S25&gt;=_config!$B$46,"WATCH","OK")))</f>
        <v/>
      </c>
      <c r="AO22" s="28">
        <f>IF(NOT(ISNUMBER(Dashboard_LoanBook!T25)),"",IF(Dashboard_LoanBook!T25&gt;=_config!$C$47,"ALERT",IF(Dashboard_LoanBook!T25&gt;=_config!$B$47,"WATCH","OK")))</f>
        <v/>
      </c>
      <c r="AP22" s="28">
        <f>IF(NOT(ISNUMBER(Dashboard_LoanBook!U25)),"",IF(Dashboard_LoanBook!U25&gt;=_config!$C$48,"ALERT",IF(Dashboard_LoanBook!U25&gt;=_config!$B$48,"WATCH","OK")))</f>
        <v/>
      </c>
      <c r="AQ22" s="28">
        <f>IF(NOT(ISNUMBER(Dashboard_LoanBook!V25)),"",IF(Dashboard_LoanBook!V25&gt;=_config!$C$49,"ALERT",IF(Dashboard_LoanBook!V25&gt;=_config!$B$49,"WATCH","OK")))</f>
        <v/>
      </c>
      <c r="AR22" s="28">
        <f>IF(NOT(ISNUMBER(Dashboard_LoanBook!D69)),"",IF(Dashboard_LoanBook!D69&gt;=_config!$C$50,"ALERT",IF(Dashboard_LoanBook!D69&gt;=_config!$B$50,"WATCH","OK")))</f>
        <v/>
      </c>
      <c r="AS22" s="28">
        <f>IF(NOT(ISNUMBER(Dashboard_LoanBook!E69)),"",IF(Dashboard_LoanBook!E69&gt;=_config!$C$51,"ALERT",IF(Dashboard_LoanBook!E69&gt;=_config!$B$51,"WATCH","OK")))</f>
        <v/>
      </c>
      <c r="AT22" s="28">
        <f>IF(NOT(ISNUMBER(Dashboard_LoanBook!F69)),"",IF(Dashboard_LoanBook!F69&gt;=_config!$C$52,"ALERT",IF(Dashboard_LoanBook!F69&gt;=_config!$B$52,"WATCH","OK")))</f>
        <v/>
      </c>
      <c r="AU22" s="28">
        <f>IF(NOT(ISNUMBER(Dashboard_LoanBook!G69)),"",IF(Dashboard_LoanBook!G69&gt;=_config!$C$53,"ALERT",IF(Dashboard_LoanBook!G69&gt;=_config!$B$53,"WATCH","OK")))</f>
        <v/>
      </c>
      <c r="AV22" s="28">
        <f>IF(NOT(ISNUMBER(Dashboard_LoanBook!H69)),"",IF(Dashboard_LoanBook!H69&gt;=_config!$C$54,"ALERT",IF(Dashboard_LoanBook!H69&gt;=_config!$B$54,"WATCH","OK")))</f>
        <v/>
      </c>
      <c r="AW22" s="28">
        <f>IF(NOT(ISNUMBER(Dashboard_LoanBook!I69)),"",IF(Dashboard_LoanBook!I69&gt;=_config!$C$55,"ALERT",IF(Dashboard_LoanBook!I69&gt;=_config!$B$55,"WATCH","OK")))</f>
        <v/>
      </c>
      <c r="AX22" s="28">
        <f>IF(NOT(ISNUMBER(Dashboard_LoanBook!J69)),"",IF(Dashboard_LoanBook!J69&gt;=_config!$C$56,"ALERT",IF(Dashboard_LoanBook!J69&gt;=_config!$B$56,"WATCH","OK")))</f>
        <v/>
      </c>
      <c r="AY22" s="28">
        <f>IF(NOT(ISNUMBER(Dashboard_LoanBook!K69)),"",IF(Dashboard_LoanBook!K69&gt;=_config!$C$57,"ALERT",IF(Dashboard_LoanBook!K69&gt;=_config!$B$57,"WATCH","OK")))</f>
        <v/>
      </c>
      <c r="AZ22" s="28">
        <f>IF(NOT(ISNUMBER(Dashboard_LoanBook!L69)),"",IF(Dashboard_LoanBook!L69&gt;=_config!$C$58,"ALERT",IF(Dashboard_LoanBook!L69&gt;=_config!$B$58,"WATCH","OK")))</f>
        <v/>
      </c>
      <c r="BA22" s="28">
        <f>IF(NOT(ISNUMBER(Dashboard_LoanBook!M69)),"",IF(Dashboard_LoanBook!M69&gt;=_config!$C$59,"ALERT",IF(Dashboard_LoanBook!M69&gt;=_config!$B$59,"WATCH","OK")))</f>
        <v/>
      </c>
      <c r="BB22" s="28">
        <f>IF(NOT(ISNUMBER(Dashboard_LoanBook!N69)),"",IF(Dashboard_LoanBook!N69&gt;=_config!$C$60,"ALERT",IF(Dashboard_LoanBook!N69&gt;=_config!$B$60,"WATCH","OK")))</f>
        <v/>
      </c>
      <c r="BC22" s="28">
        <f>IF(NOT(ISNUMBER(Dashboard_LoanBook!O69)),"",IF(Dashboard_LoanBook!O69&gt;=_config!$C$61,"ALERT",IF(Dashboard_LoanBook!O69&gt;=_config!$B$61,"WATCH","OK")))</f>
        <v/>
      </c>
      <c r="BD22" s="28">
        <f>IF(NOT(ISNUMBER(Dashboard_LoanBook!P69)),"",IF(Dashboard_LoanBook!P69&gt;=_config!$C$62,"ALERT",IF(Dashboard_LoanBook!P69&gt;=_config!$B$62,"WATCH","OK")))</f>
        <v/>
      </c>
      <c r="BE22" s="28">
        <f>IF(NOT(ISNUMBER(Dashboard_LoanBook!Q69)),"",IF(Dashboard_LoanBook!Q69&gt;=_config!$C$63,"ALERT",IF(Dashboard_LoanBook!Q69&gt;=_config!$B$63,"WATCH","OK")))</f>
        <v/>
      </c>
      <c r="BF22" s="28">
        <f>IF(NOT(ISNUMBER(Dashboard_LoanBook!R69)),"",IF(Dashboard_LoanBook!R69&gt;=_config!$C$64,"ALERT",IF(Dashboard_LoanBook!R69&gt;=_config!$B$64,"WATCH","OK")))</f>
        <v/>
      </c>
      <c r="BG22" s="28">
        <f>IF(NOT(ISNUMBER(Dashboard_LoanBook!S69)),"",IF(Dashboard_LoanBook!S69&gt;=_config!$C$65,"ALERT",IF(Dashboard_LoanBook!S69&gt;=_config!$B$65,"WATCH","OK")))</f>
        <v/>
      </c>
      <c r="BH22" s="28">
        <f>IF(NOT(ISNUMBER(Dashboard_Funding_Concentration!G25)),"",IF(Dashboard_Funding_Concentration!G25&gt;=_config!$C$66,"ALERT",IF(Dashboard_Funding_Concentration!G25&gt;=_config!$B$66,"WATCH","OK")))</f>
        <v/>
      </c>
      <c r="BI22" s="28">
        <f>IF(NOT(ISNUMBER(Dashboard_Funding_Concentration!H25)),"",IF(Dashboard_Funding_Concentration!H25&gt;=_config!$C$67,"ALERT",IF(Dashboard_Funding_Concentration!H25&gt;=_config!$B$67,"WATCH","OK")))</f>
        <v/>
      </c>
      <c r="BJ22" s="28">
        <f>IF(NOT(ISNUMBER(Dashboard_Funding_Concentration!I25)),"",IF(Dashboard_Funding_Concentration!I25&gt;=_config!$C$68,"ALERT",IF(Dashboard_Funding_Concentration!I25&gt;=_config!$B$68,"WATCH","OK")))</f>
        <v/>
      </c>
      <c r="BL22" s="28">
        <f>IF(NOT(ISNUMBER($E22)),"",$E22*10000+IF(ISNUMBER($D22),$D22,0))</f>
        <v/>
      </c>
    </row>
    <row r="23">
      <c r="A23" s="14">
        <f>IF(_config!$C$90="","",_config!$C$90)</f>
        <v/>
      </c>
      <c r="B23" s="25">
        <f>IF(_config!$B$90="","",_config!$B$90)</f>
        <v/>
      </c>
      <c r="C23" s="16">
        <f>IF(_config!$D$90="","",_config!$D$90)</f>
        <v/>
      </c>
      <c r="D23" s="26">
        <f>IF(Dashboard_AssetQuality!I26="","",Dashboard_AssetQuality!I26)</f>
        <v/>
      </c>
      <c r="E23" s="27">
        <f>IF($A23="","",COUNTIF($J23:$BJ23,"ALERT"))</f>
        <v/>
      </c>
      <c r="F23" s="27">
        <f>IF($A23="","",COUNTIF($J23:$BJ23,"WATCH"))</f>
        <v/>
      </c>
      <c r="G23" s="27">
        <f>IF($BL23="","",RANK($BL23,$BL$5:$BL$44))</f>
        <v/>
      </c>
      <c r="H23" s="27">
        <f>IF(_config!$C$90="","",IF(NOT(ISNUMBER(_config!$B$90)),"REFUSED: blank/invalid CERT -- run --lookup",IF(UPPER(_config!$E$90&amp;"")&lt;&gt;"TRUE","OFF",IF($E23&gt;0,"ALERT",IF($F23&gt;0,"WATCH","OK")))))</f>
        <v/>
      </c>
      <c r="J23" s="28">
        <f>IF(NOT(ISNUMBER(Dashboard_AssetQuality!D26)),"",IF(Dashboard_AssetQuality!D26&gt;=_config!$C$16,"ALERT",IF(Dashboard_AssetQuality!D26&gt;=_config!$B$16,"WATCH","OK")))</f>
        <v/>
      </c>
      <c r="K23" s="28">
        <f>IF(NOT(ISNUMBER(Dashboard_AssetQuality!E26)),"",IF(Dashboard_AssetQuality!E26&gt;=_config!$C$17,"ALERT",IF(Dashboard_AssetQuality!E26&gt;=_config!$B$17,"WATCH","OK")))</f>
        <v/>
      </c>
      <c r="L23" s="28">
        <f>IF(NOT(ISNUMBER(Dashboard_AssetQuality!F26)),"",IF(Dashboard_AssetQuality!F26&gt;=_config!$C$18,"ALERT",IF(Dashboard_AssetQuality!F26&gt;=_config!$B$18,"WATCH","OK")))</f>
        <v/>
      </c>
      <c r="M23" s="28">
        <f>IF(NOT(ISNUMBER(Dashboard_AssetQuality!G26)),"",IF(Dashboard_AssetQuality!G26&lt;=_config!$C$19,"ALERT",IF(Dashboard_AssetQuality!G26&lt;=_config!$B$19,"WATCH","OK")))</f>
        <v/>
      </c>
      <c r="N23" s="28">
        <f>IF(NOT(ISNUMBER(Dashboard_AssetQuality!H26)),"",IF(Dashboard_AssetQuality!H26&lt;=_config!$C$20,"ALERT",IF(Dashboard_AssetQuality!H26&lt;=_config!$B$20,"WATCH","OK")))</f>
        <v/>
      </c>
      <c r="O23" s="28">
        <f>IF(NOT(ISNUMBER(Dashboard_AssetQuality!I26)),"",IF(Dashboard_AssetQuality!I26&gt;=_config!$C$21,"ALERT",IF(Dashboard_AssetQuality!I26&gt;=_config!$B$21,"WATCH","OK")))</f>
        <v/>
      </c>
      <c r="P23" s="28">
        <f>IF(NOT(ISNUMBER(Dashboard_Capital_Earnings!D26)),"",IF(Dashboard_Capital_Earnings!D26&lt;=_config!$C$22,"ALERT",IF(Dashboard_Capital_Earnings!D26&lt;=_config!$B$22,"WATCH","OK")))</f>
        <v/>
      </c>
      <c r="Q23" s="28">
        <f>IF(NOT(ISNUMBER(Dashboard_Capital_Earnings!E26)),"",IF(Dashboard_Capital_Earnings!E26&lt;=_config!$C$23,"ALERT",IF(Dashboard_Capital_Earnings!E26&lt;=_config!$B$23,"WATCH","OK")))</f>
        <v/>
      </c>
      <c r="R23" s="28">
        <f>IF(NOT(ISNUMBER(Dashboard_Capital_Earnings!F26)),"",IF(Dashboard_Capital_Earnings!F26&lt;=_config!$C$24,"ALERT",IF(Dashboard_Capital_Earnings!F26&lt;=_config!$B$24,"WATCH","OK")))</f>
        <v/>
      </c>
      <c r="S23" s="28">
        <f>IF(NOT(ISNUMBER(Dashboard_Capital_Earnings!G26)),"",IF(Dashboard_Capital_Earnings!G26&lt;=_config!$C$25,"ALERT",IF(Dashboard_Capital_Earnings!G26&lt;=_config!$B$25,"WATCH","OK")))</f>
        <v/>
      </c>
      <c r="T23" s="28">
        <f>IF(NOT(ISNUMBER(Dashboard_Capital_Earnings!H26)),"",IF(Dashboard_Capital_Earnings!H26&lt;=_config!$C$26,"ALERT",IF(Dashboard_Capital_Earnings!H26&lt;=_config!$B$26,"WATCH","OK")))</f>
        <v/>
      </c>
      <c r="U23" s="28">
        <f>IF(NOT(ISNUMBER(Dashboard_Capital_Earnings!I26)),"",IF(Dashboard_Capital_Earnings!I26&gt;=_config!$C$27,"ALERT",IF(Dashboard_Capital_Earnings!I26&gt;=_config!$B$27,"WATCH","OK")))</f>
        <v/>
      </c>
      <c r="V23" s="28">
        <f>IF(NOT(ISNUMBER(Dashboard_Funding_Concentration!D26)),"",IF(Dashboard_Funding_Concentration!D26&gt;=_config!$C$28,"ALERT",IF(Dashboard_Funding_Concentration!D26&gt;=_config!$B$28,"WATCH","OK")))</f>
        <v/>
      </c>
      <c r="W23" s="28">
        <f>IF(NOT(ISNUMBER(Dashboard_Funding_Concentration!E26)),"",IF(Dashboard_Funding_Concentration!E26&gt;=_config!$C$29,"ALERT",IF(Dashboard_Funding_Concentration!E26&gt;=_config!$B$29,"WATCH","OK")))</f>
        <v/>
      </c>
      <c r="X23" s="28">
        <f>IF(NOT(ISNUMBER(Dashboard_Funding_Concentration!F26)),"",IF(Dashboard_Funding_Concentration!F26&gt;=_config!$C$30,"ALERT",IF(Dashboard_Funding_Concentration!F26&gt;=_config!$B$30,"WATCH","OK")))</f>
        <v/>
      </c>
      <c r="Y23" s="28">
        <f>IF(NOT(ISNUMBER(Dashboard_LoanBook!D26)),"",IF(Dashboard_LoanBook!D26&gt;=_config!$C$31,"ALERT",IF(Dashboard_LoanBook!D26&gt;=_config!$B$31,"WATCH","OK")))</f>
        <v/>
      </c>
      <c r="Z23" s="28">
        <f>IF(NOT(ISNUMBER(Dashboard_LoanBook!E26)),"",IF(Dashboard_LoanBook!E26&gt;=_config!$C$32,"ALERT",IF(Dashboard_LoanBook!E26&gt;=_config!$B$32,"WATCH","OK")))</f>
        <v/>
      </c>
      <c r="AA23" s="28">
        <f>IF(NOT(ISNUMBER(Dashboard_LoanBook!F26)),"",IF(Dashboard_LoanBook!F26&gt;=_config!$C$33,"ALERT",IF(Dashboard_LoanBook!F26&gt;=_config!$B$33,"WATCH","OK")))</f>
        <v/>
      </c>
      <c r="AB23" s="28">
        <f>IF(NOT(ISNUMBER(Dashboard_LoanBook!G26)),"",IF(Dashboard_LoanBook!G26&gt;=_config!$C$34,"ALERT",IF(Dashboard_LoanBook!G26&gt;=_config!$B$34,"WATCH","OK")))</f>
        <v/>
      </c>
      <c r="AC23" s="28">
        <f>IF(NOT(ISNUMBER(Dashboard_LoanBook!H26)),"",IF(Dashboard_LoanBook!H26&gt;=_config!$C$35,"ALERT",IF(Dashboard_LoanBook!H26&gt;=_config!$B$35,"WATCH","OK")))</f>
        <v/>
      </c>
      <c r="AD23" s="28">
        <f>IF(NOT(ISNUMBER(Dashboard_LoanBook!I26)),"",IF(Dashboard_LoanBook!I26&gt;=_config!$C$36,"ALERT",IF(Dashboard_LoanBook!I26&gt;=_config!$B$36,"WATCH","OK")))</f>
        <v/>
      </c>
      <c r="AE23" s="28">
        <f>IF(NOT(ISNUMBER(Dashboard_LoanBook!J26)),"",IF(Dashboard_LoanBook!J26&gt;=_config!$C$37,"ALERT",IF(Dashboard_LoanBook!J26&gt;=_config!$B$37,"WATCH","OK")))</f>
        <v/>
      </c>
      <c r="AF23" s="28">
        <f>IF(NOT(ISNUMBER(Dashboard_LoanBook!K26)),"",IF(Dashboard_LoanBook!K26&gt;=_config!$C$38,"ALERT",IF(Dashboard_LoanBook!K26&gt;=_config!$B$38,"WATCH","OK")))</f>
        <v/>
      </c>
      <c r="AG23" s="28">
        <f>IF(NOT(ISNUMBER(Dashboard_LoanBook!L26)),"",IF(Dashboard_LoanBook!L26&gt;=_config!$C$39,"ALERT",IF(Dashboard_LoanBook!L26&gt;=_config!$B$39,"WATCH","OK")))</f>
        <v/>
      </c>
      <c r="AH23" s="28">
        <f>IF(NOT(ISNUMBER(Dashboard_LoanBook!M26)),"",IF(Dashboard_LoanBook!M26&gt;=_config!$C$40,"ALERT",IF(Dashboard_LoanBook!M26&gt;=_config!$B$40,"WATCH","OK")))</f>
        <v/>
      </c>
      <c r="AI23" s="28">
        <f>IF(NOT(ISNUMBER(Dashboard_LoanBook!N26)),"",IF(Dashboard_LoanBook!N26&gt;=_config!$C$41,"ALERT",IF(Dashboard_LoanBook!N26&gt;=_config!$B$41,"WATCH","OK")))</f>
        <v/>
      </c>
      <c r="AJ23" s="28">
        <f>IF(NOT(ISNUMBER(Dashboard_LoanBook!O26)),"",IF(Dashboard_LoanBook!O26&gt;=_config!$C$42,"ALERT",IF(Dashboard_LoanBook!O26&gt;=_config!$B$42,"WATCH","OK")))</f>
        <v/>
      </c>
      <c r="AK23" s="28">
        <f>IF(NOT(ISNUMBER(Dashboard_LoanBook!P26)),"",IF(Dashboard_LoanBook!P26&gt;=_config!$C$43,"ALERT",IF(Dashboard_LoanBook!P26&gt;=_config!$B$43,"WATCH","OK")))</f>
        <v/>
      </c>
      <c r="AL23" s="28">
        <f>IF(NOT(ISNUMBER(Dashboard_LoanBook!Q26)),"",IF(Dashboard_LoanBook!Q26&gt;=_config!$C$44,"ALERT",IF(Dashboard_LoanBook!Q26&gt;=_config!$B$44,"WATCH","OK")))</f>
        <v/>
      </c>
      <c r="AM23" s="28">
        <f>IF(NOT(ISNUMBER(Dashboard_LoanBook!R26)),"",IF(Dashboard_LoanBook!R26&gt;=_config!$C$45,"ALERT",IF(Dashboard_LoanBook!R26&gt;=_config!$B$45,"WATCH","OK")))</f>
        <v/>
      </c>
      <c r="AN23" s="28">
        <f>IF(NOT(ISNUMBER(Dashboard_LoanBook!S26)),"",IF(Dashboard_LoanBook!S26&gt;=_config!$C$46,"ALERT",IF(Dashboard_LoanBook!S26&gt;=_config!$B$46,"WATCH","OK")))</f>
        <v/>
      </c>
      <c r="AO23" s="28">
        <f>IF(NOT(ISNUMBER(Dashboard_LoanBook!T26)),"",IF(Dashboard_LoanBook!T26&gt;=_config!$C$47,"ALERT",IF(Dashboard_LoanBook!T26&gt;=_config!$B$47,"WATCH","OK")))</f>
        <v/>
      </c>
      <c r="AP23" s="28">
        <f>IF(NOT(ISNUMBER(Dashboard_LoanBook!U26)),"",IF(Dashboard_LoanBook!U26&gt;=_config!$C$48,"ALERT",IF(Dashboard_LoanBook!U26&gt;=_config!$B$48,"WATCH","OK")))</f>
        <v/>
      </c>
      <c r="AQ23" s="28">
        <f>IF(NOT(ISNUMBER(Dashboard_LoanBook!V26)),"",IF(Dashboard_LoanBook!V26&gt;=_config!$C$49,"ALERT",IF(Dashboard_LoanBook!V26&gt;=_config!$B$49,"WATCH","OK")))</f>
        <v/>
      </c>
      <c r="AR23" s="28">
        <f>IF(NOT(ISNUMBER(Dashboard_LoanBook!D70)),"",IF(Dashboard_LoanBook!D70&gt;=_config!$C$50,"ALERT",IF(Dashboard_LoanBook!D70&gt;=_config!$B$50,"WATCH","OK")))</f>
        <v/>
      </c>
      <c r="AS23" s="28">
        <f>IF(NOT(ISNUMBER(Dashboard_LoanBook!E70)),"",IF(Dashboard_LoanBook!E70&gt;=_config!$C$51,"ALERT",IF(Dashboard_LoanBook!E70&gt;=_config!$B$51,"WATCH","OK")))</f>
        <v/>
      </c>
      <c r="AT23" s="28">
        <f>IF(NOT(ISNUMBER(Dashboard_LoanBook!F70)),"",IF(Dashboard_LoanBook!F70&gt;=_config!$C$52,"ALERT",IF(Dashboard_LoanBook!F70&gt;=_config!$B$52,"WATCH","OK")))</f>
        <v/>
      </c>
      <c r="AU23" s="28">
        <f>IF(NOT(ISNUMBER(Dashboard_LoanBook!G70)),"",IF(Dashboard_LoanBook!G70&gt;=_config!$C$53,"ALERT",IF(Dashboard_LoanBook!G70&gt;=_config!$B$53,"WATCH","OK")))</f>
        <v/>
      </c>
      <c r="AV23" s="28">
        <f>IF(NOT(ISNUMBER(Dashboard_LoanBook!H70)),"",IF(Dashboard_LoanBook!H70&gt;=_config!$C$54,"ALERT",IF(Dashboard_LoanBook!H70&gt;=_config!$B$54,"WATCH","OK")))</f>
        <v/>
      </c>
      <c r="AW23" s="28">
        <f>IF(NOT(ISNUMBER(Dashboard_LoanBook!I70)),"",IF(Dashboard_LoanBook!I70&gt;=_config!$C$55,"ALERT",IF(Dashboard_LoanBook!I70&gt;=_config!$B$55,"WATCH","OK")))</f>
        <v/>
      </c>
      <c r="AX23" s="28">
        <f>IF(NOT(ISNUMBER(Dashboard_LoanBook!J70)),"",IF(Dashboard_LoanBook!J70&gt;=_config!$C$56,"ALERT",IF(Dashboard_LoanBook!J70&gt;=_config!$B$56,"WATCH","OK")))</f>
        <v/>
      </c>
      <c r="AY23" s="28">
        <f>IF(NOT(ISNUMBER(Dashboard_LoanBook!K70)),"",IF(Dashboard_LoanBook!K70&gt;=_config!$C$57,"ALERT",IF(Dashboard_LoanBook!K70&gt;=_config!$B$57,"WATCH","OK")))</f>
        <v/>
      </c>
      <c r="AZ23" s="28">
        <f>IF(NOT(ISNUMBER(Dashboard_LoanBook!L70)),"",IF(Dashboard_LoanBook!L70&gt;=_config!$C$58,"ALERT",IF(Dashboard_LoanBook!L70&gt;=_config!$B$58,"WATCH","OK")))</f>
        <v/>
      </c>
      <c r="BA23" s="28">
        <f>IF(NOT(ISNUMBER(Dashboard_LoanBook!M70)),"",IF(Dashboard_LoanBook!M70&gt;=_config!$C$59,"ALERT",IF(Dashboard_LoanBook!M70&gt;=_config!$B$59,"WATCH","OK")))</f>
        <v/>
      </c>
      <c r="BB23" s="28">
        <f>IF(NOT(ISNUMBER(Dashboard_LoanBook!N70)),"",IF(Dashboard_LoanBook!N70&gt;=_config!$C$60,"ALERT",IF(Dashboard_LoanBook!N70&gt;=_config!$B$60,"WATCH","OK")))</f>
        <v/>
      </c>
      <c r="BC23" s="28">
        <f>IF(NOT(ISNUMBER(Dashboard_LoanBook!O70)),"",IF(Dashboard_LoanBook!O70&gt;=_config!$C$61,"ALERT",IF(Dashboard_LoanBook!O70&gt;=_config!$B$61,"WATCH","OK")))</f>
        <v/>
      </c>
      <c r="BD23" s="28">
        <f>IF(NOT(ISNUMBER(Dashboard_LoanBook!P70)),"",IF(Dashboard_LoanBook!P70&gt;=_config!$C$62,"ALERT",IF(Dashboard_LoanBook!P70&gt;=_config!$B$62,"WATCH","OK")))</f>
        <v/>
      </c>
      <c r="BE23" s="28">
        <f>IF(NOT(ISNUMBER(Dashboard_LoanBook!Q70)),"",IF(Dashboard_LoanBook!Q70&gt;=_config!$C$63,"ALERT",IF(Dashboard_LoanBook!Q70&gt;=_config!$B$63,"WATCH","OK")))</f>
        <v/>
      </c>
      <c r="BF23" s="28">
        <f>IF(NOT(ISNUMBER(Dashboard_LoanBook!R70)),"",IF(Dashboard_LoanBook!R70&gt;=_config!$C$64,"ALERT",IF(Dashboard_LoanBook!R70&gt;=_config!$B$64,"WATCH","OK")))</f>
        <v/>
      </c>
      <c r="BG23" s="28">
        <f>IF(NOT(ISNUMBER(Dashboard_LoanBook!S70)),"",IF(Dashboard_LoanBook!S70&gt;=_config!$C$65,"ALERT",IF(Dashboard_LoanBook!S70&gt;=_config!$B$65,"WATCH","OK")))</f>
        <v/>
      </c>
      <c r="BH23" s="28">
        <f>IF(NOT(ISNUMBER(Dashboard_Funding_Concentration!G26)),"",IF(Dashboard_Funding_Concentration!G26&gt;=_config!$C$66,"ALERT",IF(Dashboard_Funding_Concentration!G26&gt;=_config!$B$66,"WATCH","OK")))</f>
        <v/>
      </c>
      <c r="BI23" s="28">
        <f>IF(NOT(ISNUMBER(Dashboard_Funding_Concentration!H26)),"",IF(Dashboard_Funding_Concentration!H26&gt;=_config!$C$67,"ALERT",IF(Dashboard_Funding_Concentration!H26&gt;=_config!$B$67,"WATCH","OK")))</f>
        <v/>
      </c>
      <c r="BJ23" s="28">
        <f>IF(NOT(ISNUMBER(Dashboard_Funding_Concentration!I26)),"",IF(Dashboard_Funding_Concentration!I26&gt;=_config!$C$68,"ALERT",IF(Dashboard_Funding_Concentration!I26&gt;=_config!$B$68,"WATCH","OK")))</f>
        <v/>
      </c>
      <c r="BL23" s="28">
        <f>IF(NOT(ISNUMBER($E23)),"",$E23*10000+IF(ISNUMBER($D23),$D23,0))</f>
        <v/>
      </c>
    </row>
    <row r="24">
      <c r="A24" s="14">
        <f>IF(_config!$C$91="","",_config!$C$91)</f>
        <v/>
      </c>
      <c r="B24" s="25">
        <f>IF(_config!$B$91="","",_config!$B$91)</f>
        <v/>
      </c>
      <c r="C24" s="16">
        <f>IF(_config!$D$91="","",_config!$D$91)</f>
        <v/>
      </c>
      <c r="D24" s="26">
        <f>IF(Dashboard_AssetQuality!I27="","",Dashboard_AssetQuality!I27)</f>
        <v/>
      </c>
      <c r="E24" s="27">
        <f>IF($A24="","",COUNTIF($J24:$BJ24,"ALERT"))</f>
        <v/>
      </c>
      <c r="F24" s="27">
        <f>IF($A24="","",COUNTIF($J24:$BJ24,"WATCH"))</f>
        <v/>
      </c>
      <c r="G24" s="27">
        <f>IF($BL24="","",RANK($BL24,$BL$5:$BL$44))</f>
        <v/>
      </c>
      <c r="H24" s="27">
        <f>IF(_config!$C$91="","",IF(NOT(ISNUMBER(_config!$B$91)),"REFUSED: blank/invalid CERT -- run --lookup",IF(UPPER(_config!$E$91&amp;"")&lt;&gt;"TRUE","OFF",IF($E24&gt;0,"ALERT",IF($F24&gt;0,"WATCH","OK")))))</f>
        <v/>
      </c>
      <c r="J24" s="28">
        <f>IF(NOT(ISNUMBER(Dashboard_AssetQuality!D27)),"",IF(Dashboard_AssetQuality!D27&gt;=_config!$C$16,"ALERT",IF(Dashboard_AssetQuality!D27&gt;=_config!$B$16,"WATCH","OK")))</f>
        <v/>
      </c>
      <c r="K24" s="28">
        <f>IF(NOT(ISNUMBER(Dashboard_AssetQuality!E27)),"",IF(Dashboard_AssetQuality!E27&gt;=_config!$C$17,"ALERT",IF(Dashboard_AssetQuality!E27&gt;=_config!$B$17,"WATCH","OK")))</f>
        <v/>
      </c>
      <c r="L24" s="28">
        <f>IF(NOT(ISNUMBER(Dashboard_AssetQuality!F27)),"",IF(Dashboard_AssetQuality!F27&gt;=_config!$C$18,"ALERT",IF(Dashboard_AssetQuality!F27&gt;=_config!$B$18,"WATCH","OK")))</f>
        <v/>
      </c>
      <c r="M24" s="28">
        <f>IF(NOT(ISNUMBER(Dashboard_AssetQuality!G27)),"",IF(Dashboard_AssetQuality!G27&lt;=_config!$C$19,"ALERT",IF(Dashboard_AssetQuality!G27&lt;=_config!$B$19,"WATCH","OK")))</f>
        <v/>
      </c>
      <c r="N24" s="28">
        <f>IF(NOT(ISNUMBER(Dashboard_AssetQuality!H27)),"",IF(Dashboard_AssetQuality!H27&lt;=_config!$C$20,"ALERT",IF(Dashboard_AssetQuality!H27&lt;=_config!$B$20,"WATCH","OK")))</f>
        <v/>
      </c>
      <c r="O24" s="28">
        <f>IF(NOT(ISNUMBER(Dashboard_AssetQuality!I27)),"",IF(Dashboard_AssetQuality!I27&gt;=_config!$C$21,"ALERT",IF(Dashboard_AssetQuality!I27&gt;=_config!$B$21,"WATCH","OK")))</f>
        <v/>
      </c>
      <c r="P24" s="28">
        <f>IF(NOT(ISNUMBER(Dashboard_Capital_Earnings!D27)),"",IF(Dashboard_Capital_Earnings!D27&lt;=_config!$C$22,"ALERT",IF(Dashboard_Capital_Earnings!D27&lt;=_config!$B$22,"WATCH","OK")))</f>
        <v/>
      </c>
      <c r="Q24" s="28">
        <f>IF(NOT(ISNUMBER(Dashboard_Capital_Earnings!E27)),"",IF(Dashboard_Capital_Earnings!E27&lt;=_config!$C$23,"ALERT",IF(Dashboard_Capital_Earnings!E27&lt;=_config!$B$23,"WATCH","OK")))</f>
        <v/>
      </c>
      <c r="R24" s="28">
        <f>IF(NOT(ISNUMBER(Dashboard_Capital_Earnings!F27)),"",IF(Dashboard_Capital_Earnings!F27&lt;=_config!$C$24,"ALERT",IF(Dashboard_Capital_Earnings!F27&lt;=_config!$B$24,"WATCH","OK")))</f>
        <v/>
      </c>
      <c r="S24" s="28">
        <f>IF(NOT(ISNUMBER(Dashboard_Capital_Earnings!G27)),"",IF(Dashboard_Capital_Earnings!G27&lt;=_config!$C$25,"ALERT",IF(Dashboard_Capital_Earnings!G27&lt;=_config!$B$25,"WATCH","OK")))</f>
        <v/>
      </c>
      <c r="T24" s="28">
        <f>IF(NOT(ISNUMBER(Dashboard_Capital_Earnings!H27)),"",IF(Dashboard_Capital_Earnings!H27&lt;=_config!$C$26,"ALERT",IF(Dashboard_Capital_Earnings!H27&lt;=_config!$B$26,"WATCH","OK")))</f>
        <v/>
      </c>
      <c r="U24" s="28">
        <f>IF(NOT(ISNUMBER(Dashboard_Capital_Earnings!I27)),"",IF(Dashboard_Capital_Earnings!I27&gt;=_config!$C$27,"ALERT",IF(Dashboard_Capital_Earnings!I27&gt;=_config!$B$27,"WATCH","OK")))</f>
        <v/>
      </c>
      <c r="V24" s="28">
        <f>IF(NOT(ISNUMBER(Dashboard_Funding_Concentration!D27)),"",IF(Dashboard_Funding_Concentration!D27&gt;=_config!$C$28,"ALERT",IF(Dashboard_Funding_Concentration!D27&gt;=_config!$B$28,"WATCH","OK")))</f>
        <v/>
      </c>
      <c r="W24" s="28">
        <f>IF(NOT(ISNUMBER(Dashboard_Funding_Concentration!E27)),"",IF(Dashboard_Funding_Concentration!E27&gt;=_config!$C$29,"ALERT",IF(Dashboard_Funding_Concentration!E27&gt;=_config!$B$29,"WATCH","OK")))</f>
        <v/>
      </c>
      <c r="X24" s="28">
        <f>IF(NOT(ISNUMBER(Dashboard_Funding_Concentration!F27)),"",IF(Dashboard_Funding_Concentration!F27&gt;=_config!$C$30,"ALERT",IF(Dashboard_Funding_Concentration!F27&gt;=_config!$B$30,"WATCH","OK")))</f>
        <v/>
      </c>
      <c r="Y24" s="28">
        <f>IF(NOT(ISNUMBER(Dashboard_LoanBook!D27)),"",IF(Dashboard_LoanBook!D27&gt;=_config!$C$31,"ALERT",IF(Dashboard_LoanBook!D27&gt;=_config!$B$31,"WATCH","OK")))</f>
        <v/>
      </c>
      <c r="Z24" s="28">
        <f>IF(NOT(ISNUMBER(Dashboard_LoanBook!E27)),"",IF(Dashboard_LoanBook!E27&gt;=_config!$C$32,"ALERT",IF(Dashboard_LoanBook!E27&gt;=_config!$B$32,"WATCH","OK")))</f>
        <v/>
      </c>
      <c r="AA24" s="28">
        <f>IF(NOT(ISNUMBER(Dashboard_LoanBook!F27)),"",IF(Dashboard_LoanBook!F27&gt;=_config!$C$33,"ALERT",IF(Dashboard_LoanBook!F27&gt;=_config!$B$33,"WATCH","OK")))</f>
        <v/>
      </c>
      <c r="AB24" s="28">
        <f>IF(NOT(ISNUMBER(Dashboard_LoanBook!G27)),"",IF(Dashboard_LoanBook!G27&gt;=_config!$C$34,"ALERT",IF(Dashboard_LoanBook!G27&gt;=_config!$B$34,"WATCH","OK")))</f>
        <v/>
      </c>
      <c r="AC24" s="28">
        <f>IF(NOT(ISNUMBER(Dashboard_LoanBook!H27)),"",IF(Dashboard_LoanBook!H27&gt;=_config!$C$35,"ALERT",IF(Dashboard_LoanBook!H27&gt;=_config!$B$35,"WATCH","OK")))</f>
        <v/>
      </c>
      <c r="AD24" s="28">
        <f>IF(NOT(ISNUMBER(Dashboard_LoanBook!I27)),"",IF(Dashboard_LoanBook!I27&gt;=_config!$C$36,"ALERT",IF(Dashboard_LoanBook!I27&gt;=_config!$B$36,"WATCH","OK")))</f>
        <v/>
      </c>
      <c r="AE24" s="28">
        <f>IF(NOT(ISNUMBER(Dashboard_LoanBook!J27)),"",IF(Dashboard_LoanBook!J27&gt;=_config!$C$37,"ALERT",IF(Dashboard_LoanBook!J27&gt;=_config!$B$37,"WATCH","OK")))</f>
        <v/>
      </c>
      <c r="AF24" s="28">
        <f>IF(NOT(ISNUMBER(Dashboard_LoanBook!K27)),"",IF(Dashboard_LoanBook!K27&gt;=_config!$C$38,"ALERT",IF(Dashboard_LoanBook!K27&gt;=_config!$B$38,"WATCH","OK")))</f>
        <v/>
      </c>
      <c r="AG24" s="28">
        <f>IF(NOT(ISNUMBER(Dashboard_LoanBook!L27)),"",IF(Dashboard_LoanBook!L27&gt;=_config!$C$39,"ALERT",IF(Dashboard_LoanBook!L27&gt;=_config!$B$39,"WATCH","OK")))</f>
        <v/>
      </c>
      <c r="AH24" s="28">
        <f>IF(NOT(ISNUMBER(Dashboard_LoanBook!M27)),"",IF(Dashboard_LoanBook!M27&gt;=_config!$C$40,"ALERT",IF(Dashboard_LoanBook!M27&gt;=_config!$B$40,"WATCH","OK")))</f>
        <v/>
      </c>
      <c r="AI24" s="28">
        <f>IF(NOT(ISNUMBER(Dashboard_LoanBook!N27)),"",IF(Dashboard_LoanBook!N27&gt;=_config!$C$41,"ALERT",IF(Dashboard_LoanBook!N27&gt;=_config!$B$41,"WATCH","OK")))</f>
        <v/>
      </c>
      <c r="AJ24" s="28">
        <f>IF(NOT(ISNUMBER(Dashboard_LoanBook!O27)),"",IF(Dashboard_LoanBook!O27&gt;=_config!$C$42,"ALERT",IF(Dashboard_LoanBook!O27&gt;=_config!$B$42,"WATCH","OK")))</f>
        <v/>
      </c>
      <c r="AK24" s="28">
        <f>IF(NOT(ISNUMBER(Dashboard_LoanBook!P27)),"",IF(Dashboard_LoanBook!P27&gt;=_config!$C$43,"ALERT",IF(Dashboard_LoanBook!P27&gt;=_config!$B$43,"WATCH","OK")))</f>
        <v/>
      </c>
      <c r="AL24" s="28">
        <f>IF(NOT(ISNUMBER(Dashboard_LoanBook!Q27)),"",IF(Dashboard_LoanBook!Q27&gt;=_config!$C$44,"ALERT",IF(Dashboard_LoanBook!Q27&gt;=_config!$B$44,"WATCH","OK")))</f>
        <v/>
      </c>
      <c r="AM24" s="28">
        <f>IF(NOT(ISNUMBER(Dashboard_LoanBook!R27)),"",IF(Dashboard_LoanBook!R27&gt;=_config!$C$45,"ALERT",IF(Dashboard_LoanBook!R27&gt;=_config!$B$45,"WATCH","OK")))</f>
        <v/>
      </c>
      <c r="AN24" s="28">
        <f>IF(NOT(ISNUMBER(Dashboard_LoanBook!S27)),"",IF(Dashboard_LoanBook!S27&gt;=_config!$C$46,"ALERT",IF(Dashboard_LoanBook!S27&gt;=_config!$B$46,"WATCH","OK")))</f>
        <v/>
      </c>
      <c r="AO24" s="28">
        <f>IF(NOT(ISNUMBER(Dashboard_LoanBook!T27)),"",IF(Dashboard_LoanBook!T27&gt;=_config!$C$47,"ALERT",IF(Dashboard_LoanBook!T27&gt;=_config!$B$47,"WATCH","OK")))</f>
        <v/>
      </c>
      <c r="AP24" s="28">
        <f>IF(NOT(ISNUMBER(Dashboard_LoanBook!U27)),"",IF(Dashboard_LoanBook!U27&gt;=_config!$C$48,"ALERT",IF(Dashboard_LoanBook!U27&gt;=_config!$B$48,"WATCH","OK")))</f>
        <v/>
      </c>
      <c r="AQ24" s="28">
        <f>IF(NOT(ISNUMBER(Dashboard_LoanBook!V27)),"",IF(Dashboard_LoanBook!V27&gt;=_config!$C$49,"ALERT",IF(Dashboard_LoanBook!V27&gt;=_config!$B$49,"WATCH","OK")))</f>
        <v/>
      </c>
      <c r="AR24" s="28">
        <f>IF(NOT(ISNUMBER(Dashboard_LoanBook!D71)),"",IF(Dashboard_LoanBook!D71&gt;=_config!$C$50,"ALERT",IF(Dashboard_LoanBook!D71&gt;=_config!$B$50,"WATCH","OK")))</f>
        <v/>
      </c>
      <c r="AS24" s="28">
        <f>IF(NOT(ISNUMBER(Dashboard_LoanBook!E71)),"",IF(Dashboard_LoanBook!E71&gt;=_config!$C$51,"ALERT",IF(Dashboard_LoanBook!E71&gt;=_config!$B$51,"WATCH","OK")))</f>
        <v/>
      </c>
      <c r="AT24" s="28">
        <f>IF(NOT(ISNUMBER(Dashboard_LoanBook!F71)),"",IF(Dashboard_LoanBook!F71&gt;=_config!$C$52,"ALERT",IF(Dashboard_LoanBook!F71&gt;=_config!$B$52,"WATCH","OK")))</f>
        <v/>
      </c>
      <c r="AU24" s="28">
        <f>IF(NOT(ISNUMBER(Dashboard_LoanBook!G71)),"",IF(Dashboard_LoanBook!G71&gt;=_config!$C$53,"ALERT",IF(Dashboard_LoanBook!G71&gt;=_config!$B$53,"WATCH","OK")))</f>
        <v/>
      </c>
      <c r="AV24" s="28">
        <f>IF(NOT(ISNUMBER(Dashboard_LoanBook!H71)),"",IF(Dashboard_LoanBook!H71&gt;=_config!$C$54,"ALERT",IF(Dashboard_LoanBook!H71&gt;=_config!$B$54,"WATCH","OK")))</f>
        <v/>
      </c>
      <c r="AW24" s="28">
        <f>IF(NOT(ISNUMBER(Dashboard_LoanBook!I71)),"",IF(Dashboard_LoanBook!I71&gt;=_config!$C$55,"ALERT",IF(Dashboard_LoanBook!I71&gt;=_config!$B$55,"WATCH","OK")))</f>
        <v/>
      </c>
      <c r="AX24" s="28">
        <f>IF(NOT(ISNUMBER(Dashboard_LoanBook!J71)),"",IF(Dashboard_LoanBook!J71&gt;=_config!$C$56,"ALERT",IF(Dashboard_LoanBook!J71&gt;=_config!$B$56,"WATCH","OK")))</f>
        <v/>
      </c>
      <c r="AY24" s="28">
        <f>IF(NOT(ISNUMBER(Dashboard_LoanBook!K71)),"",IF(Dashboard_LoanBook!K71&gt;=_config!$C$57,"ALERT",IF(Dashboard_LoanBook!K71&gt;=_config!$B$57,"WATCH","OK")))</f>
        <v/>
      </c>
      <c r="AZ24" s="28">
        <f>IF(NOT(ISNUMBER(Dashboard_LoanBook!L71)),"",IF(Dashboard_LoanBook!L71&gt;=_config!$C$58,"ALERT",IF(Dashboard_LoanBook!L71&gt;=_config!$B$58,"WATCH","OK")))</f>
        <v/>
      </c>
      <c r="BA24" s="28">
        <f>IF(NOT(ISNUMBER(Dashboard_LoanBook!M71)),"",IF(Dashboard_LoanBook!M71&gt;=_config!$C$59,"ALERT",IF(Dashboard_LoanBook!M71&gt;=_config!$B$59,"WATCH","OK")))</f>
        <v/>
      </c>
      <c r="BB24" s="28">
        <f>IF(NOT(ISNUMBER(Dashboard_LoanBook!N71)),"",IF(Dashboard_LoanBook!N71&gt;=_config!$C$60,"ALERT",IF(Dashboard_LoanBook!N71&gt;=_config!$B$60,"WATCH","OK")))</f>
        <v/>
      </c>
      <c r="BC24" s="28">
        <f>IF(NOT(ISNUMBER(Dashboard_LoanBook!O71)),"",IF(Dashboard_LoanBook!O71&gt;=_config!$C$61,"ALERT",IF(Dashboard_LoanBook!O71&gt;=_config!$B$61,"WATCH","OK")))</f>
        <v/>
      </c>
      <c r="BD24" s="28">
        <f>IF(NOT(ISNUMBER(Dashboard_LoanBook!P71)),"",IF(Dashboard_LoanBook!P71&gt;=_config!$C$62,"ALERT",IF(Dashboard_LoanBook!P71&gt;=_config!$B$62,"WATCH","OK")))</f>
        <v/>
      </c>
      <c r="BE24" s="28">
        <f>IF(NOT(ISNUMBER(Dashboard_LoanBook!Q71)),"",IF(Dashboard_LoanBook!Q71&gt;=_config!$C$63,"ALERT",IF(Dashboard_LoanBook!Q71&gt;=_config!$B$63,"WATCH","OK")))</f>
        <v/>
      </c>
      <c r="BF24" s="28">
        <f>IF(NOT(ISNUMBER(Dashboard_LoanBook!R71)),"",IF(Dashboard_LoanBook!R71&gt;=_config!$C$64,"ALERT",IF(Dashboard_LoanBook!R71&gt;=_config!$B$64,"WATCH","OK")))</f>
        <v/>
      </c>
      <c r="BG24" s="28">
        <f>IF(NOT(ISNUMBER(Dashboard_LoanBook!S71)),"",IF(Dashboard_LoanBook!S71&gt;=_config!$C$65,"ALERT",IF(Dashboard_LoanBook!S71&gt;=_config!$B$65,"WATCH","OK")))</f>
        <v/>
      </c>
      <c r="BH24" s="28">
        <f>IF(NOT(ISNUMBER(Dashboard_Funding_Concentration!G27)),"",IF(Dashboard_Funding_Concentration!G27&gt;=_config!$C$66,"ALERT",IF(Dashboard_Funding_Concentration!G27&gt;=_config!$B$66,"WATCH","OK")))</f>
        <v/>
      </c>
      <c r="BI24" s="28">
        <f>IF(NOT(ISNUMBER(Dashboard_Funding_Concentration!H27)),"",IF(Dashboard_Funding_Concentration!H27&gt;=_config!$C$67,"ALERT",IF(Dashboard_Funding_Concentration!H27&gt;=_config!$B$67,"WATCH","OK")))</f>
        <v/>
      </c>
      <c r="BJ24" s="28">
        <f>IF(NOT(ISNUMBER(Dashboard_Funding_Concentration!I27)),"",IF(Dashboard_Funding_Concentration!I27&gt;=_config!$C$68,"ALERT",IF(Dashboard_Funding_Concentration!I27&gt;=_config!$B$68,"WATCH","OK")))</f>
        <v/>
      </c>
      <c r="BL24" s="28">
        <f>IF(NOT(ISNUMBER($E24)),"",$E24*10000+IF(ISNUMBER($D24),$D24,0))</f>
        <v/>
      </c>
    </row>
    <row r="25">
      <c r="A25" s="14">
        <f>IF(_config!$C$92="","",_config!$C$92)</f>
        <v/>
      </c>
      <c r="B25" s="25">
        <f>IF(_config!$B$92="","",_config!$B$92)</f>
        <v/>
      </c>
      <c r="C25" s="16">
        <f>IF(_config!$D$92="","",_config!$D$92)</f>
        <v/>
      </c>
      <c r="D25" s="26">
        <f>IF(Dashboard_AssetQuality!I28="","",Dashboard_AssetQuality!I28)</f>
        <v/>
      </c>
      <c r="E25" s="27">
        <f>IF($A25="","",COUNTIF($J25:$BJ25,"ALERT"))</f>
        <v/>
      </c>
      <c r="F25" s="27">
        <f>IF($A25="","",COUNTIF($J25:$BJ25,"WATCH"))</f>
        <v/>
      </c>
      <c r="G25" s="27">
        <f>IF($BL25="","",RANK($BL25,$BL$5:$BL$44))</f>
        <v/>
      </c>
      <c r="H25" s="27">
        <f>IF(_config!$C$92="","",IF(NOT(ISNUMBER(_config!$B$92)),"REFUSED: blank/invalid CERT -- run --lookup",IF(UPPER(_config!$E$92&amp;"")&lt;&gt;"TRUE","OFF",IF($E25&gt;0,"ALERT",IF($F25&gt;0,"WATCH","OK")))))</f>
        <v/>
      </c>
      <c r="J25" s="28">
        <f>IF(NOT(ISNUMBER(Dashboard_AssetQuality!D28)),"",IF(Dashboard_AssetQuality!D28&gt;=_config!$C$16,"ALERT",IF(Dashboard_AssetQuality!D28&gt;=_config!$B$16,"WATCH","OK")))</f>
        <v/>
      </c>
      <c r="K25" s="28">
        <f>IF(NOT(ISNUMBER(Dashboard_AssetQuality!E28)),"",IF(Dashboard_AssetQuality!E28&gt;=_config!$C$17,"ALERT",IF(Dashboard_AssetQuality!E28&gt;=_config!$B$17,"WATCH","OK")))</f>
        <v/>
      </c>
      <c r="L25" s="28">
        <f>IF(NOT(ISNUMBER(Dashboard_AssetQuality!F28)),"",IF(Dashboard_AssetQuality!F28&gt;=_config!$C$18,"ALERT",IF(Dashboard_AssetQuality!F28&gt;=_config!$B$18,"WATCH","OK")))</f>
        <v/>
      </c>
      <c r="M25" s="28">
        <f>IF(NOT(ISNUMBER(Dashboard_AssetQuality!G28)),"",IF(Dashboard_AssetQuality!G28&lt;=_config!$C$19,"ALERT",IF(Dashboard_AssetQuality!G28&lt;=_config!$B$19,"WATCH","OK")))</f>
        <v/>
      </c>
      <c r="N25" s="28">
        <f>IF(NOT(ISNUMBER(Dashboard_AssetQuality!H28)),"",IF(Dashboard_AssetQuality!H28&lt;=_config!$C$20,"ALERT",IF(Dashboard_AssetQuality!H28&lt;=_config!$B$20,"WATCH","OK")))</f>
        <v/>
      </c>
      <c r="O25" s="28">
        <f>IF(NOT(ISNUMBER(Dashboard_AssetQuality!I28)),"",IF(Dashboard_AssetQuality!I28&gt;=_config!$C$21,"ALERT",IF(Dashboard_AssetQuality!I28&gt;=_config!$B$21,"WATCH","OK")))</f>
        <v/>
      </c>
      <c r="P25" s="28">
        <f>IF(NOT(ISNUMBER(Dashboard_Capital_Earnings!D28)),"",IF(Dashboard_Capital_Earnings!D28&lt;=_config!$C$22,"ALERT",IF(Dashboard_Capital_Earnings!D28&lt;=_config!$B$22,"WATCH","OK")))</f>
        <v/>
      </c>
      <c r="Q25" s="28">
        <f>IF(NOT(ISNUMBER(Dashboard_Capital_Earnings!E28)),"",IF(Dashboard_Capital_Earnings!E28&lt;=_config!$C$23,"ALERT",IF(Dashboard_Capital_Earnings!E28&lt;=_config!$B$23,"WATCH","OK")))</f>
        <v/>
      </c>
      <c r="R25" s="28">
        <f>IF(NOT(ISNUMBER(Dashboard_Capital_Earnings!F28)),"",IF(Dashboard_Capital_Earnings!F28&lt;=_config!$C$24,"ALERT",IF(Dashboard_Capital_Earnings!F28&lt;=_config!$B$24,"WATCH","OK")))</f>
        <v/>
      </c>
      <c r="S25" s="28">
        <f>IF(NOT(ISNUMBER(Dashboard_Capital_Earnings!G28)),"",IF(Dashboard_Capital_Earnings!G28&lt;=_config!$C$25,"ALERT",IF(Dashboard_Capital_Earnings!G28&lt;=_config!$B$25,"WATCH","OK")))</f>
        <v/>
      </c>
      <c r="T25" s="28">
        <f>IF(NOT(ISNUMBER(Dashboard_Capital_Earnings!H28)),"",IF(Dashboard_Capital_Earnings!H28&lt;=_config!$C$26,"ALERT",IF(Dashboard_Capital_Earnings!H28&lt;=_config!$B$26,"WATCH","OK")))</f>
        <v/>
      </c>
      <c r="U25" s="28">
        <f>IF(NOT(ISNUMBER(Dashboard_Capital_Earnings!I28)),"",IF(Dashboard_Capital_Earnings!I28&gt;=_config!$C$27,"ALERT",IF(Dashboard_Capital_Earnings!I28&gt;=_config!$B$27,"WATCH","OK")))</f>
        <v/>
      </c>
      <c r="V25" s="28">
        <f>IF(NOT(ISNUMBER(Dashboard_Funding_Concentration!D28)),"",IF(Dashboard_Funding_Concentration!D28&gt;=_config!$C$28,"ALERT",IF(Dashboard_Funding_Concentration!D28&gt;=_config!$B$28,"WATCH","OK")))</f>
        <v/>
      </c>
      <c r="W25" s="28">
        <f>IF(NOT(ISNUMBER(Dashboard_Funding_Concentration!E28)),"",IF(Dashboard_Funding_Concentration!E28&gt;=_config!$C$29,"ALERT",IF(Dashboard_Funding_Concentration!E28&gt;=_config!$B$29,"WATCH","OK")))</f>
        <v/>
      </c>
      <c r="X25" s="28">
        <f>IF(NOT(ISNUMBER(Dashboard_Funding_Concentration!F28)),"",IF(Dashboard_Funding_Concentration!F28&gt;=_config!$C$30,"ALERT",IF(Dashboard_Funding_Concentration!F28&gt;=_config!$B$30,"WATCH","OK")))</f>
        <v/>
      </c>
      <c r="Y25" s="28">
        <f>IF(NOT(ISNUMBER(Dashboard_LoanBook!D28)),"",IF(Dashboard_LoanBook!D28&gt;=_config!$C$31,"ALERT",IF(Dashboard_LoanBook!D28&gt;=_config!$B$31,"WATCH","OK")))</f>
        <v/>
      </c>
      <c r="Z25" s="28">
        <f>IF(NOT(ISNUMBER(Dashboard_LoanBook!E28)),"",IF(Dashboard_LoanBook!E28&gt;=_config!$C$32,"ALERT",IF(Dashboard_LoanBook!E28&gt;=_config!$B$32,"WATCH","OK")))</f>
        <v/>
      </c>
      <c r="AA25" s="28">
        <f>IF(NOT(ISNUMBER(Dashboard_LoanBook!F28)),"",IF(Dashboard_LoanBook!F28&gt;=_config!$C$33,"ALERT",IF(Dashboard_LoanBook!F28&gt;=_config!$B$33,"WATCH","OK")))</f>
        <v/>
      </c>
      <c r="AB25" s="28">
        <f>IF(NOT(ISNUMBER(Dashboard_LoanBook!G28)),"",IF(Dashboard_LoanBook!G28&gt;=_config!$C$34,"ALERT",IF(Dashboard_LoanBook!G28&gt;=_config!$B$34,"WATCH","OK")))</f>
        <v/>
      </c>
      <c r="AC25" s="28">
        <f>IF(NOT(ISNUMBER(Dashboard_LoanBook!H28)),"",IF(Dashboard_LoanBook!H28&gt;=_config!$C$35,"ALERT",IF(Dashboard_LoanBook!H28&gt;=_config!$B$35,"WATCH","OK")))</f>
        <v/>
      </c>
      <c r="AD25" s="28">
        <f>IF(NOT(ISNUMBER(Dashboard_LoanBook!I28)),"",IF(Dashboard_LoanBook!I28&gt;=_config!$C$36,"ALERT",IF(Dashboard_LoanBook!I28&gt;=_config!$B$36,"WATCH","OK")))</f>
        <v/>
      </c>
      <c r="AE25" s="28">
        <f>IF(NOT(ISNUMBER(Dashboard_LoanBook!J28)),"",IF(Dashboard_LoanBook!J28&gt;=_config!$C$37,"ALERT",IF(Dashboard_LoanBook!J28&gt;=_config!$B$37,"WATCH","OK")))</f>
        <v/>
      </c>
      <c r="AF25" s="28">
        <f>IF(NOT(ISNUMBER(Dashboard_LoanBook!K28)),"",IF(Dashboard_LoanBook!K28&gt;=_config!$C$38,"ALERT",IF(Dashboard_LoanBook!K28&gt;=_config!$B$38,"WATCH","OK")))</f>
        <v/>
      </c>
      <c r="AG25" s="28">
        <f>IF(NOT(ISNUMBER(Dashboard_LoanBook!L28)),"",IF(Dashboard_LoanBook!L28&gt;=_config!$C$39,"ALERT",IF(Dashboard_LoanBook!L28&gt;=_config!$B$39,"WATCH","OK")))</f>
        <v/>
      </c>
      <c r="AH25" s="28">
        <f>IF(NOT(ISNUMBER(Dashboard_LoanBook!M28)),"",IF(Dashboard_LoanBook!M28&gt;=_config!$C$40,"ALERT",IF(Dashboard_LoanBook!M28&gt;=_config!$B$40,"WATCH","OK")))</f>
        <v/>
      </c>
      <c r="AI25" s="28">
        <f>IF(NOT(ISNUMBER(Dashboard_LoanBook!N28)),"",IF(Dashboard_LoanBook!N28&gt;=_config!$C$41,"ALERT",IF(Dashboard_LoanBook!N28&gt;=_config!$B$41,"WATCH","OK")))</f>
        <v/>
      </c>
      <c r="AJ25" s="28">
        <f>IF(NOT(ISNUMBER(Dashboard_LoanBook!O28)),"",IF(Dashboard_LoanBook!O28&gt;=_config!$C$42,"ALERT",IF(Dashboard_LoanBook!O28&gt;=_config!$B$42,"WATCH","OK")))</f>
        <v/>
      </c>
      <c r="AK25" s="28">
        <f>IF(NOT(ISNUMBER(Dashboard_LoanBook!P28)),"",IF(Dashboard_LoanBook!P28&gt;=_config!$C$43,"ALERT",IF(Dashboard_LoanBook!P28&gt;=_config!$B$43,"WATCH","OK")))</f>
        <v/>
      </c>
      <c r="AL25" s="28">
        <f>IF(NOT(ISNUMBER(Dashboard_LoanBook!Q28)),"",IF(Dashboard_LoanBook!Q28&gt;=_config!$C$44,"ALERT",IF(Dashboard_LoanBook!Q28&gt;=_config!$B$44,"WATCH","OK")))</f>
        <v/>
      </c>
      <c r="AM25" s="28">
        <f>IF(NOT(ISNUMBER(Dashboard_LoanBook!R28)),"",IF(Dashboard_LoanBook!R28&gt;=_config!$C$45,"ALERT",IF(Dashboard_LoanBook!R28&gt;=_config!$B$45,"WATCH","OK")))</f>
        <v/>
      </c>
      <c r="AN25" s="28">
        <f>IF(NOT(ISNUMBER(Dashboard_LoanBook!S28)),"",IF(Dashboard_LoanBook!S28&gt;=_config!$C$46,"ALERT",IF(Dashboard_LoanBook!S28&gt;=_config!$B$46,"WATCH","OK")))</f>
        <v/>
      </c>
      <c r="AO25" s="28">
        <f>IF(NOT(ISNUMBER(Dashboard_LoanBook!T28)),"",IF(Dashboard_LoanBook!T28&gt;=_config!$C$47,"ALERT",IF(Dashboard_LoanBook!T28&gt;=_config!$B$47,"WATCH","OK")))</f>
        <v/>
      </c>
      <c r="AP25" s="28">
        <f>IF(NOT(ISNUMBER(Dashboard_LoanBook!U28)),"",IF(Dashboard_LoanBook!U28&gt;=_config!$C$48,"ALERT",IF(Dashboard_LoanBook!U28&gt;=_config!$B$48,"WATCH","OK")))</f>
        <v/>
      </c>
      <c r="AQ25" s="28">
        <f>IF(NOT(ISNUMBER(Dashboard_LoanBook!V28)),"",IF(Dashboard_LoanBook!V28&gt;=_config!$C$49,"ALERT",IF(Dashboard_LoanBook!V28&gt;=_config!$B$49,"WATCH","OK")))</f>
        <v/>
      </c>
      <c r="AR25" s="28">
        <f>IF(NOT(ISNUMBER(Dashboard_LoanBook!D72)),"",IF(Dashboard_LoanBook!D72&gt;=_config!$C$50,"ALERT",IF(Dashboard_LoanBook!D72&gt;=_config!$B$50,"WATCH","OK")))</f>
        <v/>
      </c>
      <c r="AS25" s="28">
        <f>IF(NOT(ISNUMBER(Dashboard_LoanBook!E72)),"",IF(Dashboard_LoanBook!E72&gt;=_config!$C$51,"ALERT",IF(Dashboard_LoanBook!E72&gt;=_config!$B$51,"WATCH","OK")))</f>
        <v/>
      </c>
      <c r="AT25" s="28">
        <f>IF(NOT(ISNUMBER(Dashboard_LoanBook!F72)),"",IF(Dashboard_LoanBook!F72&gt;=_config!$C$52,"ALERT",IF(Dashboard_LoanBook!F72&gt;=_config!$B$52,"WATCH","OK")))</f>
        <v/>
      </c>
      <c r="AU25" s="28">
        <f>IF(NOT(ISNUMBER(Dashboard_LoanBook!G72)),"",IF(Dashboard_LoanBook!G72&gt;=_config!$C$53,"ALERT",IF(Dashboard_LoanBook!G72&gt;=_config!$B$53,"WATCH","OK")))</f>
        <v/>
      </c>
      <c r="AV25" s="28">
        <f>IF(NOT(ISNUMBER(Dashboard_LoanBook!H72)),"",IF(Dashboard_LoanBook!H72&gt;=_config!$C$54,"ALERT",IF(Dashboard_LoanBook!H72&gt;=_config!$B$54,"WATCH","OK")))</f>
        <v/>
      </c>
      <c r="AW25" s="28">
        <f>IF(NOT(ISNUMBER(Dashboard_LoanBook!I72)),"",IF(Dashboard_LoanBook!I72&gt;=_config!$C$55,"ALERT",IF(Dashboard_LoanBook!I72&gt;=_config!$B$55,"WATCH","OK")))</f>
        <v/>
      </c>
      <c r="AX25" s="28">
        <f>IF(NOT(ISNUMBER(Dashboard_LoanBook!J72)),"",IF(Dashboard_LoanBook!J72&gt;=_config!$C$56,"ALERT",IF(Dashboard_LoanBook!J72&gt;=_config!$B$56,"WATCH","OK")))</f>
        <v/>
      </c>
      <c r="AY25" s="28">
        <f>IF(NOT(ISNUMBER(Dashboard_LoanBook!K72)),"",IF(Dashboard_LoanBook!K72&gt;=_config!$C$57,"ALERT",IF(Dashboard_LoanBook!K72&gt;=_config!$B$57,"WATCH","OK")))</f>
        <v/>
      </c>
      <c r="AZ25" s="28">
        <f>IF(NOT(ISNUMBER(Dashboard_LoanBook!L72)),"",IF(Dashboard_LoanBook!L72&gt;=_config!$C$58,"ALERT",IF(Dashboard_LoanBook!L72&gt;=_config!$B$58,"WATCH","OK")))</f>
        <v/>
      </c>
      <c r="BA25" s="28">
        <f>IF(NOT(ISNUMBER(Dashboard_LoanBook!M72)),"",IF(Dashboard_LoanBook!M72&gt;=_config!$C$59,"ALERT",IF(Dashboard_LoanBook!M72&gt;=_config!$B$59,"WATCH","OK")))</f>
        <v/>
      </c>
      <c r="BB25" s="28">
        <f>IF(NOT(ISNUMBER(Dashboard_LoanBook!N72)),"",IF(Dashboard_LoanBook!N72&gt;=_config!$C$60,"ALERT",IF(Dashboard_LoanBook!N72&gt;=_config!$B$60,"WATCH","OK")))</f>
        <v/>
      </c>
      <c r="BC25" s="28">
        <f>IF(NOT(ISNUMBER(Dashboard_LoanBook!O72)),"",IF(Dashboard_LoanBook!O72&gt;=_config!$C$61,"ALERT",IF(Dashboard_LoanBook!O72&gt;=_config!$B$61,"WATCH","OK")))</f>
        <v/>
      </c>
      <c r="BD25" s="28">
        <f>IF(NOT(ISNUMBER(Dashboard_LoanBook!P72)),"",IF(Dashboard_LoanBook!P72&gt;=_config!$C$62,"ALERT",IF(Dashboard_LoanBook!P72&gt;=_config!$B$62,"WATCH","OK")))</f>
        <v/>
      </c>
      <c r="BE25" s="28">
        <f>IF(NOT(ISNUMBER(Dashboard_LoanBook!Q72)),"",IF(Dashboard_LoanBook!Q72&gt;=_config!$C$63,"ALERT",IF(Dashboard_LoanBook!Q72&gt;=_config!$B$63,"WATCH","OK")))</f>
        <v/>
      </c>
      <c r="BF25" s="28">
        <f>IF(NOT(ISNUMBER(Dashboard_LoanBook!R72)),"",IF(Dashboard_LoanBook!R72&gt;=_config!$C$64,"ALERT",IF(Dashboard_LoanBook!R72&gt;=_config!$B$64,"WATCH","OK")))</f>
        <v/>
      </c>
      <c r="BG25" s="28">
        <f>IF(NOT(ISNUMBER(Dashboard_LoanBook!S72)),"",IF(Dashboard_LoanBook!S72&gt;=_config!$C$65,"ALERT",IF(Dashboard_LoanBook!S72&gt;=_config!$B$65,"WATCH","OK")))</f>
        <v/>
      </c>
      <c r="BH25" s="28">
        <f>IF(NOT(ISNUMBER(Dashboard_Funding_Concentration!G28)),"",IF(Dashboard_Funding_Concentration!G28&gt;=_config!$C$66,"ALERT",IF(Dashboard_Funding_Concentration!G28&gt;=_config!$B$66,"WATCH","OK")))</f>
        <v/>
      </c>
      <c r="BI25" s="28">
        <f>IF(NOT(ISNUMBER(Dashboard_Funding_Concentration!H28)),"",IF(Dashboard_Funding_Concentration!H28&gt;=_config!$C$67,"ALERT",IF(Dashboard_Funding_Concentration!H28&gt;=_config!$B$67,"WATCH","OK")))</f>
        <v/>
      </c>
      <c r="BJ25" s="28">
        <f>IF(NOT(ISNUMBER(Dashboard_Funding_Concentration!I28)),"",IF(Dashboard_Funding_Concentration!I28&gt;=_config!$C$68,"ALERT",IF(Dashboard_Funding_Concentration!I28&gt;=_config!$B$68,"WATCH","OK")))</f>
        <v/>
      </c>
      <c r="BL25" s="28">
        <f>IF(NOT(ISNUMBER($E25)),"",$E25*10000+IF(ISNUMBER($D25),$D25,0))</f>
        <v/>
      </c>
    </row>
    <row r="26">
      <c r="A26" s="14">
        <f>IF(_config!$C$93="","",_config!$C$93)</f>
        <v/>
      </c>
      <c r="B26" s="25">
        <f>IF(_config!$B$93="","",_config!$B$93)</f>
        <v/>
      </c>
      <c r="C26" s="16">
        <f>IF(_config!$D$93="","",_config!$D$93)</f>
        <v/>
      </c>
      <c r="D26" s="26">
        <f>IF(Dashboard_AssetQuality!I29="","",Dashboard_AssetQuality!I29)</f>
        <v/>
      </c>
      <c r="E26" s="27">
        <f>IF($A26="","",COUNTIF($J26:$BJ26,"ALERT"))</f>
        <v/>
      </c>
      <c r="F26" s="27">
        <f>IF($A26="","",COUNTIF($J26:$BJ26,"WATCH"))</f>
        <v/>
      </c>
      <c r="G26" s="27">
        <f>IF($BL26="","",RANK($BL26,$BL$5:$BL$44))</f>
        <v/>
      </c>
      <c r="H26" s="27">
        <f>IF(_config!$C$93="","",IF(NOT(ISNUMBER(_config!$B$93)),"REFUSED: blank/invalid CERT -- run --lookup",IF(UPPER(_config!$E$93&amp;"")&lt;&gt;"TRUE","OFF",IF($E26&gt;0,"ALERT",IF($F26&gt;0,"WATCH","OK")))))</f>
        <v/>
      </c>
      <c r="J26" s="28">
        <f>IF(NOT(ISNUMBER(Dashboard_AssetQuality!D29)),"",IF(Dashboard_AssetQuality!D29&gt;=_config!$C$16,"ALERT",IF(Dashboard_AssetQuality!D29&gt;=_config!$B$16,"WATCH","OK")))</f>
        <v/>
      </c>
      <c r="K26" s="28">
        <f>IF(NOT(ISNUMBER(Dashboard_AssetQuality!E29)),"",IF(Dashboard_AssetQuality!E29&gt;=_config!$C$17,"ALERT",IF(Dashboard_AssetQuality!E29&gt;=_config!$B$17,"WATCH","OK")))</f>
        <v/>
      </c>
      <c r="L26" s="28">
        <f>IF(NOT(ISNUMBER(Dashboard_AssetQuality!F29)),"",IF(Dashboard_AssetQuality!F29&gt;=_config!$C$18,"ALERT",IF(Dashboard_AssetQuality!F29&gt;=_config!$B$18,"WATCH","OK")))</f>
        <v/>
      </c>
      <c r="M26" s="28">
        <f>IF(NOT(ISNUMBER(Dashboard_AssetQuality!G29)),"",IF(Dashboard_AssetQuality!G29&lt;=_config!$C$19,"ALERT",IF(Dashboard_AssetQuality!G29&lt;=_config!$B$19,"WATCH","OK")))</f>
        <v/>
      </c>
      <c r="N26" s="28">
        <f>IF(NOT(ISNUMBER(Dashboard_AssetQuality!H29)),"",IF(Dashboard_AssetQuality!H29&lt;=_config!$C$20,"ALERT",IF(Dashboard_AssetQuality!H29&lt;=_config!$B$20,"WATCH","OK")))</f>
        <v/>
      </c>
      <c r="O26" s="28">
        <f>IF(NOT(ISNUMBER(Dashboard_AssetQuality!I29)),"",IF(Dashboard_AssetQuality!I29&gt;=_config!$C$21,"ALERT",IF(Dashboard_AssetQuality!I29&gt;=_config!$B$21,"WATCH","OK")))</f>
        <v/>
      </c>
      <c r="P26" s="28">
        <f>IF(NOT(ISNUMBER(Dashboard_Capital_Earnings!D29)),"",IF(Dashboard_Capital_Earnings!D29&lt;=_config!$C$22,"ALERT",IF(Dashboard_Capital_Earnings!D29&lt;=_config!$B$22,"WATCH","OK")))</f>
        <v/>
      </c>
      <c r="Q26" s="28">
        <f>IF(NOT(ISNUMBER(Dashboard_Capital_Earnings!E29)),"",IF(Dashboard_Capital_Earnings!E29&lt;=_config!$C$23,"ALERT",IF(Dashboard_Capital_Earnings!E29&lt;=_config!$B$23,"WATCH","OK")))</f>
        <v/>
      </c>
      <c r="R26" s="28">
        <f>IF(NOT(ISNUMBER(Dashboard_Capital_Earnings!F29)),"",IF(Dashboard_Capital_Earnings!F29&lt;=_config!$C$24,"ALERT",IF(Dashboard_Capital_Earnings!F29&lt;=_config!$B$24,"WATCH","OK")))</f>
        <v/>
      </c>
      <c r="S26" s="28">
        <f>IF(NOT(ISNUMBER(Dashboard_Capital_Earnings!G29)),"",IF(Dashboard_Capital_Earnings!G29&lt;=_config!$C$25,"ALERT",IF(Dashboard_Capital_Earnings!G29&lt;=_config!$B$25,"WATCH","OK")))</f>
        <v/>
      </c>
      <c r="T26" s="28">
        <f>IF(NOT(ISNUMBER(Dashboard_Capital_Earnings!H29)),"",IF(Dashboard_Capital_Earnings!H29&lt;=_config!$C$26,"ALERT",IF(Dashboard_Capital_Earnings!H29&lt;=_config!$B$26,"WATCH","OK")))</f>
        <v/>
      </c>
      <c r="U26" s="28">
        <f>IF(NOT(ISNUMBER(Dashboard_Capital_Earnings!I29)),"",IF(Dashboard_Capital_Earnings!I29&gt;=_config!$C$27,"ALERT",IF(Dashboard_Capital_Earnings!I29&gt;=_config!$B$27,"WATCH","OK")))</f>
        <v/>
      </c>
      <c r="V26" s="28">
        <f>IF(NOT(ISNUMBER(Dashboard_Funding_Concentration!D29)),"",IF(Dashboard_Funding_Concentration!D29&gt;=_config!$C$28,"ALERT",IF(Dashboard_Funding_Concentration!D29&gt;=_config!$B$28,"WATCH","OK")))</f>
        <v/>
      </c>
      <c r="W26" s="28">
        <f>IF(NOT(ISNUMBER(Dashboard_Funding_Concentration!E29)),"",IF(Dashboard_Funding_Concentration!E29&gt;=_config!$C$29,"ALERT",IF(Dashboard_Funding_Concentration!E29&gt;=_config!$B$29,"WATCH","OK")))</f>
        <v/>
      </c>
      <c r="X26" s="28">
        <f>IF(NOT(ISNUMBER(Dashboard_Funding_Concentration!F29)),"",IF(Dashboard_Funding_Concentration!F29&gt;=_config!$C$30,"ALERT",IF(Dashboard_Funding_Concentration!F29&gt;=_config!$B$30,"WATCH","OK")))</f>
        <v/>
      </c>
      <c r="Y26" s="28">
        <f>IF(NOT(ISNUMBER(Dashboard_LoanBook!D29)),"",IF(Dashboard_LoanBook!D29&gt;=_config!$C$31,"ALERT",IF(Dashboard_LoanBook!D29&gt;=_config!$B$31,"WATCH","OK")))</f>
        <v/>
      </c>
      <c r="Z26" s="28">
        <f>IF(NOT(ISNUMBER(Dashboard_LoanBook!E29)),"",IF(Dashboard_LoanBook!E29&gt;=_config!$C$32,"ALERT",IF(Dashboard_LoanBook!E29&gt;=_config!$B$32,"WATCH","OK")))</f>
        <v/>
      </c>
      <c r="AA26" s="28">
        <f>IF(NOT(ISNUMBER(Dashboard_LoanBook!F29)),"",IF(Dashboard_LoanBook!F29&gt;=_config!$C$33,"ALERT",IF(Dashboard_LoanBook!F29&gt;=_config!$B$33,"WATCH","OK")))</f>
        <v/>
      </c>
      <c r="AB26" s="28">
        <f>IF(NOT(ISNUMBER(Dashboard_LoanBook!G29)),"",IF(Dashboard_LoanBook!G29&gt;=_config!$C$34,"ALERT",IF(Dashboard_LoanBook!G29&gt;=_config!$B$34,"WATCH","OK")))</f>
        <v/>
      </c>
      <c r="AC26" s="28">
        <f>IF(NOT(ISNUMBER(Dashboard_LoanBook!H29)),"",IF(Dashboard_LoanBook!H29&gt;=_config!$C$35,"ALERT",IF(Dashboard_LoanBook!H29&gt;=_config!$B$35,"WATCH","OK")))</f>
        <v/>
      </c>
      <c r="AD26" s="28">
        <f>IF(NOT(ISNUMBER(Dashboard_LoanBook!I29)),"",IF(Dashboard_LoanBook!I29&gt;=_config!$C$36,"ALERT",IF(Dashboard_LoanBook!I29&gt;=_config!$B$36,"WATCH","OK")))</f>
        <v/>
      </c>
      <c r="AE26" s="28">
        <f>IF(NOT(ISNUMBER(Dashboard_LoanBook!J29)),"",IF(Dashboard_LoanBook!J29&gt;=_config!$C$37,"ALERT",IF(Dashboard_LoanBook!J29&gt;=_config!$B$37,"WATCH","OK")))</f>
        <v/>
      </c>
      <c r="AF26" s="28">
        <f>IF(NOT(ISNUMBER(Dashboard_LoanBook!K29)),"",IF(Dashboard_LoanBook!K29&gt;=_config!$C$38,"ALERT",IF(Dashboard_LoanBook!K29&gt;=_config!$B$38,"WATCH","OK")))</f>
        <v/>
      </c>
      <c r="AG26" s="28">
        <f>IF(NOT(ISNUMBER(Dashboard_LoanBook!L29)),"",IF(Dashboard_LoanBook!L29&gt;=_config!$C$39,"ALERT",IF(Dashboard_LoanBook!L29&gt;=_config!$B$39,"WATCH","OK")))</f>
        <v/>
      </c>
      <c r="AH26" s="28">
        <f>IF(NOT(ISNUMBER(Dashboard_LoanBook!M29)),"",IF(Dashboard_LoanBook!M29&gt;=_config!$C$40,"ALERT",IF(Dashboard_LoanBook!M29&gt;=_config!$B$40,"WATCH","OK")))</f>
        <v/>
      </c>
      <c r="AI26" s="28">
        <f>IF(NOT(ISNUMBER(Dashboard_LoanBook!N29)),"",IF(Dashboard_LoanBook!N29&gt;=_config!$C$41,"ALERT",IF(Dashboard_LoanBook!N29&gt;=_config!$B$41,"WATCH","OK")))</f>
        <v/>
      </c>
      <c r="AJ26" s="28">
        <f>IF(NOT(ISNUMBER(Dashboard_LoanBook!O29)),"",IF(Dashboard_LoanBook!O29&gt;=_config!$C$42,"ALERT",IF(Dashboard_LoanBook!O29&gt;=_config!$B$42,"WATCH","OK")))</f>
        <v/>
      </c>
      <c r="AK26" s="28">
        <f>IF(NOT(ISNUMBER(Dashboard_LoanBook!P29)),"",IF(Dashboard_LoanBook!P29&gt;=_config!$C$43,"ALERT",IF(Dashboard_LoanBook!P29&gt;=_config!$B$43,"WATCH","OK")))</f>
        <v/>
      </c>
      <c r="AL26" s="28">
        <f>IF(NOT(ISNUMBER(Dashboard_LoanBook!Q29)),"",IF(Dashboard_LoanBook!Q29&gt;=_config!$C$44,"ALERT",IF(Dashboard_LoanBook!Q29&gt;=_config!$B$44,"WATCH","OK")))</f>
        <v/>
      </c>
      <c r="AM26" s="28">
        <f>IF(NOT(ISNUMBER(Dashboard_LoanBook!R29)),"",IF(Dashboard_LoanBook!R29&gt;=_config!$C$45,"ALERT",IF(Dashboard_LoanBook!R29&gt;=_config!$B$45,"WATCH","OK")))</f>
        <v/>
      </c>
      <c r="AN26" s="28">
        <f>IF(NOT(ISNUMBER(Dashboard_LoanBook!S29)),"",IF(Dashboard_LoanBook!S29&gt;=_config!$C$46,"ALERT",IF(Dashboard_LoanBook!S29&gt;=_config!$B$46,"WATCH","OK")))</f>
        <v/>
      </c>
      <c r="AO26" s="28">
        <f>IF(NOT(ISNUMBER(Dashboard_LoanBook!T29)),"",IF(Dashboard_LoanBook!T29&gt;=_config!$C$47,"ALERT",IF(Dashboard_LoanBook!T29&gt;=_config!$B$47,"WATCH","OK")))</f>
        <v/>
      </c>
      <c r="AP26" s="28">
        <f>IF(NOT(ISNUMBER(Dashboard_LoanBook!U29)),"",IF(Dashboard_LoanBook!U29&gt;=_config!$C$48,"ALERT",IF(Dashboard_LoanBook!U29&gt;=_config!$B$48,"WATCH","OK")))</f>
        <v/>
      </c>
      <c r="AQ26" s="28">
        <f>IF(NOT(ISNUMBER(Dashboard_LoanBook!V29)),"",IF(Dashboard_LoanBook!V29&gt;=_config!$C$49,"ALERT",IF(Dashboard_LoanBook!V29&gt;=_config!$B$49,"WATCH","OK")))</f>
        <v/>
      </c>
      <c r="AR26" s="28">
        <f>IF(NOT(ISNUMBER(Dashboard_LoanBook!D73)),"",IF(Dashboard_LoanBook!D73&gt;=_config!$C$50,"ALERT",IF(Dashboard_LoanBook!D73&gt;=_config!$B$50,"WATCH","OK")))</f>
        <v/>
      </c>
      <c r="AS26" s="28">
        <f>IF(NOT(ISNUMBER(Dashboard_LoanBook!E73)),"",IF(Dashboard_LoanBook!E73&gt;=_config!$C$51,"ALERT",IF(Dashboard_LoanBook!E73&gt;=_config!$B$51,"WATCH","OK")))</f>
        <v/>
      </c>
      <c r="AT26" s="28">
        <f>IF(NOT(ISNUMBER(Dashboard_LoanBook!F73)),"",IF(Dashboard_LoanBook!F73&gt;=_config!$C$52,"ALERT",IF(Dashboard_LoanBook!F73&gt;=_config!$B$52,"WATCH","OK")))</f>
        <v/>
      </c>
      <c r="AU26" s="28">
        <f>IF(NOT(ISNUMBER(Dashboard_LoanBook!G73)),"",IF(Dashboard_LoanBook!G73&gt;=_config!$C$53,"ALERT",IF(Dashboard_LoanBook!G73&gt;=_config!$B$53,"WATCH","OK")))</f>
        <v/>
      </c>
      <c r="AV26" s="28">
        <f>IF(NOT(ISNUMBER(Dashboard_LoanBook!H73)),"",IF(Dashboard_LoanBook!H73&gt;=_config!$C$54,"ALERT",IF(Dashboard_LoanBook!H73&gt;=_config!$B$54,"WATCH","OK")))</f>
        <v/>
      </c>
      <c r="AW26" s="28">
        <f>IF(NOT(ISNUMBER(Dashboard_LoanBook!I73)),"",IF(Dashboard_LoanBook!I73&gt;=_config!$C$55,"ALERT",IF(Dashboard_LoanBook!I73&gt;=_config!$B$55,"WATCH","OK")))</f>
        <v/>
      </c>
      <c r="AX26" s="28">
        <f>IF(NOT(ISNUMBER(Dashboard_LoanBook!J73)),"",IF(Dashboard_LoanBook!J73&gt;=_config!$C$56,"ALERT",IF(Dashboard_LoanBook!J73&gt;=_config!$B$56,"WATCH","OK")))</f>
        <v/>
      </c>
      <c r="AY26" s="28">
        <f>IF(NOT(ISNUMBER(Dashboard_LoanBook!K73)),"",IF(Dashboard_LoanBook!K73&gt;=_config!$C$57,"ALERT",IF(Dashboard_LoanBook!K73&gt;=_config!$B$57,"WATCH","OK")))</f>
        <v/>
      </c>
      <c r="AZ26" s="28">
        <f>IF(NOT(ISNUMBER(Dashboard_LoanBook!L73)),"",IF(Dashboard_LoanBook!L73&gt;=_config!$C$58,"ALERT",IF(Dashboard_LoanBook!L73&gt;=_config!$B$58,"WATCH","OK")))</f>
        <v/>
      </c>
      <c r="BA26" s="28">
        <f>IF(NOT(ISNUMBER(Dashboard_LoanBook!M73)),"",IF(Dashboard_LoanBook!M73&gt;=_config!$C$59,"ALERT",IF(Dashboard_LoanBook!M73&gt;=_config!$B$59,"WATCH","OK")))</f>
        <v/>
      </c>
      <c r="BB26" s="28">
        <f>IF(NOT(ISNUMBER(Dashboard_LoanBook!N73)),"",IF(Dashboard_LoanBook!N73&gt;=_config!$C$60,"ALERT",IF(Dashboard_LoanBook!N73&gt;=_config!$B$60,"WATCH","OK")))</f>
        <v/>
      </c>
      <c r="BC26" s="28">
        <f>IF(NOT(ISNUMBER(Dashboard_LoanBook!O73)),"",IF(Dashboard_LoanBook!O73&gt;=_config!$C$61,"ALERT",IF(Dashboard_LoanBook!O73&gt;=_config!$B$61,"WATCH","OK")))</f>
        <v/>
      </c>
      <c r="BD26" s="28">
        <f>IF(NOT(ISNUMBER(Dashboard_LoanBook!P73)),"",IF(Dashboard_LoanBook!P73&gt;=_config!$C$62,"ALERT",IF(Dashboard_LoanBook!P73&gt;=_config!$B$62,"WATCH","OK")))</f>
        <v/>
      </c>
      <c r="BE26" s="28">
        <f>IF(NOT(ISNUMBER(Dashboard_LoanBook!Q73)),"",IF(Dashboard_LoanBook!Q73&gt;=_config!$C$63,"ALERT",IF(Dashboard_LoanBook!Q73&gt;=_config!$B$63,"WATCH","OK")))</f>
        <v/>
      </c>
      <c r="BF26" s="28">
        <f>IF(NOT(ISNUMBER(Dashboard_LoanBook!R73)),"",IF(Dashboard_LoanBook!R73&gt;=_config!$C$64,"ALERT",IF(Dashboard_LoanBook!R73&gt;=_config!$B$64,"WATCH","OK")))</f>
        <v/>
      </c>
      <c r="BG26" s="28">
        <f>IF(NOT(ISNUMBER(Dashboard_LoanBook!S73)),"",IF(Dashboard_LoanBook!S73&gt;=_config!$C$65,"ALERT",IF(Dashboard_LoanBook!S73&gt;=_config!$B$65,"WATCH","OK")))</f>
        <v/>
      </c>
      <c r="BH26" s="28">
        <f>IF(NOT(ISNUMBER(Dashboard_Funding_Concentration!G29)),"",IF(Dashboard_Funding_Concentration!G29&gt;=_config!$C$66,"ALERT",IF(Dashboard_Funding_Concentration!G29&gt;=_config!$B$66,"WATCH","OK")))</f>
        <v/>
      </c>
      <c r="BI26" s="28">
        <f>IF(NOT(ISNUMBER(Dashboard_Funding_Concentration!H29)),"",IF(Dashboard_Funding_Concentration!H29&gt;=_config!$C$67,"ALERT",IF(Dashboard_Funding_Concentration!H29&gt;=_config!$B$67,"WATCH","OK")))</f>
        <v/>
      </c>
      <c r="BJ26" s="28">
        <f>IF(NOT(ISNUMBER(Dashboard_Funding_Concentration!I29)),"",IF(Dashboard_Funding_Concentration!I29&gt;=_config!$C$68,"ALERT",IF(Dashboard_Funding_Concentration!I29&gt;=_config!$B$68,"WATCH","OK")))</f>
        <v/>
      </c>
      <c r="BL26" s="28">
        <f>IF(NOT(ISNUMBER($E26)),"",$E26*10000+IF(ISNUMBER($D26),$D26,0))</f>
        <v/>
      </c>
    </row>
    <row r="27">
      <c r="A27" s="14">
        <f>IF(_config!$C$94="","",_config!$C$94)</f>
        <v/>
      </c>
      <c r="B27" s="25">
        <f>IF(_config!$B$94="","",_config!$B$94)</f>
        <v/>
      </c>
      <c r="C27" s="16">
        <f>IF(_config!$D$94="","",_config!$D$94)</f>
        <v/>
      </c>
      <c r="D27" s="26">
        <f>IF(Dashboard_AssetQuality!I30="","",Dashboard_AssetQuality!I30)</f>
        <v/>
      </c>
      <c r="E27" s="27">
        <f>IF($A27="","",COUNTIF($J27:$BJ27,"ALERT"))</f>
        <v/>
      </c>
      <c r="F27" s="27">
        <f>IF($A27="","",COUNTIF($J27:$BJ27,"WATCH"))</f>
        <v/>
      </c>
      <c r="G27" s="27">
        <f>IF($BL27="","",RANK($BL27,$BL$5:$BL$44))</f>
        <v/>
      </c>
      <c r="H27" s="27">
        <f>IF(_config!$C$94="","",IF(NOT(ISNUMBER(_config!$B$94)),"REFUSED: blank/invalid CERT -- run --lookup",IF(UPPER(_config!$E$94&amp;"")&lt;&gt;"TRUE","OFF",IF($E27&gt;0,"ALERT",IF($F27&gt;0,"WATCH","OK")))))</f>
        <v/>
      </c>
      <c r="J27" s="28">
        <f>IF(NOT(ISNUMBER(Dashboard_AssetQuality!D30)),"",IF(Dashboard_AssetQuality!D30&gt;=_config!$C$16,"ALERT",IF(Dashboard_AssetQuality!D30&gt;=_config!$B$16,"WATCH","OK")))</f>
        <v/>
      </c>
      <c r="K27" s="28">
        <f>IF(NOT(ISNUMBER(Dashboard_AssetQuality!E30)),"",IF(Dashboard_AssetQuality!E30&gt;=_config!$C$17,"ALERT",IF(Dashboard_AssetQuality!E30&gt;=_config!$B$17,"WATCH","OK")))</f>
        <v/>
      </c>
      <c r="L27" s="28">
        <f>IF(NOT(ISNUMBER(Dashboard_AssetQuality!F30)),"",IF(Dashboard_AssetQuality!F30&gt;=_config!$C$18,"ALERT",IF(Dashboard_AssetQuality!F30&gt;=_config!$B$18,"WATCH","OK")))</f>
        <v/>
      </c>
      <c r="M27" s="28">
        <f>IF(NOT(ISNUMBER(Dashboard_AssetQuality!G30)),"",IF(Dashboard_AssetQuality!G30&lt;=_config!$C$19,"ALERT",IF(Dashboard_AssetQuality!G30&lt;=_config!$B$19,"WATCH","OK")))</f>
        <v/>
      </c>
      <c r="N27" s="28">
        <f>IF(NOT(ISNUMBER(Dashboard_AssetQuality!H30)),"",IF(Dashboard_AssetQuality!H30&lt;=_config!$C$20,"ALERT",IF(Dashboard_AssetQuality!H30&lt;=_config!$B$20,"WATCH","OK")))</f>
        <v/>
      </c>
      <c r="O27" s="28">
        <f>IF(NOT(ISNUMBER(Dashboard_AssetQuality!I30)),"",IF(Dashboard_AssetQuality!I30&gt;=_config!$C$21,"ALERT",IF(Dashboard_AssetQuality!I30&gt;=_config!$B$21,"WATCH","OK")))</f>
        <v/>
      </c>
      <c r="P27" s="28">
        <f>IF(NOT(ISNUMBER(Dashboard_Capital_Earnings!D30)),"",IF(Dashboard_Capital_Earnings!D30&lt;=_config!$C$22,"ALERT",IF(Dashboard_Capital_Earnings!D30&lt;=_config!$B$22,"WATCH","OK")))</f>
        <v/>
      </c>
      <c r="Q27" s="28">
        <f>IF(NOT(ISNUMBER(Dashboard_Capital_Earnings!E30)),"",IF(Dashboard_Capital_Earnings!E30&lt;=_config!$C$23,"ALERT",IF(Dashboard_Capital_Earnings!E30&lt;=_config!$B$23,"WATCH","OK")))</f>
        <v/>
      </c>
      <c r="R27" s="28">
        <f>IF(NOT(ISNUMBER(Dashboard_Capital_Earnings!F30)),"",IF(Dashboard_Capital_Earnings!F30&lt;=_config!$C$24,"ALERT",IF(Dashboard_Capital_Earnings!F30&lt;=_config!$B$24,"WATCH","OK")))</f>
        <v/>
      </c>
      <c r="S27" s="28">
        <f>IF(NOT(ISNUMBER(Dashboard_Capital_Earnings!G30)),"",IF(Dashboard_Capital_Earnings!G30&lt;=_config!$C$25,"ALERT",IF(Dashboard_Capital_Earnings!G30&lt;=_config!$B$25,"WATCH","OK")))</f>
        <v/>
      </c>
      <c r="T27" s="28">
        <f>IF(NOT(ISNUMBER(Dashboard_Capital_Earnings!H30)),"",IF(Dashboard_Capital_Earnings!H30&lt;=_config!$C$26,"ALERT",IF(Dashboard_Capital_Earnings!H30&lt;=_config!$B$26,"WATCH","OK")))</f>
        <v/>
      </c>
      <c r="U27" s="28">
        <f>IF(NOT(ISNUMBER(Dashboard_Capital_Earnings!I30)),"",IF(Dashboard_Capital_Earnings!I30&gt;=_config!$C$27,"ALERT",IF(Dashboard_Capital_Earnings!I30&gt;=_config!$B$27,"WATCH","OK")))</f>
        <v/>
      </c>
      <c r="V27" s="28">
        <f>IF(NOT(ISNUMBER(Dashboard_Funding_Concentration!D30)),"",IF(Dashboard_Funding_Concentration!D30&gt;=_config!$C$28,"ALERT",IF(Dashboard_Funding_Concentration!D30&gt;=_config!$B$28,"WATCH","OK")))</f>
        <v/>
      </c>
      <c r="W27" s="28">
        <f>IF(NOT(ISNUMBER(Dashboard_Funding_Concentration!E30)),"",IF(Dashboard_Funding_Concentration!E30&gt;=_config!$C$29,"ALERT",IF(Dashboard_Funding_Concentration!E30&gt;=_config!$B$29,"WATCH","OK")))</f>
        <v/>
      </c>
      <c r="X27" s="28">
        <f>IF(NOT(ISNUMBER(Dashboard_Funding_Concentration!F30)),"",IF(Dashboard_Funding_Concentration!F30&gt;=_config!$C$30,"ALERT",IF(Dashboard_Funding_Concentration!F30&gt;=_config!$B$30,"WATCH","OK")))</f>
        <v/>
      </c>
      <c r="Y27" s="28">
        <f>IF(NOT(ISNUMBER(Dashboard_LoanBook!D30)),"",IF(Dashboard_LoanBook!D30&gt;=_config!$C$31,"ALERT",IF(Dashboard_LoanBook!D30&gt;=_config!$B$31,"WATCH","OK")))</f>
        <v/>
      </c>
      <c r="Z27" s="28">
        <f>IF(NOT(ISNUMBER(Dashboard_LoanBook!E30)),"",IF(Dashboard_LoanBook!E30&gt;=_config!$C$32,"ALERT",IF(Dashboard_LoanBook!E30&gt;=_config!$B$32,"WATCH","OK")))</f>
        <v/>
      </c>
      <c r="AA27" s="28">
        <f>IF(NOT(ISNUMBER(Dashboard_LoanBook!F30)),"",IF(Dashboard_LoanBook!F30&gt;=_config!$C$33,"ALERT",IF(Dashboard_LoanBook!F30&gt;=_config!$B$33,"WATCH","OK")))</f>
        <v/>
      </c>
      <c r="AB27" s="28">
        <f>IF(NOT(ISNUMBER(Dashboard_LoanBook!G30)),"",IF(Dashboard_LoanBook!G30&gt;=_config!$C$34,"ALERT",IF(Dashboard_LoanBook!G30&gt;=_config!$B$34,"WATCH","OK")))</f>
        <v/>
      </c>
      <c r="AC27" s="28">
        <f>IF(NOT(ISNUMBER(Dashboard_LoanBook!H30)),"",IF(Dashboard_LoanBook!H30&gt;=_config!$C$35,"ALERT",IF(Dashboard_LoanBook!H30&gt;=_config!$B$35,"WATCH","OK")))</f>
        <v/>
      </c>
      <c r="AD27" s="28">
        <f>IF(NOT(ISNUMBER(Dashboard_LoanBook!I30)),"",IF(Dashboard_LoanBook!I30&gt;=_config!$C$36,"ALERT",IF(Dashboard_LoanBook!I30&gt;=_config!$B$36,"WATCH","OK")))</f>
        <v/>
      </c>
      <c r="AE27" s="28">
        <f>IF(NOT(ISNUMBER(Dashboard_LoanBook!J30)),"",IF(Dashboard_LoanBook!J30&gt;=_config!$C$37,"ALERT",IF(Dashboard_LoanBook!J30&gt;=_config!$B$37,"WATCH","OK")))</f>
        <v/>
      </c>
      <c r="AF27" s="28">
        <f>IF(NOT(ISNUMBER(Dashboard_LoanBook!K30)),"",IF(Dashboard_LoanBook!K30&gt;=_config!$C$38,"ALERT",IF(Dashboard_LoanBook!K30&gt;=_config!$B$38,"WATCH","OK")))</f>
        <v/>
      </c>
      <c r="AG27" s="28">
        <f>IF(NOT(ISNUMBER(Dashboard_LoanBook!L30)),"",IF(Dashboard_LoanBook!L30&gt;=_config!$C$39,"ALERT",IF(Dashboard_LoanBook!L30&gt;=_config!$B$39,"WATCH","OK")))</f>
        <v/>
      </c>
      <c r="AH27" s="28">
        <f>IF(NOT(ISNUMBER(Dashboard_LoanBook!M30)),"",IF(Dashboard_LoanBook!M30&gt;=_config!$C$40,"ALERT",IF(Dashboard_LoanBook!M30&gt;=_config!$B$40,"WATCH","OK")))</f>
        <v/>
      </c>
      <c r="AI27" s="28">
        <f>IF(NOT(ISNUMBER(Dashboard_LoanBook!N30)),"",IF(Dashboard_LoanBook!N30&gt;=_config!$C$41,"ALERT",IF(Dashboard_LoanBook!N30&gt;=_config!$B$41,"WATCH","OK")))</f>
        <v/>
      </c>
      <c r="AJ27" s="28">
        <f>IF(NOT(ISNUMBER(Dashboard_LoanBook!O30)),"",IF(Dashboard_LoanBook!O30&gt;=_config!$C$42,"ALERT",IF(Dashboard_LoanBook!O30&gt;=_config!$B$42,"WATCH","OK")))</f>
        <v/>
      </c>
      <c r="AK27" s="28">
        <f>IF(NOT(ISNUMBER(Dashboard_LoanBook!P30)),"",IF(Dashboard_LoanBook!P30&gt;=_config!$C$43,"ALERT",IF(Dashboard_LoanBook!P30&gt;=_config!$B$43,"WATCH","OK")))</f>
        <v/>
      </c>
      <c r="AL27" s="28">
        <f>IF(NOT(ISNUMBER(Dashboard_LoanBook!Q30)),"",IF(Dashboard_LoanBook!Q30&gt;=_config!$C$44,"ALERT",IF(Dashboard_LoanBook!Q30&gt;=_config!$B$44,"WATCH","OK")))</f>
        <v/>
      </c>
      <c r="AM27" s="28">
        <f>IF(NOT(ISNUMBER(Dashboard_LoanBook!R30)),"",IF(Dashboard_LoanBook!R30&gt;=_config!$C$45,"ALERT",IF(Dashboard_LoanBook!R30&gt;=_config!$B$45,"WATCH","OK")))</f>
        <v/>
      </c>
      <c r="AN27" s="28">
        <f>IF(NOT(ISNUMBER(Dashboard_LoanBook!S30)),"",IF(Dashboard_LoanBook!S30&gt;=_config!$C$46,"ALERT",IF(Dashboard_LoanBook!S30&gt;=_config!$B$46,"WATCH","OK")))</f>
        <v/>
      </c>
      <c r="AO27" s="28">
        <f>IF(NOT(ISNUMBER(Dashboard_LoanBook!T30)),"",IF(Dashboard_LoanBook!T30&gt;=_config!$C$47,"ALERT",IF(Dashboard_LoanBook!T30&gt;=_config!$B$47,"WATCH","OK")))</f>
        <v/>
      </c>
      <c r="AP27" s="28">
        <f>IF(NOT(ISNUMBER(Dashboard_LoanBook!U30)),"",IF(Dashboard_LoanBook!U30&gt;=_config!$C$48,"ALERT",IF(Dashboard_LoanBook!U30&gt;=_config!$B$48,"WATCH","OK")))</f>
        <v/>
      </c>
      <c r="AQ27" s="28">
        <f>IF(NOT(ISNUMBER(Dashboard_LoanBook!V30)),"",IF(Dashboard_LoanBook!V30&gt;=_config!$C$49,"ALERT",IF(Dashboard_LoanBook!V30&gt;=_config!$B$49,"WATCH","OK")))</f>
        <v/>
      </c>
      <c r="AR27" s="28">
        <f>IF(NOT(ISNUMBER(Dashboard_LoanBook!D74)),"",IF(Dashboard_LoanBook!D74&gt;=_config!$C$50,"ALERT",IF(Dashboard_LoanBook!D74&gt;=_config!$B$50,"WATCH","OK")))</f>
        <v/>
      </c>
      <c r="AS27" s="28">
        <f>IF(NOT(ISNUMBER(Dashboard_LoanBook!E74)),"",IF(Dashboard_LoanBook!E74&gt;=_config!$C$51,"ALERT",IF(Dashboard_LoanBook!E74&gt;=_config!$B$51,"WATCH","OK")))</f>
        <v/>
      </c>
      <c r="AT27" s="28">
        <f>IF(NOT(ISNUMBER(Dashboard_LoanBook!F74)),"",IF(Dashboard_LoanBook!F74&gt;=_config!$C$52,"ALERT",IF(Dashboard_LoanBook!F74&gt;=_config!$B$52,"WATCH","OK")))</f>
        <v/>
      </c>
      <c r="AU27" s="28">
        <f>IF(NOT(ISNUMBER(Dashboard_LoanBook!G74)),"",IF(Dashboard_LoanBook!G74&gt;=_config!$C$53,"ALERT",IF(Dashboard_LoanBook!G74&gt;=_config!$B$53,"WATCH","OK")))</f>
        <v/>
      </c>
      <c r="AV27" s="28">
        <f>IF(NOT(ISNUMBER(Dashboard_LoanBook!H74)),"",IF(Dashboard_LoanBook!H74&gt;=_config!$C$54,"ALERT",IF(Dashboard_LoanBook!H74&gt;=_config!$B$54,"WATCH","OK")))</f>
        <v/>
      </c>
      <c r="AW27" s="28">
        <f>IF(NOT(ISNUMBER(Dashboard_LoanBook!I74)),"",IF(Dashboard_LoanBook!I74&gt;=_config!$C$55,"ALERT",IF(Dashboard_LoanBook!I74&gt;=_config!$B$55,"WATCH","OK")))</f>
        <v/>
      </c>
      <c r="AX27" s="28">
        <f>IF(NOT(ISNUMBER(Dashboard_LoanBook!J74)),"",IF(Dashboard_LoanBook!J74&gt;=_config!$C$56,"ALERT",IF(Dashboard_LoanBook!J74&gt;=_config!$B$56,"WATCH","OK")))</f>
        <v/>
      </c>
      <c r="AY27" s="28">
        <f>IF(NOT(ISNUMBER(Dashboard_LoanBook!K74)),"",IF(Dashboard_LoanBook!K74&gt;=_config!$C$57,"ALERT",IF(Dashboard_LoanBook!K74&gt;=_config!$B$57,"WATCH","OK")))</f>
        <v/>
      </c>
      <c r="AZ27" s="28">
        <f>IF(NOT(ISNUMBER(Dashboard_LoanBook!L74)),"",IF(Dashboard_LoanBook!L74&gt;=_config!$C$58,"ALERT",IF(Dashboard_LoanBook!L74&gt;=_config!$B$58,"WATCH","OK")))</f>
        <v/>
      </c>
      <c r="BA27" s="28">
        <f>IF(NOT(ISNUMBER(Dashboard_LoanBook!M74)),"",IF(Dashboard_LoanBook!M74&gt;=_config!$C$59,"ALERT",IF(Dashboard_LoanBook!M74&gt;=_config!$B$59,"WATCH","OK")))</f>
        <v/>
      </c>
      <c r="BB27" s="28">
        <f>IF(NOT(ISNUMBER(Dashboard_LoanBook!N74)),"",IF(Dashboard_LoanBook!N74&gt;=_config!$C$60,"ALERT",IF(Dashboard_LoanBook!N74&gt;=_config!$B$60,"WATCH","OK")))</f>
        <v/>
      </c>
      <c r="BC27" s="28">
        <f>IF(NOT(ISNUMBER(Dashboard_LoanBook!O74)),"",IF(Dashboard_LoanBook!O74&gt;=_config!$C$61,"ALERT",IF(Dashboard_LoanBook!O74&gt;=_config!$B$61,"WATCH","OK")))</f>
        <v/>
      </c>
      <c r="BD27" s="28">
        <f>IF(NOT(ISNUMBER(Dashboard_LoanBook!P74)),"",IF(Dashboard_LoanBook!P74&gt;=_config!$C$62,"ALERT",IF(Dashboard_LoanBook!P74&gt;=_config!$B$62,"WATCH","OK")))</f>
        <v/>
      </c>
      <c r="BE27" s="28">
        <f>IF(NOT(ISNUMBER(Dashboard_LoanBook!Q74)),"",IF(Dashboard_LoanBook!Q74&gt;=_config!$C$63,"ALERT",IF(Dashboard_LoanBook!Q74&gt;=_config!$B$63,"WATCH","OK")))</f>
        <v/>
      </c>
      <c r="BF27" s="28">
        <f>IF(NOT(ISNUMBER(Dashboard_LoanBook!R74)),"",IF(Dashboard_LoanBook!R74&gt;=_config!$C$64,"ALERT",IF(Dashboard_LoanBook!R74&gt;=_config!$B$64,"WATCH","OK")))</f>
        <v/>
      </c>
      <c r="BG27" s="28">
        <f>IF(NOT(ISNUMBER(Dashboard_LoanBook!S74)),"",IF(Dashboard_LoanBook!S74&gt;=_config!$C$65,"ALERT",IF(Dashboard_LoanBook!S74&gt;=_config!$B$65,"WATCH","OK")))</f>
        <v/>
      </c>
      <c r="BH27" s="28">
        <f>IF(NOT(ISNUMBER(Dashboard_Funding_Concentration!G30)),"",IF(Dashboard_Funding_Concentration!G30&gt;=_config!$C$66,"ALERT",IF(Dashboard_Funding_Concentration!G30&gt;=_config!$B$66,"WATCH","OK")))</f>
        <v/>
      </c>
      <c r="BI27" s="28">
        <f>IF(NOT(ISNUMBER(Dashboard_Funding_Concentration!H30)),"",IF(Dashboard_Funding_Concentration!H30&gt;=_config!$C$67,"ALERT",IF(Dashboard_Funding_Concentration!H30&gt;=_config!$B$67,"WATCH","OK")))</f>
        <v/>
      </c>
      <c r="BJ27" s="28">
        <f>IF(NOT(ISNUMBER(Dashboard_Funding_Concentration!I30)),"",IF(Dashboard_Funding_Concentration!I30&gt;=_config!$C$68,"ALERT",IF(Dashboard_Funding_Concentration!I30&gt;=_config!$B$68,"WATCH","OK")))</f>
        <v/>
      </c>
      <c r="BL27" s="28">
        <f>IF(NOT(ISNUMBER($E27)),"",$E27*10000+IF(ISNUMBER($D27),$D27,0))</f>
        <v/>
      </c>
    </row>
    <row r="28">
      <c r="A28" s="14">
        <f>IF(_config!$C$95="","",_config!$C$95)</f>
        <v/>
      </c>
      <c r="B28" s="25">
        <f>IF(_config!$B$95="","",_config!$B$95)</f>
        <v/>
      </c>
      <c r="C28" s="16">
        <f>IF(_config!$D$95="","",_config!$D$95)</f>
        <v/>
      </c>
      <c r="D28" s="26">
        <f>IF(Dashboard_AssetQuality!I31="","",Dashboard_AssetQuality!I31)</f>
        <v/>
      </c>
      <c r="E28" s="27">
        <f>IF($A28="","",COUNTIF($J28:$BJ28,"ALERT"))</f>
        <v/>
      </c>
      <c r="F28" s="27">
        <f>IF($A28="","",COUNTIF($J28:$BJ28,"WATCH"))</f>
        <v/>
      </c>
      <c r="G28" s="27">
        <f>IF($BL28="","",RANK($BL28,$BL$5:$BL$44))</f>
        <v/>
      </c>
      <c r="H28" s="27">
        <f>IF(_config!$C$95="","",IF(NOT(ISNUMBER(_config!$B$95)),"REFUSED: blank/invalid CERT -- run --lookup",IF(UPPER(_config!$E$95&amp;"")&lt;&gt;"TRUE","OFF",IF($E28&gt;0,"ALERT",IF($F28&gt;0,"WATCH","OK")))))</f>
        <v/>
      </c>
      <c r="J28" s="28">
        <f>IF(NOT(ISNUMBER(Dashboard_AssetQuality!D31)),"",IF(Dashboard_AssetQuality!D31&gt;=_config!$C$16,"ALERT",IF(Dashboard_AssetQuality!D31&gt;=_config!$B$16,"WATCH","OK")))</f>
        <v/>
      </c>
      <c r="K28" s="28">
        <f>IF(NOT(ISNUMBER(Dashboard_AssetQuality!E31)),"",IF(Dashboard_AssetQuality!E31&gt;=_config!$C$17,"ALERT",IF(Dashboard_AssetQuality!E31&gt;=_config!$B$17,"WATCH","OK")))</f>
        <v/>
      </c>
      <c r="L28" s="28">
        <f>IF(NOT(ISNUMBER(Dashboard_AssetQuality!F31)),"",IF(Dashboard_AssetQuality!F31&gt;=_config!$C$18,"ALERT",IF(Dashboard_AssetQuality!F31&gt;=_config!$B$18,"WATCH","OK")))</f>
        <v/>
      </c>
      <c r="M28" s="28">
        <f>IF(NOT(ISNUMBER(Dashboard_AssetQuality!G31)),"",IF(Dashboard_AssetQuality!G31&lt;=_config!$C$19,"ALERT",IF(Dashboard_AssetQuality!G31&lt;=_config!$B$19,"WATCH","OK")))</f>
        <v/>
      </c>
      <c r="N28" s="28">
        <f>IF(NOT(ISNUMBER(Dashboard_AssetQuality!H31)),"",IF(Dashboard_AssetQuality!H31&lt;=_config!$C$20,"ALERT",IF(Dashboard_AssetQuality!H31&lt;=_config!$B$20,"WATCH","OK")))</f>
        <v/>
      </c>
      <c r="O28" s="28">
        <f>IF(NOT(ISNUMBER(Dashboard_AssetQuality!I31)),"",IF(Dashboard_AssetQuality!I31&gt;=_config!$C$21,"ALERT",IF(Dashboard_AssetQuality!I31&gt;=_config!$B$21,"WATCH","OK")))</f>
        <v/>
      </c>
      <c r="P28" s="28">
        <f>IF(NOT(ISNUMBER(Dashboard_Capital_Earnings!D31)),"",IF(Dashboard_Capital_Earnings!D31&lt;=_config!$C$22,"ALERT",IF(Dashboard_Capital_Earnings!D31&lt;=_config!$B$22,"WATCH","OK")))</f>
        <v/>
      </c>
      <c r="Q28" s="28">
        <f>IF(NOT(ISNUMBER(Dashboard_Capital_Earnings!E31)),"",IF(Dashboard_Capital_Earnings!E31&lt;=_config!$C$23,"ALERT",IF(Dashboard_Capital_Earnings!E31&lt;=_config!$B$23,"WATCH","OK")))</f>
        <v/>
      </c>
      <c r="R28" s="28">
        <f>IF(NOT(ISNUMBER(Dashboard_Capital_Earnings!F31)),"",IF(Dashboard_Capital_Earnings!F31&lt;=_config!$C$24,"ALERT",IF(Dashboard_Capital_Earnings!F31&lt;=_config!$B$24,"WATCH","OK")))</f>
        <v/>
      </c>
      <c r="S28" s="28">
        <f>IF(NOT(ISNUMBER(Dashboard_Capital_Earnings!G31)),"",IF(Dashboard_Capital_Earnings!G31&lt;=_config!$C$25,"ALERT",IF(Dashboard_Capital_Earnings!G31&lt;=_config!$B$25,"WATCH","OK")))</f>
        <v/>
      </c>
      <c r="T28" s="28">
        <f>IF(NOT(ISNUMBER(Dashboard_Capital_Earnings!H31)),"",IF(Dashboard_Capital_Earnings!H31&lt;=_config!$C$26,"ALERT",IF(Dashboard_Capital_Earnings!H31&lt;=_config!$B$26,"WATCH","OK")))</f>
        <v/>
      </c>
      <c r="U28" s="28">
        <f>IF(NOT(ISNUMBER(Dashboard_Capital_Earnings!I31)),"",IF(Dashboard_Capital_Earnings!I31&gt;=_config!$C$27,"ALERT",IF(Dashboard_Capital_Earnings!I31&gt;=_config!$B$27,"WATCH","OK")))</f>
        <v/>
      </c>
      <c r="V28" s="28">
        <f>IF(NOT(ISNUMBER(Dashboard_Funding_Concentration!D31)),"",IF(Dashboard_Funding_Concentration!D31&gt;=_config!$C$28,"ALERT",IF(Dashboard_Funding_Concentration!D31&gt;=_config!$B$28,"WATCH","OK")))</f>
        <v/>
      </c>
      <c r="W28" s="28">
        <f>IF(NOT(ISNUMBER(Dashboard_Funding_Concentration!E31)),"",IF(Dashboard_Funding_Concentration!E31&gt;=_config!$C$29,"ALERT",IF(Dashboard_Funding_Concentration!E31&gt;=_config!$B$29,"WATCH","OK")))</f>
        <v/>
      </c>
      <c r="X28" s="28">
        <f>IF(NOT(ISNUMBER(Dashboard_Funding_Concentration!F31)),"",IF(Dashboard_Funding_Concentration!F31&gt;=_config!$C$30,"ALERT",IF(Dashboard_Funding_Concentration!F31&gt;=_config!$B$30,"WATCH","OK")))</f>
        <v/>
      </c>
      <c r="Y28" s="28">
        <f>IF(NOT(ISNUMBER(Dashboard_LoanBook!D31)),"",IF(Dashboard_LoanBook!D31&gt;=_config!$C$31,"ALERT",IF(Dashboard_LoanBook!D31&gt;=_config!$B$31,"WATCH","OK")))</f>
        <v/>
      </c>
      <c r="Z28" s="28">
        <f>IF(NOT(ISNUMBER(Dashboard_LoanBook!E31)),"",IF(Dashboard_LoanBook!E31&gt;=_config!$C$32,"ALERT",IF(Dashboard_LoanBook!E31&gt;=_config!$B$32,"WATCH","OK")))</f>
        <v/>
      </c>
      <c r="AA28" s="28">
        <f>IF(NOT(ISNUMBER(Dashboard_LoanBook!F31)),"",IF(Dashboard_LoanBook!F31&gt;=_config!$C$33,"ALERT",IF(Dashboard_LoanBook!F31&gt;=_config!$B$33,"WATCH","OK")))</f>
        <v/>
      </c>
      <c r="AB28" s="28">
        <f>IF(NOT(ISNUMBER(Dashboard_LoanBook!G31)),"",IF(Dashboard_LoanBook!G31&gt;=_config!$C$34,"ALERT",IF(Dashboard_LoanBook!G31&gt;=_config!$B$34,"WATCH","OK")))</f>
        <v/>
      </c>
      <c r="AC28" s="28">
        <f>IF(NOT(ISNUMBER(Dashboard_LoanBook!H31)),"",IF(Dashboard_LoanBook!H31&gt;=_config!$C$35,"ALERT",IF(Dashboard_LoanBook!H31&gt;=_config!$B$35,"WATCH","OK")))</f>
        <v/>
      </c>
      <c r="AD28" s="28">
        <f>IF(NOT(ISNUMBER(Dashboard_LoanBook!I31)),"",IF(Dashboard_LoanBook!I31&gt;=_config!$C$36,"ALERT",IF(Dashboard_LoanBook!I31&gt;=_config!$B$36,"WATCH","OK")))</f>
        <v/>
      </c>
      <c r="AE28" s="28">
        <f>IF(NOT(ISNUMBER(Dashboard_LoanBook!J31)),"",IF(Dashboard_LoanBook!J31&gt;=_config!$C$37,"ALERT",IF(Dashboard_LoanBook!J31&gt;=_config!$B$37,"WATCH","OK")))</f>
        <v/>
      </c>
      <c r="AF28" s="28">
        <f>IF(NOT(ISNUMBER(Dashboard_LoanBook!K31)),"",IF(Dashboard_LoanBook!K31&gt;=_config!$C$38,"ALERT",IF(Dashboard_LoanBook!K31&gt;=_config!$B$38,"WATCH","OK")))</f>
        <v/>
      </c>
      <c r="AG28" s="28">
        <f>IF(NOT(ISNUMBER(Dashboard_LoanBook!L31)),"",IF(Dashboard_LoanBook!L31&gt;=_config!$C$39,"ALERT",IF(Dashboard_LoanBook!L31&gt;=_config!$B$39,"WATCH","OK")))</f>
        <v/>
      </c>
      <c r="AH28" s="28">
        <f>IF(NOT(ISNUMBER(Dashboard_LoanBook!M31)),"",IF(Dashboard_LoanBook!M31&gt;=_config!$C$40,"ALERT",IF(Dashboard_LoanBook!M31&gt;=_config!$B$40,"WATCH","OK")))</f>
        <v/>
      </c>
      <c r="AI28" s="28">
        <f>IF(NOT(ISNUMBER(Dashboard_LoanBook!N31)),"",IF(Dashboard_LoanBook!N31&gt;=_config!$C$41,"ALERT",IF(Dashboard_LoanBook!N31&gt;=_config!$B$41,"WATCH","OK")))</f>
        <v/>
      </c>
      <c r="AJ28" s="28">
        <f>IF(NOT(ISNUMBER(Dashboard_LoanBook!O31)),"",IF(Dashboard_LoanBook!O31&gt;=_config!$C$42,"ALERT",IF(Dashboard_LoanBook!O31&gt;=_config!$B$42,"WATCH","OK")))</f>
        <v/>
      </c>
      <c r="AK28" s="28">
        <f>IF(NOT(ISNUMBER(Dashboard_LoanBook!P31)),"",IF(Dashboard_LoanBook!P31&gt;=_config!$C$43,"ALERT",IF(Dashboard_LoanBook!P31&gt;=_config!$B$43,"WATCH","OK")))</f>
        <v/>
      </c>
      <c r="AL28" s="28">
        <f>IF(NOT(ISNUMBER(Dashboard_LoanBook!Q31)),"",IF(Dashboard_LoanBook!Q31&gt;=_config!$C$44,"ALERT",IF(Dashboard_LoanBook!Q31&gt;=_config!$B$44,"WATCH","OK")))</f>
        <v/>
      </c>
      <c r="AM28" s="28">
        <f>IF(NOT(ISNUMBER(Dashboard_LoanBook!R31)),"",IF(Dashboard_LoanBook!R31&gt;=_config!$C$45,"ALERT",IF(Dashboard_LoanBook!R31&gt;=_config!$B$45,"WATCH","OK")))</f>
        <v/>
      </c>
      <c r="AN28" s="28">
        <f>IF(NOT(ISNUMBER(Dashboard_LoanBook!S31)),"",IF(Dashboard_LoanBook!S31&gt;=_config!$C$46,"ALERT",IF(Dashboard_LoanBook!S31&gt;=_config!$B$46,"WATCH","OK")))</f>
        <v/>
      </c>
      <c r="AO28" s="28">
        <f>IF(NOT(ISNUMBER(Dashboard_LoanBook!T31)),"",IF(Dashboard_LoanBook!T31&gt;=_config!$C$47,"ALERT",IF(Dashboard_LoanBook!T31&gt;=_config!$B$47,"WATCH","OK")))</f>
        <v/>
      </c>
      <c r="AP28" s="28">
        <f>IF(NOT(ISNUMBER(Dashboard_LoanBook!U31)),"",IF(Dashboard_LoanBook!U31&gt;=_config!$C$48,"ALERT",IF(Dashboard_LoanBook!U31&gt;=_config!$B$48,"WATCH","OK")))</f>
        <v/>
      </c>
      <c r="AQ28" s="28">
        <f>IF(NOT(ISNUMBER(Dashboard_LoanBook!V31)),"",IF(Dashboard_LoanBook!V31&gt;=_config!$C$49,"ALERT",IF(Dashboard_LoanBook!V31&gt;=_config!$B$49,"WATCH","OK")))</f>
        <v/>
      </c>
      <c r="AR28" s="28">
        <f>IF(NOT(ISNUMBER(Dashboard_LoanBook!D75)),"",IF(Dashboard_LoanBook!D75&gt;=_config!$C$50,"ALERT",IF(Dashboard_LoanBook!D75&gt;=_config!$B$50,"WATCH","OK")))</f>
        <v/>
      </c>
      <c r="AS28" s="28">
        <f>IF(NOT(ISNUMBER(Dashboard_LoanBook!E75)),"",IF(Dashboard_LoanBook!E75&gt;=_config!$C$51,"ALERT",IF(Dashboard_LoanBook!E75&gt;=_config!$B$51,"WATCH","OK")))</f>
        <v/>
      </c>
      <c r="AT28" s="28">
        <f>IF(NOT(ISNUMBER(Dashboard_LoanBook!F75)),"",IF(Dashboard_LoanBook!F75&gt;=_config!$C$52,"ALERT",IF(Dashboard_LoanBook!F75&gt;=_config!$B$52,"WATCH","OK")))</f>
        <v/>
      </c>
      <c r="AU28" s="28">
        <f>IF(NOT(ISNUMBER(Dashboard_LoanBook!G75)),"",IF(Dashboard_LoanBook!G75&gt;=_config!$C$53,"ALERT",IF(Dashboard_LoanBook!G75&gt;=_config!$B$53,"WATCH","OK")))</f>
        <v/>
      </c>
      <c r="AV28" s="28">
        <f>IF(NOT(ISNUMBER(Dashboard_LoanBook!H75)),"",IF(Dashboard_LoanBook!H75&gt;=_config!$C$54,"ALERT",IF(Dashboard_LoanBook!H75&gt;=_config!$B$54,"WATCH","OK")))</f>
        <v/>
      </c>
      <c r="AW28" s="28">
        <f>IF(NOT(ISNUMBER(Dashboard_LoanBook!I75)),"",IF(Dashboard_LoanBook!I75&gt;=_config!$C$55,"ALERT",IF(Dashboard_LoanBook!I75&gt;=_config!$B$55,"WATCH","OK")))</f>
        <v/>
      </c>
      <c r="AX28" s="28">
        <f>IF(NOT(ISNUMBER(Dashboard_LoanBook!J75)),"",IF(Dashboard_LoanBook!J75&gt;=_config!$C$56,"ALERT",IF(Dashboard_LoanBook!J75&gt;=_config!$B$56,"WATCH","OK")))</f>
        <v/>
      </c>
      <c r="AY28" s="28">
        <f>IF(NOT(ISNUMBER(Dashboard_LoanBook!K75)),"",IF(Dashboard_LoanBook!K75&gt;=_config!$C$57,"ALERT",IF(Dashboard_LoanBook!K75&gt;=_config!$B$57,"WATCH","OK")))</f>
        <v/>
      </c>
      <c r="AZ28" s="28">
        <f>IF(NOT(ISNUMBER(Dashboard_LoanBook!L75)),"",IF(Dashboard_LoanBook!L75&gt;=_config!$C$58,"ALERT",IF(Dashboard_LoanBook!L75&gt;=_config!$B$58,"WATCH","OK")))</f>
        <v/>
      </c>
      <c r="BA28" s="28">
        <f>IF(NOT(ISNUMBER(Dashboard_LoanBook!M75)),"",IF(Dashboard_LoanBook!M75&gt;=_config!$C$59,"ALERT",IF(Dashboard_LoanBook!M75&gt;=_config!$B$59,"WATCH","OK")))</f>
        <v/>
      </c>
      <c r="BB28" s="28">
        <f>IF(NOT(ISNUMBER(Dashboard_LoanBook!N75)),"",IF(Dashboard_LoanBook!N75&gt;=_config!$C$60,"ALERT",IF(Dashboard_LoanBook!N75&gt;=_config!$B$60,"WATCH","OK")))</f>
        <v/>
      </c>
      <c r="BC28" s="28">
        <f>IF(NOT(ISNUMBER(Dashboard_LoanBook!O75)),"",IF(Dashboard_LoanBook!O75&gt;=_config!$C$61,"ALERT",IF(Dashboard_LoanBook!O75&gt;=_config!$B$61,"WATCH","OK")))</f>
        <v/>
      </c>
      <c r="BD28" s="28">
        <f>IF(NOT(ISNUMBER(Dashboard_LoanBook!P75)),"",IF(Dashboard_LoanBook!P75&gt;=_config!$C$62,"ALERT",IF(Dashboard_LoanBook!P75&gt;=_config!$B$62,"WATCH","OK")))</f>
        <v/>
      </c>
      <c r="BE28" s="28">
        <f>IF(NOT(ISNUMBER(Dashboard_LoanBook!Q75)),"",IF(Dashboard_LoanBook!Q75&gt;=_config!$C$63,"ALERT",IF(Dashboard_LoanBook!Q75&gt;=_config!$B$63,"WATCH","OK")))</f>
        <v/>
      </c>
      <c r="BF28" s="28">
        <f>IF(NOT(ISNUMBER(Dashboard_LoanBook!R75)),"",IF(Dashboard_LoanBook!R75&gt;=_config!$C$64,"ALERT",IF(Dashboard_LoanBook!R75&gt;=_config!$B$64,"WATCH","OK")))</f>
        <v/>
      </c>
      <c r="BG28" s="28">
        <f>IF(NOT(ISNUMBER(Dashboard_LoanBook!S75)),"",IF(Dashboard_LoanBook!S75&gt;=_config!$C$65,"ALERT",IF(Dashboard_LoanBook!S75&gt;=_config!$B$65,"WATCH","OK")))</f>
        <v/>
      </c>
      <c r="BH28" s="28">
        <f>IF(NOT(ISNUMBER(Dashboard_Funding_Concentration!G31)),"",IF(Dashboard_Funding_Concentration!G31&gt;=_config!$C$66,"ALERT",IF(Dashboard_Funding_Concentration!G31&gt;=_config!$B$66,"WATCH","OK")))</f>
        <v/>
      </c>
      <c r="BI28" s="28">
        <f>IF(NOT(ISNUMBER(Dashboard_Funding_Concentration!H31)),"",IF(Dashboard_Funding_Concentration!H31&gt;=_config!$C$67,"ALERT",IF(Dashboard_Funding_Concentration!H31&gt;=_config!$B$67,"WATCH","OK")))</f>
        <v/>
      </c>
      <c r="BJ28" s="28">
        <f>IF(NOT(ISNUMBER(Dashboard_Funding_Concentration!I31)),"",IF(Dashboard_Funding_Concentration!I31&gt;=_config!$C$68,"ALERT",IF(Dashboard_Funding_Concentration!I31&gt;=_config!$B$68,"WATCH","OK")))</f>
        <v/>
      </c>
      <c r="BL28" s="28">
        <f>IF(NOT(ISNUMBER($E28)),"",$E28*10000+IF(ISNUMBER($D28),$D28,0))</f>
        <v/>
      </c>
    </row>
    <row r="29">
      <c r="A29" s="14">
        <f>IF(_config!$C$96="","",_config!$C$96)</f>
        <v/>
      </c>
      <c r="B29" s="25">
        <f>IF(_config!$B$96="","",_config!$B$96)</f>
        <v/>
      </c>
      <c r="C29" s="16">
        <f>IF(_config!$D$96="","",_config!$D$96)</f>
        <v/>
      </c>
      <c r="D29" s="26">
        <f>IF(Dashboard_AssetQuality!I32="","",Dashboard_AssetQuality!I32)</f>
        <v/>
      </c>
      <c r="E29" s="27">
        <f>IF($A29="","",COUNTIF($J29:$BJ29,"ALERT"))</f>
        <v/>
      </c>
      <c r="F29" s="27">
        <f>IF($A29="","",COUNTIF($J29:$BJ29,"WATCH"))</f>
        <v/>
      </c>
      <c r="G29" s="27">
        <f>IF($BL29="","",RANK($BL29,$BL$5:$BL$44))</f>
        <v/>
      </c>
      <c r="H29" s="27">
        <f>IF(_config!$C$96="","",IF(NOT(ISNUMBER(_config!$B$96)),"REFUSED: blank/invalid CERT -- run --lookup",IF(UPPER(_config!$E$96&amp;"")&lt;&gt;"TRUE","OFF",IF($E29&gt;0,"ALERT",IF($F29&gt;0,"WATCH","OK")))))</f>
        <v/>
      </c>
      <c r="J29" s="28">
        <f>IF(NOT(ISNUMBER(Dashboard_AssetQuality!D32)),"",IF(Dashboard_AssetQuality!D32&gt;=_config!$C$16,"ALERT",IF(Dashboard_AssetQuality!D32&gt;=_config!$B$16,"WATCH","OK")))</f>
        <v/>
      </c>
      <c r="K29" s="28">
        <f>IF(NOT(ISNUMBER(Dashboard_AssetQuality!E32)),"",IF(Dashboard_AssetQuality!E32&gt;=_config!$C$17,"ALERT",IF(Dashboard_AssetQuality!E32&gt;=_config!$B$17,"WATCH","OK")))</f>
        <v/>
      </c>
      <c r="L29" s="28">
        <f>IF(NOT(ISNUMBER(Dashboard_AssetQuality!F32)),"",IF(Dashboard_AssetQuality!F32&gt;=_config!$C$18,"ALERT",IF(Dashboard_AssetQuality!F32&gt;=_config!$B$18,"WATCH","OK")))</f>
        <v/>
      </c>
      <c r="M29" s="28">
        <f>IF(NOT(ISNUMBER(Dashboard_AssetQuality!G32)),"",IF(Dashboard_AssetQuality!G32&lt;=_config!$C$19,"ALERT",IF(Dashboard_AssetQuality!G32&lt;=_config!$B$19,"WATCH","OK")))</f>
        <v/>
      </c>
      <c r="N29" s="28">
        <f>IF(NOT(ISNUMBER(Dashboard_AssetQuality!H32)),"",IF(Dashboard_AssetQuality!H32&lt;=_config!$C$20,"ALERT",IF(Dashboard_AssetQuality!H32&lt;=_config!$B$20,"WATCH","OK")))</f>
        <v/>
      </c>
      <c r="O29" s="28">
        <f>IF(NOT(ISNUMBER(Dashboard_AssetQuality!I32)),"",IF(Dashboard_AssetQuality!I32&gt;=_config!$C$21,"ALERT",IF(Dashboard_AssetQuality!I32&gt;=_config!$B$21,"WATCH","OK")))</f>
        <v/>
      </c>
      <c r="P29" s="28">
        <f>IF(NOT(ISNUMBER(Dashboard_Capital_Earnings!D32)),"",IF(Dashboard_Capital_Earnings!D32&lt;=_config!$C$22,"ALERT",IF(Dashboard_Capital_Earnings!D32&lt;=_config!$B$22,"WATCH","OK")))</f>
        <v/>
      </c>
      <c r="Q29" s="28">
        <f>IF(NOT(ISNUMBER(Dashboard_Capital_Earnings!E32)),"",IF(Dashboard_Capital_Earnings!E32&lt;=_config!$C$23,"ALERT",IF(Dashboard_Capital_Earnings!E32&lt;=_config!$B$23,"WATCH","OK")))</f>
        <v/>
      </c>
      <c r="R29" s="28">
        <f>IF(NOT(ISNUMBER(Dashboard_Capital_Earnings!F32)),"",IF(Dashboard_Capital_Earnings!F32&lt;=_config!$C$24,"ALERT",IF(Dashboard_Capital_Earnings!F32&lt;=_config!$B$24,"WATCH","OK")))</f>
        <v/>
      </c>
      <c r="S29" s="28">
        <f>IF(NOT(ISNUMBER(Dashboard_Capital_Earnings!G32)),"",IF(Dashboard_Capital_Earnings!G32&lt;=_config!$C$25,"ALERT",IF(Dashboard_Capital_Earnings!G32&lt;=_config!$B$25,"WATCH","OK")))</f>
        <v/>
      </c>
      <c r="T29" s="28">
        <f>IF(NOT(ISNUMBER(Dashboard_Capital_Earnings!H32)),"",IF(Dashboard_Capital_Earnings!H32&lt;=_config!$C$26,"ALERT",IF(Dashboard_Capital_Earnings!H32&lt;=_config!$B$26,"WATCH","OK")))</f>
        <v/>
      </c>
      <c r="U29" s="28">
        <f>IF(NOT(ISNUMBER(Dashboard_Capital_Earnings!I32)),"",IF(Dashboard_Capital_Earnings!I32&gt;=_config!$C$27,"ALERT",IF(Dashboard_Capital_Earnings!I32&gt;=_config!$B$27,"WATCH","OK")))</f>
        <v/>
      </c>
      <c r="V29" s="28">
        <f>IF(NOT(ISNUMBER(Dashboard_Funding_Concentration!D32)),"",IF(Dashboard_Funding_Concentration!D32&gt;=_config!$C$28,"ALERT",IF(Dashboard_Funding_Concentration!D32&gt;=_config!$B$28,"WATCH","OK")))</f>
        <v/>
      </c>
      <c r="W29" s="28">
        <f>IF(NOT(ISNUMBER(Dashboard_Funding_Concentration!E32)),"",IF(Dashboard_Funding_Concentration!E32&gt;=_config!$C$29,"ALERT",IF(Dashboard_Funding_Concentration!E32&gt;=_config!$B$29,"WATCH","OK")))</f>
        <v/>
      </c>
      <c r="X29" s="28">
        <f>IF(NOT(ISNUMBER(Dashboard_Funding_Concentration!F32)),"",IF(Dashboard_Funding_Concentration!F32&gt;=_config!$C$30,"ALERT",IF(Dashboard_Funding_Concentration!F32&gt;=_config!$B$30,"WATCH","OK")))</f>
        <v/>
      </c>
      <c r="Y29" s="28">
        <f>IF(NOT(ISNUMBER(Dashboard_LoanBook!D32)),"",IF(Dashboard_LoanBook!D32&gt;=_config!$C$31,"ALERT",IF(Dashboard_LoanBook!D32&gt;=_config!$B$31,"WATCH","OK")))</f>
        <v/>
      </c>
      <c r="Z29" s="28">
        <f>IF(NOT(ISNUMBER(Dashboard_LoanBook!E32)),"",IF(Dashboard_LoanBook!E32&gt;=_config!$C$32,"ALERT",IF(Dashboard_LoanBook!E32&gt;=_config!$B$32,"WATCH","OK")))</f>
        <v/>
      </c>
      <c r="AA29" s="28">
        <f>IF(NOT(ISNUMBER(Dashboard_LoanBook!F32)),"",IF(Dashboard_LoanBook!F32&gt;=_config!$C$33,"ALERT",IF(Dashboard_LoanBook!F32&gt;=_config!$B$33,"WATCH","OK")))</f>
        <v/>
      </c>
      <c r="AB29" s="28">
        <f>IF(NOT(ISNUMBER(Dashboard_LoanBook!G32)),"",IF(Dashboard_LoanBook!G32&gt;=_config!$C$34,"ALERT",IF(Dashboard_LoanBook!G32&gt;=_config!$B$34,"WATCH","OK")))</f>
        <v/>
      </c>
      <c r="AC29" s="28">
        <f>IF(NOT(ISNUMBER(Dashboard_LoanBook!H32)),"",IF(Dashboard_LoanBook!H32&gt;=_config!$C$35,"ALERT",IF(Dashboard_LoanBook!H32&gt;=_config!$B$35,"WATCH","OK")))</f>
        <v/>
      </c>
      <c r="AD29" s="28">
        <f>IF(NOT(ISNUMBER(Dashboard_LoanBook!I32)),"",IF(Dashboard_LoanBook!I32&gt;=_config!$C$36,"ALERT",IF(Dashboard_LoanBook!I32&gt;=_config!$B$36,"WATCH","OK")))</f>
        <v/>
      </c>
      <c r="AE29" s="28">
        <f>IF(NOT(ISNUMBER(Dashboard_LoanBook!J32)),"",IF(Dashboard_LoanBook!J32&gt;=_config!$C$37,"ALERT",IF(Dashboard_LoanBook!J32&gt;=_config!$B$37,"WATCH","OK")))</f>
        <v/>
      </c>
      <c r="AF29" s="28">
        <f>IF(NOT(ISNUMBER(Dashboard_LoanBook!K32)),"",IF(Dashboard_LoanBook!K32&gt;=_config!$C$38,"ALERT",IF(Dashboard_LoanBook!K32&gt;=_config!$B$38,"WATCH","OK")))</f>
        <v/>
      </c>
      <c r="AG29" s="28">
        <f>IF(NOT(ISNUMBER(Dashboard_LoanBook!L32)),"",IF(Dashboard_LoanBook!L32&gt;=_config!$C$39,"ALERT",IF(Dashboard_LoanBook!L32&gt;=_config!$B$39,"WATCH","OK")))</f>
        <v/>
      </c>
      <c r="AH29" s="28">
        <f>IF(NOT(ISNUMBER(Dashboard_LoanBook!M32)),"",IF(Dashboard_LoanBook!M32&gt;=_config!$C$40,"ALERT",IF(Dashboard_LoanBook!M32&gt;=_config!$B$40,"WATCH","OK")))</f>
        <v/>
      </c>
      <c r="AI29" s="28">
        <f>IF(NOT(ISNUMBER(Dashboard_LoanBook!N32)),"",IF(Dashboard_LoanBook!N32&gt;=_config!$C$41,"ALERT",IF(Dashboard_LoanBook!N32&gt;=_config!$B$41,"WATCH","OK")))</f>
        <v/>
      </c>
      <c r="AJ29" s="28">
        <f>IF(NOT(ISNUMBER(Dashboard_LoanBook!O32)),"",IF(Dashboard_LoanBook!O32&gt;=_config!$C$42,"ALERT",IF(Dashboard_LoanBook!O32&gt;=_config!$B$42,"WATCH","OK")))</f>
        <v/>
      </c>
      <c r="AK29" s="28">
        <f>IF(NOT(ISNUMBER(Dashboard_LoanBook!P32)),"",IF(Dashboard_LoanBook!P32&gt;=_config!$C$43,"ALERT",IF(Dashboard_LoanBook!P32&gt;=_config!$B$43,"WATCH","OK")))</f>
        <v/>
      </c>
      <c r="AL29" s="28">
        <f>IF(NOT(ISNUMBER(Dashboard_LoanBook!Q32)),"",IF(Dashboard_LoanBook!Q32&gt;=_config!$C$44,"ALERT",IF(Dashboard_LoanBook!Q32&gt;=_config!$B$44,"WATCH","OK")))</f>
        <v/>
      </c>
      <c r="AM29" s="28">
        <f>IF(NOT(ISNUMBER(Dashboard_LoanBook!R32)),"",IF(Dashboard_LoanBook!R32&gt;=_config!$C$45,"ALERT",IF(Dashboard_LoanBook!R32&gt;=_config!$B$45,"WATCH","OK")))</f>
        <v/>
      </c>
      <c r="AN29" s="28">
        <f>IF(NOT(ISNUMBER(Dashboard_LoanBook!S32)),"",IF(Dashboard_LoanBook!S32&gt;=_config!$C$46,"ALERT",IF(Dashboard_LoanBook!S32&gt;=_config!$B$46,"WATCH","OK")))</f>
        <v/>
      </c>
      <c r="AO29" s="28">
        <f>IF(NOT(ISNUMBER(Dashboard_LoanBook!T32)),"",IF(Dashboard_LoanBook!T32&gt;=_config!$C$47,"ALERT",IF(Dashboard_LoanBook!T32&gt;=_config!$B$47,"WATCH","OK")))</f>
        <v/>
      </c>
      <c r="AP29" s="28">
        <f>IF(NOT(ISNUMBER(Dashboard_LoanBook!U32)),"",IF(Dashboard_LoanBook!U32&gt;=_config!$C$48,"ALERT",IF(Dashboard_LoanBook!U32&gt;=_config!$B$48,"WATCH","OK")))</f>
        <v/>
      </c>
      <c r="AQ29" s="28">
        <f>IF(NOT(ISNUMBER(Dashboard_LoanBook!V32)),"",IF(Dashboard_LoanBook!V32&gt;=_config!$C$49,"ALERT",IF(Dashboard_LoanBook!V32&gt;=_config!$B$49,"WATCH","OK")))</f>
        <v/>
      </c>
      <c r="AR29" s="28">
        <f>IF(NOT(ISNUMBER(Dashboard_LoanBook!D76)),"",IF(Dashboard_LoanBook!D76&gt;=_config!$C$50,"ALERT",IF(Dashboard_LoanBook!D76&gt;=_config!$B$50,"WATCH","OK")))</f>
        <v/>
      </c>
      <c r="AS29" s="28">
        <f>IF(NOT(ISNUMBER(Dashboard_LoanBook!E76)),"",IF(Dashboard_LoanBook!E76&gt;=_config!$C$51,"ALERT",IF(Dashboard_LoanBook!E76&gt;=_config!$B$51,"WATCH","OK")))</f>
        <v/>
      </c>
      <c r="AT29" s="28">
        <f>IF(NOT(ISNUMBER(Dashboard_LoanBook!F76)),"",IF(Dashboard_LoanBook!F76&gt;=_config!$C$52,"ALERT",IF(Dashboard_LoanBook!F76&gt;=_config!$B$52,"WATCH","OK")))</f>
        <v/>
      </c>
      <c r="AU29" s="28">
        <f>IF(NOT(ISNUMBER(Dashboard_LoanBook!G76)),"",IF(Dashboard_LoanBook!G76&gt;=_config!$C$53,"ALERT",IF(Dashboard_LoanBook!G76&gt;=_config!$B$53,"WATCH","OK")))</f>
        <v/>
      </c>
      <c r="AV29" s="28">
        <f>IF(NOT(ISNUMBER(Dashboard_LoanBook!H76)),"",IF(Dashboard_LoanBook!H76&gt;=_config!$C$54,"ALERT",IF(Dashboard_LoanBook!H76&gt;=_config!$B$54,"WATCH","OK")))</f>
        <v/>
      </c>
      <c r="AW29" s="28">
        <f>IF(NOT(ISNUMBER(Dashboard_LoanBook!I76)),"",IF(Dashboard_LoanBook!I76&gt;=_config!$C$55,"ALERT",IF(Dashboard_LoanBook!I76&gt;=_config!$B$55,"WATCH","OK")))</f>
        <v/>
      </c>
      <c r="AX29" s="28">
        <f>IF(NOT(ISNUMBER(Dashboard_LoanBook!J76)),"",IF(Dashboard_LoanBook!J76&gt;=_config!$C$56,"ALERT",IF(Dashboard_LoanBook!J76&gt;=_config!$B$56,"WATCH","OK")))</f>
        <v/>
      </c>
      <c r="AY29" s="28">
        <f>IF(NOT(ISNUMBER(Dashboard_LoanBook!K76)),"",IF(Dashboard_LoanBook!K76&gt;=_config!$C$57,"ALERT",IF(Dashboard_LoanBook!K76&gt;=_config!$B$57,"WATCH","OK")))</f>
        <v/>
      </c>
      <c r="AZ29" s="28">
        <f>IF(NOT(ISNUMBER(Dashboard_LoanBook!L76)),"",IF(Dashboard_LoanBook!L76&gt;=_config!$C$58,"ALERT",IF(Dashboard_LoanBook!L76&gt;=_config!$B$58,"WATCH","OK")))</f>
        <v/>
      </c>
      <c r="BA29" s="28">
        <f>IF(NOT(ISNUMBER(Dashboard_LoanBook!M76)),"",IF(Dashboard_LoanBook!M76&gt;=_config!$C$59,"ALERT",IF(Dashboard_LoanBook!M76&gt;=_config!$B$59,"WATCH","OK")))</f>
        <v/>
      </c>
      <c r="BB29" s="28">
        <f>IF(NOT(ISNUMBER(Dashboard_LoanBook!N76)),"",IF(Dashboard_LoanBook!N76&gt;=_config!$C$60,"ALERT",IF(Dashboard_LoanBook!N76&gt;=_config!$B$60,"WATCH","OK")))</f>
        <v/>
      </c>
      <c r="BC29" s="28">
        <f>IF(NOT(ISNUMBER(Dashboard_LoanBook!O76)),"",IF(Dashboard_LoanBook!O76&gt;=_config!$C$61,"ALERT",IF(Dashboard_LoanBook!O76&gt;=_config!$B$61,"WATCH","OK")))</f>
        <v/>
      </c>
      <c r="BD29" s="28">
        <f>IF(NOT(ISNUMBER(Dashboard_LoanBook!P76)),"",IF(Dashboard_LoanBook!P76&gt;=_config!$C$62,"ALERT",IF(Dashboard_LoanBook!P76&gt;=_config!$B$62,"WATCH","OK")))</f>
        <v/>
      </c>
      <c r="BE29" s="28">
        <f>IF(NOT(ISNUMBER(Dashboard_LoanBook!Q76)),"",IF(Dashboard_LoanBook!Q76&gt;=_config!$C$63,"ALERT",IF(Dashboard_LoanBook!Q76&gt;=_config!$B$63,"WATCH","OK")))</f>
        <v/>
      </c>
      <c r="BF29" s="28">
        <f>IF(NOT(ISNUMBER(Dashboard_LoanBook!R76)),"",IF(Dashboard_LoanBook!R76&gt;=_config!$C$64,"ALERT",IF(Dashboard_LoanBook!R76&gt;=_config!$B$64,"WATCH","OK")))</f>
        <v/>
      </c>
      <c r="BG29" s="28">
        <f>IF(NOT(ISNUMBER(Dashboard_LoanBook!S76)),"",IF(Dashboard_LoanBook!S76&gt;=_config!$C$65,"ALERT",IF(Dashboard_LoanBook!S76&gt;=_config!$B$65,"WATCH","OK")))</f>
        <v/>
      </c>
      <c r="BH29" s="28">
        <f>IF(NOT(ISNUMBER(Dashboard_Funding_Concentration!G32)),"",IF(Dashboard_Funding_Concentration!G32&gt;=_config!$C$66,"ALERT",IF(Dashboard_Funding_Concentration!G32&gt;=_config!$B$66,"WATCH","OK")))</f>
        <v/>
      </c>
      <c r="BI29" s="28">
        <f>IF(NOT(ISNUMBER(Dashboard_Funding_Concentration!H32)),"",IF(Dashboard_Funding_Concentration!H32&gt;=_config!$C$67,"ALERT",IF(Dashboard_Funding_Concentration!H32&gt;=_config!$B$67,"WATCH","OK")))</f>
        <v/>
      </c>
      <c r="BJ29" s="28">
        <f>IF(NOT(ISNUMBER(Dashboard_Funding_Concentration!I32)),"",IF(Dashboard_Funding_Concentration!I32&gt;=_config!$C$68,"ALERT",IF(Dashboard_Funding_Concentration!I32&gt;=_config!$B$68,"WATCH","OK")))</f>
        <v/>
      </c>
      <c r="BL29" s="28">
        <f>IF(NOT(ISNUMBER($E29)),"",$E29*10000+IF(ISNUMBER($D29),$D29,0))</f>
        <v/>
      </c>
    </row>
    <row r="30">
      <c r="A30" s="14">
        <f>IF(_config!$C$97="","",_config!$C$97)</f>
        <v/>
      </c>
      <c r="B30" s="25">
        <f>IF(_config!$B$97="","",_config!$B$97)</f>
        <v/>
      </c>
      <c r="C30" s="16">
        <f>IF(_config!$D$97="","",_config!$D$97)</f>
        <v/>
      </c>
      <c r="D30" s="26">
        <f>IF(Dashboard_AssetQuality!I33="","",Dashboard_AssetQuality!I33)</f>
        <v/>
      </c>
      <c r="E30" s="27">
        <f>IF($A30="","",COUNTIF($J30:$BJ30,"ALERT"))</f>
        <v/>
      </c>
      <c r="F30" s="27">
        <f>IF($A30="","",COUNTIF($J30:$BJ30,"WATCH"))</f>
        <v/>
      </c>
      <c r="G30" s="27">
        <f>IF($BL30="","",RANK($BL30,$BL$5:$BL$44))</f>
        <v/>
      </c>
      <c r="H30" s="27">
        <f>IF(_config!$C$97="","",IF(NOT(ISNUMBER(_config!$B$97)),"REFUSED: blank/invalid CERT -- run --lookup",IF(UPPER(_config!$E$97&amp;"")&lt;&gt;"TRUE","OFF",IF($E30&gt;0,"ALERT",IF($F30&gt;0,"WATCH","OK")))))</f>
        <v/>
      </c>
      <c r="J30" s="28">
        <f>IF(NOT(ISNUMBER(Dashboard_AssetQuality!D33)),"",IF(Dashboard_AssetQuality!D33&gt;=_config!$C$16,"ALERT",IF(Dashboard_AssetQuality!D33&gt;=_config!$B$16,"WATCH","OK")))</f>
        <v/>
      </c>
      <c r="K30" s="28">
        <f>IF(NOT(ISNUMBER(Dashboard_AssetQuality!E33)),"",IF(Dashboard_AssetQuality!E33&gt;=_config!$C$17,"ALERT",IF(Dashboard_AssetQuality!E33&gt;=_config!$B$17,"WATCH","OK")))</f>
        <v/>
      </c>
      <c r="L30" s="28">
        <f>IF(NOT(ISNUMBER(Dashboard_AssetQuality!F33)),"",IF(Dashboard_AssetQuality!F33&gt;=_config!$C$18,"ALERT",IF(Dashboard_AssetQuality!F33&gt;=_config!$B$18,"WATCH","OK")))</f>
        <v/>
      </c>
      <c r="M30" s="28">
        <f>IF(NOT(ISNUMBER(Dashboard_AssetQuality!G33)),"",IF(Dashboard_AssetQuality!G33&lt;=_config!$C$19,"ALERT",IF(Dashboard_AssetQuality!G33&lt;=_config!$B$19,"WATCH","OK")))</f>
        <v/>
      </c>
      <c r="N30" s="28">
        <f>IF(NOT(ISNUMBER(Dashboard_AssetQuality!H33)),"",IF(Dashboard_AssetQuality!H33&lt;=_config!$C$20,"ALERT",IF(Dashboard_AssetQuality!H33&lt;=_config!$B$20,"WATCH","OK")))</f>
        <v/>
      </c>
      <c r="O30" s="28">
        <f>IF(NOT(ISNUMBER(Dashboard_AssetQuality!I33)),"",IF(Dashboard_AssetQuality!I33&gt;=_config!$C$21,"ALERT",IF(Dashboard_AssetQuality!I33&gt;=_config!$B$21,"WATCH","OK")))</f>
        <v/>
      </c>
      <c r="P30" s="28">
        <f>IF(NOT(ISNUMBER(Dashboard_Capital_Earnings!D33)),"",IF(Dashboard_Capital_Earnings!D33&lt;=_config!$C$22,"ALERT",IF(Dashboard_Capital_Earnings!D33&lt;=_config!$B$22,"WATCH","OK")))</f>
        <v/>
      </c>
      <c r="Q30" s="28">
        <f>IF(NOT(ISNUMBER(Dashboard_Capital_Earnings!E33)),"",IF(Dashboard_Capital_Earnings!E33&lt;=_config!$C$23,"ALERT",IF(Dashboard_Capital_Earnings!E33&lt;=_config!$B$23,"WATCH","OK")))</f>
        <v/>
      </c>
      <c r="R30" s="28">
        <f>IF(NOT(ISNUMBER(Dashboard_Capital_Earnings!F33)),"",IF(Dashboard_Capital_Earnings!F33&lt;=_config!$C$24,"ALERT",IF(Dashboard_Capital_Earnings!F33&lt;=_config!$B$24,"WATCH","OK")))</f>
        <v/>
      </c>
      <c r="S30" s="28">
        <f>IF(NOT(ISNUMBER(Dashboard_Capital_Earnings!G33)),"",IF(Dashboard_Capital_Earnings!G33&lt;=_config!$C$25,"ALERT",IF(Dashboard_Capital_Earnings!G33&lt;=_config!$B$25,"WATCH","OK")))</f>
        <v/>
      </c>
      <c r="T30" s="28">
        <f>IF(NOT(ISNUMBER(Dashboard_Capital_Earnings!H33)),"",IF(Dashboard_Capital_Earnings!H33&lt;=_config!$C$26,"ALERT",IF(Dashboard_Capital_Earnings!H33&lt;=_config!$B$26,"WATCH","OK")))</f>
        <v/>
      </c>
      <c r="U30" s="28">
        <f>IF(NOT(ISNUMBER(Dashboard_Capital_Earnings!I33)),"",IF(Dashboard_Capital_Earnings!I33&gt;=_config!$C$27,"ALERT",IF(Dashboard_Capital_Earnings!I33&gt;=_config!$B$27,"WATCH","OK")))</f>
        <v/>
      </c>
      <c r="V30" s="28">
        <f>IF(NOT(ISNUMBER(Dashboard_Funding_Concentration!D33)),"",IF(Dashboard_Funding_Concentration!D33&gt;=_config!$C$28,"ALERT",IF(Dashboard_Funding_Concentration!D33&gt;=_config!$B$28,"WATCH","OK")))</f>
        <v/>
      </c>
      <c r="W30" s="28">
        <f>IF(NOT(ISNUMBER(Dashboard_Funding_Concentration!E33)),"",IF(Dashboard_Funding_Concentration!E33&gt;=_config!$C$29,"ALERT",IF(Dashboard_Funding_Concentration!E33&gt;=_config!$B$29,"WATCH","OK")))</f>
        <v/>
      </c>
      <c r="X30" s="28">
        <f>IF(NOT(ISNUMBER(Dashboard_Funding_Concentration!F33)),"",IF(Dashboard_Funding_Concentration!F33&gt;=_config!$C$30,"ALERT",IF(Dashboard_Funding_Concentration!F33&gt;=_config!$B$30,"WATCH","OK")))</f>
        <v/>
      </c>
      <c r="Y30" s="28">
        <f>IF(NOT(ISNUMBER(Dashboard_LoanBook!D33)),"",IF(Dashboard_LoanBook!D33&gt;=_config!$C$31,"ALERT",IF(Dashboard_LoanBook!D33&gt;=_config!$B$31,"WATCH","OK")))</f>
        <v/>
      </c>
      <c r="Z30" s="28">
        <f>IF(NOT(ISNUMBER(Dashboard_LoanBook!E33)),"",IF(Dashboard_LoanBook!E33&gt;=_config!$C$32,"ALERT",IF(Dashboard_LoanBook!E33&gt;=_config!$B$32,"WATCH","OK")))</f>
        <v/>
      </c>
      <c r="AA30" s="28">
        <f>IF(NOT(ISNUMBER(Dashboard_LoanBook!F33)),"",IF(Dashboard_LoanBook!F33&gt;=_config!$C$33,"ALERT",IF(Dashboard_LoanBook!F33&gt;=_config!$B$33,"WATCH","OK")))</f>
        <v/>
      </c>
      <c r="AB30" s="28">
        <f>IF(NOT(ISNUMBER(Dashboard_LoanBook!G33)),"",IF(Dashboard_LoanBook!G33&gt;=_config!$C$34,"ALERT",IF(Dashboard_LoanBook!G33&gt;=_config!$B$34,"WATCH","OK")))</f>
        <v/>
      </c>
      <c r="AC30" s="28">
        <f>IF(NOT(ISNUMBER(Dashboard_LoanBook!H33)),"",IF(Dashboard_LoanBook!H33&gt;=_config!$C$35,"ALERT",IF(Dashboard_LoanBook!H33&gt;=_config!$B$35,"WATCH","OK")))</f>
        <v/>
      </c>
      <c r="AD30" s="28">
        <f>IF(NOT(ISNUMBER(Dashboard_LoanBook!I33)),"",IF(Dashboard_LoanBook!I33&gt;=_config!$C$36,"ALERT",IF(Dashboard_LoanBook!I33&gt;=_config!$B$36,"WATCH","OK")))</f>
        <v/>
      </c>
      <c r="AE30" s="28">
        <f>IF(NOT(ISNUMBER(Dashboard_LoanBook!J33)),"",IF(Dashboard_LoanBook!J33&gt;=_config!$C$37,"ALERT",IF(Dashboard_LoanBook!J33&gt;=_config!$B$37,"WATCH","OK")))</f>
        <v/>
      </c>
      <c r="AF30" s="28">
        <f>IF(NOT(ISNUMBER(Dashboard_LoanBook!K33)),"",IF(Dashboard_LoanBook!K33&gt;=_config!$C$38,"ALERT",IF(Dashboard_LoanBook!K33&gt;=_config!$B$38,"WATCH","OK")))</f>
        <v/>
      </c>
      <c r="AG30" s="28">
        <f>IF(NOT(ISNUMBER(Dashboard_LoanBook!L33)),"",IF(Dashboard_LoanBook!L33&gt;=_config!$C$39,"ALERT",IF(Dashboard_LoanBook!L33&gt;=_config!$B$39,"WATCH","OK")))</f>
        <v/>
      </c>
      <c r="AH30" s="28">
        <f>IF(NOT(ISNUMBER(Dashboard_LoanBook!M33)),"",IF(Dashboard_LoanBook!M33&gt;=_config!$C$40,"ALERT",IF(Dashboard_LoanBook!M33&gt;=_config!$B$40,"WATCH","OK")))</f>
        <v/>
      </c>
      <c r="AI30" s="28">
        <f>IF(NOT(ISNUMBER(Dashboard_LoanBook!N33)),"",IF(Dashboard_LoanBook!N33&gt;=_config!$C$41,"ALERT",IF(Dashboard_LoanBook!N33&gt;=_config!$B$41,"WATCH","OK")))</f>
        <v/>
      </c>
      <c r="AJ30" s="28">
        <f>IF(NOT(ISNUMBER(Dashboard_LoanBook!O33)),"",IF(Dashboard_LoanBook!O33&gt;=_config!$C$42,"ALERT",IF(Dashboard_LoanBook!O33&gt;=_config!$B$42,"WATCH","OK")))</f>
        <v/>
      </c>
      <c r="AK30" s="28">
        <f>IF(NOT(ISNUMBER(Dashboard_LoanBook!P33)),"",IF(Dashboard_LoanBook!P33&gt;=_config!$C$43,"ALERT",IF(Dashboard_LoanBook!P33&gt;=_config!$B$43,"WATCH","OK")))</f>
        <v/>
      </c>
      <c r="AL30" s="28">
        <f>IF(NOT(ISNUMBER(Dashboard_LoanBook!Q33)),"",IF(Dashboard_LoanBook!Q33&gt;=_config!$C$44,"ALERT",IF(Dashboard_LoanBook!Q33&gt;=_config!$B$44,"WATCH","OK")))</f>
        <v/>
      </c>
      <c r="AM30" s="28">
        <f>IF(NOT(ISNUMBER(Dashboard_LoanBook!R33)),"",IF(Dashboard_LoanBook!R33&gt;=_config!$C$45,"ALERT",IF(Dashboard_LoanBook!R33&gt;=_config!$B$45,"WATCH","OK")))</f>
        <v/>
      </c>
      <c r="AN30" s="28">
        <f>IF(NOT(ISNUMBER(Dashboard_LoanBook!S33)),"",IF(Dashboard_LoanBook!S33&gt;=_config!$C$46,"ALERT",IF(Dashboard_LoanBook!S33&gt;=_config!$B$46,"WATCH","OK")))</f>
        <v/>
      </c>
      <c r="AO30" s="28">
        <f>IF(NOT(ISNUMBER(Dashboard_LoanBook!T33)),"",IF(Dashboard_LoanBook!T33&gt;=_config!$C$47,"ALERT",IF(Dashboard_LoanBook!T33&gt;=_config!$B$47,"WATCH","OK")))</f>
        <v/>
      </c>
      <c r="AP30" s="28">
        <f>IF(NOT(ISNUMBER(Dashboard_LoanBook!U33)),"",IF(Dashboard_LoanBook!U33&gt;=_config!$C$48,"ALERT",IF(Dashboard_LoanBook!U33&gt;=_config!$B$48,"WATCH","OK")))</f>
        <v/>
      </c>
      <c r="AQ30" s="28">
        <f>IF(NOT(ISNUMBER(Dashboard_LoanBook!V33)),"",IF(Dashboard_LoanBook!V33&gt;=_config!$C$49,"ALERT",IF(Dashboard_LoanBook!V33&gt;=_config!$B$49,"WATCH","OK")))</f>
        <v/>
      </c>
      <c r="AR30" s="28">
        <f>IF(NOT(ISNUMBER(Dashboard_LoanBook!D77)),"",IF(Dashboard_LoanBook!D77&gt;=_config!$C$50,"ALERT",IF(Dashboard_LoanBook!D77&gt;=_config!$B$50,"WATCH","OK")))</f>
        <v/>
      </c>
      <c r="AS30" s="28">
        <f>IF(NOT(ISNUMBER(Dashboard_LoanBook!E77)),"",IF(Dashboard_LoanBook!E77&gt;=_config!$C$51,"ALERT",IF(Dashboard_LoanBook!E77&gt;=_config!$B$51,"WATCH","OK")))</f>
        <v/>
      </c>
      <c r="AT30" s="28">
        <f>IF(NOT(ISNUMBER(Dashboard_LoanBook!F77)),"",IF(Dashboard_LoanBook!F77&gt;=_config!$C$52,"ALERT",IF(Dashboard_LoanBook!F77&gt;=_config!$B$52,"WATCH","OK")))</f>
        <v/>
      </c>
      <c r="AU30" s="28">
        <f>IF(NOT(ISNUMBER(Dashboard_LoanBook!G77)),"",IF(Dashboard_LoanBook!G77&gt;=_config!$C$53,"ALERT",IF(Dashboard_LoanBook!G77&gt;=_config!$B$53,"WATCH","OK")))</f>
        <v/>
      </c>
      <c r="AV30" s="28">
        <f>IF(NOT(ISNUMBER(Dashboard_LoanBook!H77)),"",IF(Dashboard_LoanBook!H77&gt;=_config!$C$54,"ALERT",IF(Dashboard_LoanBook!H77&gt;=_config!$B$54,"WATCH","OK")))</f>
        <v/>
      </c>
      <c r="AW30" s="28">
        <f>IF(NOT(ISNUMBER(Dashboard_LoanBook!I77)),"",IF(Dashboard_LoanBook!I77&gt;=_config!$C$55,"ALERT",IF(Dashboard_LoanBook!I77&gt;=_config!$B$55,"WATCH","OK")))</f>
        <v/>
      </c>
      <c r="AX30" s="28">
        <f>IF(NOT(ISNUMBER(Dashboard_LoanBook!J77)),"",IF(Dashboard_LoanBook!J77&gt;=_config!$C$56,"ALERT",IF(Dashboard_LoanBook!J77&gt;=_config!$B$56,"WATCH","OK")))</f>
        <v/>
      </c>
      <c r="AY30" s="28">
        <f>IF(NOT(ISNUMBER(Dashboard_LoanBook!K77)),"",IF(Dashboard_LoanBook!K77&gt;=_config!$C$57,"ALERT",IF(Dashboard_LoanBook!K77&gt;=_config!$B$57,"WATCH","OK")))</f>
        <v/>
      </c>
      <c r="AZ30" s="28">
        <f>IF(NOT(ISNUMBER(Dashboard_LoanBook!L77)),"",IF(Dashboard_LoanBook!L77&gt;=_config!$C$58,"ALERT",IF(Dashboard_LoanBook!L77&gt;=_config!$B$58,"WATCH","OK")))</f>
        <v/>
      </c>
      <c r="BA30" s="28">
        <f>IF(NOT(ISNUMBER(Dashboard_LoanBook!M77)),"",IF(Dashboard_LoanBook!M77&gt;=_config!$C$59,"ALERT",IF(Dashboard_LoanBook!M77&gt;=_config!$B$59,"WATCH","OK")))</f>
        <v/>
      </c>
      <c r="BB30" s="28">
        <f>IF(NOT(ISNUMBER(Dashboard_LoanBook!N77)),"",IF(Dashboard_LoanBook!N77&gt;=_config!$C$60,"ALERT",IF(Dashboard_LoanBook!N77&gt;=_config!$B$60,"WATCH","OK")))</f>
        <v/>
      </c>
      <c r="BC30" s="28">
        <f>IF(NOT(ISNUMBER(Dashboard_LoanBook!O77)),"",IF(Dashboard_LoanBook!O77&gt;=_config!$C$61,"ALERT",IF(Dashboard_LoanBook!O77&gt;=_config!$B$61,"WATCH","OK")))</f>
        <v/>
      </c>
      <c r="BD30" s="28">
        <f>IF(NOT(ISNUMBER(Dashboard_LoanBook!P77)),"",IF(Dashboard_LoanBook!P77&gt;=_config!$C$62,"ALERT",IF(Dashboard_LoanBook!P77&gt;=_config!$B$62,"WATCH","OK")))</f>
        <v/>
      </c>
      <c r="BE30" s="28">
        <f>IF(NOT(ISNUMBER(Dashboard_LoanBook!Q77)),"",IF(Dashboard_LoanBook!Q77&gt;=_config!$C$63,"ALERT",IF(Dashboard_LoanBook!Q77&gt;=_config!$B$63,"WATCH","OK")))</f>
        <v/>
      </c>
      <c r="BF30" s="28">
        <f>IF(NOT(ISNUMBER(Dashboard_LoanBook!R77)),"",IF(Dashboard_LoanBook!R77&gt;=_config!$C$64,"ALERT",IF(Dashboard_LoanBook!R77&gt;=_config!$B$64,"WATCH","OK")))</f>
        <v/>
      </c>
      <c r="BG30" s="28">
        <f>IF(NOT(ISNUMBER(Dashboard_LoanBook!S77)),"",IF(Dashboard_LoanBook!S77&gt;=_config!$C$65,"ALERT",IF(Dashboard_LoanBook!S77&gt;=_config!$B$65,"WATCH","OK")))</f>
        <v/>
      </c>
      <c r="BH30" s="28">
        <f>IF(NOT(ISNUMBER(Dashboard_Funding_Concentration!G33)),"",IF(Dashboard_Funding_Concentration!G33&gt;=_config!$C$66,"ALERT",IF(Dashboard_Funding_Concentration!G33&gt;=_config!$B$66,"WATCH","OK")))</f>
        <v/>
      </c>
      <c r="BI30" s="28">
        <f>IF(NOT(ISNUMBER(Dashboard_Funding_Concentration!H33)),"",IF(Dashboard_Funding_Concentration!H33&gt;=_config!$C$67,"ALERT",IF(Dashboard_Funding_Concentration!H33&gt;=_config!$B$67,"WATCH","OK")))</f>
        <v/>
      </c>
      <c r="BJ30" s="28">
        <f>IF(NOT(ISNUMBER(Dashboard_Funding_Concentration!I33)),"",IF(Dashboard_Funding_Concentration!I33&gt;=_config!$C$68,"ALERT",IF(Dashboard_Funding_Concentration!I33&gt;=_config!$B$68,"WATCH","OK")))</f>
        <v/>
      </c>
      <c r="BL30" s="28">
        <f>IF(NOT(ISNUMBER($E30)),"",$E30*10000+IF(ISNUMBER($D30),$D30,0))</f>
        <v/>
      </c>
    </row>
    <row r="31">
      <c r="A31" s="14">
        <f>IF(_config!$C$98="","",_config!$C$98)</f>
        <v/>
      </c>
      <c r="B31" s="25">
        <f>IF(_config!$B$98="","",_config!$B$98)</f>
        <v/>
      </c>
      <c r="C31" s="16">
        <f>IF(_config!$D$98="","",_config!$D$98)</f>
        <v/>
      </c>
      <c r="D31" s="26">
        <f>IF(Dashboard_AssetQuality!I34="","",Dashboard_AssetQuality!I34)</f>
        <v/>
      </c>
      <c r="E31" s="27">
        <f>IF($A31="","",COUNTIF($J31:$BJ31,"ALERT"))</f>
        <v/>
      </c>
      <c r="F31" s="27">
        <f>IF($A31="","",COUNTIF($J31:$BJ31,"WATCH"))</f>
        <v/>
      </c>
      <c r="G31" s="27">
        <f>IF($BL31="","",RANK($BL31,$BL$5:$BL$44))</f>
        <v/>
      </c>
      <c r="H31" s="27">
        <f>IF(_config!$C$98="","",IF(NOT(ISNUMBER(_config!$B$98)),"REFUSED: blank/invalid CERT -- run --lookup",IF(UPPER(_config!$E$98&amp;"")&lt;&gt;"TRUE","OFF",IF($E31&gt;0,"ALERT",IF($F31&gt;0,"WATCH","OK")))))</f>
        <v/>
      </c>
      <c r="J31" s="28">
        <f>IF(NOT(ISNUMBER(Dashboard_AssetQuality!D34)),"",IF(Dashboard_AssetQuality!D34&gt;=_config!$C$16,"ALERT",IF(Dashboard_AssetQuality!D34&gt;=_config!$B$16,"WATCH","OK")))</f>
        <v/>
      </c>
      <c r="K31" s="28">
        <f>IF(NOT(ISNUMBER(Dashboard_AssetQuality!E34)),"",IF(Dashboard_AssetQuality!E34&gt;=_config!$C$17,"ALERT",IF(Dashboard_AssetQuality!E34&gt;=_config!$B$17,"WATCH","OK")))</f>
        <v/>
      </c>
      <c r="L31" s="28">
        <f>IF(NOT(ISNUMBER(Dashboard_AssetQuality!F34)),"",IF(Dashboard_AssetQuality!F34&gt;=_config!$C$18,"ALERT",IF(Dashboard_AssetQuality!F34&gt;=_config!$B$18,"WATCH","OK")))</f>
        <v/>
      </c>
      <c r="M31" s="28">
        <f>IF(NOT(ISNUMBER(Dashboard_AssetQuality!G34)),"",IF(Dashboard_AssetQuality!G34&lt;=_config!$C$19,"ALERT",IF(Dashboard_AssetQuality!G34&lt;=_config!$B$19,"WATCH","OK")))</f>
        <v/>
      </c>
      <c r="N31" s="28">
        <f>IF(NOT(ISNUMBER(Dashboard_AssetQuality!H34)),"",IF(Dashboard_AssetQuality!H34&lt;=_config!$C$20,"ALERT",IF(Dashboard_AssetQuality!H34&lt;=_config!$B$20,"WATCH","OK")))</f>
        <v/>
      </c>
      <c r="O31" s="28">
        <f>IF(NOT(ISNUMBER(Dashboard_AssetQuality!I34)),"",IF(Dashboard_AssetQuality!I34&gt;=_config!$C$21,"ALERT",IF(Dashboard_AssetQuality!I34&gt;=_config!$B$21,"WATCH","OK")))</f>
        <v/>
      </c>
      <c r="P31" s="28">
        <f>IF(NOT(ISNUMBER(Dashboard_Capital_Earnings!D34)),"",IF(Dashboard_Capital_Earnings!D34&lt;=_config!$C$22,"ALERT",IF(Dashboard_Capital_Earnings!D34&lt;=_config!$B$22,"WATCH","OK")))</f>
        <v/>
      </c>
      <c r="Q31" s="28">
        <f>IF(NOT(ISNUMBER(Dashboard_Capital_Earnings!E34)),"",IF(Dashboard_Capital_Earnings!E34&lt;=_config!$C$23,"ALERT",IF(Dashboard_Capital_Earnings!E34&lt;=_config!$B$23,"WATCH","OK")))</f>
        <v/>
      </c>
      <c r="R31" s="28">
        <f>IF(NOT(ISNUMBER(Dashboard_Capital_Earnings!F34)),"",IF(Dashboard_Capital_Earnings!F34&lt;=_config!$C$24,"ALERT",IF(Dashboard_Capital_Earnings!F34&lt;=_config!$B$24,"WATCH","OK")))</f>
        <v/>
      </c>
      <c r="S31" s="28">
        <f>IF(NOT(ISNUMBER(Dashboard_Capital_Earnings!G34)),"",IF(Dashboard_Capital_Earnings!G34&lt;=_config!$C$25,"ALERT",IF(Dashboard_Capital_Earnings!G34&lt;=_config!$B$25,"WATCH","OK")))</f>
        <v/>
      </c>
      <c r="T31" s="28">
        <f>IF(NOT(ISNUMBER(Dashboard_Capital_Earnings!H34)),"",IF(Dashboard_Capital_Earnings!H34&lt;=_config!$C$26,"ALERT",IF(Dashboard_Capital_Earnings!H34&lt;=_config!$B$26,"WATCH","OK")))</f>
        <v/>
      </c>
      <c r="U31" s="28">
        <f>IF(NOT(ISNUMBER(Dashboard_Capital_Earnings!I34)),"",IF(Dashboard_Capital_Earnings!I34&gt;=_config!$C$27,"ALERT",IF(Dashboard_Capital_Earnings!I34&gt;=_config!$B$27,"WATCH","OK")))</f>
        <v/>
      </c>
      <c r="V31" s="28">
        <f>IF(NOT(ISNUMBER(Dashboard_Funding_Concentration!D34)),"",IF(Dashboard_Funding_Concentration!D34&gt;=_config!$C$28,"ALERT",IF(Dashboard_Funding_Concentration!D34&gt;=_config!$B$28,"WATCH","OK")))</f>
        <v/>
      </c>
      <c r="W31" s="28">
        <f>IF(NOT(ISNUMBER(Dashboard_Funding_Concentration!E34)),"",IF(Dashboard_Funding_Concentration!E34&gt;=_config!$C$29,"ALERT",IF(Dashboard_Funding_Concentration!E34&gt;=_config!$B$29,"WATCH","OK")))</f>
        <v/>
      </c>
      <c r="X31" s="28">
        <f>IF(NOT(ISNUMBER(Dashboard_Funding_Concentration!F34)),"",IF(Dashboard_Funding_Concentration!F34&gt;=_config!$C$30,"ALERT",IF(Dashboard_Funding_Concentration!F34&gt;=_config!$B$30,"WATCH","OK")))</f>
        <v/>
      </c>
      <c r="Y31" s="28">
        <f>IF(NOT(ISNUMBER(Dashboard_LoanBook!D34)),"",IF(Dashboard_LoanBook!D34&gt;=_config!$C$31,"ALERT",IF(Dashboard_LoanBook!D34&gt;=_config!$B$31,"WATCH","OK")))</f>
        <v/>
      </c>
      <c r="Z31" s="28">
        <f>IF(NOT(ISNUMBER(Dashboard_LoanBook!E34)),"",IF(Dashboard_LoanBook!E34&gt;=_config!$C$32,"ALERT",IF(Dashboard_LoanBook!E34&gt;=_config!$B$32,"WATCH","OK")))</f>
        <v/>
      </c>
      <c r="AA31" s="28">
        <f>IF(NOT(ISNUMBER(Dashboard_LoanBook!F34)),"",IF(Dashboard_LoanBook!F34&gt;=_config!$C$33,"ALERT",IF(Dashboard_LoanBook!F34&gt;=_config!$B$33,"WATCH","OK")))</f>
        <v/>
      </c>
      <c r="AB31" s="28">
        <f>IF(NOT(ISNUMBER(Dashboard_LoanBook!G34)),"",IF(Dashboard_LoanBook!G34&gt;=_config!$C$34,"ALERT",IF(Dashboard_LoanBook!G34&gt;=_config!$B$34,"WATCH","OK")))</f>
        <v/>
      </c>
      <c r="AC31" s="28">
        <f>IF(NOT(ISNUMBER(Dashboard_LoanBook!H34)),"",IF(Dashboard_LoanBook!H34&gt;=_config!$C$35,"ALERT",IF(Dashboard_LoanBook!H34&gt;=_config!$B$35,"WATCH","OK")))</f>
        <v/>
      </c>
      <c r="AD31" s="28">
        <f>IF(NOT(ISNUMBER(Dashboard_LoanBook!I34)),"",IF(Dashboard_LoanBook!I34&gt;=_config!$C$36,"ALERT",IF(Dashboard_LoanBook!I34&gt;=_config!$B$36,"WATCH","OK")))</f>
        <v/>
      </c>
      <c r="AE31" s="28">
        <f>IF(NOT(ISNUMBER(Dashboard_LoanBook!J34)),"",IF(Dashboard_LoanBook!J34&gt;=_config!$C$37,"ALERT",IF(Dashboard_LoanBook!J34&gt;=_config!$B$37,"WATCH","OK")))</f>
        <v/>
      </c>
      <c r="AF31" s="28">
        <f>IF(NOT(ISNUMBER(Dashboard_LoanBook!K34)),"",IF(Dashboard_LoanBook!K34&gt;=_config!$C$38,"ALERT",IF(Dashboard_LoanBook!K34&gt;=_config!$B$38,"WATCH","OK")))</f>
        <v/>
      </c>
      <c r="AG31" s="28">
        <f>IF(NOT(ISNUMBER(Dashboard_LoanBook!L34)),"",IF(Dashboard_LoanBook!L34&gt;=_config!$C$39,"ALERT",IF(Dashboard_LoanBook!L34&gt;=_config!$B$39,"WATCH","OK")))</f>
        <v/>
      </c>
      <c r="AH31" s="28">
        <f>IF(NOT(ISNUMBER(Dashboard_LoanBook!M34)),"",IF(Dashboard_LoanBook!M34&gt;=_config!$C$40,"ALERT",IF(Dashboard_LoanBook!M34&gt;=_config!$B$40,"WATCH","OK")))</f>
        <v/>
      </c>
      <c r="AI31" s="28">
        <f>IF(NOT(ISNUMBER(Dashboard_LoanBook!N34)),"",IF(Dashboard_LoanBook!N34&gt;=_config!$C$41,"ALERT",IF(Dashboard_LoanBook!N34&gt;=_config!$B$41,"WATCH","OK")))</f>
        <v/>
      </c>
      <c r="AJ31" s="28">
        <f>IF(NOT(ISNUMBER(Dashboard_LoanBook!O34)),"",IF(Dashboard_LoanBook!O34&gt;=_config!$C$42,"ALERT",IF(Dashboard_LoanBook!O34&gt;=_config!$B$42,"WATCH","OK")))</f>
        <v/>
      </c>
      <c r="AK31" s="28">
        <f>IF(NOT(ISNUMBER(Dashboard_LoanBook!P34)),"",IF(Dashboard_LoanBook!P34&gt;=_config!$C$43,"ALERT",IF(Dashboard_LoanBook!P34&gt;=_config!$B$43,"WATCH","OK")))</f>
        <v/>
      </c>
      <c r="AL31" s="28">
        <f>IF(NOT(ISNUMBER(Dashboard_LoanBook!Q34)),"",IF(Dashboard_LoanBook!Q34&gt;=_config!$C$44,"ALERT",IF(Dashboard_LoanBook!Q34&gt;=_config!$B$44,"WATCH","OK")))</f>
        <v/>
      </c>
      <c r="AM31" s="28">
        <f>IF(NOT(ISNUMBER(Dashboard_LoanBook!R34)),"",IF(Dashboard_LoanBook!R34&gt;=_config!$C$45,"ALERT",IF(Dashboard_LoanBook!R34&gt;=_config!$B$45,"WATCH","OK")))</f>
        <v/>
      </c>
      <c r="AN31" s="28">
        <f>IF(NOT(ISNUMBER(Dashboard_LoanBook!S34)),"",IF(Dashboard_LoanBook!S34&gt;=_config!$C$46,"ALERT",IF(Dashboard_LoanBook!S34&gt;=_config!$B$46,"WATCH","OK")))</f>
        <v/>
      </c>
      <c r="AO31" s="28">
        <f>IF(NOT(ISNUMBER(Dashboard_LoanBook!T34)),"",IF(Dashboard_LoanBook!T34&gt;=_config!$C$47,"ALERT",IF(Dashboard_LoanBook!T34&gt;=_config!$B$47,"WATCH","OK")))</f>
        <v/>
      </c>
      <c r="AP31" s="28">
        <f>IF(NOT(ISNUMBER(Dashboard_LoanBook!U34)),"",IF(Dashboard_LoanBook!U34&gt;=_config!$C$48,"ALERT",IF(Dashboard_LoanBook!U34&gt;=_config!$B$48,"WATCH","OK")))</f>
        <v/>
      </c>
      <c r="AQ31" s="28">
        <f>IF(NOT(ISNUMBER(Dashboard_LoanBook!V34)),"",IF(Dashboard_LoanBook!V34&gt;=_config!$C$49,"ALERT",IF(Dashboard_LoanBook!V34&gt;=_config!$B$49,"WATCH","OK")))</f>
        <v/>
      </c>
      <c r="AR31" s="28">
        <f>IF(NOT(ISNUMBER(Dashboard_LoanBook!D78)),"",IF(Dashboard_LoanBook!D78&gt;=_config!$C$50,"ALERT",IF(Dashboard_LoanBook!D78&gt;=_config!$B$50,"WATCH","OK")))</f>
        <v/>
      </c>
      <c r="AS31" s="28">
        <f>IF(NOT(ISNUMBER(Dashboard_LoanBook!E78)),"",IF(Dashboard_LoanBook!E78&gt;=_config!$C$51,"ALERT",IF(Dashboard_LoanBook!E78&gt;=_config!$B$51,"WATCH","OK")))</f>
        <v/>
      </c>
      <c r="AT31" s="28">
        <f>IF(NOT(ISNUMBER(Dashboard_LoanBook!F78)),"",IF(Dashboard_LoanBook!F78&gt;=_config!$C$52,"ALERT",IF(Dashboard_LoanBook!F78&gt;=_config!$B$52,"WATCH","OK")))</f>
        <v/>
      </c>
      <c r="AU31" s="28">
        <f>IF(NOT(ISNUMBER(Dashboard_LoanBook!G78)),"",IF(Dashboard_LoanBook!G78&gt;=_config!$C$53,"ALERT",IF(Dashboard_LoanBook!G78&gt;=_config!$B$53,"WATCH","OK")))</f>
        <v/>
      </c>
      <c r="AV31" s="28">
        <f>IF(NOT(ISNUMBER(Dashboard_LoanBook!H78)),"",IF(Dashboard_LoanBook!H78&gt;=_config!$C$54,"ALERT",IF(Dashboard_LoanBook!H78&gt;=_config!$B$54,"WATCH","OK")))</f>
        <v/>
      </c>
      <c r="AW31" s="28">
        <f>IF(NOT(ISNUMBER(Dashboard_LoanBook!I78)),"",IF(Dashboard_LoanBook!I78&gt;=_config!$C$55,"ALERT",IF(Dashboard_LoanBook!I78&gt;=_config!$B$55,"WATCH","OK")))</f>
        <v/>
      </c>
      <c r="AX31" s="28">
        <f>IF(NOT(ISNUMBER(Dashboard_LoanBook!J78)),"",IF(Dashboard_LoanBook!J78&gt;=_config!$C$56,"ALERT",IF(Dashboard_LoanBook!J78&gt;=_config!$B$56,"WATCH","OK")))</f>
        <v/>
      </c>
      <c r="AY31" s="28">
        <f>IF(NOT(ISNUMBER(Dashboard_LoanBook!K78)),"",IF(Dashboard_LoanBook!K78&gt;=_config!$C$57,"ALERT",IF(Dashboard_LoanBook!K78&gt;=_config!$B$57,"WATCH","OK")))</f>
        <v/>
      </c>
      <c r="AZ31" s="28">
        <f>IF(NOT(ISNUMBER(Dashboard_LoanBook!L78)),"",IF(Dashboard_LoanBook!L78&gt;=_config!$C$58,"ALERT",IF(Dashboard_LoanBook!L78&gt;=_config!$B$58,"WATCH","OK")))</f>
        <v/>
      </c>
      <c r="BA31" s="28">
        <f>IF(NOT(ISNUMBER(Dashboard_LoanBook!M78)),"",IF(Dashboard_LoanBook!M78&gt;=_config!$C$59,"ALERT",IF(Dashboard_LoanBook!M78&gt;=_config!$B$59,"WATCH","OK")))</f>
        <v/>
      </c>
      <c r="BB31" s="28">
        <f>IF(NOT(ISNUMBER(Dashboard_LoanBook!N78)),"",IF(Dashboard_LoanBook!N78&gt;=_config!$C$60,"ALERT",IF(Dashboard_LoanBook!N78&gt;=_config!$B$60,"WATCH","OK")))</f>
        <v/>
      </c>
      <c r="BC31" s="28">
        <f>IF(NOT(ISNUMBER(Dashboard_LoanBook!O78)),"",IF(Dashboard_LoanBook!O78&gt;=_config!$C$61,"ALERT",IF(Dashboard_LoanBook!O78&gt;=_config!$B$61,"WATCH","OK")))</f>
        <v/>
      </c>
      <c r="BD31" s="28">
        <f>IF(NOT(ISNUMBER(Dashboard_LoanBook!P78)),"",IF(Dashboard_LoanBook!P78&gt;=_config!$C$62,"ALERT",IF(Dashboard_LoanBook!P78&gt;=_config!$B$62,"WATCH","OK")))</f>
        <v/>
      </c>
      <c r="BE31" s="28">
        <f>IF(NOT(ISNUMBER(Dashboard_LoanBook!Q78)),"",IF(Dashboard_LoanBook!Q78&gt;=_config!$C$63,"ALERT",IF(Dashboard_LoanBook!Q78&gt;=_config!$B$63,"WATCH","OK")))</f>
        <v/>
      </c>
      <c r="BF31" s="28">
        <f>IF(NOT(ISNUMBER(Dashboard_LoanBook!R78)),"",IF(Dashboard_LoanBook!R78&gt;=_config!$C$64,"ALERT",IF(Dashboard_LoanBook!R78&gt;=_config!$B$64,"WATCH","OK")))</f>
        <v/>
      </c>
      <c r="BG31" s="28">
        <f>IF(NOT(ISNUMBER(Dashboard_LoanBook!S78)),"",IF(Dashboard_LoanBook!S78&gt;=_config!$C$65,"ALERT",IF(Dashboard_LoanBook!S78&gt;=_config!$B$65,"WATCH","OK")))</f>
        <v/>
      </c>
      <c r="BH31" s="28">
        <f>IF(NOT(ISNUMBER(Dashboard_Funding_Concentration!G34)),"",IF(Dashboard_Funding_Concentration!G34&gt;=_config!$C$66,"ALERT",IF(Dashboard_Funding_Concentration!G34&gt;=_config!$B$66,"WATCH","OK")))</f>
        <v/>
      </c>
      <c r="BI31" s="28">
        <f>IF(NOT(ISNUMBER(Dashboard_Funding_Concentration!H34)),"",IF(Dashboard_Funding_Concentration!H34&gt;=_config!$C$67,"ALERT",IF(Dashboard_Funding_Concentration!H34&gt;=_config!$B$67,"WATCH","OK")))</f>
        <v/>
      </c>
      <c r="BJ31" s="28">
        <f>IF(NOT(ISNUMBER(Dashboard_Funding_Concentration!I34)),"",IF(Dashboard_Funding_Concentration!I34&gt;=_config!$C$68,"ALERT",IF(Dashboard_Funding_Concentration!I34&gt;=_config!$B$68,"WATCH","OK")))</f>
        <v/>
      </c>
      <c r="BL31" s="28">
        <f>IF(NOT(ISNUMBER($E31)),"",$E31*10000+IF(ISNUMBER($D31),$D31,0))</f>
        <v/>
      </c>
    </row>
    <row r="32">
      <c r="A32" s="14">
        <f>IF(_config!$C$99="","",_config!$C$99)</f>
        <v/>
      </c>
      <c r="B32" s="25">
        <f>IF(_config!$B$99="","",_config!$B$99)</f>
        <v/>
      </c>
      <c r="C32" s="16">
        <f>IF(_config!$D$99="","",_config!$D$99)</f>
        <v/>
      </c>
      <c r="D32" s="26">
        <f>IF(Dashboard_AssetQuality!I35="","",Dashboard_AssetQuality!I35)</f>
        <v/>
      </c>
      <c r="E32" s="27">
        <f>IF($A32="","",COUNTIF($J32:$BJ32,"ALERT"))</f>
        <v/>
      </c>
      <c r="F32" s="27">
        <f>IF($A32="","",COUNTIF($J32:$BJ32,"WATCH"))</f>
        <v/>
      </c>
      <c r="G32" s="27">
        <f>IF($BL32="","",RANK($BL32,$BL$5:$BL$44))</f>
        <v/>
      </c>
      <c r="H32" s="27">
        <f>IF(_config!$C$99="","",IF(NOT(ISNUMBER(_config!$B$99)),"REFUSED: blank/invalid CERT -- run --lookup",IF(UPPER(_config!$E$99&amp;"")&lt;&gt;"TRUE","OFF",IF($E32&gt;0,"ALERT",IF($F32&gt;0,"WATCH","OK")))))</f>
        <v/>
      </c>
      <c r="J32" s="28">
        <f>IF(NOT(ISNUMBER(Dashboard_AssetQuality!D35)),"",IF(Dashboard_AssetQuality!D35&gt;=_config!$C$16,"ALERT",IF(Dashboard_AssetQuality!D35&gt;=_config!$B$16,"WATCH","OK")))</f>
        <v/>
      </c>
      <c r="K32" s="28">
        <f>IF(NOT(ISNUMBER(Dashboard_AssetQuality!E35)),"",IF(Dashboard_AssetQuality!E35&gt;=_config!$C$17,"ALERT",IF(Dashboard_AssetQuality!E35&gt;=_config!$B$17,"WATCH","OK")))</f>
        <v/>
      </c>
      <c r="L32" s="28">
        <f>IF(NOT(ISNUMBER(Dashboard_AssetQuality!F35)),"",IF(Dashboard_AssetQuality!F35&gt;=_config!$C$18,"ALERT",IF(Dashboard_AssetQuality!F35&gt;=_config!$B$18,"WATCH","OK")))</f>
        <v/>
      </c>
      <c r="M32" s="28">
        <f>IF(NOT(ISNUMBER(Dashboard_AssetQuality!G35)),"",IF(Dashboard_AssetQuality!G35&lt;=_config!$C$19,"ALERT",IF(Dashboard_AssetQuality!G35&lt;=_config!$B$19,"WATCH","OK")))</f>
        <v/>
      </c>
      <c r="N32" s="28">
        <f>IF(NOT(ISNUMBER(Dashboard_AssetQuality!H35)),"",IF(Dashboard_AssetQuality!H35&lt;=_config!$C$20,"ALERT",IF(Dashboard_AssetQuality!H35&lt;=_config!$B$20,"WATCH","OK")))</f>
        <v/>
      </c>
      <c r="O32" s="28">
        <f>IF(NOT(ISNUMBER(Dashboard_AssetQuality!I35)),"",IF(Dashboard_AssetQuality!I35&gt;=_config!$C$21,"ALERT",IF(Dashboard_AssetQuality!I35&gt;=_config!$B$21,"WATCH","OK")))</f>
        <v/>
      </c>
      <c r="P32" s="28">
        <f>IF(NOT(ISNUMBER(Dashboard_Capital_Earnings!D35)),"",IF(Dashboard_Capital_Earnings!D35&lt;=_config!$C$22,"ALERT",IF(Dashboard_Capital_Earnings!D35&lt;=_config!$B$22,"WATCH","OK")))</f>
        <v/>
      </c>
      <c r="Q32" s="28">
        <f>IF(NOT(ISNUMBER(Dashboard_Capital_Earnings!E35)),"",IF(Dashboard_Capital_Earnings!E35&lt;=_config!$C$23,"ALERT",IF(Dashboard_Capital_Earnings!E35&lt;=_config!$B$23,"WATCH","OK")))</f>
        <v/>
      </c>
      <c r="R32" s="28">
        <f>IF(NOT(ISNUMBER(Dashboard_Capital_Earnings!F35)),"",IF(Dashboard_Capital_Earnings!F35&lt;=_config!$C$24,"ALERT",IF(Dashboard_Capital_Earnings!F35&lt;=_config!$B$24,"WATCH","OK")))</f>
        <v/>
      </c>
      <c r="S32" s="28">
        <f>IF(NOT(ISNUMBER(Dashboard_Capital_Earnings!G35)),"",IF(Dashboard_Capital_Earnings!G35&lt;=_config!$C$25,"ALERT",IF(Dashboard_Capital_Earnings!G35&lt;=_config!$B$25,"WATCH","OK")))</f>
        <v/>
      </c>
      <c r="T32" s="28">
        <f>IF(NOT(ISNUMBER(Dashboard_Capital_Earnings!H35)),"",IF(Dashboard_Capital_Earnings!H35&lt;=_config!$C$26,"ALERT",IF(Dashboard_Capital_Earnings!H35&lt;=_config!$B$26,"WATCH","OK")))</f>
        <v/>
      </c>
      <c r="U32" s="28">
        <f>IF(NOT(ISNUMBER(Dashboard_Capital_Earnings!I35)),"",IF(Dashboard_Capital_Earnings!I35&gt;=_config!$C$27,"ALERT",IF(Dashboard_Capital_Earnings!I35&gt;=_config!$B$27,"WATCH","OK")))</f>
        <v/>
      </c>
      <c r="V32" s="28">
        <f>IF(NOT(ISNUMBER(Dashboard_Funding_Concentration!D35)),"",IF(Dashboard_Funding_Concentration!D35&gt;=_config!$C$28,"ALERT",IF(Dashboard_Funding_Concentration!D35&gt;=_config!$B$28,"WATCH","OK")))</f>
        <v/>
      </c>
      <c r="W32" s="28">
        <f>IF(NOT(ISNUMBER(Dashboard_Funding_Concentration!E35)),"",IF(Dashboard_Funding_Concentration!E35&gt;=_config!$C$29,"ALERT",IF(Dashboard_Funding_Concentration!E35&gt;=_config!$B$29,"WATCH","OK")))</f>
        <v/>
      </c>
      <c r="X32" s="28">
        <f>IF(NOT(ISNUMBER(Dashboard_Funding_Concentration!F35)),"",IF(Dashboard_Funding_Concentration!F35&gt;=_config!$C$30,"ALERT",IF(Dashboard_Funding_Concentration!F35&gt;=_config!$B$30,"WATCH","OK")))</f>
        <v/>
      </c>
      <c r="Y32" s="28">
        <f>IF(NOT(ISNUMBER(Dashboard_LoanBook!D35)),"",IF(Dashboard_LoanBook!D35&gt;=_config!$C$31,"ALERT",IF(Dashboard_LoanBook!D35&gt;=_config!$B$31,"WATCH","OK")))</f>
        <v/>
      </c>
      <c r="Z32" s="28">
        <f>IF(NOT(ISNUMBER(Dashboard_LoanBook!E35)),"",IF(Dashboard_LoanBook!E35&gt;=_config!$C$32,"ALERT",IF(Dashboard_LoanBook!E35&gt;=_config!$B$32,"WATCH","OK")))</f>
        <v/>
      </c>
      <c r="AA32" s="28">
        <f>IF(NOT(ISNUMBER(Dashboard_LoanBook!F35)),"",IF(Dashboard_LoanBook!F35&gt;=_config!$C$33,"ALERT",IF(Dashboard_LoanBook!F35&gt;=_config!$B$33,"WATCH","OK")))</f>
        <v/>
      </c>
      <c r="AB32" s="28">
        <f>IF(NOT(ISNUMBER(Dashboard_LoanBook!G35)),"",IF(Dashboard_LoanBook!G35&gt;=_config!$C$34,"ALERT",IF(Dashboard_LoanBook!G35&gt;=_config!$B$34,"WATCH","OK")))</f>
        <v/>
      </c>
      <c r="AC32" s="28">
        <f>IF(NOT(ISNUMBER(Dashboard_LoanBook!H35)),"",IF(Dashboard_LoanBook!H35&gt;=_config!$C$35,"ALERT",IF(Dashboard_LoanBook!H35&gt;=_config!$B$35,"WATCH","OK")))</f>
        <v/>
      </c>
      <c r="AD32" s="28">
        <f>IF(NOT(ISNUMBER(Dashboard_LoanBook!I35)),"",IF(Dashboard_LoanBook!I35&gt;=_config!$C$36,"ALERT",IF(Dashboard_LoanBook!I35&gt;=_config!$B$36,"WATCH","OK")))</f>
        <v/>
      </c>
      <c r="AE32" s="28">
        <f>IF(NOT(ISNUMBER(Dashboard_LoanBook!J35)),"",IF(Dashboard_LoanBook!J35&gt;=_config!$C$37,"ALERT",IF(Dashboard_LoanBook!J35&gt;=_config!$B$37,"WATCH","OK")))</f>
        <v/>
      </c>
      <c r="AF32" s="28">
        <f>IF(NOT(ISNUMBER(Dashboard_LoanBook!K35)),"",IF(Dashboard_LoanBook!K35&gt;=_config!$C$38,"ALERT",IF(Dashboard_LoanBook!K35&gt;=_config!$B$38,"WATCH","OK")))</f>
        <v/>
      </c>
      <c r="AG32" s="28">
        <f>IF(NOT(ISNUMBER(Dashboard_LoanBook!L35)),"",IF(Dashboard_LoanBook!L35&gt;=_config!$C$39,"ALERT",IF(Dashboard_LoanBook!L35&gt;=_config!$B$39,"WATCH","OK")))</f>
        <v/>
      </c>
      <c r="AH32" s="28">
        <f>IF(NOT(ISNUMBER(Dashboard_LoanBook!M35)),"",IF(Dashboard_LoanBook!M35&gt;=_config!$C$40,"ALERT",IF(Dashboard_LoanBook!M35&gt;=_config!$B$40,"WATCH","OK")))</f>
        <v/>
      </c>
      <c r="AI32" s="28">
        <f>IF(NOT(ISNUMBER(Dashboard_LoanBook!N35)),"",IF(Dashboard_LoanBook!N35&gt;=_config!$C$41,"ALERT",IF(Dashboard_LoanBook!N35&gt;=_config!$B$41,"WATCH","OK")))</f>
        <v/>
      </c>
      <c r="AJ32" s="28">
        <f>IF(NOT(ISNUMBER(Dashboard_LoanBook!O35)),"",IF(Dashboard_LoanBook!O35&gt;=_config!$C$42,"ALERT",IF(Dashboard_LoanBook!O35&gt;=_config!$B$42,"WATCH","OK")))</f>
        <v/>
      </c>
      <c r="AK32" s="28">
        <f>IF(NOT(ISNUMBER(Dashboard_LoanBook!P35)),"",IF(Dashboard_LoanBook!P35&gt;=_config!$C$43,"ALERT",IF(Dashboard_LoanBook!P35&gt;=_config!$B$43,"WATCH","OK")))</f>
        <v/>
      </c>
      <c r="AL32" s="28">
        <f>IF(NOT(ISNUMBER(Dashboard_LoanBook!Q35)),"",IF(Dashboard_LoanBook!Q35&gt;=_config!$C$44,"ALERT",IF(Dashboard_LoanBook!Q35&gt;=_config!$B$44,"WATCH","OK")))</f>
        <v/>
      </c>
      <c r="AM32" s="28">
        <f>IF(NOT(ISNUMBER(Dashboard_LoanBook!R35)),"",IF(Dashboard_LoanBook!R35&gt;=_config!$C$45,"ALERT",IF(Dashboard_LoanBook!R35&gt;=_config!$B$45,"WATCH","OK")))</f>
        <v/>
      </c>
      <c r="AN32" s="28">
        <f>IF(NOT(ISNUMBER(Dashboard_LoanBook!S35)),"",IF(Dashboard_LoanBook!S35&gt;=_config!$C$46,"ALERT",IF(Dashboard_LoanBook!S35&gt;=_config!$B$46,"WATCH","OK")))</f>
        <v/>
      </c>
      <c r="AO32" s="28">
        <f>IF(NOT(ISNUMBER(Dashboard_LoanBook!T35)),"",IF(Dashboard_LoanBook!T35&gt;=_config!$C$47,"ALERT",IF(Dashboard_LoanBook!T35&gt;=_config!$B$47,"WATCH","OK")))</f>
        <v/>
      </c>
      <c r="AP32" s="28">
        <f>IF(NOT(ISNUMBER(Dashboard_LoanBook!U35)),"",IF(Dashboard_LoanBook!U35&gt;=_config!$C$48,"ALERT",IF(Dashboard_LoanBook!U35&gt;=_config!$B$48,"WATCH","OK")))</f>
        <v/>
      </c>
      <c r="AQ32" s="28">
        <f>IF(NOT(ISNUMBER(Dashboard_LoanBook!V35)),"",IF(Dashboard_LoanBook!V35&gt;=_config!$C$49,"ALERT",IF(Dashboard_LoanBook!V35&gt;=_config!$B$49,"WATCH","OK")))</f>
        <v/>
      </c>
      <c r="AR32" s="28">
        <f>IF(NOT(ISNUMBER(Dashboard_LoanBook!D79)),"",IF(Dashboard_LoanBook!D79&gt;=_config!$C$50,"ALERT",IF(Dashboard_LoanBook!D79&gt;=_config!$B$50,"WATCH","OK")))</f>
        <v/>
      </c>
      <c r="AS32" s="28">
        <f>IF(NOT(ISNUMBER(Dashboard_LoanBook!E79)),"",IF(Dashboard_LoanBook!E79&gt;=_config!$C$51,"ALERT",IF(Dashboard_LoanBook!E79&gt;=_config!$B$51,"WATCH","OK")))</f>
        <v/>
      </c>
      <c r="AT32" s="28">
        <f>IF(NOT(ISNUMBER(Dashboard_LoanBook!F79)),"",IF(Dashboard_LoanBook!F79&gt;=_config!$C$52,"ALERT",IF(Dashboard_LoanBook!F79&gt;=_config!$B$52,"WATCH","OK")))</f>
        <v/>
      </c>
      <c r="AU32" s="28">
        <f>IF(NOT(ISNUMBER(Dashboard_LoanBook!G79)),"",IF(Dashboard_LoanBook!G79&gt;=_config!$C$53,"ALERT",IF(Dashboard_LoanBook!G79&gt;=_config!$B$53,"WATCH","OK")))</f>
        <v/>
      </c>
      <c r="AV32" s="28">
        <f>IF(NOT(ISNUMBER(Dashboard_LoanBook!H79)),"",IF(Dashboard_LoanBook!H79&gt;=_config!$C$54,"ALERT",IF(Dashboard_LoanBook!H79&gt;=_config!$B$54,"WATCH","OK")))</f>
        <v/>
      </c>
      <c r="AW32" s="28">
        <f>IF(NOT(ISNUMBER(Dashboard_LoanBook!I79)),"",IF(Dashboard_LoanBook!I79&gt;=_config!$C$55,"ALERT",IF(Dashboard_LoanBook!I79&gt;=_config!$B$55,"WATCH","OK")))</f>
        <v/>
      </c>
      <c r="AX32" s="28">
        <f>IF(NOT(ISNUMBER(Dashboard_LoanBook!J79)),"",IF(Dashboard_LoanBook!J79&gt;=_config!$C$56,"ALERT",IF(Dashboard_LoanBook!J79&gt;=_config!$B$56,"WATCH","OK")))</f>
        <v/>
      </c>
      <c r="AY32" s="28">
        <f>IF(NOT(ISNUMBER(Dashboard_LoanBook!K79)),"",IF(Dashboard_LoanBook!K79&gt;=_config!$C$57,"ALERT",IF(Dashboard_LoanBook!K79&gt;=_config!$B$57,"WATCH","OK")))</f>
        <v/>
      </c>
      <c r="AZ32" s="28">
        <f>IF(NOT(ISNUMBER(Dashboard_LoanBook!L79)),"",IF(Dashboard_LoanBook!L79&gt;=_config!$C$58,"ALERT",IF(Dashboard_LoanBook!L79&gt;=_config!$B$58,"WATCH","OK")))</f>
        <v/>
      </c>
      <c r="BA32" s="28">
        <f>IF(NOT(ISNUMBER(Dashboard_LoanBook!M79)),"",IF(Dashboard_LoanBook!M79&gt;=_config!$C$59,"ALERT",IF(Dashboard_LoanBook!M79&gt;=_config!$B$59,"WATCH","OK")))</f>
        <v/>
      </c>
      <c r="BB32" s="28">
        <f>IF(NOT(ISNUMBER(Dashboard_LoanBook!N79)),"",IF(Dashboard_LoanBook!N79&gt;=_config!$C$60,"ALERT",IF(Dashboard_LoanBook!N79&gt;=_config!$B$60,"WATCH","OK")))</f>
        <v/>
      </c>
      <c r="BC32" s="28">
        <f>IF(NOT(ISNUMBER(Dashboard_LoanBook!O79)),"",IF(Dashboard_LoanBook!O79&gt;=_config!$C$61,"ALERT",IF(Dashboard_LoanBook!O79&gt;=_config!$B$61,"WATCH","OK")))</f>
        <v/>
      </c>
      <c r="BD32" s="28">
        <f>IF(NOT(ISNUMBER(Dashboard_LoanBook!P79)),"",IF(Dashboard_LoanBook!P79&gt;=_config!$C$62,"ALERT",IF(Dashboard_LoanBook!P79&gt;=_config!$B$62,"WATCH","OK")))</f>
        <v/>
      </c>
      <c r="BE32" s="28">
        <f>IF(NOT(ISNUMBER(Dashboard_LoanBook!Q79)),"",IF(Dashboard_LoanBook!Q79&gt;=_config!$C$63,"ALERT",IF(Dashboard_LoanBook!Q79&gt;=_config!$B$63,"WATCH","OK")))</f>
        <v/>
      </c>
      <c r="BF32" s="28">
        <f>IF(NOT(ISNUMBER(Dashboard_LoanBook!R79)),"",IF(Dashboard_LoanBook!R79&gt;=_config!$C$64,"ALERT",IF(Dashboard_LoanBook!R79&gt;=_config!$B$64,"WATCH","OK")))</f>
        <v/>
      </c>
      <c r="BG32" s="28">
        <f>IF(NOT(ISNUMBER(Dashboard_LoanBook!S79)),"",IF(Dashboard_LoanBook!S79&gt;=_config!$C$65,"ALERT",IF(Dashboard_LoanBook!S79&gt;=_config!$B$65,"WATCH","OK")))</f>
        <v/>
      </c>
      <c r="BH32" s="28">
        <f>IF(NOT(ISNUMBER(Dashboard_Funding_Concentration!G35)),"",IF(Dashboard_Funding_Concentration!G35&gt;=_config!$C$66,"ALERT",IF(Dashboard_Funding_Concentration!G35&gt;=_config!$B$66,"WATCH","OK")))</f>
        <v/>
      </c>
      <c r="BI32" s="28">
        <f>IF(NOT(ISNUMBER(Dashboard_Funding_Concentration!H35)),"",IF(Dashboard_Funding_Concentration!H35&gt;=_config!$C$67,"ALERT",IF(Dashboard_Funding_Concentration!H35&gt;=_config!$B$67,"WATCH","OK")))</f>
        <v/>
      </c>
      <c r="BJ32" s="28">
        <f>IF(NOT(ISNUMBER(Dashboard_Funding_Concentration!I35)),"",IF(Dashboard_Funding_Concentration!I35&gt;=_config!$C$68,"ALERT",IF(Dashboard_Funding_Concentration!I35&gt;=_config!$B$68,"WATCH","OK")))</f>
        <v/>
      </c>
      <c r="BL32" s="28">
        <f>IF(NOT(ISNUMBER($E32)),"",$E32*10000+IF(ISNUMBER($D32),$D32,0))</f>
        <v/>
      </c>
    </row>
    <row r="33">
      <c r="A33" s="14">
        <f>IF(_config!$C$100="","",_config!$C$100)</f>
        <v/>
      </c>
      <c r="B33" s="25">
        <f>IF(_config!$B$100="","",_config!$B$100)</f>
        <v/>
      </c>
      <c r="C33" s="16">
        <f>IF(_config!$D$100="","",_config!$D$100)</f>
        <v/>
      </c>
      <c r="D33" s="26">
        <f>IF(Dashboard_AssetQuality!I36="","",Dashboard_AssetQuality!I36)</f>
        <v/>
      </c>
      <c r="E33" s="27">
        <f>IF($A33="","",COUNTIF($J33:$BJ33,"ALERT"))</f>
        <v/>
      </c>
      <c r="F33" s="27">
        <f>IF($A33="","",COUNTIF($J33:$BJ33,"WATCH"))</f>
        <v/>
      </c>
      <c r="G33" s="27">
        <f>IF($BL33="","",RANK($BL33,$BL$5:$BL$44))</f>
        <v/>
      </c>
      <c r="H33" s="27">
        <f>IF(_config!$C$100="","",IF(NOT(ISNUMBER(_config!$B$100)),"REFUSED: blank/invalid CERT -- run --lookup",IF(UPPER(_config!$E$100&amp;"")&lt;&gt;"TRUE","OFF",IF($E33&gt;0,"ALERT",IF($F33&gt;0,"WATCH","OK")))))</f>
        <v/>
      </c>
      <c r="J33" s="28">
        <f>IF(NOT(ISNUMBER(Dashboard_AssetQuality!D36)),"",IF(Dashboard_AssetQuality!D36&gt;=_config!$C$16,"ALERT",IF(Dashboard_AssetQuality!D36&gt;=_config!$B$16,"WATCH","OK")))</f>
        <v/>
      </c>
      <c r="K33" s="28">
        <f>IF(NOT(ISNUMBER(Dashboard_AssetQuality!E36)),"",IF(Dashboard_AssetQuality!E36&gt;=_config!$C$17,"ALERT",IF(Dashboard_AssetQuality!E36&gt;=_config!$B$17,"WATCH","OK")))</f>
        <v/>
      </c>
      <c r="L33" s="28">
        <f>IF(NOT(ISNUMBER(Dashboard_AssetQuality!F36)),"",IF(Dashboard_AssetQuality!F36&gt;=_config!$C$18,"ALERT",IF(Dashboard_AssetQuality!F36&gt;=_config!$B$18,"WATCH","OK")))</f>
        <v/>
      </c>
      <c r="M33" s="28">
        <f>IF(NOT(ISNUMBER(Dashboard_AssetQuality!G36)),"",IF(Dashboard_AssetQuality!G36&lt;=_config!$C$19,"ALERT",IF(Dashboard_AssetQuality!G36&lt;=_config!$B$19,"WATCH","OK")))</f>
        <v/>
      </c>
      <c r="N33" s="28">
        <f>IF(NOT(ISNUMBER(Dashboard_AssetQuality!H36)),"",IF(Dashboard_AssetQuality!H36&lt;=_config!$C$20,"ALERT",IF(Dashboard_AssetQuality!H36&lt;=_config!$B$20,"WATCH","OK")))</f>
        <v/>
      </c>
      <c r="O33" s="28">
        <f>IF(NOT(ISNUMBER(Dashboard_AssetQuality!I36)),"",IF(Dashboard_AssetQuality!I36&gt;=_config!$C$21,"ALERT",IF(Dashboard_AssetQuality!I36&gt;=_config!$B$21,"WATCH","OK")))</f>
        <v/>
      </c>
      <c r="P33" s="28">
        <f>IF(NOT(ISNUMBER(Dashboard_Capital_Earnings!D36)),"",IF(Dashboard_Capital_Earnings!D36&lt;=_config!$C$22,"ALERT",IF(Dashboard_Capital_Earnings!D36&lt;=_config!$B$22,"WATCH","OK")))</f>
        <v/>
      </c>
      <c r="Q33" s="28">
        <f>IF(NOT(ISNUMBER(Dashboard_Capital_Earnings!E36)),"",IF(Dashboard_Capital_Earnings!E36&lt;=_config!$C$23,"ALERT",IF(Dashboard_Capital_Earnings!E36&lt;=_config!$B$23,"WATCH","OK")))</f>
        <v/>
      </c>
      <c r="R33" s="28">
        <f>IF(NOT(ISNUMBER(Dashboard_Capital_Earnings!F36)),"",IF(Dashboard_Capital_Earnings!F36&lt;=_config!$C$24,"ALERT",IF(Dashboard_Capital_Earnings!F36&lt;=_config!$B$24,"WATCH","OK")))</f>
        <v/>
      </c>
      <c r="S33" s="28">
        <f>IF(NOT(ISNUMBER(Dashboard_Capital_Earnings!G36)),"",IF(Dashboard_Capital_Earnings!G36&lt;=_config!$C$25,"ALERT",IF(Dashboard_Capital_Earnings!G36&lt;=_config!$B$25,"WATCH","OK")))</f>
        <v/>
      </c>
      <c r="T33" s="28">
        <f>IF(NOT(ISNUMBER(Dashboard_Capital_Earnings!H36)),"",IF(Dashboard_Capital_Earnings!H36&lt;=_config!$C$26,"ALERT",IF(Dashboard_Capital_Earnings!H36&lt;=_config!$B$26,"WATCH","OK")))</f>
        <v/>
      </c>
      <c r="U33" s="28">
        <f>IF(NOT(ISNUMBER(Dashboard_Capital_Earnings!I36)),"",IF(Dashboard_Capital_Earnings!I36&gt;=_config!$C$27,"ALERT",IF(Dashboard_Capital_Earnings!I36&gt;=_config!$B$27,"WATCH","OK")))</f>
        <v/>
      </c>
      <c r="V33" s="28">
        <f>IF(NOT(ISNUMBER(Dashboard_Funding_Concentration!D36)),"",IF(Dashboard_Funding_Concentration!D36&gt;=_config!$C$28,"ALERT",IF(Dashboard_Funding_Concentration!D36&gt;=_config!$B$28,"WATCH","OK")))</f>
        <v/>
      </c>
      <c r="W33" s="28">
        <f>IF(NOT(ISNUMBER(Dashboard_Funding_Concentration!E36)),"",IF(Dashboard_Funding_Concentration!E36&gt;=_config!$C$29,"ALERT",IF(Dashboard_Funding_Concentration!E36&gt;=_config!$B$29,"WATCH","OK")))</f>
        <v/>
      </c>
      <c r="X33" s="28">
        <f>IF(NOT(ISNUMBER(Dashboard_Funding_Concentration!F36)),"",IF(Dashboard_Funding_Concentration!F36&gt;=_config!$C$30,"ALERT",IF(Dashboard_Funding_Concentration!F36&gt;=_config!$B$30,"WATCH","OK")))</f>
        <v/>
      </c>
      <c r="Y33" s="28">
        <f>IF(NOT(ISNUMBER(Dashboard_LoanBook!D36)),"",IF(Dashboard_LoanBook!D36&gt;=_config!$C$31,"ALERT",IF(Dashboard_LoanBook!D36&gt;=_config!$B$31,"WATCH","OK")))</f>
        <v/>
      </c>
      <c r="Z33" s="28">
        <f>IF(NOT(ISNUMBER(Dashboard_LoanBook!E36)),"",IF(Dashboard_LoanBook!E36&gt;=_config!$C$32,"ALERT",IF(Dashboard_LoanBook!E36&gt;=_config!$B$32,"WATCH","OK")))</f>
        <v/>
      </c>
      <c r="AA33" s="28">
        <f>IF(NOT(ISNUMBER(Dashboard_LoanBook!F36)),"",IF(Dashboard_LoanBook!F36&gt;=_config!$C$33,"ALERT",IF(Dashboard_LoanBook!F36&gt;=_config!$B$33,"WATCH","OK")))</f>
        <v/>
      </c>
      <c r="AB33" s="28">
        <f>IF(NOT(ISNUMBER(Dashboard_LoanBook!G36)),"",IF(Dashboard_LoanBook!G36&gt;=_config!$C$34,"ALERT",IF(Dashboard_LoanBook!G36&gt;=_config!$B$34,"WATCH","OK")))</f>
        <v/>
      </c>
      <c r="AC33" s="28">
        <f>IF(NOT(ISNUMBER(Dashboard_LoanBook!H36)),"",IF(Dashboard_LoanBook!H36&gt;=_config!$C$35,"ALERT",IF(Dashboard_LoanBook!H36&gt;=_config!$B$35,"WATCH","OK")))</f>
        <v/>
      </c>
      <c r="AD33" s="28">
        <f>IF(NOT(ISNUMBER(Dashboard_LoanBook!I36)),"",IF(Dashboard_LoanBook!I36&gt;=_config!$C$36,"ALERT",IF(Dashboard_LoanBook!I36&gt;=_config!$B$36,"WATCH","OK")))</f>
        <v/>
      </c>
      <c r="AE33" s="28">
        <f>IF(NOT(ISNUMBER(Dashboard_LoanBook!J36)),"",IF(Dashboard_LoanBook!J36&gt;=_config!$C$37,"ALERT",IF(Dashboard_LoanBook!J36&gt;=_config!$B$37,"WATCH","OK")))</f>
        <v/>
      </c>
      <c r="AF33" s="28">
        <f>IF(NOT(ISNUMBER(Dashboard_LoanBook!K36)),"",IF(Dashboard_LoanBook!K36&gt;=_config!$C$38,"ALERT",IF(Dashboard_LoanBook!K36&gt;=_config!$B$38,"WATCH","OK")))</f>
        <v/>
      </c>
      <c r="AG33" s="28">
        <f>IF(NOT(ISNUMBER(Dashboard_LoanBook!L36)),"",IF(Dashboard_LoanBook!L36&gt;=_config!$C$39,"ALERT",IF(Dashboard_LoanBook!L36&gt;=_config!$B$39,"WATCH","OK")))</f>
        <v/>
      </c>
      <c r="AH33" s="28">
        <f>IF(NOT(ISNUMBER(Dashboard_LoanBook!M36)),"",IF(Dashboard_LoanBook!M36&gt;=_config!$C$40,"ALERT",IF(Dashboard_LoanBook!M36&gt;=_config!$B$40,"WATCH","OK")))</f>
        <v/>
      </c>
      <c r="AI33" s="28">
        <f>IF(NOT(ISNUMBER(Dashboard_LoanBook!N36)),"",IF(Dashboard_LoanBook!N36&gt;=_config!$C$41,"ALERT",IF(Dashboard_LoanBook!N36&gt;=_config!$B$41,"WATCH","OK")))</f>
        <v/>
      </c>
      <c r="AJ33" s="28">
        <f>IF(NOT(ISNUMBER(Dashboard_LoanBook!O36)),"",IF(Dashboard_LoanBook!O36&gt;=_config!$C$42,"ALERT",IF(Dashboard_LoanBook!O36&gt;=_config!$B$42,"WATCH","OK")))</f>
        <v/>
      </c>
      <c r="AK33" s="28">
        <f>IF(NOT(ISNUMBER(Dashboard_LoanBook!P36)),"",IF(Dashboard_LoanBook!P36&gt;=_config!$C$43,"ALERT",IF(Dashboard_LoanBook!P36&gt;=_config!$B$43,"WATCH","OK")))</f>
        <v/>
      </c>
      <c r="AL33" s="28">
        <f>IF(NOT(ISNUMBER(Dashboard_LoanBook!Q36)),"",IF(Dashboard_LoanBook!Q36&gt;=_config!$C$44,"ALERT",IF(Dashboard_LoanBook!Q36&gt;=_config!$B$44,"WATCH","OK")))</f>
        <v/>
      </c>
      <c r="AM33" s="28">
        <f>IF(NOT(ISNUMBER(Dashboard_LoanBook!R36)),"",IF(Dashboard_LoanBook!R36&gt;=_config!$C$45,"ALERT",IF(Dashboard_LoanBook!R36&gt;=_config!$B$45,"WATCH","OK")))</f>
        <v/>
      </c>
      <c r="AN33" s="28">
        <f>IF(NOT(ISNUMBER(Dashboard_LoanBook!S36)),"",IF(Dashboard_LoanBook!S36&gt;=_config!$C$46,"ALERT",IF(Dashboard_LoanBook!S36&gt;=_config!$B$46,"WATCH","OK")))</f>
        <v/>
      </c>
      <c r="AO33" s="28">
        <f>IF(NOT(ISNUMBER(Dashboard_LoanBook!T36)),"",IF(Dashboard_LoanBook!T36&gt;=_config!$C$47,"ALERT",IF(Dashboard_LoanBook!T36&gt;=_config!$B$47,"WATCH","OK")))</f>
        <v/>
      </c>
      <c r="AP33" s="28">
        <f>IF(NOT(ISNUMBER(Dashboard_LoanBook!U36)),"",IF(Dashboard_LoanBook!U36&gt;=_config!$C$48,"ALERT",IF(Dashboard_LoanBook!U36&gt;=_config!$B$48,"WATCH","OK")))</f>
        <v/>
      </c>
      <c r="AQ33" s="28">
        <f>IF(NOT(ISNUMBER(Dashboard_LoanBook!V36)),"",IF(Dashboard_LoanBook!V36&gt;=_config!$C$49,"ALERT",IF(Dashboard_LoanBook!V36&gt;=_config!$B$49,"WATCH","OK")))</f>
        <v/>
      </c>
      <c r="AR33" s="28">
        <f>IF(NOT(ISNUMBER(Dashboard_LoanBook!D80)),"",IF(Dashboard_LoanBook!D80&gt;=_config!$C$50,"ALERT",IF(Dashboard_LoanBook!D80&gt;=_config!$B$50,"WATCH","OK")))</f>
        <v/>
      </c>
      <c r="AS33" s="28">
        <f>IF(NOT(ISNUMBER(Dashboard_LoanBook!E80)),"",IF(Dashboard_LoanBook!E80&gt;=_config!$C$51,"ALERT",IF(Dashboard_LoanBook!E80&gt;=_config!$B$51,"WATCH","OK")))</f>
        <v/>
      </c>
      <c r="AT33" s="28">
        <f>IF(NOT(ISNUMBER(Dashboard_LoanBook!F80)),"",IF(Dashboard_LoanBook!F80&gt;=_config!$C$52,"ALERT",IF(Dashboard_LoanBook!F80&gt;=_config!$B$52,"WATCH","OK")))</f>
        <v/>
      </c>
      <c r="AU33" s="28">
        <f>IF(NOT(ISNUMBER(Dashboard_LoanBook!G80)),"",IF(Dashboard_LoanBook!G80&gt;=_config!$C$53,"ALERT",IF(Dashboard_LoanBook!G80&gt;=_config!$B$53,"WATCH","OK")))</f>
        <v/>
      </c>
      <c r="AV33" s="28">
        <f>IF(NOT(ISNUMBER(Dashboard_LoanBook!H80)),"",IF(Dashboard_LoanBook!H80&gt;=_config!$C$54,"ALERT",IF(Dashboard_LoanBook!H80&gt;=_config!$B$54,"WATCH","OK")))</f>
        <v/>
      </c>
      <c r="AW33" s="28">
        <f>IF(NOT(ISNUMBER(Dashboard_LoanBook!I80)),"",IF(Dashboard_LoanBook!I80&gt;=_config!$C$55,"ALERT",IF(Dashboard_LoanBook!I80&gt;=_config!$B$55,"WATCH","OK")))</f>
        <v/>
      </c>
      <c r="AX33" s="28">
        <f>IF(NOT(ISNUMBER(Dashboard_LoanBook!J80)),"",IF(Dashboard_LoanBook!J80&gt;=_config!$C$56,"ALERT",IF(Dashboard_LoanBook!J80&gt;=_config!$B$56,"WATCH","OK")))</f>
        <v/>
      </c>
      <c r="AY33" s="28">
        <f>IF(NOT(ISNUMBER(Dashboard_LoanBook!K80)),"",IF(Dashboard_LoanBook!K80&gt;=_config!$C$57,"ALERT",IF(Dashboard_LoanBook!K80&gt;=_config!$B$57,"WATCH","OK")))</f>
        <v/>
      </c>
      <c r="AZ33" s="28">
        <f>IF(NOT(ISNUMBER(Dashboard_LoanBook!L80)),"",IF(Dashboard_LoanBook!L80&gt;=_config!$C$58,"ALERT",IF(Dashboard_LoanBook!L80&gt;=_config!$B$58,"WATCH","OK")))</f>
        <v/>
      </c>
      <c r="BA33" s="28">
        <f>IF(NOT(ISNUMBER(Dashboard_LoanBook!M80)),"",IF(Dashboard_LoanBook!M80&gt;=_config!$C$59,"ALERT",IF(Dashboard_LoanBook!M80&gt;=_config!$B$59,"WATCH","OK")))</f>
        <v/>
      </c>
      <c r="BB33" s="28">
        <f>IF(NOT(ISNUMBER(Dashboard_LoanBook!N80)),"",IF(Dashboard_LoanBook!N80&gt;=_config!$C$60,"ALERT",IF(Dashboard_LoanBook!N80&gt;=_config!$B$60,"WATCH","OK")))</f>
        <v/>
      </c>
      <c r="BC33" s="28">
        <f>IF(NOT(ISNUMBER(Dashboard_LoanBook!O80)),"",IF(Dashboard_LoanBook!O80&gt;=_config!$C$61,"ALERT",IF(Dashboard_LoanBook!O80&gt;=_config!$B$61,"WATCH","OK")))</f>
        <v/>
      </c>
      <c r="BD33" s="28">
        <f>IF(NOT(ISNUMBER(Dashboard_LoanBook!P80)),"",IF(Dashboard_LoanBook!P80&gt;=_config!$C$62,"ALERT",IF(Dashboard_LoanBook!P80&gt;=_config!$B$62,"WATCH","OK")))</f>
        <v/>
      </c>
      <c r="BE33" s="28">
        <f>IF(NOT(ISNUMBER(Dashboard_LoanBook!Q80)),"",IF(Dashboard_LoanBook!Q80&gt;=_config!$C$63,"ALERT",IF(Dashboard_LoanBook!Q80&gt;=_config!$B$63,"WATCH","OK")))</f>
        <v/>
      </c>
      <c r="BF33" s="28">
        <f>IF(NOT(ISNUMBER(Dashboard_LoanBook!R80)),"",IF(Dashboard_LoanBook!R80&gt;=_config!$C$64,"ALERT",IF(Dashboard_LoanBook!R80&gt;=_config!$B$64,"WATCH","OK")))</f>
        <v/>
      </c>
      <c r="BG33" s="28">
        <f>IF(NOT(ISNUMBER(Dashboard_LoanBook!S80)),"",IF(Dashboard_LoanBook!S80&gt;=_config!$C$65,"ALERT",IF(Dashboard_LoanBook!S80&gt;=_config!$B$65,"WATCH","OK")))</f>
        <v/>
      </c>
      <c r="BH33" s="28">
        <f>IF(NOT(ISNUMBER(Dashboard_Funding_Concentration!G36)),"",IF(Dashboard_Funding_Concentration!G36&gt;=_config!$C$66,"ALERT",IF(Dashboard_Funding_Concentration!G36&gt;=_config!$B$66,"WATCH","OK")))</f>
        <v/>
      </c>
      <c r="BI33" s="28">
        <f>IF(NOT(ISNUMBER(Dashboard_Funding_Concentration!H36)),"",IF(Dashboard_Funding_Concentration!H36&gt;=_config!$C$67,"ALERT",IF(Dashboard_Funding_Concentration!H36&gt;=_config!$B$67,"WATCH","OK")))</f>
        <v/>
      </c>
      <c r="BJ33" s="28">
        <f>IF(NOT(ISNUMBER(Dashboard_Funding_Concentration!I36)),"",IF(Dashboard_Funding_Concentration!I36&gt;=_config!$C$68,"ALERT",IF(Dashboard_Funding_Concentration!I36&gt;=_config!$B$68,"WATCH","OK")))</f>
        <v/>
      </c>
      <c r="BL33" s="28">
        <f>IF(NOT(ISNUMBER($E33)),"",$E33*10000+IF(ISNUMBER($D33),$D33,0))</f>
        <v/>
      </c>
    </row>
    <row r="34">
      <c r="A34" s="14">
        <f>IF(_config!$C$101="","",_config!$C$101)</f>
        <v/>
      </c>
      <c r="B34" s="25">
        <f>IF(_config!$B$101="","",_config!$B$101)</f>
        <v/>
      </c>
      <c r="C34" s="16">
        <f>IF(_config!$D$101="","",_config!$D$101)</f>
        <v/>
      </c>
      <c r="D34" s="26">
        <f>IF(Dashboard_AssetQuality!I37="","",Dashboard_AssetQuality!I37)</f>
        <v/>
      </c>
      <c r="E34" s="27">
        <f>IF($A34="","",COUNTIF($J34:$BJ34,"ALERT"))</f>
        <v/>
      </c>
      <c r="F34" s="27">
        <f>IF($A34="","",COUNTIF($J34:$BJ34,"WATCH"))</f>
        <v/>
      </c>
      <c r="G34" s="27">
        <f>IF($BL34="","",RANK($BL34,$BL$5:$BL$44))</f>
        <v/>
      </c>
      <c r="H34" s="27">
        <f>IF(_config!$C$101="","",IF(NOT(ISNUMBER(_config!$B$101)),"REFUSED: blank/invalid CERT -- run --lookup",IF(UPPER(_config!$E$101&amp;"")&lt;&gt;"TRUE","OFF",IF($E34&gt;0,"ALERT",IF($F34&gt;0,"WATCH","OK")))))</f>
        <v/>
      </c>
      <c r="J34" s="28">
        <f>IF(NOT(ISNUMBER(Dashboard_AssetQuality!D37)),"",IF(Dashboard_AssetQuality!D37&gt;=_config!$C$16,"ALERT",IF(Dashboard_AssetQuality!D37&gt;=_config!$B$16,"WATCH","OK")))</f>
        <v/>
      </c>
      <c r="K34" s="28">
        <f>IF(NOT(ISNUMBER(Dashboard_AssetQuality!E37)),"",IF(Dashboard_AssetQuality!E37&gt;=_config!$C$17,"ALERT",IF(Dashboard_AssetQuality!E37&gt;=_config!$B$17,"WATCH","OK")))</f>
        <v/>
      </c>
      <c r="L34" s="28">
        <f>IF(NOT(ISNUMBER(Dashboard_AssetQuality!F37)),"",IF(Dashboard_AssetQuality!F37&gt;=_config!$C$18,"ALERT",IF(Dashboard_AssetQuality!F37&gt;=_config!$B$18,"WATCH","OK")))</f>
        <v/>
      </c>
      <c r="M34" s="28">
        <f>IF(NOT(ISNUMBER(Dashboard_AssetQuality!G37)),"",IF(Dashboard_AssetQuality!G37&lt;=_config!$C$19,"ALERT",IF(Dashboard_AssetQuality!G37&lt;=_config!$B$19,"WATCH","OK")))</f>
        <v/>
      </c>
      <c r="N34" s="28">
        <f>IF(NOT(ISNUMBER(Dashboard_AssetQuality!H37)),"",IF(Dashboard_AssetQuality!H37&lt;=_config!$C$20,"ALERT",IF(Dashboard_AssetQuality!H37&lt;=_config!$B$20,"WATCH","OK")))</f>
        <v/>
      </c>
      <c r="O34" s="28">
        <f>IF(NOT(ISNUMBER(Dashboard_AssetQuality!I37)),"",IF(Dashboard_AssetQuality!I37&gt;=_config!$C$21,"ALERT",IF(Dashboard_AssetQuality!I37&gt;=_config!$B$21,"WATCH","OK")))</f>
        <v/>
      </c>
      <c r="P34" s="28">
        <f>IF(NOT(ISNUMBER(Dashboard_Capital_Earnings!D37)),"",IF(Dashboard_Capital_Earnings!D37&lt;=_config!$C$22,"ALERT",IF(Dashboard_Capital_Earnings!D37&lt;=_config!$B$22,"WATCH","OK")))</f>
        <v/>
      </c>
      <c r="Q34" s="28">
        <f>IF(NOT(ISNUMBER(Dashboard_Capital_Earnings!E37)),"",IF(Dashboard_Capital_Earnings!E37&lt;=_config!$C$23,"ALERT",IF(Dashboard_Capital_Earnings!E37&lt;=_config!$B$23,"WATCH","OK")))</f>
        <v/>
      </c>
      <c r="R34" s="28">
        <f>IF(NOT(ISNUMBER(Dashboard_Capital_Earnings!F37)),"",IF(Dashboard_Capital_Earnings!F37&lt;=_config!$C$24,"ALERT",IF(Dashboard_Capital_Earnings!F37&lt;=_config!$B$24,"WATCH","OK")))</f>
        <v/>
      </c>
      <c r="S34" s="28">
        <f>IF(NOT(ISNUMBER(Dashboard_Capital_Earnings!G37)),"",IF(Dashboard_Capital_Earnings!G37&lt;=_config!$C$25,"ALERT",IF(Dashboard_Capital_Earnings!G37&lt;=_config!$B$25,"WATCH","OK")))</f>
        <v/>
      </c>
      <c r="T34" s="28">
        <f>IF(NOT(ISNUMBER(Dashboard_Capital_Earnings!H37)),"",IF(Dashboard_Capital_Earnings!H37&lt;=_config!$C$26,"ALERT",IF(Dashboard_Capital_Earnings!H37&lt;=_config!$B$26,"WATCH","OK")))</f>
        <v/>
      </c>
      <c r="U34" s="28">
        <f>IF(NOT(ISNUMBER(Dashboard_Capital_Earnings!I37)),"",IF(Dashboard_Capital_Earnings!I37&gt;=_config!$C$27,"ALERT",IF(Dashboard_Capital_Earnings!I37&gt;=_config!$B$27,"WATCH","OK")))</f>
        <v/>
      </c>
      <c r="V34" s="28">
        <f>IF(NOT(ISNUMBER(Dashboard_Funding_Concentration!D37)),"",IF(Dashboard_Funding_Concentration!D37&gt;=_config!$C$28,"ALERT",IF(Dashboard_Funding_Concentration!D37&gt;=_config!$B$28,"WATCH","OK")))</f>
        <v/>
      </c>
      <c r="W34" s="28">
        <f>IF(NOT(ISNUMBER(Dashboard_Funding_Concentration!E37)),"",IF(Dashboard_Funding_Concentration!E37&gt;=_config!$C$29,"ALERT",IF(Dashboard_Funding_Concentration!E37&gt;=_config!$B$29,"WATCH","OK")))</f>
        <v/>
      </c>
      <c r="X34" s="28">
        <f>IF(NOT(ISNUMBER(Dashboard_Funding_Concentration!F37)),"",IF(Dashboard_Funding_Concentration!F37&gt;=_config!$C$30,"ALERT",IF(Dashboard_Funding_Concentration!F37&gt;=_config!$B$30,"WATCH","OK")))</f>
        <v/>
      </c>
      <c r="Y34" s="28">
        <f>IF(NOT(ISNUMBER(Dashboard_LoanBook!D37)),"",IF(Dashboard_LoanBook!D37&gt;=_config!$C$31,"ALERT",IF(Dashboard_LoanBook!D37&gt;=_config!$B$31,"WATCH","OK")))</f>
        <v/>
      </c>
      <c r="Z34" s="28">
        <f>IF(NOT(ISNUMBER(Dashboard_LoanBook!E37)),"",IF(Dashboard_LoanBook!E37&gt;=_config!$C$32,"ALERT",IF(Dashboard_LoanBook!E37&gt;=_config!$B$32,"WATCH","OK")))</f>
        <v/>
      </c>
      <c r="AA34" s="28">
        <f>IF(NOT(ISNUMBER(Dashboard_LoanBook!F37)),"",IF(Dashboard_LoanBook!F37&gt;=_config!$C$33,"ALERT",IF(Dashboard_LoanBook!F37&gt;=_config!$B$33,"WATCH","OK")))</f>
        <v/>
      </c>
      <c r="AB34" s="28">
        <f>IF(NOT(ISNUMBER(Dashboard_LoanBook!G37)),"",IF(Dashboard_LoanBook!G37&gt;=_config!$C$34,"ALERT",IF(Dashboard_LoanBook!G37&gt;=_config!$B$34,"WATCH","OK")))</f>
        <v/>
      </c>
      <c r="AC34" s="28">
        <f>IF(NOT(ISNUMBER(Dashboard_LoanBook!H37)),"",IF(Dashboard_LoanBook!H37&gt;=_config!$C$35,"ALERT",IF(Dashboard_LoanBook!H37&gt;=_config!$B$35,"WATCH","OK")))</f>
        <v/>
      </c>
      <c r="AD34" s="28">
        <f>IF(NOT(ISNUMBER(Dashboard_LoanBook!I37)),"",IF(Dashboard_LoanBook!I37&gt;=_config!$C$36,"ALERT",IF(Dashboard_LoanBook!I37&gt;=_config!$B$36,"WATCH","OK")))</f>
        <v/>
      </c>
      <c r="AE34" s="28">
        <f>IF(NOT(ISNUMBER(Dashboard_LoanBook!J37)),"",IF(Dashboard_LoanBook!J37&gt;=_config!$C$37,"ALERT",IF(Dashboard_LoanBook!J37&gt;=_config!$B$37,"WATCH","OK")))</f>
        <v/>
      </c>
      <c r="AF34" s="28">
        <f>IF(NOT(ISNUMBER(Dashboard_LoanBook!K37)),"",IF(Dashboard_LoanBook!K37&gt;=_config!$C$38,"ALERT",IF(Dashboard_LoanBook!K37&gt;=_config!$B$38,"WATCH","OK")))</f>
        <v/>
      </c>
      <c r="AG34" s="28">
        <f>IF(NOT(ISNUMBER(Dashboard_LoanBook!L37)),"",IF(Dashboard_LoanBook!L37&gt;=_config!$C$39,"ALERT",IF(Dashboard_LoanBook!L37&gt;=_config!$B$39,"WATCH","OK")))</f>
        <v/>
      </c>
      <c r="AH34" s="28">
        <f>IF(NOT(ISNUMBER(Dashboard_LoanBook!M37)),"",IF(Dashboard_LoanBook!M37&gt;=_config!$C$40,"ALERT",IF(Dashboard_LoanBook!M37&gt;=_config!$B$40,"WATCH","OK")))</f>
        <v/>
      </c>
      <c r="AI34" s="28">
        <f>IF(NOT(ISNUMBER(Dashboard_LoanBook!N37)),"",IF(Dashboard_LoanBook!N37&gt;=_config!$C$41,"ALERT",IF(Dashboard_LoanBook!N37&gt;=_config!$B$41,"WATCH","OK")))</f>
        <v/>
      </c>
      <c r="AJ34" s="28">
        <f>IF(NOT(ISNUMBER(Dashboard_LoanBook!O37)),"",IF(Dashboard_LoanBook!O37&gt;=_config!$C$42,"ALERT",IF(Dashboard_LoanBook!O37&gt;=_config!$B$42,"WATCH","OK")))</f>
        <v/>
      </c>
      <c r="AK34" s="28">
        <f>IF(NOT(ISNUMBER(Dashboard_LoanBook!P37)),"",IF(Dashboard_LoanBook!P37&gt;=_config!$C$43,"ALERT",IF(Dashboard_LoanBook!P37&gt;=_config!$B$43,"WATCH","OK")))</f>
        <v/>
      </c>
      <c r="AL34" s="28">
        <f>IF(NOT(ISNUMBER(Dashboard_LoanBook!Q37)),"",IF(Dashboard_LoanBook!Q37&gt;=_config!$C$44,"ALERT",IF(Dashboard_LoanBook!Q37&gt;=_config!$B$44,"WATCH","OK")))</f>
        <v/>
      </c>
      <c r="AM34" s="28">
        <f>IF(NOT(ISNUMBER(Dashboard_LoanBook!R37)),"",IF(Dashboard_LoanBook!R37&gt;=_config!$C$45,"ALERT",IF(Dashboard_LoanBook!R37&gt;=_config!$B$45,"WATCH","OK")))</f>
        <v/>
      </c>
      <c r="AN34" s="28">
        <f>IF(NOT(ISNUMBER(Dashboard_LoanBook!S37)),"",IF(Dashboard_LoanBook!S37&gt;=_config!$C$46,"ALERT",IF(Dashboard_LoanBook!S37&gt;=_config!$B$46,"WATCH","OK")))</f>
        <v/>
      </c>
      <c r="AO34" s="28">
        <f>IF(NOT(ISNUMBER(Dashboard_LoanBook!T37)),"",IF(Dashboard_LoanBook!T37&gt;=_config!$C$47,"ALERT",IF(Dashboard_LoanBook!T37&gt;=_config!$B$47,"WATCH","OK")))</f>
        <v/>
      </c>
      <c r="AP34" s="28">
        <f>IF(NOT(ISNUMBER(Dashboard_LoanBook!U37)),"",IF(Dashboard_LoanBook!U37&gt;=_config!$C$48,"ALERT",IF(Dashboard_LoanBook!U37&gt;=_config!$B$48,"WATCH","OK")))</f>
        <v/>
      </c>
      <c r="AQ34" s="28">
        <f>IF(NOT(ISNUMBER(Dashboard_LoanBook!V37)),"",IF(Dashboard_LoanBook!V37&gt;=_config!$C$49,"ALERT",IF(Dashboard_LoanBook!V37&gt;=_config!$B$49,"WATCH","OK")))</f>
        <v/>
      </c>
      <c r="AR34" s="28">
        <f>IF(NOT(ISNUMBER(Dashboard_LoanBook!D81)),"",IF(Dashboard_LoanBook!D81&gt;=_config!$C$50,"ALERT",IF(Dashboard_LoanBook!D81&gt;=_config!$B$50,"WATCH","OK")))</f>
        <v/>
      </c>
      <c r="AS34" s="28">
        <f>IF(NOT(ISNUMBER(Dashboard_LoanBook!E81)),"",IF(Dashboard_LoanBook!E81&gt;=_config!$C$51,"ALERT",IF(Dashboard_LoanBook!E81&gt;=_config!$B$51,"WATCH","OK")))</f>
        <v/>
      </c>
      <c r="AT34" s="28">
        <f>IF(NOT(ISNUMBER(Dashboard_LoanBook!F81)),"",IF(Dashboard_LoanBook!F81&gt;=_config!$C$52,"ALERT",IF(Dashboard_LoanBook!F81&gt;=_config!$B$52,"WATCH","OK")))</f>
        <v/>
      </c>
      <c r="AU34" s="28">
        <f>IF(NOT(ISNUMBER(Dashboard_LoanBook!G81)),"",IF(Dashboard_LoanBook!G81&gt;=_config!$C$53,"ALERT",IF(Dashboard_LoanBook!G81&gt;=_config!$B$53,"WATCH","OK")))</f>
        <v/>
      </c>
      <c r="AV34" s="28">
        <f>IF(NOT(ISNUMBER(Dashboard_LoanBook!H81)),"",IF(Dashboard_LoanBook!H81&gt;=_config!$C$54,"ALERT",IF(Dashboard_LoanBook!H81&gt;=_config!$B$54,"WATCH","OK")))</f>
        <v/>
      </c>
      <c r="AW34" s="28">
        <f>IF(NOT(ISNUMBER(Dashboard_LoanBook!I81)),"",IF(Dashboard_LoanBook!I81&gt;=_config!$C$55,"ALERT",IF(Dashboard_LoanBook!I81&gt;=_config!$B$55,"WATCH","OK")))</f>
        <v/>
      </c>
      <c r="AX34" s="28">
        <f>IF(NOT(ISNUMBER(Dashboard_LoanBook!J81)),"",IF(Dashboard_LoanBook!J81&gt;=_config!$C$56,"ALERT",IF(Dashboard_LoanBook!J81&gt;=_config!$B$56,"WATCH","OK")))</f>
        <v/>
      </c>
      <c r="AY34" s="28">
        <f>IF(NOT(ISNUMBER(Dashboard_LoanBook!K81)),"",IF(Dashboard_LoanBook!K81&gt;=_config!$C$57,"ALERT",IF(Dashboard_LoanBook!K81&gt;=_config!$B$57,"WATCH","OK")))</f>
        <v/>
      </c>
      <c r="AZ34" s="28">
        <f>IF(NOT(ISNUMBER(Dashboard_LoanBook!L81)),"",IF(Dashboard_LoanBook!L81&gt;=_config!$C$58,"ALERT",IF(Dashboard_LoanBook!L81&gt;=_config!$B$58,"WATCH","OK")))</f>
        <v/>
      </c>
      <c r="BA34" s="28">
        <f>IF(NOT(ISNUMBER(Dashboard_LoanBook!M81)),"",IF(Dashboard_LoanBook!M81&gt;=_config!$C$59,"ALERT",IF(Dashboard_LoanBook!M81&gt;=_config!$B$59,"WATCH","OK")))</f>
        <v/>
      </c>
      <c r="BB34" s="28">
        <f>IF(NOT(ISNUMBER(Dashboard_LoanBook!N81)),"",IF(Dashboard_LoanBook!N81&gt;=_config!$C$60,"ALERT",IF(Dashboard_LoanBook!N81&gt;=_config!$B$60,"WATCH","OK")))</f>
        <v/>
      </c>
      <c r="BC34" s="28">
        <f>IF(NOT(ISNUMBER(Dashboard_LoanBook!O81)),"",IF(Dashboard_LoanBook!O81&gt;=_config!$C$61,"ALERT",IF(Dashboard_LoanBook!O81&gt;=_config!$B$61,"WATCH","OK")))</f>
        <v/>
      </c>
      <c r="BD34" s="28">
        <f>IF(NOT(ISNUMBER(Dashboard_LoanBook!P81)),"",IF(Dashboard_LoanBook!P81&gt;=_config!$C$62,"ALERT",IF(Dashboard_LoanBook!P81&gt;=_config!$B$62,"WATCH","OK")))</f>
        <v/>
      </c>
      <c r="BE34" s="28">
        <f>IF(NOT(ISNUMBER(Dashboard_LoanBook!Q81)),"",IF(Dashboard_LoanBook!Q81&gt;=_config!$C$63,"ALERT",IF(Dashboard_LoanBook!Q81&gt;=_config!$B$63,"WATCH","OK")))</f>
        <v/>
      </c>
      <c r="BF34" s="28">
        <f>IF(NOT(ISNUMBER(Dashboard_LoanBook!R81)),"",IF(Dashboard_LoanBook!R81&gt;=_config!$C$64,"ALERT",IF(Dashboard_LoanBook!R81&gt;=_config!$B$64,"WATCH","OK")))</f>
        <v/>
      </c>
      <c r="BG34" s="28">
        <f>IF(NOT(ISNUMBER(Dashboard_LoanBook!S81)),"",IF(Dashboard_LoanBook!S81&gt;=_config!$C$65,"ALERT",IF(Dashboard_LoanBook!S81&gt;=_config!$B$65,"WATCH","OK")))</f>
        <v/>
      </c>
      <c r="BH34" s="28">
        <f>IF(NOT(ISNUMBER(Dashboard_Funding_Concentration!G37)),"",IF(Dashboard_Funding_Concentration!G37&gt;=_config!$C$66,"ALERT",IF(Dashboard_Funding_Concentration!G37&gt;=_config!$B$66,"WATCH","OK")))</f>
        <v/>
      </c>
      <c r="BI34" s="28">
        <f>IF(NOT(ISNUMBER(Dashboard_Funding_Concentration!H37)),"",IF(Dashboard_Funding_Concentration!H37&gt;=_config!$C$67,"ALERT",IF(Dashboard_Funding_Concentration!H37&gt;=_config!$B$67,"WATCH","OK")))</f>
        <v/>
      </c>
      <c r="BJ34" s="28">
        <f>IF(NOT(ISNUMBER(Dashboard_Funding_Concentration!I37)),"",IF(Dashboard_Funding_Concentration!I37&gt;=_config!$C$68,"ALERT",IF(Dashboard_Funding_Concentration!I37&gt;=_config!$B$68,"WATCH","OK")))</f>
        <v/>
      </c>
      <c r="BL34" s="28">
        <f>IF(NOT(ISNUMBER($E34)),"",$E34*10000+IF(ISNUMBER($D34),$D34,0))</f>
        <v/>
      </c>
    </row>
    <row r="35">
      <c r="A35" s="14">
        <f>IF(_config!$C$102="","",_config!$C$102)</f>
        <v/>
      </c>
      <c r="B35" s="25">
        <f>IF(_config!$B$102="","",_config!$B$102)</f>
        <v/>
      </c>
      <c r="C35" s="16">
        <f>IF(_config!$D$102="","",_config!$D$102)</f>
        <v/>
      </c>
      <c r="D35" s="26">
        <f>IF(Dashboard_AssetQuality!I38="","",Dashboard_AssetQuality!I38)</f>
        <v/>
      </c>
      <c r="E35" s="27">
        <f>IF($A35="","",COUNTIF($J35:$BJ35,"ALERT"))</f>
        <v/>
      </c>
      <c r="F35" s="27">
        <f>IF($A35="","",COUNTIF($J35:$BJ35,"WATCH"))</f>
        <v/>
      </c>
      <c r="G35" s="27">
        <f>IF($BL35="","",RANK($BL35,$BL$5:$BL$44))</f>
        <v/>
      </c>
      <c r="H35" s="27">
        <f>IF(_config!$C$102="","",IF(NOT(ISNUMBER(_config!$B$102)),"REFUSED: blank/invalid CERT -- run --lookup",IF(UPPER(_config!$E$102&amp;"")&lt;&gt;"TRUE","OFF",IF($E35&gt;0,"ALERT",IF($F35&gt;0,"WATCH","OK")))))</f>
        <v/>
      </c>
      <c r="J35" s="28">
        <f>IF(NOT(ISNUMBER(Dashboard_AssetQuality!D38)),"",IF(Dashboard_AssetQuality!D38&gt;=_config!$C$16,"ALERT",IF(Dashboard_AssetQuality!D38&gt;=_config!$B$16,"WATCH","OK")))</f>
        <v/>
      </c>
      <c r="K35" s="28">
        <f>IF(NOT(ISNUMBER(Dashboard_AssetQuality!E38)),"",IF(Dashboard_AssetQuality!E38&gt;=_config!$C$17,"ALERT",IF(Dashboard_AssetQuality!E38&gt;=_config!$B$17,"WATCH","OK")))</f>
        <v/>
      </c>
      <c r="L35" s="28">
        <f>IF(NOT(ISNUMBER(Dashboard_AssetQuality!F38)),"",IF(Dashboard_AssetQuality!F38&gt;=_config!$C$18,"ALERT",IF(Dashboard_AssetQuality!F38&gt;=_config!$B$18,"WATCH","OK")))</f>
        <v/>
      </c>
      <c r="M35" s="28">
        <f>IF(NOT(ISNUMBER(Dashboard_AssetQuality!G38)),"",IF(Dashboard_AssetQuality!G38&lt;=_config!$C$19,"ALERT",IF(Dashboard_AssetQuality!G38&lt;=_config!$B$19,"WATCH","OK")))</f>
        <v/>
      </c>
      <c r="N35" s="28">
        <f>IF(NOT(ISNUMBER(Dashboard_AssetQuality!H38)),"",IF(Dashboard_AssetQuality!H38&lt;=_config!$C$20,"ALERT",IF(Dashboard_AssetQuality!H38&lt;=_config!$B$20,"WATCH","OK")))</f>
        <v/>
      </c>
      <c r="O35" s="28">
        <f>IF(NOT(ISNUMBER(Dashboard_AssetQuality!I38)),"",IF(Dashboard_AssetQuality!I38&gt;=_config!$C$21,"ALERT",IF(Dashboard_AssetQuality!I38&gt;=_config!$B$21,"WATCH","OK")))</f>
        <v/>
      </c>
      <c r="P35" s="28">
        <f>IF(NOT(ISNUMBER(Dashboard_Capital_Earnings!D38)),"",IF(Dashboard_Capital_Earnings!D38&lt;=_config!$C$22,"ALERT",IF(Dashboard_Capital_Earnings!D38&lt;=_config!$B$22,"WATCH","OK")))</f>
        <v/>
      </c>
      <c r="Q35" s="28">
        <f>IF(NOT(ISNUMBER(Dashboard_Capital_Earnings!E38)),"",IF(Dashboard_Capital_Earnings!E38&lt;=_config!$C$23,"ALERT",IF(Dashboard_Capital_Earnings!E38&lt;=_config!$B$23,"WATCH","OK")))</f>
        <v/>
      </c>
      <c r="R35" s="28">
        <f>IF(NOT(ISNUMBER(Dashboard_Capital_Earnings!F38)),"",IF(Dashboard_Capital_Earnings!F38&lt;=_config!$C$24,"ALERT",IF(Dashboard_Capital_Earnings!F38&lt;=_config!$B$24,"WATCH","OK")))</f>
        <v/>
      </c>
      <c r="S35" s="28">
        <f>IF(NOT(ISNUMBER(Dashboard_Capital_Earnings!G38)),"",IF(Dashboard_Capital_Earnings!G38&lt;=_config!$C$25,"ALERT",IF(Dashboard_Capital_Earnings!G38&lt;=_config!$B$25,"WATCH","OK")))</f>
        <v/>
      </c>
      <c r="T35" s="28">
        <f>IF(NOT(ISNUMBER(Dashboard_Capital_Earnings!H38)),"",IF(Dashboard_Capital_Earnings!H38&lt;=_config!$C$26,"ALERT",IF(Dashboard_Capital_Earnings!H38&lt;=_config!$B$26,"WATCH","OK")))</f>
        <v/>
      </c>
      <c r="U35" s="28">
        <f>IF(NOT(ISNUMBER(Dashboard_Capital_Earnings!I38)),"",IF(Dashboard_Capital_Earnings!I38&gt;=_config!$C$27,"ALERT",IF(Dashboard_Capital_Earnings!I38&gt;=_config!$B$27,"WATCH","OK")))</f>
        <v/>
      </c>
      <c r="V35" s="28">
        <f>IF(NOT(ISNUMBER(Dashboard_Funding_Concentration!D38)),"",IF(Dashboard_Funding_Concentration!D38&gt;=_config!$C$28,"ALERT",IF(Dashboard_Funding_Concentration!D38&gt;=_config!$B$28,"WATCH","OK")))</f>
        <v/>
      </c>
      <c r="W35" s="28">
        <f>IF(NOT(ISNUMBER(Dashboard_Funding_Concentration!E38)),"",IF(Dashboard_Funding_Concentration!E38&gt;=_config!$C$29,"ALERT",IF(Dashboard_Funding_Concentration!E38&gt;=_config!$B$29,"WATCH","OK")))</f>
        <v/>
      </c>
      <c r="X35" s="28">
        <f>IF(NOT(ISNUMBER(Dashboard_Funding_Concentration!F38)),"",IF(Dashboard_Funding_Concentration!F38&gt;=_config!$C$30,"ALERT",IF(Dashboard_Funding_Concentration!F38&gt;=_config!$B$30,"WATCH","OK")))</f>
        <v/>
      </c>
      <c r="Y35" s="28">
        <f>IF(NOT(ISNUMBER(Dashboard_LoanBook!D38)),"",IF(Dashboard_LoanBook!D38&gt;=_config!$C$31,"ALERT",IF(Dashboard_LoanBook!D38&gt;=_config!$B$31,"WATCH","OK")))</f>
        <v/>
      </c>
      <c r="Z35" s="28">
        <f>IF(NOT(ISNUMBER(Dashboard_LoanBook!E38)),"",IF(Dashboard_LoanBook!E38&gt;=_config!$C$32,"ALERT",IF(Dashboard_LoanBook!E38&gt;=_config!$B$32,"WATCH","OK")))</f>
        <v/>
      </c>
      <c r="AA35" s="28">
        <f>IF(NOT(ISNUMBER(Dashboard_LoanBook!F38)),"",IF(Dashboard_LoanBook!F38&gt;=_config!$C$33,"ALERT",IF(Dashboard_LoanBook!F38&gt;=_config!$B$33,"WATCH","OK")))</f>
        <v/>
      </c>
      <c r="AB35" s="28">
        <f>IF(NOT(ISNUMBER(Dashboard_LoanBook!G38)),"",IF(Dashboard_LoanBook!G38&gt;=_config!$C$34,"ALERT",IF(Dashboard_LoanBook!G38&gt;=_config!$B$34,"WATCH","OK")))</f>
        <v/>
      </c>
      <c r="AC35" s="28">
        <f>IF(NOT(ISNUMBER(Dashboard_LoanBook!H38)),"",IF(Dashboard_LoanBook!H38&gt;=_config!$C$35,"ALERT",IF(Dashboard_LoanBook!H38&gt;=_config!$B$35,"WATCH","OK")))</f>
        <v/>
      </c>
      <c r="AD35" s="28">
        <f>IF(NOT(ISNUMBER(Dashboard_LoanBook!I38)),"",IF(Dashboard_LoanBook!I38&gt;=_config!$C$36,"ALERT",IF(Dashboard_LoanBook!I38&gt;=_config!$B$36,"WATCH","OK")))</f>
        <v/>
      </c>
      <c r="AE35" s="28">
        <f>IF(NOT(ISNUMBER(Dashboard_LoanBook!J38)),"",IF(Dashboard_LoanBook!J38&gt;=_config!$C$37,"ALERT",IF(Dashboard_LoanBook!J38&gt;=_config!$B$37,"WATCH","OK")))</f>
        <v/>
      </c>
      <c r="AF35" s="28">
        <f>IF(NOT(ISNUMBER(Dashboard_LoanBook!K38)),"",IF(Dashboard_LoanBook!K38&gt;=_config!$C$38,"ALERT",IF(Dashboard_LoanBook!K38&gt;=_config!$B$38,"WATCH","OK")))</f>
        <v/>
      </c>
      <c r="AG35" s="28">
        <f>IF(NOT(ISNUMBER(Dashboard_LoanBook!L38)),"",IF(Dashboard_LoanBook!L38&gt;=_config!$C$39,"ALERT",IF(Dashboard_LoanBook!L38&gt;=_config!$B$39,"WATCH","OK")))</f>
        <v/>
      </c>
      <c r="AH35" s="28">
        <f>IF(NOT(ISNUMBER(Dashboard_LoanBook!M38)),"",IF(Dashboard_LoanBook!M38&gt;=_config!$C$40,"ALERT",IF(Dashboard_LoanBook!M38&gt;=_config!$B$40,"WATCH","OK")))</f>
        <v/>
      </c>
      <c r="AI35" s="28">
        <f>IF(NOT(ISNUMBER(Dashboard_LoanBook!N38)),"",IF(Dashboard_LoanBook!N38&gt;=_config!$C$41,"ALERT",IF(Dashboard_LoanBook!N38&gt;=_config!$B$41,"WATCH","OK")))</f>
        <v/>
      </c>
      <c r="AJ35" s="28">
        <f>IF(NOT(ISNUMBER(Dashboard_LoanBook!O38)),"",IF(Dashboard_LoanBook!O38&gt;=_config!$C$42,"ALERT",IF(Dashboard_LoanBook!O38&gt;=_config!$B$42,"WATCH","OK")))</f>
        <v/>
      </c>
      <c r="AK35" s="28">
        <f>IF(NOT(ISNUMBER(Dashboard_LoanBook!P38)),"",IF(Dashboard_LoanBook!P38&gt;=_config!$C$43,"ALERT",IF(Dashboard_LoanBook!P38&gt;=_config!$B$43,"WATCH","OK")))</f>
        <v/>
      </c>
      <c r="AL35" s="28">
        <f>IF(NOT(ISNUMBER(Dashboard_LoanBook!Q38)),"",IF(Dashboard_LoanBook!Q38&gt;=_config!$C$44,"ALERT",IF(Dashboard_LoanBook!Q38&gt;=_config!$B$44,"WATCH","OK")))</f>
        <v/>
      </c>
      <c r="AM35" s="28">
        <f>IF(NOT(ISNUMBER(Dashboard_LoanBook!R38)),"",IF(Dashboard_LoanBook!R38&gt;=_config!$C$45,"ALERT",IF(Dashboard_LoanBook!R38&gt;=_config!$B$45,"WATCH","OK")))</f>
        <v/>
      </c>
      <c r="AN35" s="28">
        <f>IF(NOT(ISNUMBER(Dashboard_LoanBook!S38)),"",IF(Dashboard_LoanBook!S38&gt;=_config!$C$46,"ALERT",IF(Dashboard_LoanBook!S38&gt;=_config!$B$46,"WATCH","OK")))</f>
        <v/>
      </c>
      <c r="AO35" s="28">
        <f>IF(NOT(ISNUMBER(Dashboard_LoanBook!T38)),"",IF(Dashboard_LoanBook!T38&gt;=_config!$C$47,"ALERT",IF(Dashboard_LoanBook!T38&gt;=_config!$B$47,"WATCH","OK")))</f>
        <v/>
      </c>
      <c r="AP35" s="28">
        <f>IF(NOT(ISNUMBER(Dashboard_LoanBook!U38)),"",IF(Dashboard_LoanBook!U38&gt;=_config!$C$48,"ALERT",IF(Dashboard_LoanBook!U38&gt;=_config!$B$48,"WATCH","OK")))</f>
        <v/>
      </c>
      <c r="AQ35" s="28">
        <f>IF(NOT(ISNUMBER(Dashboard_LoanBook!V38)),"",IF(Dashboard_LoanBook!V38&gt;=_config!$C$49,"ALERT",IF(Dashboard_LoanBook!V38&gt;=_config!$B$49,"WATCH","OK")))</f>
        <v/>
      </c>
      <c r="AR35" s="28">
        <f>IF(NOT(ISNUMBER(Dashboard_LoanBook!D82)),"",IF(Dashboard_LoanBook!D82&gt;=_config!$C$50,"ALERT",IF(Dashboard_LoanBook!D82&gt;=_config!$B$50,"WATCH","OK")))</f>
        <v/>
      </c>
      <c r="AS35" s="28">
        <f>IF(NOT(ISNUMBER(Dashboard_LoanBook!E82)),"",IF(Dashboard_LoanBook!E82&gt;=_config!$C$51,"ALERT",IF(Dashboard_LoanBook!E82&gt;=_config!$B$51,"WATCH","OK")))</f>
        <v/>
      </c>
      <c r="AT35" s="28">
        <f>IF(NOT(ISNUMBER(Dashboard_LoanBook!F82)),"",IF(Dashboard_LoanBook!F82&gt;=_config!$C$52,"ALERT",IF(Dashboard_LoanBook!F82&gt;=_config!$B$52,"WATCH","OK")))</f>
        <v/>
      </c>
      <c r="AU35" s="28">
        <f>IF(NOT(ISNUMBER(Dashboard_LoanBook!G82)),"",IF(Dashboard_LoanBook!G82&gt;=_config!$C$53,"ALERT",IF(Dashboard_LoanBook!G82&gt;=_config!$B$53,"WATCH","OK")))</f>
        <v/>
      </c>
      <c r="AV35" s="28">
        <f>IF(NOT(ISNUMBER(Dashboard_LoanBook!H82)),"",IF(Dashboard_LoanBook!H82&gt;=_config!$C$54,"ALERT",IF(Dashboard_LoanBook!H82&gt;=_config!$B$54,"WATCH","OK")))</f>
        <v/>
      </c>
      <c r="AW35" s="28">
        <f>IF(NOT(ISNUMBER(Dashboard_LoanBook!I82)),"",IF(Dashboard_LoanBook!I82&gt;=_config!$C$55,"ALERT",IF(Dashboard_LoanBook!I82&gt;=_config!$B$55,"WATCH","OK")))</f>
        <v/>
      </c>
      <c r="AX35" s="28">
        <f>IF(NOT(ISNUMBER(Dashboard_LoanBook!J82)),"",IF(Dashboard_LoanBook!J82&gt;=_config!$C$56,"ALERT",IF(Dashboard_LoanBook!J82&gt;=_config!$B$56,"WATCH","OK")))</f>
        <v/>
      </c>
      <c r="AY35" s="28">
        <f>IF(NOT(ISNUMBER(Dashboard_LoanBook!K82)),"",IF(Dashboard_LoanBook!K82&gt;=_config!$C$57,"ALERT",IF(Dashboard_LoanBook!K82&gt;=_config!$B$57,"WATCH","OK")))</f>
        <v/>
      </c>
      <c r="AZ35" s="28">
        <f>IF(NOT(ISNUMBER(Dashboard_LoanBook!L82)),"",IF(Dashboard_LoanBook!L82&gt;=_config!$C$58,"ALERT",IF(Dashboard_LoanBook!L82&gt;=_config!$B$58,"WATCH","OK")))</f>
        <v/>
      </c>
      <c r="BA35" s="28">
        <f>IF(NOT(ISNUMBER(Dashboard_LoanBook!M82)),"",IF(Dashboard_LoanBook!M82&gt;=_config!$C$59,"ALERT",IF(Dashboard_LoanBook!M82&gt;=_config!$B$59,"WATCH","OK")))</f>
        <v/>
      </c>
      <c r="BB35" s="28">
        <f>IF(NOT(ISNUMBER(Dashboard_LoanBook!N82)),"",IF(Dashboard_LoanBook!N82&gt;=_config!$C$60,"ALERT",IF(Dashboard_LoanBook!N82&gt;=_config!$B$60,"WATCH","OK")))</f>
        <v/>
      </c>
      <c r="BC35" s="28">
        <f>IF(NOT(ISNUMBER(Dashboard_LoanBook!O82)),"",IF(Dashboard_LoanBook!O82&gt;=_config!$C$61,"ALERT",IF(Dashboard_LoanBook!O82&gt;=_config!$B$61,"WATCH","OK")))</f>
        <v/>
      </c>
      <c r="BD35" s="28">
        <f>IF(NOT(ISNUMBER(Dashboard_LoanBook!P82)),"",IF(Dashboard_LoanBook!P82&gt;=_config!$C$62,"ALERT",IF(Dashboard_LoanBook!P82&gt;=_config!$B$62,"WATCH","OK")))</f>
        <v/>
      </c>
      <c r="BE35" s="28">
        <f>IF(NOT(ISNUMBER(Dashboard_LoanBook!Q82)),"",IF(Dashboard_LoanBook!Q82&gt;=_config!$C$63,"ALERT",IF(Dashboard_LoanBook!Q82&gt;=_config!$B$63,"WATCH","OK")))</f>
        <v/>
      </c>
      <c r="BF35" s="28">
        <f>IF(NOT(ISNUMBER(Dashboard_LoanBook!R82)),"",IF(Dashboard_LoanBook!R82&gt;=_config!$C$64,"ALERT",IF(Dashboard_LoanBook!R82&gt;=_config!$B$64,"WATCH","OK")))</f>
        <v/>
      </c>
      <c r="BG35" s="28">
        <f>IF(NOT(ISNUMBER(Dashboard_LoanBook!S82)),"",IF(Dashboard_LoanBook!S82&gt;=_config!$C$65,"ALERT",IF(Dashboard_LoanBook!S82&gt;=_config!$B$65,"WATCH","OK")))</f>
        <v/>
      </c>
      <c r="BH35" s="28">
        <f>IF(NOT(ISNUMBER(Dashboard_Funding_Concentration!G38)),"",IF(Dashboard_Funding_Concentration!G38&gt;=_config!$C$66,"ALERT",IF(Dashboard_Funding_Concentration!G38&gt;=_config!$B$66,"WATCH","OK")))</f>
        <v/>
      </c>
      <c r="BI35" s="28">
        <f>IF(NOT(ISNUMBER(Dashboard_Funding_Concentration!H38)),"",IF(Dashboard_Funding_Concentration!H38&gt;=_config!$C$67,"ALERT",IF(Dashboard_Funding_Concentration!H38&gt;=_config!$B$67,"WATCH","OK")))</f>
        <v/>
      </c>
      <c r="BJ35" s="28">
        <f>IF(NOT(ISNUMBER(Dashboard_Funding_Concentration!I38)),"",IF(Dashboard_Funding_Concentration!I38&gt;=_config!$C$68,"ALERT",IF(Dashboard_Funding_Concentration!I38&gt;=_config!$B$68,"WATCH","OK")))</f>
        <v/>
      </c>
      <c r="BL35" s="28">
        <f>IF(NOT(ISNUMBER($E35)),"",$E35*10000+IF(ISNUMBER($D35),$D35,0))</f>
        <v/>
      </c>
    </row>
    <row r="36">
      <c r="A36" s="14">
        <f>IF(_config!$C$103="","",_config!$C$103)</f>
        <v/>
      </c>
      <c r="B36" s="25">
        <f>IF(_config!$B$103="","",_config!$B$103)</f>
        <v/>
      </c>
      <c r="C36" s="16">
        <f>IF(_config!$D$103="","",_config!$D$103)</f>
        <v/>
      </c>
      <c r="D36" s="26">
        <f>IF(Dashboard_AssetQuality!I39="","",Dashboard_AssetQuality!I39)</f>
        <v/>
      </c>
      <c r="E36" s="27">
        <f>IF($A36="","",COUNTIF($J36:$BJ36,"ALERT"))</f>
        <v/>
      </c>
      <c r="F36" s="27">
        <f>IF($A36="","",COUNTIF($J36:$BJ36,"WATCH"))</f>
        <v/>
      </c>
      <c r="G36" s="27">
        <f>IF($BL36="","",RANK($BL36,$BL$5:$BL$44))</f>
        <v/>
      </c>
      <c r="H36" s="27">
        <f>IF(_config!$C$103="","",IF(NOT(ISNUMBER(_config!$B$103)),"REFUSED: blank/invalid CERT -- run --lookup",IF(UPPER(_config!$E$103&amp;"")&lt;&gt;"TRUE","OFF",IF($E36&gt;0,"ALERT",IF($F36&gt;0,"WATCH","OK")))))</f>
        <v/>
      </c>
      <c r="J36" s="28">
        <f>IF(NOT(ISNUMBER(Dashboard_AssetQuality!D39)),"",IF(Dashboard_AssetQuality!D39&gt;=_config!$C$16,"ALERT",IF(Dashboard_AssetQuality!D39&gt;=_config!$B$16,"WATCH","OK")))</f>
        <v/>
      </c>
      <c r="K36" s="28">
        <f>IF(NOT(ISNUMBER(Dashboard_AssetQuality!E39)),"",IF(Dashboard_AssetQuality!E39&gt;=_config!$C$17,"ALERT",IF(Dashboard_AssetQuality!E39&gt;=_config!$B$17,"WATCH","OK")))</f>
        <v/>
      </c>
      <c r="L36" s="28">
        <f>IF(NOT(ISNUMBER(Dashboard_AssetQuality!F39)),"",IF(Dashboard_AssetQuality!F39&gt;=_config!$C$18,"ALERT",IF(Dashboard_AssetQuality!F39&gt;=_config!$B$18,"WATCH","OK")))</f>
        <v/>
      </c>
      <c r="M36" s="28">
        <f>IF(NOT(ISNUMBER(Dashboard_AssetQuality!G39)),"",IF(Dashboard_AssetQuality!G39&lt;=_config!$C$19,"ALERT",IF(Dashboard_AssetQuality!G39&lt;=_config!$B$19,"WATCH","OK")))</f>
        <v/>
      </c>
      <c r="N36" s="28">
        <f>IF(NOT(ISNUMBER(Dashboard_AssetQuality!H39)),"",IF(Dashboard_AssetQuality!H39&lt;=_config!$C$20,"ALERT",IF(Dashboard_AssetQuality!H39&lt;=_config!$B$20,"WATCH","OK")))</f>
        <v/>
      </c>
      <c r="O36" s="28">
        <f>IF(NOT(ISNUMBER(Dashboard_AssetQuality!I39)),"",IF(Dashboard_AssetQuality!I39&gt;=_config!$C$21,"ALERT",IF(Dashboard_AssetQuality!I39&gt;=_config!$B$21,"WATCH","OK")))</f>
        <v/>
      </c>
      <c r="P36" s="28">
        <f>IF(NOT(ISNUMBER(Dashboard_Capital_Earnings!D39)),"",IF(Dashboard_Capital_Earnings!D39&lt;=_config!$C$22,"ALERT",IF(Dashboard_Capital_Earnings!D39&lt;=_config!$B$22,"WATCH","OK")))</f>
        <v/>
      </c>
      <c r="Q36" s="28">
        <f>IF(NOT(ISNUMBER(Dashboard_Capital_Earnings!E39)),"",IF(Dashboard_Capital_Earnings!E39&lt;=_config!$C$23,"ALERT",IF(Dashboard_Capital_Earnings!E39&lt;=_config!$B$23,"WATCH","OK")))</f>
        <v/>
      </c>
      <c r="R36" s="28">
        <f>IF(NOT(ISNUMBER(Dashboard_Capital_Earnings!F39)),"",IF(Dashboard_Capital_Earnings!F39&lt;=_config!$C$24,"ALERT",IF(Dashboard_Capital_Earnings!F39&lt;=_config!$B$24,"WATCH","OK")))</f>
        <v/>
      </c>
      <c r="S36" s="28">
        <f>IF(NOT(ISNUMBER(Dashboard_Capital_Earnings!G39)),"",IF(Dashboard_Capital_Earnings!G39&lt;=_config!$C$25,"ALERT",IF(Dashboard_Capital_Earnings!G39&lt;=_config!$B$25,"WATCH","OK")))</f>
        <v/>
      </c>
      <c r="T36" s="28">
        <f>IF(NOT(ISNUMBER(Dashboard_Capital_Earnings!H39)),"",IF(Dashboard_Capital_Earnings!H39&lt;=_config!$C$26,"ALERT",IF(Dashboard_Capital_Earnings!H39&lt;=_config!$B$26,"WATCH","OK")))</f>
        <v/>
      </c>
      <c r="U36" s="28">
        <f>IF(NOT(ISNUMBER(Dashboard_Capital_Earnings!I39)),"",IF(Dashboard_Capital_Earnings!I39&gt;=_config!$C$27,"ALERT",IF(Dashboard_Capital_Earnings!I39&gt;=_config!$B$27,"WATCH","OK")))</f>
        <v/>
      </c>
      <c r="V36" s="28">
        <f>IF(NOT(ISNUMBER(Dashboard_Funding_Concentration!D39)),"",IF(Dashboard_Funding_Concentration!D39&gt;=_config!$C$28,"ALERT",IF(Dashboard_Funding_Concentration!D39&gt;=_config!$B$28,"WATCH","OK")))</f>
        <v/>
      </c>
      <c r="W36" s="28">
        <f>IF(NOT(ISNUMBER(Dashboard_Funding_Concentration!E39)),"",IF(Dashboard_Funding_Concentration!E39&gt;=_config!$C$29,"ALERT",IF(Dashboard_Funding_Concentration!E39&gt;=_config!$B$29,"WATCH","OK")))</f>
        <v/>
      </c>
      <c r="X36" s="28">
        <f>IF(NOT(ISNUMBER(Dashboard_Funding_Concentration!F39)),"",IF(Dashboard_Funding_Concentration!F39&gt;=_config!$C$30,"ALERT",IF(Dashboard_Funding_Concentration!F39&gt;=_config!$B$30,"WATCH","OK")))</f>
        <v/>
      </c>
      <c r="Y36" s="28">
        <f>IF(NOT(ISNUMBER(Dashboard_LoanBook!D39)),"",IF(Dashboard_LoanBook!D39&gt;=_config!$C$31,"ALERT",IF(Dashboard_LoanBook!D39&gt;=_config!$B$31,"WATCH","OK")))</f>
        <v/>
      </c>
      <c r="Z36" s="28">
        <f>IF(NOT(ISNUMBER(Dashboard_LoanBook!E39)),"",IF(Dashboard_LoanBook!E39&gt;=_config!$C$32,"ALERT",IF(Dashboard_LoanBook!E39&gt;=_config!$B$32,"WATCH","OK")))</f>
        <v/>
      </c>
      <c r="AA36" s="28">
        <f>IF(NOT(ISNUMBER(Dashboard_LoanBook!F39)),"",IF(Dashboard_LoanBook!F39&gt;=_config!$C$33,"ALERT",IF(Dashboard_LoanBook!F39&gt;=_config!$B$33,"WATCH","OK")))</f>
        <v/>
      </c>
      <c r="AB36" s="28">
        <f>IF(NOT(ISNUMBER(Dashboard_LoanBook!G39)),"",IF(Dashboard_LoanBook!G39&gt;=_config!$C$34,"ALERT",IF(Dashboard_LoanBook!G39&gt;=_config!$B$34,"WATCH","OK")))</f>
        <v/>
      </c>
      <c r="AC36" s="28">
        <f>IF(NOT(ISNUMBER(Dashboard_LoanBook!H39)),"",IF(Dashboard_LoanBook!H39&gt;=_config!$C$35,"ALERT",IF(Dashboard_LoanBook!H39&gt;=_config!$B$35,"WATCH","OK")))</f>
        <v/>
      </c>
      <c r="AD36" s="28">
        <f>IF(NOT(ISNUMBER(Dashboard_LoanBook!I39)),"",IF(Dashboard_LoanBook!I39&gt;=_config!$C$36,"ALERT",IF(Dashboard_LoanBook!I39&gt;=_config!$B$36,"WATCH","OK")))</f>
        <v/>
      </c>
      <c r="AE36" s="28">
        <f>IF(NOT(ISNUMBER(Dashboard_LoanBook!J39)),"",IF(Dashboard_LoanBook!J39&gt;=_config!$C$37,"ALERT",IF(Dashboard_LoanBook!J39&gt;=_config!$B$37,"WATCH","OK")))</f>
        <v/>
      </c>
      <c r="AF36" s="28">
        <f>IF(NOT(ISNUMBER(Dashboard_LoanBook!K39)),"",IF(Dashboard_LoanBook!K39&gt;=_config!$C$38,"ALERT",IF(Dashboard_LoanBook!K39&gt;=_config!$B$38,"WATCH","OK")))</f>
        <v/>
      </c>
      <c r="AG36" s="28">
        <f>IF(NOT(ISNUMBER(Dashboard_LoanBook!L39)),"",IF(Dashboard_LoanBook!L39&gt;=_config!$C$39,"ALERT",IF(Dashboard_LoanBook!L39&gt;=_config!$B$39,"WATCH","OK")))</f>
        <v/>
      </c>
      <c r="AH36" s="28">
        <f>IF(NOT(ISNUMBER(Dashboard_LoanBook!M39)),"",IF(Dashboard_LoanBook!M39&gt;=_config!$C$40,"ALERT",IF(Dashboard_LoanBook!M39&gt;=_config!$B$40,"WATCH","OK")))</f>
        <v/>
      </c>
      <c r="AI36" s="28">
        <f>IF(NOT(ISNUMBER(Dashboard_LoanBook!N39)),"",IF(Dashboard_LoanBook!N39&gt;=_config!$C$41,"ALERT",IF(Dashboard_LoanBook!N39&gt;=_config!$B$41,"WATCH","OK")))</f>
        <v/>
      </c>
      <c r="AJ36" s="28">
        <f>IF(NOT(ISNUMBER(Dashboard_LoanBook!O39)),"",IF(Dashboard_LoanBook!O39&gt;=_config!$C$42,"ALERT",IF(Dashboard_LoanBook!O39&gt;=_config!$B$42,"WATCH","OK")))</f>
        <v/>
      </c>
      <c r="AK36" s="28">
        <f>IF(NOT(ISNUMBER(Dashboard_LoanBook!P39)),"",IF(Dashboard_LoanBook!P39&gt;=_config!$C$43,"ALERT",IF(Dashboard_LoanBook!P39&gt;=_config!$B$43,"WATCH","OK")))</f>
        <v/>
      </c>
      <c r="AL36" s="28">
        <f>IF(NOT(ISNUMBER(Dashboard_LoanBook!Q39)),"",IF(Dashboard_LoanBook!Q39&gt;=_config!$C$44,"ALERT",IF(Dashboard_LoanBook!Q39&gt;=_config!$B$44,"WATCH","OK")))</f>
        <v/>
      </c>
      <c r="AM36" s="28">
        <f>IF(NOT(ISNUMBER(Dashboard_LoanBook!R39)),"",IF(Dashboard_LoanBook!R39&gt;=_config!$C$45,"ALERT",IF(Dashboard_LoanBook!R39&gt;=_config!$B$45,"WATCH","OK")))</f>
        <v/>
      </c>
      <c r="AN36" s="28">
        <f>IF(NOT(ISNUMBER(Dashboard_LoanBook!S39)),"",IF(Dashboard_LoanBook!S39&gt;=_config!$C$46,"ALERT",IF(Dashboard_LoanBook!S39&gt;=_config!$B$46,"WATCH","OK")))</f>
        <v/>
      </c>
      <c r="AO36" s="28">
        <f>IF(NOT(ISNUMBER(Dashboard_LoanBook!T39)),"",IF(Dashboard_LoanBook!T39&gt;=_config!$C$47,"ALERT",IF(Dashboard_LoanBook!T39&gt;=_config!$B$47,"WATCH","OK")))</f>
        <v/>
      </c>
      <c r="AP36" s="28">
        <f>IF(NOT(ISNUMBER(Dashboard_LoanBook!U39)),"",IF(Dashboard_LoanBook!U39&gt;=_config!$C$48,"ALERT",IF(Dashboard_LoanBook!U39&gt;=_config!$B$48,"WATCH","OK")))</f>
        <v/>
      </c>
      <c r="AQ36" s="28">
        <f>IF(NOT(ISNUMBER(Dashboard_LoanBook!V39)),"",IF(Dashboard_LoanBook!V39&gt;=_config!$C$49,"ALERT",IF(Dashboard_LoanBook!V39&gt;=_config!$B$49,"WATCH","OK")))</f>
        <v/>
      </c>
      <c r="AR36" s="28">
        <f>IF(NOT(ISNUMBER(Dashboard_LoanBook!D83)),"",IF(Dashboard_LoanBook!D83&gt;=_config!$C$50,"ALERT",IF(Dashboard_LoanBook!D83&gt;=_config!$B$50,"WATCH","OK")))</f>
        <v/>
      </c>
      <c r="AS36" s="28">
        <f>IF(NOT(ISNUMBER(Dashboard_LoanBook!E83)),"",IF(Dashboard_LoanBook!E83&gt;=_config!$C$51,"ALERT",IF(Dashboard_LoanBook!E83&gt;=_config!$B$51,"WATCH","OK")))</f>
        <v/>
      </c>
      <c r="AT36" s="28">
        <f>IF(NOT(ISNUMBER(Dashboard_LoanBook!F83)),"",IF(Dashboard_LoanBook!F83&gt;=_config!$C$52,"ALERT",IF(Dashboard_LoanBook!F83&gt;=_config!$B$52,"WATCH","OK")))</f>
        <v/>
      </c>
      <c r="AU36" s="28">
        <f>IF(NOT(ISNUMBER(Dashboard_LoanBook!G83)),"",IF(Dashboard_LoanBook!G83&gt;=_config!$C$53,"ALERT",IF(Dashboard_LoanBook!G83&gt;=_config!$B$53,"WATCH","OK")))</f>
        <v/>
      </c>
      <c r="AV36" s="28">
        <f>IF(NOT(ISNUMBER(Dashboard_LoanBook!H83)),"",IF(Dashboard_LoanBook!H83&gt;=_config!$C$54,"ALERT",IF(Dashboard_LoanBook!H83&gt;=_config!$B$54,"WATCH","OK")))</f>
        <v/>
      </c>
      <c r="AW36" s="28">
        <f>IF(NOT(ISNUMBER(Dashboard_LoanBook!I83)),"",IF(Dashboard_LoanBook!I83&gt;=_config!$C$55,"ALERT",IF(Dashboard_LoanBook!I83&gt;=_config!$B$55,"WATCH","OK")))</f>
        <v/>
      </c>
      <c r="AX36" s="28">
        <f>IF(NOT(ISNUMBER(Dashboard_LoanBook!J83)),"",IF(Dashboard_LoanBook!J83&gt;=_config!$C$56,"ALERT",IF(Dashboard_LoanBook!J83&gt;=_config!$B$56,"WATCH","OK")))</f>
        <v/>
      </c>
      <c r="AY36" s="28">
        <f>IF(NOT(ISNUMBER(Dashboard_LoanBook!K83)),"",IF(Dashboard_LoanBook!K83&gt;=_config!$C$57,"ALERT",IF(Dashboard_LoanBook!K83&gt;=_config!$B$57,"WATCH","OK")))</f>
        <v/>
      </c>
      <c r="AZ36" s="28">
        <f>IF(NOT(ISNUMBER(Dashboard_LoanBook!L83)),"",IF(Dashboard_LoanBook!L83&gt;=_config!$C$58,"ALERT",IF(Dashboard_LoanBook!L83&gt;=_config!$B$58,"WATCH","OK")))</f>
        <v/>
      </c>
      <c r="BA36" s="28">
        <f>IF(NOT(ISNUMBER(Dashboard_LoanBook!M83)),"",IF(Dashboard_LoanBook!M83&gt;=_config!$C$59,"ALERT",IF(Dashboard_LoanBook!M83&gt;=_config!$B$59,"WATCH","OK")))</f>
        <v/>
      </c>
      <c r="BB36" s="28">
        <f>IF(NOT(ISNUMBER(Dashboard_LoanBook!N83)),"",IF(Dashboard_LoanBook!N83&gt;=_config!$C$60,"ALERT",IF(Dashboard_LoanBook!N83&gt;=_config!$B$60,"WATCH","OK")))</f>
        <v/>
      </c>
      <c r="BC36" s="28">
        <f>IF(NOT(ISNUMBER(Dashboard_LoanBook!O83)),"",IF(Dashboard_LoanBook!O83&gt;=_config!$C$61,"ALERT",IF(Dashboard_LoanBook!O83&gt;=_config!$B$61,"WATCH","OK")))</f>
        <v/>
      </c>
      <c r="BD36" s="28">
        <f>IF(NOT(ISNUMBER(Dashboard_LoanBook!P83)),"",IF(Dashboard_LoanBook!P83&gt;=_config!$C$62,"ALERT",IF(Dashboard_LoanBook!P83&gt;=_config!$B$62,"WATCH","OK")))</f>
        <v/>
      </c>
      <c r="BE36" s="28">
        <f>IF(NOT(ISNUMBER(Dashboard_LoanBook!Q83)),"",IF(Dashboard_LoanBook!Q83&gt;=_config!$C$63,"ALERT",IF(Dashboard_LoanBook!Q83&gt;=_config!$B$63,"WATCH","OK")))</f>
        <v/>
      </c>
      <c r="BF36" s="28">
        <f>IF(NOT(ISNUMBER(Dashboard_LoanBook!R83)),"",IF(Dashboard_LoanBook!R83&gt;=_config!$C$64,"ALERT",IF(Dashboard_LoanBook!R83&gt;=_config!$B$64,"WATCH","OK")))</f>
        <v/>
      </c>
      <c r="BG36" s="28">
        <f>IF(NOT(ISNUMBER(Dashboard_LoanBook!S83)),"",IF(Dashboard_LoanBook!S83&gt;=_config!$C$65,"ALERT",IF(Dashboard_LoanBook!S83&gt;=_config!$B$65,"WATCH","OK")))</f>
        <v/>
      </c>
      <c r="BH36" s="28">
        <f>IF(NOT(ISNUMBER(Dashboard_Funding_Concentration!G39)),"",IF(Dashboard_Funding_Concentration!G39&gt;=_config!$C$66,"ALERT",IF(Dashboard_Funding_Concentration!G39&gt;=_config!$B$66,"WATCH","OK")))</f>
        <v/>
      </c>
      <c r="BI36" s="28">
        <f>IF(NOT(ISNUMBER(Dashboard_Funding_Concentration!H39)),"",IF(Dashboard_Funding_Concentration!H39&gt;=_config!$C$67,"ALERT",IF(Dashboard_Funding_Concentration!H39&gt;=_config!$B$67,"WATCH","OK")))</f>
        <v/>
      </c>
      <c r="BJ36" s="28">
        <f>IF(NOT(ISNUMBER(Dashboard_Funding_Concentration!I39)),"",IF(Dashboard_Funding_Concentration!I39&gt;=_config!$C$68,"ALERT",IF(Dashboard_Funding_Concentration!I39&gt;=_config!$B$68,"WATCH","OK")))</f>
        <v/>
      </c>
      <c r="BL36" s="28">
        <f>IF(NOT(ISNUMBER($E36)),"",$E36*10000+IF(ISNUMBER($D36),$D36,0))</f>
        <v/>
      </c>
    </row>
    <row r="37">
      <c r="A37" s="14">
        <f>IF(_config!$C$104="","",_config!$C$104)</f>
        <v/>
      </c>
      <c r="B37" s="25">
        <f>IF(_config!$B$104="","",_config!$B$104)</f>
        <v/>
      </c>
      <c r="C37" s="16">
        <f>IF(_config!$D$104="","",_config!$D$104)</f>
        <v/>
      </c>
      <c r="D37" s="26">
        <f>IF(Dashboard_AssetQuality!I40="","",Dashboard_AssetQuality!I40)</f>
        <v/>
      </c>
      <c r="E37" s="27">
        <f>IF($A37="","",COUNTIF($J37:$BJ37,"ALERT"))</f>
        <v/>
      </c>
      <c r="F37" s="27">
        <f>IF($A37="","",COUNTIF($J37:$BJ37,"WATCH"))</f>
        <v/>
      </c>
      <c r="G37" s="27">
        <f>IF($BL37="","",RANK($BL37,$BL$5:$BL$44))</f>
        <v/>
      </c>
      <c r="H37" s="27">
        <f>IF(_config!$C$104="","",IF(NOT(ISNUMBER(_config!$B$104)),"REFUSED: blank/invalid CERT -- run --lookup",IF(UPPER(_config!$E$104&amp;"")&lt;&gt;"TRUE","OFF",IF($E37&gt;0,"ALERT",IF($F37&gt;0,"WATCH","OK")))))</f>
        <v/>
      </c>
      <c r="J37" s="28">
        <f>IF(NOT(ISNUMBER(Dashboard_AssetQuality!D40)),"",IF(Dashboard_AssetQuality!D40&gt;=_config!$C$16,"ALERT",IF(Dashboard_AssetQuality!D40&gt;=_config!$B$16,"WATCH","OK")))</f>
        <v/>
      </c>
      <c r="K37" s="28">
        <f>IF(NOT(ISNUMBER(Dashboard_AssetQuality!E40)),"",IF(Dashboard_AssetQuality!E40&gt;=_config!$C$17,"ALERT",IF(Dashboard_AssetQuality!E40&gt;=_config!$B$17,"WATCH","OK")))</f>
        <v/>
      </c>
      <c r="L37" s="28">
        <f>IF(NOT(ISNUMBER(Dashboard_AssetQuality!F40)),"",IF(Dashboard_AssetQuality!F40&gt;=_config!$C$18,"ALERT",IF(Dashboard_AssetQuality!F40&gt;=_config!$B$18,"WATCH","OK")))</f>
        <v/>
      </c>
      <c r="M37" s="28">
        <f>IF(NOT(ISNUMBER(Dashboard_AssetQuality!G40)),"",IF(Dashboard_AssetQuality!G40&lt;=_config!$C$19,"ALERT",IF(Dashboard_AssetQuality!G40&lt;=_config!$B$19,"WATCH","OK")))</f>
        <v/>
      </c>
      <c r="N37" s="28">
        <f>IF(NOT(ISNUMBER(Dashboard_AssetQuality!H40)),"",IF(Dashboard_AssetQuality!H40&lt;=_config!$C$20,"ALERT",IF(Dashboard_AssetQuality!H40&lt;=_config!$B$20,"WATCH","OK")))</f>
        <v/>
      </c>
      <c r="O37" s="28">
        <f>IF(NOT(ISNUMBER(Dashboard_AssetQuality!I40)),"",IF(Dashboard_AssetQuality!I40&gt;=_config!$C$21,"ALERT",IF(Dashboard_AssetQuality!I40&gt;=_config!$B$21,"WATCH","OK")))</f>
        <v/>
      </c>
      <c r="P37" s="28">
        <f>IF(NOT(ISNUMBER(Dashboard_Capital_Earnings!D40)),"",IF(Dashboard_Capital_Earnings!D40&lt;=_config!$C$22,"ALERT",IF(Dashboard_Capital_Earnings!D40&lt;=_config!$B$22,"WATCH","OK")))</f>
        <v/>
      </c>
      <c r="Q37" s="28">
        <f>IF(NOT(ISNUMBER(Dashboard_Capital_Earnings!E40)),"",IF(Dashboard_Capital_Earnings!E40&lt;=_config!$C$23,"ALERT",IF(Dashboard_Capital_Earnings!E40&lt;=_config!$B$23,"WATCH","OK")))</f>
        <v/>
      </c>
      <c r="R37" s="28">
        <f>IF(NOT(ISNUMBER(Dashboard_Capital_Earnings!F40)),"",IF(Dashboard_Capital_Earnings!F40&lt;=_config!$C$24,"ALERT",IF(Dashboard_Capital_Earnings!F40&lt;=_config!$B$24,"WATCH","OK")))</f>
        <v/>
      </c>
      <c r="S37" s="28">
        <f>IF(NOT(ISNUMBER(Dashboard_Capital_Earnings!G40)),"",IF(Dashboard_Capital_Earnings!G40&lt;=_config!$C$25,"ALERT",IF(Dashboard_Capital_Earnings!G40&lt;=_config!$B$25,"WATCH","OK")))</f>
        <v/>
      </c>
      <c r="T37" s="28">
        <f>IF(NOT(ISNUMBER(Dashboard_Capital_Earnings!H40)),"",IF(Dashboard_Capital_Earnings!H40&lt;=_config!$C$26,"ALERT",IF(Dashboard_Capital_Earnings!H40&lt;=_config!$B$26,"WATCH","OK")))</f>
        <v/>
      </c>
      <c r="U37" s="28">
        <f>IF(NOT(ISNUMBER(Dashboard_Capital_Earnings!I40)),"",IF(Dashboard_Capital_Earnings!I40&gt;=_config!$C$27,"ALERT",IF(Dashboard_Capital_Earnings!I40&gt;=_config!$B$27,"WATCH","OK")))</f>
        <v/>
      </c>
      <c r="V37" s="28">
        <f>IF(NOT(ISNUMBER(Dashboard_Funding_Concentration!D40)),"",IF(Dashboard_Funding_Concentration!D40&gt;=_config!$C$28,"ALERT",IF(Dashboard_Funding_Concentration!D40&gt;=_config!$B$28,"WATCH","OK")))</f>
        <v/>
      </c>
      <c r="W37" s="28">
        <f>IF(NOT(ISNUMBER(Dashboard_Funding_Concentration!E40)),"",IF(Dashboard_Funding_Concentration!E40&gt;=_config!$C$29,"ALERT",IF(Dashboard_Funding_Concentration!E40&gt;=_config!$B$29,"WATCH","OK")))</f>
        <v/>
      </c>
      <c r="X37" s="28">
        <f>IF(NOT(ISNUMBER(Dashboard_Funding_Concentration!F40)),"",IF(Dashboard_Funding_Concentration!F40&gt;=_config!$C$30,"ALERT",IF(Dashboard_Funding_Concentration!F40&gt;=_config!$B$30,"WATCH","OK")))</f>
        <v/>
      </c>
      <c r="Y37" s="28">
        <f>IF(NOT(ISNUMBER(Dashboard_LoanBook!D40)),"",IF(Dashboard_LoanBook!D40&gt;=_config!$C$31,"ALERT",IF(Dashboard_LoanBook!D40&gt;=_config!$B$31,"WATCH","OK")))</f>
        <v/>
      </c>
      <c r="Z37" s="28">
        <f>IF(NOT(ISNUMBER(Dashboard_LoanBook!E40)),"",IF(Dashboard_LoanBook!E40&gt;=_config!$C$32,"ALERT",IF(Dashboard_LoanBook!E40&gt;=_config!$B$32,"WATCH","OK")))</f>
        <v/>
      </c>
      <c r="AA37" s="28">
        <f>IF(NOT(ISNUMBER(Dashboard_LoanBook!F40)),"",IF(Dashboard_LoanBook!F40&gt;=_config!$C$33,"ALERT",IF(Dashboard_LoanBook!F40&gt;=_config!$B$33,"WATCH","OK")))</f>
        <v/>
      </c>
      <c r="AB37" s="28">
        <f>IF(NOT(ISNUMBER(Dashboard_LoanBook!G40)),"",IF(Dashboard_LoanBook!G40&gt;=_config!$C$34,"ALERT",IF(Dashboard_LoanBook!G40&gt;=_config!$B$34,"WATCH","OK")))</f>
        <v/>
      </c>
      <c r="AC37" s="28">
        <f>IF(NOT(ISNUMBER(Dashboard_LoanBook!H40)),"",IF(Dashboard_LoanBook!H40&gt;=_config!$C$35,"ALERT",IF(Dashboard_LoanBook!H40&gt;=_config!$B$35,"WATCH","OK")))</f>
        <v/>
      </c>
      <c r="AD37" s="28">
        <f>IF(NOT(ISNUMBER(Dashboard_LoanBook!I40)),"",IF(Dashboard_LoanBook!I40&gt;=_config!$C$36,"ALERT",IF(Dashboard_LoanBook!I40&gt;=_config!$B$36,"WATCH","OK")))</f>
        <v/>
      </c>
      <c r="AE37" s="28">
        <f>IF(NOT(ISNUMBER(Dashboard_LoanBook!J40)),"",IF(Dashboard_LoanBook!J40&gt;=_config!$C$37,"ALERT",IF(Dashboard_LoanBook!J40&gt;=_config!$B$37,"WATCH","OK")))</f>
        <v/>
      </c>
      <c r="AF37" s="28">
        <f>IF(NOT(ISNUMBER(Dashboard_LoanBook!K40)),"",IF(Dashboard_LoanBook!K40&gt;=_config!$C$38,"ALERT",IF(Dashboard_LoanBook!K40&gt;=_config!$B$38,"WATCH","OK")))</f>
        <v/>
      </c>
      <c r="AG37" s="28">
        <f>IF(NOT(ISNUMBER(Dashboard_LoanBook!L40)),"",IF(Dashboard_LoanBook!L40&gt;=_config!$C$39,"ALERT",IF(Dashboard_LoanBook!L40&gt;=_config!$B$39,"WATCH","OK")))</f>
        <v/>
      </c>
      <c r="AH37" s="28">
        <f>IF(NOT(ISNUMBER(Dashboard_LoanBook!M40)),"",IF(Dashboard_LoanBook!M40&gt;=_config!$C$40,"ALERT",IF(Dashboard_LoanBook!M40&gt;=_config!$B$40,"WATCH","OK")))</f>
        <v/>
      </c>
      <c r="AI37" s="28">
        <f>IF(NOT(ISNUMBER(Dashboard_LoanBook!N40)),"",IF(Dashboard_LoanBook!N40&gt;=_config!$C$41,"ALERT",IF(Dashboard_LoanBook!N40&gt;=_config!$B$41,"WATCH","OK")))</f>
        <v/>
      </c>
      <c r="AJ37" s="28">
        <f>IF(NOT(ISNUMBER(Dashboard_LoanBook!O40)),"",IF(Dashboard_LoanBook!O40&gt;=_config!$C$42,"ALERT",IF(Dashboard_LoanBook!O40&gt;=_config!$B$42,"WATCH","OK")))</f>
        <v/>
      </c>
      <c r="AK37" s="28">
        <f>IF(NOT(ISNUMBER(Dashboard_LoanBook!P40)),"",IF(Dashboard_LoanBook!P40&gt;=_config!$C$43,"ALERT",IF(Dashboard_LoanBook!P40&gt;=_config!$B$43,"WATCH","OK")))</f>
        <v/>
      </c>
      <c r="AL37" s="28">
        <f>IF(NOT(ISNUMBER(Dashboard_LoanBook!Q40)),"",IF(Dashboard_LoanBook!Q40&gt;=_config!$C$44,"ALERT",IF(Dashboard_LoanBook!Q40&gt;=_config!$B$44,"WATCH","OK")))</f>
        <v/>
      </c>
      <c r="AM37" s="28">
        <f>IF(NOT(ISNUMBER(Dashboard_LoanBook!R40)),"",IF(Dashboard_LoanBook!R40&gt;=_config!$C$45,"ALERT",IF(Dashboard_LoanBook!R40&gt;=_config!$B$45,"WATCH","OK")))</f>
        <v/>
      </c>
      <c r="AN37" s="28">
        <f>IF(NOT(ISNUMBER(Dashboard_LoanBook!S40)),"",IF(Dashboard_LoanBook!S40&gt;=_config!$C$46,"ALERT",IF(Dashboard_LoanBook!S40&gt;=_config!$B$46,"WATCH","OK")))</f>
        <v/>
      </c>
      <c r="AO37" s="28">
        <f>IF(NOT(ISNUMBER(Dashboard_LoanBook!T40)),"",IF(Dashboard_LoanBook!T40&gt;=_config!$C$47,"ALERT",IF(Dashboard_LoanBook!T40&gt;=_config!$B$47,"WATCH","OK")))</f>
        <v/>
      </c>
      <c r="AP37" s="28">
        <f>IF(NOT(ISNUMBER(Dashboard_LoanBook!U40)),"",IF(Dashboard_LoanBook!U40&gt;=_config!$C$48,"ALERT",IF(Dashboard_LoanBook!U40&gt;=_config!$B$48,"WATCH","OK")))</f>
        <v/>
      </c>
      <c r="AQ37" s="28">
        <f>IF(NOT(ISNUMBER(Dashboard_LoanBook!V40)),"",IF(Dashboard_LoanBook!V40&gt;=_config!$C$49,"ALERT",IF(Dashboard_LoanBook!V40&gt;=_config!$B$49,"WATCH","OK")))</f>
        <v/>
      </c>
      <c r="AR37" s="28">
        <f>IF(NOT(ISNUMBER(Dashboard_LoanBook!D84)),"",IF(Dashboard_LoanBook!D84&gt;=_config!$C$50,"ALERT",IF(Dashboard_LoanBook!D84&gt;=_config!$B$50,"WATCH","OK")))</f>
        <v/>
      </c>
      <c r="AS37" s="28">
        <f>IF(NOT(ISNUMBER(Dashboard_LoanBook!E84)),"",IF(Dashboard_LoanBook!E84&gt;=_config!$C$51,"ALERT",IF(Dashboard_LoanBook!E84&gt;=_config!$B$51,"WATCH","OK")))</f>
        <v/>
      </c>
      <c r="AT37" s="28">
        <f>IF(NOT(ISNUMBER(Dashboard_LoanBook!F84)),"",IF(Dashboard_LoanBook!F84&gt;=_config!$C$52,"ALERT",IF(Dashboard_LoanBook!F84&gt;=_config!$B$52,"WATCH","OK")))</f>
        <v/>
      </c>
      <c r="AU37" s="28">
        <f>IF(NOT(ISNUMBER(Dashboard_LoanBook!G84)),"",IF(Dashboard_LoanBook!G84&gt;=_config!$C$53,"ALERT",IF(Dashboard_LoanBook!G84&gt;=_config!$B$53,"WATCH","OK")))</f>
        <v/>
      </c>
      <c r="AV37" s="28">
        <f>IF(NOT(ISNUMBER(Dashboard_LoanBook!H84)),"",IF(Dashboard_LoanBook!H84&gt;=_config!$C$54,"ALERT",IF(Dashboard_LoanBook!H84&gt;=_config!$B$54,"WATCH","OK")))</f>
        <v/>
      </c>
      <c r="AW37" s="28">
        <f>IF(NOT(ISNUMBER(Dashboard_LoanBook!I84)),"",IF(Dashboard_LoanBook!I84&gt;=_config!$C$55,"ALERT",IF(Dashboard_LoanBook!I84&gt;=_config!$B$55,"WATCH","OK")))</f>
        <v/>
      </c>
      <c r="AX37" s="28">
        <f>IF(NOT(ISNUMBER(Dashboard_LoanBook!J84)),"",IF(Dashboard_LoanBook!J84&gt;=_config!$C$56,"ALERT",IF(Dashboard_LoanBook!J84&gt;=_config!$B$56,"WATCH","OK")))</f>
        <v/>
      </c>
      <c r="AY37" s="28">
        <f>IF(NOT(ISNUMBER(Dashboard_LoanBook!K84)),"",IF(Dashboard_LoanBook!K84&gt;=_config!$C$57,"ALERT",IF(Dashboard_LoanBook!K84&gt;=_config!$B$57,"WATCH","OK")))</f>
        <v/>
      </c>
      <c r="AZ37" s="28">
        <f>IF(NOT(ISNUMBER(Dashboard_LoanBook!L84)),"",IF(Dashboard_LoanBook!L84&gt;=_config!$C$58,"ALERT",IF(Dashboard_LoanBook!L84&gt;=_config!$B$58,"WATCH","OK")))</f>
        <v/>
      </c>
      <c r="BA37" s="28">
        <f>IF(NOT(ISNUMBER(Dashboard_LoanBook!M84)),"",IF(Dashboard_LoanBook!M84&gt;=_config!$C$59,"ALERT",IF(Dashboard_LoanBook!M84&gt;=_config!$B$59,"WATCH","OK")))</f>
        <v/>
      </c>
      <c r="BB37" s="28">
        <f>IF(NOT(ISNUMBER(Dashboard_LoanBook!N84)),"",IF(Dashboard_LoanBook!N84&gt;=_config!$C$60,"ALERT",IF(Dashboard_LoanBook!N84&gt;=_config!$B$60,"WATCH","OK")))</f>
        <v/>
      </c>
      <c r="BC37" s="28">
        <f>IF(NOT(ISNUMBER(Dashboard_LoanBook!O84)),"",IF(Dashboard_LoanBook!O84&gt;=_config!$C$61,"ALERT",IF(Dashboard_LoanBook!O84&gt;=_config!$B$61,"WATCH","OK")))</f>
        <v/>
      </c>
      <c r="BD37" s="28">
        <f>IF(NOT(ISNUMBER(Dashboard_LoanBook!P84)),"",IF(Dashboard_LoanBook!P84&gt;=_config!$C$62,"ALERT",IF(Dashboard_LoanBook!P84&gt;=_config!$B$62,"WATCH","OK")))</f>
        <v/>
      </c>
      <c r="BE37" s="28">
        <f>IF(NOT(ISNUMBER(Dashboard_LoanBook!Q84)),"",IF(Dashboard_LoanBook!Q84&gt;=_config!$C$63,"ALERT",IF(Dashboard_LoanBook!Q84&gt;=_config!$B$63,"WATCH","OK")))</f>
        <v/>
      </c>
      <c r="BF37" s="28">
        <f>IF(NOT(ISNUMBER(Dashboard_LoanBook!R84)),"",IF(Dashboard_LoanBook!R84&gt;=_config!$C$64,"ALERT",IF(Dashboard_LoanBook!R84&gt;=_config!$B$64,"WATCH","OK")))</f>
        <v/>
      </c>
      <c r="BG37" s="28">
        <f>IF(NOT(ISNUMBER(Dashboard_LoanBook!S84)),"",IF(Dashboard_LoanBook!S84&gt;=_config!$C$65,"ALERT",IF(Dashboard_LoanBook!S84&gt;=_config!$B$65,"WATCH","OK")))</f>
        <v/>
      </c>
      <c r="BH37" s="28">
        <f>IF(NOT(ISNUMBER(Dashboard_Funding_Concentration!G40)),"",IF(Dashboard_Funding_Concentration!G40&gt;=_config!$C$66,"ALERT",IF(Dashboard_Funding_Concentration!G40&gt;=_config!$B$66,"WATCH","OK")))</f>
        <v/>
      </c>
      <c r="BI37" s="28">
        <f>IF(NOT(ISNUMBER(Dashboard_Funding_Concentration!H40)),"",IF(Dashboard_Funding_Concentration!H40&gt;=_config!$C$67,"ALERT",IF(Dashboard_Funding_Concentration!H40&gt;=_config!$B$67,"WATCH","OK")))</f>
        <v/>
      </c>
      <c r="BJ37" s="28">
        <f>IF(NOT(ISNUMBER(Dashboard_Funding_Concentration!I40)),"",IF(Dashboard_Funding_Concentration!I40&gt;=_config!$C$68,"ALERT",IF(Dashboard_Funding_Concentration!I40&gt;=_config!$B$68,"WATCH","OK")))</f>
        <v/>
      </c>
      <c r="BL37" s="28">
        <f>IF(NOT(ISNUMBER($E37)),"",$E37*10000+IF(ISNUMBER($D37),$D37,0))</f>
        <v/>
      </c>
    </row>
    <row r="38">
      <c r="A38" s="14">
        <f>IF(_config!$C$105="","",_config!$C$105)</f>
        <v/>
      </c>
      <c r="B38" s="25">
        <f>IF(_config!$B$105="","",_config!$B$105)</f>
        <v/>
      </c>
      <c r="C38" s="16">
        <f>IF(_config!$D$105="","",_config!$D$105)</f>
        <v/>
      </c>
      <c r="D38" s="26">
        <f>IF(Dashboard_AssetQuality!I41="","",Dashboard_AssetQuality!I41)</f>
        <v/>
      </c>
      <c r="E38" s="27">
        <f>IF($A38="","",COUNTIF($J38:$BJ38,"ALERT"))</f>
        <v/>
      </c>
      <c r="F38" s="27">
        <f>IF($A38="","",COUNTIF($J38:$BJ38,"WATCH"))</f>
        <v/>
      </c>
      <c r="G38" s="27">
        <f>IF($BL38="","",RANK($BL38,$BL$5:$BL$44))</f>
        <v/>
      </c>
      <c r="H38" s="27">
        <f>IF(_config!$C$105="","",IF(NOT(ISNUMBER(_config!$B$105)),"REFUSED: blank/invalid CERT -- run --lookup",IF(UPPER(_config!$E$105&amp;"")&lt;&gt;"TRUE","OFF",IF($E38&gt;0,"ALERT",IF($F38&gt;0,"WATCH","OK")))))</f>
        <v/>
      </c>
      <c r="J38" s="28">
        <f>IF(NOT(ISNUMBER(Dashboard_AssetQuality!D41)),"",IF(Dashboard_AssetQuality!D41&gt;=_config!$C$16,"ALERT",IF(Dashboard_AssetQuality!D41&gt;=_config!$B$16,"WATCH","OK")))</f>
        <v/>
      </c>
      <c r="K38" s="28">
        <f>IF(NOT(ISNUMBER(Dashboard_AssetQuality!E41)),"",IF(Dashboard_AssetQuality!E41&gt;=_config!$C$17,"ALERT",IF(Dashboard_AssetQuality!E41&gt;=_config!$B$17,"WATCH","OK")))</f>
        <v/>
      </c>
      <c r="L38" s="28">
        <f>IF(NOT(ISNUMBER(Dashboard_AssetQuality!F41)),"",IF(Dashboard_AssetQuality!F41&gt;=_config!$C$18,"ALERT",IF(Dashboard_AssetQuality!F41&gt;=_config!$B$18,"WATCH","OK")))</f>
        <v/>
      </c>
      <c r="M38" s="28">
        <f>IF(NOT(ISNUMBER(Dashboard_AssetQuality!G41)),"",IF(Dashboard_AssetQuality!G41&lt;=_config!$C$19,"ALERT",IF(Dashboard_AssetQuality!G41&lt;=_config!$B$19,"WATCH","OK")))</f>
        <v/>
      </c>
      <c r="N38" s="28">
        <f>IF(NOT(ISNUMBER(Dashboard_AssetQuality!H41)),"",IF(Dashboard_AssetQuality!H41&lt;=_config!$C$20,"ALERT",IF(Dashboard_AssetQuality!H41&lt;=_config!$B$20,"WATCH","OK")))</f>
        <v/>
      </c>
      <c r="O38" s="28">
        <f>IF(NOT(ISNUMBER(Dashboard_AssetQuality!I41)),"",IF(Dashboard_AssetQuality!I41&gt;=_config!$C$21,"ALERT",IF(Dashboard_AssetQuality!I41&gt;=_config!$B$21,"WATCH","OK")))</f>
        <v/>
      </c>
      <c r="P38" s="28">
        <f>IF(NOT(ISNUMBER(Dashboard_Capital_Earnings!D41)),"",IF(Dashboard_Capital_Earnings!D41&lt;=_config!$C$22,"ALERT",IF(Dashboard_Capital_Earnings!D41&lt;=_config!$B$22,"WATCH","OK")))</f>
        <v/>
      </c>
      <c r="Q38" s="28">
        <f>IF(NOT(ISNUMBER(Dashboard_Capital_Earnings!E41)),"",IF(Dashboard_Capital_Earnings!E41&lt;=_config!$C$23,"ALERT",IF(Dashboard_Capital_Earnings!E41&lt;=_config!$B$23,"WATCH","OK")))</f>
        <v/>
      </c>
      <c r="R38" s="28">
        <f>IF(NOT(ISNUMBER(Dashboard_Capital_Earnings!F41)),"",IF(Dashboard_Capital_Earnings!F41&lt;=_config!$C$24,"ALERT",IF(Dashboard_Capital_Earnings!F41&lt;=_config!$B$24,"WATCH","OK")))</f>
        <v/>
      </c>
      <c r="S38" s="28">
        <f>IF(NOT(ISNUMBER(Dashboard_Capital_Earnings!G41)),"",IF(Dashboard_Capital_Earnings!G41&lt;=_config!$C$25,"ALERT",IF(Dashboard_Capital_Earnings!G41&lt;=_config!$B$25,"WATCH","OK")))</f>
        <v/>
      </c>
      <c r="T38" s="28">
        <f>IF(NOT(ISNUMBER(Dashboard_Capital_Earnings!H41)),"",IF(Dashboard_Capital_Earnings!H41&lt;=_config!$C$26,"ALERT",IF(Dashboard_Capital_Earnings!H41&lt;=_config!$B$26,"WATCH","OK")))</f>
        <v/>
      </c>
      <c r="U38" s="28">
        <f>IF(NOT(ISNUMBER(Dashboard_Capital_Earnings!I41)),"",IF(Dashboard_Capital_Earnings!I41&gt;=_config!$C$27,"ALERT",IF(Dashboard_Capital_Earnings!I41&gt;=_config!$B$27,"WATCH","OK")))</f>
        <v/>
      </c>
      <c r="V38" s="28">
        <f>IF(NOT(ISNUMBER(Dashboard_Funding_Concentration!D41)),"",IF(Dashboard_Funding_Concentration!D41&gt;=_config!$C$28,"ALERT",IF(Dashboard_Funding_Concentration!D41&gt;=_config!$B$28,"WATCH","OK")))</f>
        <v/>
      </c>
      <c r="W38" s="28">
        <f>IF(NOT(ISNUMBER(Dashboard_Funding_Concentration!E41)),"",IF(Dashboard_Funding_Concentration!E41&gt;=_config!$C$29,"ALERT",IF(Dashboard_Funding_Concentration!E41&gt;=_config!$B$29,"WATCH","OK")))</f>
        <v/>
      </c>
      <c r="X38" s="28">
        <f>IF(NOT(ISNUMBER(Dashboard_Funding_Concentration!F41)),"",IF(Dashboard_Funding_Concentration!F41&gt;=_config!$C$30,"ALERT",IF(Dashboard_Funding_Concentration!F41&gt;=_config!$B$30,"WATCH","OK")))</f>
        <v/>
      </c>
      <c r="Y38" s="28">
        <f>IF(NOT(ISNUMBER(Dashboard_LoanBook!D41)),"",IF(Dashboard_LoanBook!D41&gt;=_config!$C$31,"ALERT",IF(Dashboard_LoanBook!D41&gt;=_config!$B$31,"WATCH","OK")))</f>
        <v/>
      </c>
      <c r="Z38" s="28">
        <f>IF(NOT(ISNUMBER(Dashboard_LoanBook!E41)),"",IF(Dashboard_LoanBook!E41&gt;=_config!$C$32,"ALERT",IF(Dashboard_LoanBook!E41&gt;=_config!$B$32,"WATCH","OK")))</f>
        <v/>
      </c>
      <c r="AA38" s="28">
        <f>IF(NOT(ISNUMBER(Dashboard_LoanBook!F41)),"",IF(Dashboard_LoanBook!F41&gt;=_config!$C$33,"ALERT",IF(Dashboard_LoanBook!F41&gt;=_config!$B$33,"WATCH","OK")))</f>
        <v/>
      </c>
      <c r="AB38" s="28">
        <f>IF(NOT(ISNUMBER(Dashboard_LoanBook!G41)),"",IF(Dashboard_LoanBook!G41&gt;=_config!$C$34,"ALERT",IF(Dashboard_LoanBook!G41&gt;=_config!$B$34,"WATCH","OK")))</f>
        <v/>
      </c>
      <c r="AC38" s="28">
        <f>IF(NOT(ISNUMBER(Dashboard_LoanBook!H41)),"",IF(Dashboard_LoanBook!H41&gt;=_config!$C$35,"ALERT",IF(Dashboard_LoanBook!H41&gt;=_config!$B$35,"WATCH","OK")))</f>
        <v/>
      </c>
      <c r="AD38" s="28">
        <f>IF(NOT(ISNUMBER(Dashboard_LoanBook!I41)),"",IF(Dashboard_LoanBook!I41&gt;=_config!$C$36,"ALERT",IF(Dashboard_LoanBook!I41&gt;=_config!$B$36,"WATCH","OK")))</f>
        <v/>
      </c>
      <c r="AE38" s="28">
        <f>IF(NOT(ISNUMBER(Dashboard_LoanBook!J41)),"",IF(Dashboard_LoanBook!J41&gt;=_config!$C$37,"ALERT",IF(Dashboard_LoanBook!J41&gt;=_config!$B$37,"WATCH","OK")))</f>
        <v/>
      </c>
      <c r="AF38" s="28">
        <f>IF(NOT(ISNUMBER(Dashboard_LoanBook!K41)),"",IF(Dashboard_LoanBook!K41&gt;=_config!$C$38,"ALERT",IF(Dashboard_LoanBook!K41&gt;=_config!$B$38,"WATCH","OK")))</f>
        <v/>
      </c>
      <c r="AG38" s="28">
        <f>IF(NOT(ISNUMBER(Dashboard_LoanBook!L41)),"",IF(Dashboard_LoanBook!L41&gt;=_config!$C$39,"ALERT",IF(Dashboard_LoanBook!L41&gt;=_config!$B$39,"WATCH","OK")))</f>
        <v/>
      </c>
      <c r="AH38" s="28">
        <f>IF(NOT(ISNUMBER(Dashboard_LoanBook!M41)),"",IF(Dashboard_LoanBook!M41&gt;=_config!$C$40,"ALERT",IF(Dashboard_LoanBook!M41&gt;=_config!$B$40,"WATCH","OK")))</f>
        <v/>
      </c>
      <c r="AI38" s="28">
        <f>IF(NOT(ISNUMBER(Dashboard_LoanBook!N41)),"",IF(Dashboard_LoanBook!N41&gt;=_config!$C$41,"ALERT",IF(Dashboard_LoanBook!N41&gt;=_config!$B$41,"WATCH","OK")))</f>
        <v/>
      </c>
      <c r="AJ38" s="28">
        <f>IF(NOT(ISNUMBER(Dashboard_LoanBook!O41)),"",IF(Dashboard_LoanBook!O41&gt;=_config!$C$42,"ALERT",IF(Dashboard_LoanBook!O41&gt;=_config!$B$42,"WATCH","OK")))</f>
        <v/>
      </c>
      <c r="AK38" s="28">
        <f>IF(NOT(ISNUMBER(Dashboard_LoanBook!P41)),"",IF(Dashboard_LoanBook!P41&gt;=_config!$C$43,"ALERT",IF(Dashboard_LoanBook!P41&gt;=_config!$B$43,"WATCH","OK")))</f>
        <v/>
      </c>
      <c r="AL38" s="28">
        <f>IF(NOT(ISNUMBER(Dashboard_LoanBook!Q41)),"",IF(Dashboard_LoanBook!Q41&gt;=_config!$C$44,"ALERT",IF(Dashboard_LoanBook!Q41&gt;=_config!$B$44,"WATCH","OK")))</f>
        <v/>
      </c>
      <c r="AM38" s="28">
        <f>IF(NOT(ISNUMBER(Dashboard_LoanBook!R41)),"",IF(Dashboard_LoanBook!R41&gt;=_config!$C$45,"ALERT",IF(Dashboard_LoanBook!R41&gt;=_config!$B$45,"WATCH","OK")))</f>
        <v/>
      </c>
      <c r="AN38" s="28">
        <f>IF(NOT(ISNUMBER(Dashboard_LoanBook!S41)),"",IF(Dashboard_LoanBook!S41&gt;=_config!$C$46,"ALERT",IF(Dashboard_LoanBook!S41&gt;=_config!$B$46,"WATCH","OK")))</f>
        <v/>
      </c>
      <c r="AO38" s="28">
        <f>IF(NOT(ISNUMBER(Dashboard_LoanBook!T41)),"",IF(Dashboard_LoanBook!T41&gt;=_config!$C$47,"ALERT",IF(Dashboard_LoanBook!T41&gt;=_config!$B$47,"WATCH","OK")))</f>
        <v/>
      </c>
      <c r="AP38" s="28">
        <f>IF(NOT(ISNUMBER(Dashboard_LoanBook!U41)),"",IF(Dashboard_LoanBook!U41&gt;=_config!$C$48,"ALERT",IF(Dashboard_LoanBook!U41&gt;=_config!$B$48,"WATCH","OK")))</f>
        <v/>
      </c>
      <c r="AQ38" s="28">
        <f>IF(NOT(ISNUMBER(Dashboard_LoanBook!V41)),"",IF(Dashboard_LoanBook!V41&gt;=_config!$C$49,"ALERT",IF(Dashboard_LoanBook!V41&gt;=_config!$B$49,"WATCH","OK")))</f>
        <v/>
      </c>
      <c r="AR38" s="28">
        <f>IF(NOT(ISNUMBER(Dashboard_LoanBook!D85)),"",IF(Dashboard_LoanBook!D85&gt;=_config!$C$50,"ALERT",IF(Dashboard_LoanBook!D85&gt;=_config!$B$50,"WATCH","OK")))</f>
        <v/>
      </c>
      <c r="AS38" s="28">
        <f>IF(NOT(ISNUMBER(Dashboard_LoanBook!E85)),"",IF(Dashboard_LoanBook!E85&gt;=_config!$C$51,"ALERT",IF(Dashboard_LoanBook!E85&gt;=_config!$B$51,"WATCH","OK")))</f>
        <v/>
      </c>
      <c r="AT38" s="28">
        <f>IF(NOT(ISNUMBER(Dashboard_LoanBook!F85)),"",IF(Dashboard_LoanBook!F85&gt;=_config!$C$52,"ALERT",IF(Dashboard_LoanBook!F85&gt;=_config!$B$52,"WATCH","OK")))</f>
        <v/>
      </c>
      <c r="AU38" s="28">
        <f>IF(NOT(ISNUMBER(Dashboard_LoanBook!G85)),"",IF(Dashboard_LoanBook!G85&gt;=_config!$C$53,"ALERT",IF(Dashboard_LoanBook!G85&gt;=_config!$B$53,"WATCH","OK")))</f>
        <v/>
      </c>
      <c r="AV38" s="28">
        <f>IF(NOT(ISNUMBER(Dashboard_LoanBook!H85)),"",IF(Dashboard_LoanBook!H85&gt;=_config!$C$54,"ALERT",IF(Dashboard_LoanBook!H85&gt;=_config!$B$54,"WATCH","OK")))</f>
        <v/>
      </c>
      <c r="AW38" s="28">
        <f>IF(NOT(ISNUMBER(Dashboard_LoanBook!I85)),"",IF(Dashboard_LoanBook!I85&gt;=_config!$C$55,"ALERT",IF(Dashboard_LoanBook!I85&gt;=_config!$B$55,"WATCH","OK")))</f>
        <v/>
      </c>
      <c r="AX38" s="28">
        <f>IF(NOT(ISNUMBER(Dashboard_LoanBook!J85)),"",IF(Dashboard_LoanBook!J85&gt;=_config!$C$56,"ALERT",IF(Dashboard_LoanBook!J85&gt;=_config!$B$56,"WATCH","OK")))</f>
        <v/>
      </c>
      <c r="AY38" s="28">
        <f>IF(NOT(ISNUMBER(Dashboard_LoanBook!K85)),"",IF(Dashboard_LoanBook!K85&gt;=_config!$C$57,"ALERT",IF(Dashboard_LoanBook!K85&gt;=_config!$B$57,"WATCH","OK")))</f>
        <v/>
      </c>
      <c r="AZ38" s="28">
        <f>IF(NOT(ISNUMBER(Dashboard_LoanBook!L85)),"",IF(Dashboard_LoanBook!L85&gt;=_config!$C$58,"ALERT",IF(Dashboard_LoanBook!L85&gt;=_config!$B$58,"WATCH","OK")))</f>
        <v/>
      </c>
      <c r="BA38" s="28">
        <f>IF(NOT(ISNUMBER(Dashboard_LoanBook!M85)),"",IF(Dashboard_LoanBook!M85&gt;=_config!$C$59,"ALERT",IF(Dashboard_LoanBook!M85&gt;=_config!$B$59,"WATCH","OK")))</f>
        <v/>
      </c>
      <c r="BB38" s="28">
        <f>IF(NOT(ISNUMBER(Dashboard_LoanBook!N85)),"",IF(Dashboard_LoanBook!N85&gt;=_config!$C$60,"ALERT",IF(Dashboard_LoanBook!N85&gt;=_config!$B$60,"WATCH","OK")))</f>
        <v/>
      </c>
      <c r="BC38" s="28">
        <f>IF(NOT(ISNUMBER(Dashboard_LoanBook!O85)),"",IF(Dashboard_LoanBook!O85&gt;=_config!$C$61,"ALERT",IF(Dashboard_LoanBook!O85&gt;=_config!$B$61,"WATCH","OK")))</f>
        <v/>
      </c>
      <c r="BD38" s="28">
        <f>IF(NOT(ISNUMBER(Dashboard_LoanBook!P85)),"",IF(Dashboard_LoanBook!P85&gt;=_config!$C$62,"ALERT",IF(Dashboard_LoanBook!P85&gt;=_config!$B$62,"WATCH","OK")))</f>
        <v/>
      </c>
      <c r="BE38" s="28">
        <f>IF(NOT(ISNUMBER(Dashboard_LoanBook!Q85)),"",IF(Dashboard_LoanBook!Q85&gt;=_config!$C$63,"ALERT",IF(Dashboard_LoanBook!Q85&gt;=_config!$B$63,"WATCH","OK")))</f>
        <v/>
      </c>
      <c r="BF38" s="28">
        <f>IF(NOT(ISNUMBER(Dashboard_LoanBook!R85)),"",IF(Dashboard_LoanBook!R85&gt;=_config!$C$64,"ALERT",IF(Dashboard_LoanBook!R85&gt;=_config!$B$64,"WATCH","OK")))</f>
        <v/>
      </c>
      <c r="BG38" s="28">
        <f>IF(NOT(ISNUMBER(Dashboard_LoanBook!S85)),"",IF(Dashboard_LoanBook!S85&gt;=_config!$C$65,"ALERT",IF(Dashboard_LoanBook!S85&gt;=_config!$B$65,"WATCH","OK")))</f>
        <v/>
      </c>
      <c r="BH38" s="28">
        <f>IF(NOT(ISNUMBER(Dashboard_Funding_Concentration!G41)),"",IF(Dashboard_Funding_Concentration!G41&gt;=_config!$C$66,"ALERT",IF(Dashboard_Funding_Concentration!G41&gt;=_config!$B$66,"WATCH","OK")))</f>
        <v/>
      </c>
      <c r="BI38" s="28">
        <f>IF(NOT(ISNUMBER(Dashboard_Funding_Concentration!H41)),"",IF(Dashboard_Funding_Concentration!H41&gt;=_config!$C$67,"ALERT",IF(Dashboard_Funding_Concentration!H41&gt;=_config!$B$67,"WATCH","OK")))</f>
        <v/>
      </c>
      <c r="BJ38" s="28">
        <f>IF(NOT(ISNUMBER(Dashboard_Funding_Concentration!I41)),"",IF(Dashboard_Funding_Concentration!I41&gt;=_config!$C$68,"ALERT",IF(Dashboard_Funding_Concentration!I41&gt;=_config!$B$68,"WATCH","OK")))</f>
        <v/>
      </c>
      <c r="BL38" s="28">
        <f>IF(NOT(ISNUMBER($E38)),"",$E38*10000+IF(ISNUMBER($D38),$D38,0))</f>
        <v/>
      </c>
    </row>
    <row r="39">
      <c r="A39" s="14">
        <f>IF(_config!$C$106="","",_config!$C$106)</f>
        <v/>
      </c>
      <c r="B39" s="25">
        <f>IF(_config!$B$106="","",_config!$B$106)</f>
        <v/>
      </c>
      <c r="C39" s="16">
        <f>IF(_config!$D$106="","",_config!$D$106)</f>
        <v/>
      </c>
      <c r="D39" s="26">
        <f>IF(Dashboard_AssetQuality!I42="","",Dashboard_AssetQuality!I42)</f>
        <v/>
      </c>
      <c r="E39" s="27">
        <f>IF($A39="","",COUNTIF($J39:$BJ39,"ALERT"))</f>
        <v/>
      </c>
      <c r="F39" s="27">
        <f>IF($A39="","",COUNTIF($J39:$BJ39,"WATCH"))</f>
        <v/>
      </c>
      <c r="G39" s="27">
        <f>IF($BL39="","",RANK($BL39,$BL$5:$BL$44))</f>
        <v/>
      </c>
      <c r="H39" s="27">
        <f>IF(_config!$C$106="","",IF(NOT(ISNUMBER(_config!$B$106)),"REFUSED: blank/invalid CERT -- run --lookup",IF(UPPER(_config!$E$106&amp;"")&lt;&gt;"TRUE","OFF",IF($E39&gt;0,"ALERT",IF($F39&gt;0,"WATCH","OK")))))</f>
        <v/>
      </c>
      <c r="J39" s="28">
        <f>IF(NOT(ISNUMBER(Dashboard_AssetQuality!D42)),"",IF(Dashboard_AssetQuality!D42&gt;=_config!$C$16,"ALERT",IF(Dashboard_AssetQuality!D42&gt;=_config!$B$16,"WATCH","OK")))</f>
        <v/>
      </c>
      <c r="K39" s="28">
        <f>IF(NOT(ISNUMBER(Dashboard_AssetQuality!E42)),"",IF(Dashboard_AssetQuality!E42&gt;=_config!$C$17,"ALERT",IF(Dashboard_AssetQuality!E42&gt;=_config!$B$17,"WATCH","OK")))</f>
        <v/>
      </c>
      <c r="L39" s="28">
        <f>IF(NOT(ISNUMBER(Dashboard_AssetQuality!F42)),"",IF(Dashboard_AssetQuality!F42&gt;=_config!$C$18,"ALERT",IF(Dashboard_AssetQuality!F42&gt;=_config!$B$18,"WATCH","OK")))</f>
        <v/>
      </c>
      <c r="M39" s="28">
        <f>IF(NOT(ISNUMBER(Dashboard_AssetQuality!G42)),"",IF(Dashboard_AssetQuality!G42&lt;=_config!$C$19,"ALERT",IF(Dashboard_AssetQuality!G42&lt;=_config!$B$19,"WATCH","OK")))</f>
        <v/>
      </c>
      <c r="N39" s="28">
        <f>IF(NOT(ISNUMBER(Dashboard_AssetQuality!H42)),"",IF(Dashboard_AssetQuality!H42&lt;=_config!$C$20,"ALERT",IF(Dashboard_AssetQuality!H42&lt;=_config!$B$20,"WATCH","OK")))</f>
        <v/>
      </c>
      <c r="O39" s="28">
        <f>IF(NOT(ISNUMBER(Dashboard_AssetQuality!I42)),"",IF(Dashboard_AssetQuality!I42&gt;=_config!$C$21,"ALERT",IF(Dashboard_AssetQuality!I42&gt;=_config!$B$21,"WATCH","OK")))</f>
        <v/>
      </c>
      <c r="P39" s="28">
        <f>IF(NOT(ISNUMBER(Dashboard_Capital_Earnings!D42)),"",IF(Dashboard_Capital_Earnings!D42&lt;=_config!$C$22,"ALERT",IF(Dashboard_Capital_Earnings!D42&lt;=_config!$B$22,"WATCH","OK")))</f>
        <v/>
      </c>
      <c r="Q39" s="28">
        <f>IF(NOT(ISNUMBER(Dashboard_Capital_Earnings!E42)),"",IF(Dashboard_Capital_Earnings!E42&lt;=_config!$C$23,"ALERT",IF(Dashboard_Capital_Earnings!E42&lt;=_config!$B$23,"WATCH","OK")))</f>
        <v/>
      </c>
      <c r="R39" s="28">
        <f>IF(NOT(ISNUMBER(Dashboard_Capital_Earnings!F42)),"",IF(Dashboard_Capital_Earnings!F42&lt;=_config!$C$24,"ALERT",IF(Dashboard_Capital_Earnings!F42&lt;=_config!$B$24,"WATCH","OK")))</f>
        <v/>
      </c>
      <c r="S39" s="28">
        <f>IF(NOT(ISNUMBER(Dashboard_Capital_Earnings!G42)),"",IF(Dashboard_Capital_Earnings!G42&lt;=_config!$C$25,"ALERT",IF(Dashboard_Capital_Earnings!G42&lt;=_config!$B$25,"WATCH","OK")))</f>
        <v/>
      </c>
      <c r="T39" s="28">
        <f>IF(NOT(ISNUMBER(Dashboard_Capital_Earnings!H42)),"",IF(Dashboard_Capital_Earnings!H42&lt;=_config!$C$26,"ALERT",IF(Dashboard_Capital_Earnings!H42&lt;=_config!$B$26,"WATCH","OK")))</f>
        <v/>
      </c>
      <c r="U39" s="28">
        <f>IF(NOT(ISNUMBER(Dashboard_Capital_Earnings!I42)),"",IF(Dashboard_Capital_Earnings!I42&gt;=_config!$C$27,"ALERT",IF(Dashboard_Capital_Earnings!I42&gt;=_config!$B$27,"WATCH","OK")))</f>
        <v/>
      </c>
      <c r="V39" s="28">
        <f>IF(NOT(ISNUMBER(Dashboard_Funding_Concentration!D42)),"",IF(Dashboard_Funding_Concentration!D42&gt;=_config!$C$28,"ALERT",IF(Dashboard_Funding_Concentration!D42&gt;=_config!$B$28,"WATCH","OK")))</f>
        <v/>
      </c>
      <c r="W39" s="28">
        <f>IF(NOT(ISNUMBER(Dashboard_Funding_Concentration!E42)),"",IF(Dashboard_Funding_Concentration!E42&gt;=_config!$C$29,"ALERT",IF(Dashboard_Funding_Concentration!E42&gt;=_config!$B$29,"WATCH","OK")))</f>
        <v/>
      </c>
      <c r="X39" s="28">
        <f>IF(NOT(ISNUMBER(Dashboard_Funding_Concentration!F42)),"",IF(Dashboard_Funding_Concentration!F42&gt;=_config!$C$30,"ALERT",IF(Dashboard_Funding_Concentration!F42&gt;=_config!$B$30,"WATCH","OK")))</f>
        <v/>
      </c>
      <c r="Y39" s="28">
        <f>IF(NOT(ISNUMBER(Dashboard_LoanBook!D42)),"",IF(Dashboard_LoanBook!D42&gt;=_config!$C$31,"ALERT",IF(Dashboard_LoanBook!D42&gt;=_config!$B$31,"WATCH","OK")))</f>
        <v/>
      </c>
      <c r="Z39" s="28">
        <f>IF(NOT(ISNUMBER(Dashboard_LoanBook!E42)),"",IF(Dashboard_LoanBook!E42&gt;=_config!$C$32,"ALERT",IF(Dashboard_LoanBook!E42&gt;=_config!$B$32,"WATCH","OK")))</f>
        <v/>
      </c>
      <c r="AA39" s="28">
        <f>IF(NOT(ISNUMBER(Dashboard_LoanBook!F42)),"",IF(Dashboard_LoanBook!F42&gt;=_config!$C$33,"ALERT",IF(Dashboard_LoanBook!F42&gt;=_config!$B$33,"WATCH","OK")))</f>
        <v/>
      </c>
      <c r="AB39" s="28">
        <f>IF(NOT(ISNUMBER(Dashboard_LoanBook!G42)),"",IF(Dashboard_LoanBook!G42&gt;=_config!$C$34,"ALERT",IF(Dashboard_LoanBook!G42&gt;=_config!$B$34,"WATCH","OK")))</f>
        <v/>
      </c>
      <c r="AC39" s="28">
        <f>IF(NOT(ISNUMBER(Dashboard_LoanBook!H42)),"",IF(Dashboard_LoanBook!H42&gt;=_config!$C$35,"ALERT",IF(Dashboard_LoanBook!H42&gt;=_config!$B$35,"WATCH","OK")))</f>
        <v/>
      </c>
      <c r="AD39" s="28">
        <f>IF(NOT(ISNUMBER(Dashboard_LoanBook!I42)),"",IF(Dashboard_LoanBook!I42&gt;=_config!$C$36,"ALERT",IF(Dashboard_LoanBook!I42&gt;=_config!$B$36,"WATCH","OK")))</f>
        <v/>
      </c>
      <c r="AE39" s="28">
        <f>IF(NOT(ISNUMBER(Dashboard_LoanBook!J42)),"",IF(Dashboard_LoanBook!J42&gt;=_config!$C$37,"ALERT",IF(Dashboard_LoanBook!J42&gt;=_config!$B$37,"WATCH","OK")))</f>
        <v/>
      </c>
      <c r="AF39" s="28">
        <f>IF(NOT(ISNUMBER(Dashboard_LoanBook!K42)),"",IF(Dashboard_LoanBook!K42&gt;=_config!$C$38,"ALERT",IF(Dashboard_LoanBook!K42&gt;=_config!$B$38,"WATCH","OK")))</f>
        <v/>
      </c>
      <c r="AG39" s="28">
        <f>IF(NOT(ISNUMBER(Dashboard_LoanBook!L42)),"",IF(Dashboard_LoanBook!L42&gt;=_config!$C$39,"ALERT",IF(Dashboard_LoanBook!L42&gt;=_config!$B$39,"WATCH","OK")))</f>
        <v/>
      </c>
      <c r="AH39" s="28">
        <f>IF(NOT(ISNUMBER(Dashboard_LoanBook!M42)),"",IF(Dashboard_LoanBook!M42&gt;=_config!$C$40,"ALERT",IF(Dashboard_LoanBook!M42&gt;=_config!$B$40,"WATCH","OK")))</f>
        <v/>
      </c>
      <c r="AI39" s="28">
        <f>IF(NOT(ISNUMBER(Dashboard_LoanBook!N42)),"",IF(Dashboard_LoanBook!N42&gt;=_config!$C$41,"ALERT",IF(Dashboard_LoanBook!N42&gt;=_config!$B$41,"WATCH","OK")))</f>
        <v/>
      </c>
      <c r="AJ39" s="28">
        <f>IF(NOT(ISNUMBER(Dashboard_LoanBook!O42)),"",IF(Dashboard_LoanBook!O42&gt;=_config!$C$42,"ALERT",IF(Dashboard_LoanBook!O42&gt;=_config!$B$42,"WATCH","OK")))</f>
        <v/>
      </c>
      <c r="AK39" s="28">
        <f>IF(NOT(ISNUMBER(Dashboard_LoanBook!P42)),"",IF(Dashboard_LoanBook!P42&gt;=_config!$C$43,"ALERT",IF(Dashboard_LoanBook!P42&gt;=_config!$B$43,"WATCH","OK")))</f>
        <v/>
      </c>
      <c r="AL39" s="28">
        <f>IF(NOT(ISNUMBER(Dashboard_LoanBook!Q42)),"",IF(Dashboard_LoanBook!Q42&gt;=_config!$C$44,"ALERT",IF(Dashboard_LoanBook!Q42&gt;=_config!$B$44,"WATCH","OK")))</f>
        <v/>
      </c>
      <c r="AM39" s="28">
        <f>IF(NOT(ISNUMBER(Dashboard_LoanBook!R42)),"",IF(Dashboard_LoanBook!R42&gt;=_config!$C$45,"ALERT",IF(Dashboard_LoanBook!R42&gt;=_config!$B$45,"WATCH","OK")))</f>
        <v/>
      </c>
      <c r="AN39" s="28">
        <f>IF(NOT(ISNUMBER(Dashboard_LoanBook!S42)),"",IF(Dashboard_LoanBook!S42&gt;=_config!$C$46,"ALERT",IF(Dashboard_LoanBook!S42&gt;=_config!$B$46,"WATCH","OK")))</f>
        <v/>
      </c>
      <c r="AO39" s="28">
        <f>IF(NOT(ISNUMBER(Dashboard_LoanBook!T42)),"",IF(Dashboard_LoanBook!T42&gt;=_config!$C$47,"ALERT",IF(Dashboard_LoanBook!T42&gt;=_config!$B$47,"WATCH","OK")))</f>
        <v/>
      </c>
      <c r="AP39" s="28">
        <f>IF(NOT(ISNUMBER(Dashboard_LoanBook!U42)),"",IF(Dashboard_LoanBook!U42&gt;=_config!$C$48,"ALERT",IF(Dashboard_LoanBook!U42&gt;=_config!$B$48,"WATCH","OK")))</f>
        <v/>
      </c>
      <c r="AQ39" s="28">
        <f>IF(NOT(ISNUMBER(Dashboard_LoanBook!V42)),"",IF(Dashboard_LoanBook!V42&gt;=_config!$C$49,"ALERT",IF(Dashboard_LoanBook!V42&gt;=_config!$B$49,"WATCH","OK")))</f>
        <v/>
      </c>
      <c r="AR39" s="28">
        <f>IF(NOT(ISNUMBER(Dashboard_LoanBook!D86)),"",IF(Dashboard_LoanBook!D86&gt;=_config!$C$50,"ALERT",IF(Dashboard_LoanBook!D86&gt;=_config!$B$50,"WATCH","OK")))</f>
        <v/>
      </c>
      <c r="AS39" s="28">
        <f>IF(NOT(ISNUMBER(Dashboard_LoanBook!E86)),"",IF(Dashboard_LoanBook!E86&gt;=_config!$C$51,"ALERT",IF(Dashboard_LoanBook!E86&gt;=_config!$B$51,"WATCH","OK")))</f>
        <v/>
      </c>
      <c r="AT39" s="28">
        <f>IF(NOT(ISNUMBER(Dashboard_LoanBook!F86)),"",IF(Dashboard_LoanBook!F86&gt;=_config!$C$52,"ALERT",IF(Dashboard_LoanBook!F86&gt;=_config!$B$52,"WATCH","OK")))</f>
        <v/>
      </c>
      <c r="AU39" s="28">
        <f>IF(NOT(ISNUMBER(Dashboard_LoanBook!G86)),"",IF(Dashboard_LoanBook!G86&gt;=_config!$C$53,"ALERT",IF(Dashboard_LoanBook!G86&gt;=_config!$B$53,"WATCH","OK")))</f>
        <v/>
      </c>
      <c r="AV39" s="28">
        <f>IF(NOT(ISNUMBER(Dashboard_LoanBook!H86)),"",IF(Dashboard_LoanBook!H86&gt;=_config!$C$54,"ALERT",IF(Dashboard_LoanBook!H86&gt;=_config!$B$54,"WATCH","OK")))</f>
        <v/>
      </c>
      <c r="AW39" s="28">
        <f>IF(NOT(ISNUMBER(Dashboard_LoanBook!I86)),"",IF(Dashboard_LoanBook!I86&gt;=_config!$C$55,"ALERT",IF(Dashboard_LoanBook!I86&gt;=_config!$B$55,"WATCH","OK")))</f>
        <v/>
      </c>
      <c r="AX39" s="28">
        <f>IF(NOT(ISNUMBER(Dashboard_LoanBook!J86)),"",IF(Dashboard_LoanBook!J86&gt;=_config!$C$56,"ALERT",IF(Dashboard_LoanBook!J86&gt;=_config!$B$56,"WATCH","OK")))</f>
        <v/>
      </c>
      <c r="AY39" s="28">
        <f>IF(NOT(ISNUMBER(Dashboard_LoanBook!K86)),"",IF(Dashboard_LoanBook!K86&gt;=_config!$C$57,"ALERT",IF(Dashboard_LoanBook!K86&gt;=_config!$B$57,"WATCH","OK")))</f>
        <v/>
      </c>
      <c r="AZ39" s="28">
        <f>IF(NOT(ISNUMBER(Dashboard_LoanBook!L86)),"",IF(Dashboard_LoanBook!L86&gt;=_config!$C$58,"ALERT",IF(Dashboard_LoanBook!L86&gt;=_config!$B$58,"WATCH","OK")))</f>
        <v/>
      </c>
      <c r="BA39" s="28">
        <f>IF(NOT(ISNUMBER(Dashboard_LoanBook!M86)),"",IF(Dashboard_LoanBook!M86&gt;=_config!$C$59,"ALERT",IF(Dashboard_LoanBook!M86&gt;=_config!$B$59,"WATCH","OK")))</f>
        <v/>
      </c>
      <c r="BB39" s="28">
        <f>IF(NOT(ISNUMBER(Dashboard_LoanBook!N86)),"",IF(Dashboard_LoanBook!N86&gt;=_config!$C$60,"ALERT",IF(Dashboard_LoanBook!N86&gt;=_config!$B$60,"WATCH","OK")))</f>
        <v/>
      </c>
      <c r="BC39" s="28">
        <f>IF(NOT(ISNUMBER(Dashboard_LoanBook!O86)),"",IF(Dashboard_LoanBook!O86&gt;=_config!$C$61,"ALERT",IF(Dashboard_LoanBook!O86&gt;=_config!$B$61,"WATCH","OK")))</f>
        <v/>
      </c>
      <c r="BD39" s="28">
        <f>IF(NOT(ISNUMBER(Dashboard_LoanBook!P86)),"",IF(Dashboard_LoanBook!P86&gt;=_config!$C$62,"ALERT",IF(Dashboard_LoanBook!P86&gt;=_config!$B$62,"WATCH","OK")))</f>
        <v/>
      </c>
      <c r="BE39" s="28">
        <f>IF(NOT(ISNUMBER(Dashboard_LoanBook!Q86)),"",IF(Dashboard_LoanBook!Q86&gt;=_config!$C$63,"ALERT",IF(Dashboard_LoanBook!Q86&gt;=_config!$B$63,"WATCH","OK")))</f>
        <v/>
      </c>
      <c r="BF39" s="28">
        <f>IF(NOT(ISNUMBER(Dashboard_LoanBook!R86)),"",IF(Dashboard_LoanBook!R86&gt;=_config!$C$64,"ALERT",IF(Dashboard_LoanBook!R86&gt;=_config!$B$64,"WATCH","OK")))</f>
        <v/>
      </c>
      <c r="BG39" s="28">
        <f>IF(NOT(ISNUMBER(Dashboard_LoanBook!S86)),"",IF(Dashboard_LoanBook!S86&gt;=_config!$C$65,"ALERT",IF(Dashboard_LoanBook!S86&gt;=_config!$B$65,"WATCH","OK")))</f>
        <v/>
      </c>
      <c r="BH39" s="28">
        <f>IF(NOT(ISNUMBER(Dashboard_Funding_Concentration!G42)),"",IF(Dashboard_Funding_Concentration!G42&gt;=_config!$C$66,"ALERT",IF(Dashboard_Funding_Concentration!G42&gt;=_config!$B$66,"WATCH","OK")))</f>
        <v/>
      </c>
      <c r="BI39" s="28">
        <f>IF(NOT(ISNUMBER(Dashboard_Funding_Concentration!H42)),"",IF(Dashboard_Funding_Concentration!H42&gt;=_config!$C$67,"ALERT",IF(Dashboard_Funding_Concentration!H42&gt;=_config!$B$67,"WATCH","OK")))</f>
        <v/>
      </c>
      <c r="BJ39" s="28">
        <f>IF(NOT(ISNUMBER(Dashboard_Funding_Concentration!I42)),"",IF(Dashboard_Funding_Concentration!I42&gt;=_config!$C$68,"ALERT",IF(Dashboard_Funding_Concentration!I42&gt;=_config!$B$68,"WATCH","OK")))</f>
        <v/>
      </c>
      <c r="BL39" s="28">
        <f>IF(NOT(ISNUMBER($E39)),"",$E39*10000+IF(ISNUMBER($D39),$D39,0))</f>
        <v/>
      </c>
    </row>
    <row r="40">
      <c r="A40" s="14">
        <f>IF(_config!$C$107="","",_config!$C$107)</f>
        <v/>
      </c>
      <c r="B40" s="25">
        <f>IF(_config!$B$107="","",_config!$B$107)</f>
        <v/>
      </c>
      <c r="C40" s="16">
        <f>IF(_config!$D$107="","",_config!$D$107)</f>
        <v/>
      </c>
      <c r="D40" s="26">
        <f>IF(Dashboard_AssetQuality!I43="","",Dashboard_AssetQuality!I43)</f>
        <v/>
      </c>
      <c r="E40" s="27">
        <f>IF($A40="","",COUNTIF($J40:$BJ40,"ALERT"))</f>
        <v/>
      </c>
      <c r="F40" s="27">
        <f>IF($A40="","",COUNTIF($J40:$BJ40,"WATCH"))</f>
        <v/>
      </c>
      <c r="G40" s="27">
        <f>IF($BL40="","",RANK($BL40,$BL$5:$BL$44))</f>
        <v/>
      </c>
      <c r="H40" s="27">
        <f>IF(_config!$C$107="","",IF(NOT(ISNUMBER(_config!$B$107)),"REFUSED: blank/invalid CERT -- run --lookup",IF(UPPER(_config!$E$107&amp;"")&lt;&gt;"TRUE","OFF",IF($E40&gt;0,"ALERT",IF($F40&gt;0,"WATCH","OK")))))</f>
        <v/>
      </c>
      <c r="J40" s="28">
        <f>IF(NOT(ISNUMBER(Dashboard_AssetQuality!D43)),"",IF(Dashboard_AssetQuality!D43&gt;=_config!$C$16,"ALERT",IF(Dashboard_AssetQuality!D43&gt;=_config!$B$16,"WATCH","OK")))</f>
        <v/>
      </c>
      <c r="K40" s="28">
        <f>IF(NOT(ISNUMBER(Dashboard_AssetQuality!E43)),"",IF(Dashboard_AssetQuality!E43&gt;=_config!$C$17,"ALERT",IF(Dashboard_AssetQuality!E43&gt;=_config!$B$17,"WATCH","OK")))</f>
        <v/>
      </c>
      <c r="L40" s="28">
        <f>IF(NOT(ISNUMBER(Dashboard_AssetQuality!F43)),"",IF(Dashboard_AssetQuality!F43&gt;=_config!$C$18,"ALERT",IF(Dashboard_AssetQuality!F43&gt;=_config!$B$18,"WATCH","OK")))</f>
        <v/>
      </c>
      <c r="M40" s="28">
        <f>IF(NOT(ISNUMBER(Dashboard_AssetQuality!G43)),"",IF(Dashboard_AssetQuality!G43&lt;=_config!$C$19,"ALERT",IF(Dashboard_AssetQuality!G43&lt;=_config!$B$19,"WATCH","OK")))</f>
        <v/>
      </c>
      <c r="N40" s="28">
        <f>IF(NOT(ISNUMBER(Dashboard_AssetQuality!H43)),"",IF(Dashboard_AssetQuality!H43&lt;=_config!$C$20,"ALERT",IF(Dashboard_AssetQuality!H43&lt;=_config!$B$20,"WATCH","OK")))</f>
        <v/>
      </c>
      <c r="O40" s="28">
        <f>IF(NOT(ISNUMBER(Dashboard_AssetQuality!I43)),"",IF(Dashboard_AssetQuality!I43&gt;=_config!$C$21,"ALERT",IF(Dashboard_AssetQuality!I43&gt;=_config!$B$21,"WATCH","OK")))</f>
        <v/>
      </c>
      <c r="P40" s="28">
        <f>IF(NOT(ISNUMBER(Dashboard_Capital_Earnings!D43)),"",IF(Dashboard_Capital_Earnings!D43&lt;=_config!$C$22,"ALERT",IF(Dashboard_Capital_Earnings!D43&lt;=_config!$B$22,"WATCH","OK")))</f>
        <v/>
      </c>
      <c r="Q40" s="28">
        <f>IF(NOT(ISNUMBER(Dashboard_Capital_Earnings!E43)),"",IF(Dashboard_Capital_Earnings!E43&lt;=_config!$C$23,"ALERT",IF(Dashboard_Capital_Earnings!E43&lt;=_config!$B$23,"WATCH","OK")))</f>
        <v/>
      </c>
      <c r="R40" s="28">
        <f>IF(NOT(ISNUMBER(Dashboard_Capital_Earnings!F43)),"",IF(Dashboard_Capital_Earnings!F43&lt;=_config!$C$24,"ALERT",IF(Dashboard_Capital_Earnings!F43&lt;=_config!$B$24,"WATCH","OK")))</f>
        <v/>
      </c>
      <c r="S40" s="28">
        <f>IF(NOT(ISNUMBER(Dashboard_Capital_Earnings!G43)),"",IF(Dashboard_Capital_Earnings!G43&lt;=_config!$C$25,"ALERT",IF(Dashboard_Capital_Earnings!G43&lt;=_config!$B$25,"WATCH","OK")))</f>
        <v/>
      </c>
      <c r="T40" s="28">
        <f>IF(NOT(ISNUMBER(Dashboard_Capital_Earnings!H43)),"",IF(Dashboard_Capital_Earnings!H43&lt;=_config!$C$26,"ALERT",IF(Dashboard_Capital_Earnings!H43&lt;=_config!$B$26,"WATCH","OK")))</f>
        <v/>
      </c>
      <c r="U40" s="28">
        <f>IF(NOT(ISNUMBER(Dashboard_Capital_Earnings!I43)),"",IF(Dashboard_Capital_Earnings!I43&gt;=_config!$C$27,"ALERT",IF(Dashboard_Capital_Earnings!I43&gt;=_config!$B$27,"WATCH","OK")))</f>
        <v/>
      </c>
      <c r="V40" s="28">
        <f>IF(NOT(ISNUMBER(Dashboard_Funding_Concentration!D43)),"",IF(Dashboard_Funding_Concentration!D43&gt;=_config!$C$28,"ALERT",IF(Dashboard_Funding_Concentration!D43&gt;=_config!$B$28,"WATCH","OK")))</f>
        <v/>
      </c>
      <c r="W40" s="28">
        <f>IF(NOT(ISNUMBER(Dashboard_Funding_Concentration!E43)),"",IF(Dashboard_Funding_Concentration!E43&gt;=_config!$C$29,"ALERT",IF(Dashboard_Funding_Concentration!E43&gt;=_config!$B$29,"WATCH","OK")))</f>
        <v/>
      </c>
      <c r="X40" s="28">
        <f>IF(NOT(ISNUMBER(Dashboard_Funding_Concentration!F43)),"",IF(Dashboard_Funding_Concentration!F43&gt;=_config!$C$30,"ALERT",IF(Dashboard_Funding_Concentration!F43&gt;=_config!$B$30,"WATCH","OK")))</f>
        <v/>
      </c>
      <c r="Y40" s="28">
        <f>IF(NOT(ISNUMBER(Dashboard_LoanBook!D43)),"",IF(Dashboard_LoanBook!D43&gt;=_config!$C$31,"ALERT",IF(Dashboard_LoanBook!D43&gt;=_config!$B$31,"WATCH","OK")))</f>
        <v/>
      </c>
      <c r="Z40" s="28">
        <f>IF(NOT(ISNUMBER(Dashboard_LoanBook!E43)),"",IF(Dashboard_LoanBook!E43&gt;=_config!$C$32,"ALERT",IF(Dashboard_LoanBook!E43&gt;=_config!$B$32,"WATCH","OK")))</f>
        <v/>
      </c>
      <c r="AA40" s="28">
        <f>IF(NOT(ISNUMBER(Dashboard_LoanBook!F43)),"",IF(Dashboard_LoanBook!F43&gt;=_config!$C$33,"ALERT",IF(Dashboard_LoanBook!F43&gt;=_config!$B$33,"WATCH","OK")))</f>
        <v/>
      </c>
      <c r="AB40" s="28">
        <f>IF(NOT(ISNUMBER(Dashboard_LoanBook!G43)),"",IF(Dashboard_LoanBook!G43&gt;=_config!$C$34,"ALERT",IF(Dashboard_LoanBook!G43&gt;=_config!$B$34,"WATCH","OK")))</f>
        <v/>
      </c>
      <c r="AC40" s="28">
        <f>IF(NOT(ISNUMBER(Dashboard_LoanBook!H43)),"",IF(Dashboard_LoanBook!H43&gt;=_config!$C$35,"ALERT",IF(Dashboard_LoanBook!H43&gt;=_config!$B$35,"WATCH","OK")))</f>
        <v/>
      </c>
      <c r="AD40" s="28">
        <f>IF(NOT(ISNUMBER(Dashboard_LoanBook!I43)),"",IF(Dashboard_LoanBook!I43&gt;=_config!$C$36,"ALERT",IF(Dashboard_LoanBook!I43&gt;=_config!$B$36,"WATCH","OK")))</f>
        <v/>
      </c>
      <c r="AE40" s="28">
        <f>IF(NOT(ISNUMBER(Dashboard_LoanBook!J43)),"",IF(Dashboard_LoanBook!J43&gt;=_config!$C$37,"ALERT",IF(Dashboard_LoanBook!J43&gt;=_config!$B$37,"WATCH","OK")))</f>
        <v/>
      </c>
      <c r="AF40" s="28">
        <f>IF(NOT(ISNUMBER(Dashboard_LoanBook!K43)),"",IF(Dashboard_LoanBook!K43&gt;=_config!$C$38,"ALERT",IF(Dashboard_LoanBook!K43&gt;=_config!$B$38,"WATCH","OK")))</f>
        <v/>
      </c>
      <c r="AG40" s="28">
        <f>IF(NOT(ISNUMBER(Dashboard_LoanBook!L43)),"",IF(Dashboard_LoanBook!L43&gt;=_config!$C$39,"ALERT",IF(Dashboard_LoanBook!L43&gt;=_config!$B$39,"WATCH","OK")))</f>
        <v/>
      </c>
      <c r="AH40" s="28">
        <f>IF(NOT(ISNUMBER(Dashboard_LoanBook!M43)),"",IF(Dashboard_LoanBook!M43&gt;=_config!$C$40,"ALERT",IF(Dashboard_LoanBook!M43&gt;=_config!$B$40,"WATCH","OK")))</f>
        <v/>
      </c>
      <c r="AI40" s="28">
        <f>IF(NOT(ISNUMBER(Dashboard_LoanBook!N43)),"",IF(Dashboard_LoanBook!N43&gt;=_config!$C$41,"ALERT",IF(Dashboard_LoanBook!N43&gt;=_config!$B$41,"WATCH","OK")))</f>
        <v/>
      </c>
      <c r="AJ40" s="28">
        <f>IF(NOT(ISNUMBER(Dashboard_LoanBook!O43)),"",IF(Dashboard_LoanBook!O43&gt;=_config!$C$42,"ALERT",IF(Dashboard_LoanBook!O43&gt;=_config!$B$42,"WATCH","OK")))</f>
        <v/>
      </c>
      <c r="AK40" s="28">
        <f>IF(NOT(ISNUMBER(Dashboard_LoanBook!P43)),"",IF(Dashboard_LoanBook!P43&gt;=_config!$C$43,"ALERT",IF(Dashboard_LoanBook!P43&gt;=_config!$B$43,"WATCH","OK")))</f>
        <v/>
      </c>
      <c r="AL40" s="28">
        <f>IF(NOT(ISNUMBER(Dashboard_LoanBook!Q43)),"",IF(Dashboard_LoanBook!Q43&gt;=_config!$C$44,"ALERT",IF(Dashboard_LoanBook!Q43&gt;=_config!$B$44,"WATCH","OK")))</f>
        <v/>
      </c>
      <c r="AM40" s="28">
        <f>IF(NOT(ISNUMBER(Dashboard_LoanBook!R43)),"",IF(Dashboard_LoanBook!R43&gt;=_config!$C$45,"ALERT",IF(Dashboard_LoanBook!R43&gt;=_config!$B$45,"WATCH","OK")))</f>
        <v/>
      </c>
      <c r="AN40" s="28">
        <f>IF(NOT(ISNUMBER(Dashboard_LoanBook!S43)),"",IF(Dashboard_LoanBook!S43&gt;=_config!$C$46,"ALERT",IF(Dashboard_LoanBook!S43&gt;=_config!$B$46,"WATCH","OK")))</f>
        <v/>
      </c>
      <c r="AO40" s="28">
        <f>IF(NOT(ISNUMBER(Dashboard_LoanBook!T43)),"",IF(Dashboard_LoanBook!T43&gt;=_config!$C$47,"ALERT",IF(Dashboard_LoanBook!T43&gt;=_config!$B$47,"WATCH","OK")))</f>
        <v/>
      </c>
      <c r="AP40" s="28">
        <f>IF(NOT(ISNUMBER(Dashboard_LoanBook!U43)),"",IF(Dashboard_LoanBook!U43&gt;=_config!$C$48,"ALERT",IF(Dashboard_LoanBook!U43&gt;=_config!$B$48,"WATCH","OK")))</f>
        <v/>
      </c>
      <c r="AQ40" s="28">
        <f>IF(NOT(ISNUMBER(Dashboard_LoanBook!V43)),"",IF(Dashboard_LoanBook!V43&gt;=_config!$C$49,"ALERT",IF(Dashboard_LoanBook!V43&gt;=_config!$B$49,"WATCH","OK")))</f>
        <v/>
      </c>
      <c r="AR40" s="28">
        <f>IF(NOT(ISNUMBER(Dashboard_LoanBook!D87)),"",IF(Dashboard_LoanBook!D87&gt;=_config!$C$50,"ALERT",IF(Dashboard_LoanBook!D87&gt;=_config!$B$50,"WATCH","OK")))</f>
        <v/>
      </c>
      <c r="AS40" s="28">
        <f>IF(NOT(ISNUMBER(Dashboard_LoanBook!E87)),"",IF(Dashboard_LoanBook!E87&gt;=_config!$C$51,"ALERT",IF(Dashboard_LoanBook!E87&gt;=_config!$B$51,"WATCH","OK")))</f>
        <v/>
      </c>
      <c r="AT40" s="28">
        <f>IF(NOT(ISNUMBER(Dashboard_LoanBook!F87)),"",IF(Dashboard_LoanBook!F87&gt;=_config!$C$52,"ALERT",IF(Dashboard_LoanBook!F87&gt;=_config!$B$52,"WATCH","OK")))</f>
        <v/>
      </c>
      <c r="AU40" s="28">
        <f>IF(NOT(ISNUMBER(Dashboard_LoanBook!G87)),"",IF(Dashboard_LoanBook!G87&gt;=_config!$C$53,"ALERT",IF(Dashboard_LoanBook!G87&gt;=_config!$B$53,"WATCH","OK")))</f>
        <v/>
      </c>
      <c r="AV40" s="28">
        <f>IF(NOT(ISNUMBER(Dashboard_LoanBook!H87)),"",IF(Dashboard_LoanBook!H87&gt;=_config!$C$54,"ALERT",IF(Dashboard_LoanBook!H87&gt;=_config!$B$54,"WATCH","OK")))</f>
        <v/>
      </c>
      <c r="AW40" s="28">
        <f>IF(NOT(ISNUMBER(Dashboard_LoanBook!I87)),"",IF(Dashboard_LoanBook!I87&gt;=_config!$C$55,"ALERT",IF(Dashboard_LoanBook!I87&gt;=_config!$B$55,"WATCH","OK")))</f>
        <v/>
      </c>
      <c r="AX40" s="28">
        <f>IF(NOT(ISNUMBER(Dashboard_LoanBook!J87)),"",IF(Dashboard_LoanBook!J87&gt;=_config!$C$56,"ALERT",IF(Dashboard_LoanBook!J87&gt;=_config!$B$56,"WATCH","OK")))</f>
        <v/>
      </c>
      <c r="AY40" s="28">
        <f>IF(NOT(ISNUMBER(Dashboard_LoanBook!K87)),"",IF(Dashboard_LoanBook!K87&gt;=_config!$C$57,"ALERT",IF(Dashboard_LoanBook!K87&gt;=_config!$B$57,"WATCH","OK")))</f>
        <v/>
      </c>
      <c r="AZ40" s="28">
        <f>IF(NOT(ISNUMBER(Dashboard_LoanBook!L87)),"",IF(Dashboard_LoanBook!L87&gt;=_config!$C$58,"ALERT",IF(Dashboard_LoanBook!L87&gt;=_config!$B$58,"WATCH","OK")))</f>
        <v/>
      </c>
      <c r="BA40" s="28">
        <f>IF(NOT(ISNUMBER(Dashboard_LoanBook!M87)),"",IF(Dashboard_LoanBook!M87&gt;=_config!$C$59,"ALERT",IF(Dashboard_LoanBook!M87&gt;=_config!$B$59,"WATCH","OK")))</f>
        <v/>
      </c>
      <c r="BB40" s="28">
        <f>IF(NOT(ISNUMBER(Dashboard_LoanBook!N87)),"",IF(Dashboard_LoanBook!N87&gt;=_config!$C$60,"ALERT",IF(Dashboard_LoanBook!N87&gt;=_config!$B$60,"WATCH","OK")))</f>
        <v/>
      </c>
      <c r="BC40" s="28">
        <f>IF(NOT(ISNUMBER(Dashboard_LoanBook!O87)),"",IF(Dashboard_LoanBook!O87&gt;=_config!$C$61,"ALERT",IF(Dashboard_LoanBook!O87&gt;=_config!$B$61,"WATCH","OK")))</f>
        <v/>
      </c>
      <c r="BD40" s="28">
        <f>IF(NOT(ISNUMBER(Dashboard_LoanBook!P87)),"",IF(Dashboard_LoanBook!P87&gt;=_config!$C$62,"ALERT",IF(Dashboard_LoanBook!P87&gt;=_config!$B$62,"WATCH","OK")))</f>
        <v/>
      </c>
      <c r="BE40" s="28">
        <f>IF(NOT(ISNUMBER(Dashboard_LoanBook!Q87)),"",IF(Dashboard_LoanBook!Q87&gt;=_config!$C$63,"ALERT",IF(Dashboard_LoanBook!Q87&gt;=_config!$B$63,"WATCH","OK")))</f>
        <v/>
      </c>
      <c r="BF40" s="28">
        <f>IF(NOT(ISNUMBER(Dashboard_LoanBook!R87)),"",IF(Dashboard_LoanBook!R87&gt;=_config!$C$64,"ALERT",IF(Dashboard_LoanBook!R87&gt;=_config!$B$64,"WATCH","OK")))</f>
        <v/>
      </c>
      <c r="BG40" s="28">
        <f>IF(NOT(ISNUMBER(Dashboard_LoanBook!S87)),"",IF(Dashboard_LoanBook!S87&gt;=_config!$C$65,"ALERT",IF(Dashboard_LoanBook!S87&gt;=_config!$B$65,"WATCH","OK")))</f>
        <v/>
      </c>
      <c r="BH40" s="28">
        <f>IF(NOT(ISNUMBER(Dashboard_Funding_Concentration!G43)),"",IF(Dashboard_Funding_Concentration!G43&gt;=_config!$C$66,"ALERT",IF(Dashboard_Funding_Concentration!G43&gt;=_config!$B$66,"WATCH","OK")))</f>
        <v/>
      </c>
      <c r="BI40" s="28">
        <f>IF(NOT(ISNUMBER(Dashboard_Funding_Concentration!H43)),"",IF(Dashboard_Funding_Concentration!H43&gt;=_config!$C$67,"ALERT",IF(Dashboard_Funding_Concentration!H43&gt;=_config!$B$67,"WATCH","OK")))</f>
        <v/>
      </c>
      <c r="BJ40" s="28">
        <f>IF(NOT(ISNUMBER(Dashboard_Funding_Concentration!I43)),"",IF(Dashboard_Funding_Concentration!I43&gt;=_config!$C$68,"ALERT",IF(Dashboard_Funding_Concentration!I43&gt;=_config!$B$68,"WATCH","OK")))</f>
        <v/>
      </c>
      <c r="BL40" s="28">
        <f>IF(NOT(ISNUMBER($E40)),"",$E40*10000+IF(ISNUMBER($D40),$D40,0))</f>
        <v/>
      </c>
    </row>
    <row r="41">
      <c r="A41" s="14">
        <f>IF(_config!$C$108="","",_config!$C$108)</f>
        <v/>
      </c>
      <c r="B41" s="25">
        <f>IF(_config!$B$108="","",_config!$B$108)</f>
        <v/>
      </c>
      <c r="C41" s="16">
        <f>IF(_config!$D$108="","",_config!$D$108)</f>
        <v/>
      </c>
      <c r="D41" s="26">
        <f>IF(Dashboard_AssetQuality!I44="","",Dashboard_AssetQuality!I44)</f>
        <v/>
      </c>
      <c r="E41" s="27">
        <f>IF($A41="","",COUNTIF($J41:$BJ41,"ALERT"))</f>
        <v/>
      </c>
      <c r="F41" s="27">
        <f>IF($A41="","",COUNTIF($J41:$BJ41,"WATCH"))</f>
        <v/>
      </c>
      <c r="G41" s="27">
        <f>IF($BL41="","",RANK($BL41,$BL$5:$BL$44))</f>
        <v/>
      </c>
      <c r="H41" s="27">
        <f>IF(_config!$C$108="","",IF(NOT(ISNUMBER(_config!$B$108)),"REFUSED: blank/invalid CERT -- run --lookup",IF(UPPER(_config!$E$108&amp;"")&lt;&gt;"TRUE","OFF",IF($E41&gt;0,"ALERT",IF($F41&gt;0,"WATCH","OK")))))</f>
        <v/>
      </c>
      <c r="J41" s="28">
        <f>IF(NOT(ISNUMBER(Dashboard_AssetQuality!D44)),"",IF(Dashboard_AssetQuality!D44&gt;=_config!$C$16,"ALERT",IF(Dashboard_AssetQuality!D44&gt;=_config!$B$16,"WATCH","OK")))</f>
        <v/>
      </c>
      <c r="K41" s="28">
        <f>IF(NOT(ISNUMBER(Dashboard_AssetQuality!E44)),"",IF(Dashboard_AssetQuality!E44&gt;=_config!$C$17,"ALERT",IF(Dashboard_AssetQuality!E44&gt;=_config!$B$17,"WATCH","OK")))</f>
        <v/>
      </c>
      <c r="L41" s="28">
        <f>IF(NOT(ISNUMBER(Dashboard_AssetQuality!F44)),"",IF(Dashboard_AssetQuality!F44&gt;=_config!$C$18,"ALERT",IF(Dashboard_AssetQuality!F44&gt;=_config!$B$18,"WATCH","OK")))</f>
        <v/>
      </c>
      <c r="M41" s="28">
        <f>IF(NOT(ISNUMBER(Dashboard_AssetQuality!G44)),"",IF(Dashboard_AssetQuality!G44&lt;=_config!$C$19,"ALERT",IF(Dashboard_AssetQuality!G44&lt;=_config!$B$19,"WATCH","OK")))</f>
        <v/>
      </c>
      <c r="N41" s="28">
        <f>IF(NOT(ISNUMBER(Dashboard_AssetQuality!H44)),"",IF(Dashboard_AssetQuality!H44&lt;=_config!$C$20,"ALERT",IF(Dashboard_AssetQuality!H44&lt;=_config!$B$20,"WATCH","OK")))</f>
        <v/>
      </c>
      <c r="O41" s="28">
        <f>IF(NOT(ISNUMBER(Dashboard_AssetQuality!I44)),"",IF(Dashboard_AssetQuality!I44&gt;=_config!$C$21,"ALERT",IF(Dashboard_AssetQuality!I44&gt;=_config!$B$21,"WATCH","OK")))</f>
        <v/>
      </c>
      <c r="P41" s="28">
        <f>IF(NOT(ISNUMBER(Dashboard_Capital_Earnings!D44)),"",IF(Dashboard_Capital_Earnings!D44&lt;=_config!$C$22,"ALERT",IF(Dashboard_Capital_Earnings!D44&lt;=_config!$B$22,"WATCH","OK")))</f>
        <v/>
      </c>
      <c r="Q41" s="28">
        <f>IF(NOT(ISNUMBER(Dashboard_Capital_Earnings!E44)),"",IF(Dashboard_Capital_Earnings!E44&lt;=_config!$C$23,"ALERT",IF(Dashboard_Capital_Earnings!E44&lt;=_config!$B$23,"WATCH","OK")))</f>
        <v/>
      </c>
      <c r="R41" s="28">
        <f>IF(NOT(ISNUMBER(Dashboard_Capital_Earnings!F44)),"",IF(Dashboard_Capital_Earnings!F44&lt;=_config!$C$24,"ALERT",IF(Dashboard_Capital_Earnings!F44&lt;=_config!$B$24,"WATCH","OK")))</f>
        <v/>
      </c>
      <c r="S41" s="28">
        <f>IF(NOT(ISNUMBER(Dashboard_Capital_Earnings!G44)),"",IF(Dashboard_Capital_Earnings!G44&lt;=_config!$C$25,"ALERT",IF(Dashboard_Capital_Earnings!G44&lt;=_config!$B$25,"WATCH","OK")))</f>
        <v/>
      </c>
      <c r="T41" s="28">
        <f>IF(NOT(ISNUMBER(Dashboard_Capital_Earnings!H44)),"",IF(Dashboard_Capital_Earnings!H44&lt;=_config!$C$26,"ALERT",IF(Dashboard_Capital_Earnings!H44&lt;=_config!$B$26,"WATCH","OK")))</f>
        <v/>
      </c>
      <c r="U41" s="28">
        <f>IF(NOT(ISNUMBER(Dashboard_Capital_Earnings!I44)),"",IF(Dashboard_Capital_Earnings!I44&gt;=_config!$C$27,"ALERT",IF(Dashboard_Capital_Earnings!I44&gt;=_config!$B$27,"WATCH","OK")))</f>
        <v/>
      </c>
      <c r="V41" s="28">
        <f>IF(NOT(ISNUMBER(Dashboard_Funding_Concentration!D44)),"",IF(Dashboard_Funding_Concentration!D44&gt;=_config!$C$28,"ALERT",IF(Dashboard_Funding_Concentration!D44&gt;=_config!$B$28,"WATCH","OK")))</f>
        <v/>
      </c>
      <c r="W41" s="28">
        <f>IF(NOT(ISNUMBER(Dashboard_Funding_Concentration!E44)),"",IF(Dashboard_Funding_Concentration!E44&gt;=_config!$C$29,"ALERT",IF(Dashboard_Funding_Concentration!E44&gt;=_config!$B$29,"WATCH","OK")))</f>
        <v/>
      </c>
      <c r="X41" s="28">
        <f>IF(NOT(ISNUMBER(Dashboard_Funding_Concentration!F44)),"",IF(Dashboard_Funding_Concentration!F44&gt;=_config!$C$30,"ALERT",IF(Dashboard_Funding_Concentration!F44&gt;=_config!$B$30,"WATCH","OK")))</f>
        <v/>
      </c>
      <c r="Y41" s="28">
        <f>IF(NOT(ISNUMBER(Dashboard_LoanBook!D44)),"",IF(Dashboard_LoanBook!D44&gt;=_config!$C$31,"ALERT",IF(Dashboard_LoanBook!D44&gt;=_config!$B$31,"WATCH","OK")))</f>
        <v/>
      </c>
      <c r="Z41" s="28">
        <f>IF(NOT(ISNUMBER(Dashboard_LoanBook!E44)),"",IF(Dashboard_LoanBook!E44&gt;=_config!$C$32,"ALERT",IF(Dashboard_LoanBook!E44&gt;=_config!$B$32,"WATCH","OK")))</f>
        <v/>
      </c>
      <c r="AA41" s="28">
        <f>IF(NOT(ISNUMBER(Dashboard_LoanBook!F44)),"",IF(Dashboard_LoanBook!F44&gt;=_config!$C$33,"ALERT",IF(Dashboard_LoanBook!F44&gt;=_config!$B$33,"WATCH","OK")))</f>
        <v/>
      </c>
      <c r="AB41" s="28">
        <f>IF(NOT(ISNUMBER(Dashboard_LoanBook!G44)),"",IF(Dashboard_LoanBook!G44&gt;=_config!$C$34,"ALERT",IF(Dashboard_LoanBook!G44&gt;=_config!$B$34,"WATCH","OK")))</f>
        <v/>
      </c>
      <c r="AC41" s="28">
        <f>IF(NOT(ISNUMBER(Dashboard_LoanBook!H44)),"",IF(Dashboard_LoanBook!H44&gt;=_config!$C$35,"ALERT",IF(Dashboard_LoanBook!H44&gt;=_config!$B$35,"WATCH","OK")))</f>
        <v/>
      </c>
      <c r="AD41" s="28">
        <f>IF(NOT(ISNUMBER(Dashboard_LoanBook!I44)),"",IF(Dashboard_LoanBook!I44&gt;=_config!$C$36,"ALERT",IF(Dashboard_LoanBook!I44&gt;=_config!$B$36,"WATCH","OK")))</f>
        <v/>
      </c>
      <c r="AE41" s="28">
        <f>IF(NOT(ISNUMBER(Dashboard_LoanBook!J44)),"",IF(Dashboard_LoanBook!J44&gt;=_config!$C$37,"ALERT",IF(Dashboard_LoanBook!J44&gt;=_config!$B$37,"WATCH","OK")))</f>
        <v/>
      </c>
      <c r="AF41" s="28">
        <f>IF(NOT(ISNUMBER(Dashboard_LoanBook!K44)),"",IF(Dashboard_LoanBook!K44&gt;=_config!$C$38,"ALERT",IF(Dashboard_LoanBook!K44&gt;=_config!$B$38,"WATCH","OK")))</f>
        <v/>
      </c>
      <c r="AG41" s="28">
        <f>IF(NOT(ISNUMBER(Dashboard_LoanBook!L44)),"",IF(Dashboard_LoanBook!L44&gt;=_config!$C$39,"ALERT",IF(Dashboard_LoanBook!L44&gt;=_config!$B$39,"WATCH","OK")))</f>
        <v/>
      </c>
      <c r="AH41" s="28">
        <f>IF(NOT(ISNUMBER(Dashboard_LoanBook!M44)),"",IF(Dashboard_LoanBook!M44&gt;=_config!$C$40,"ALERT",IF(Dashboard_LoanBook!M44&gt;=_config!$B$40,"WATCH","OK")))</f>
        <v/>
      </c>
      <c r="AI41" s="28">
        <f>IF(NOT(ISNUMBER(Dashboard_LoanBook!N44)),"",IF(Dashboard_LoanBook!N44&gt;=_config!$C$41,"ALERT",IF(Dashboard_LoanBook!N44&gt;=_config!$B$41,"WATCH","OK")))</f>
        <v/>
      </c>
      <c r="AJ41" s="28">
        <f>IF(NOT(ISNUMBER(Dashboard_LoanBook!O44)),"",IF(Dashboard_LoanBook!O44&gt;=_config!$C$42,"ALERT",IF(Dashboard_LoanBook!O44&gt;=_config!$B$42,"WATCH","OK")))</f>
        <v/>
      </c>
      <c r="AK41" s="28">
        <f>IF(NOT(ISNUMBER(Dashboard_LoanBook!P44)),"",IF(Dashboard_LoanBook!P44&gt;=_config!$C$43,"ALERT",IF(Dashboard_LoanBook!P44&gt;=_config!$B$43,"WATCH","OK")))</f>
        <v/>
      </c>
      <c r="AL41" s="28">
        <f>IF(NOT(ISNUMBER(Dashboard_LoanBook!Q44)),"",IF(Dashboard_LoanBook!Q44&gt;=_config!$C$44,"ALERT",IF(Dashboard_LoanBook!Q44&gt;=_config!$B$44,"WATCH","OK")))</f>
        <v/>
      </c>
      <c r="AM41" s="28">
        <f>IF(NOT(ISNUMBER(Dashboard_LoanBook!R44)),"",IF(Dashboard_LoanBook!R44&gt;=_config!$C$45,"ALERT",IF(Dashboard_LoanBook!R44&gt;=_config!$B$45,"WATCH","OK")))</f>
        <v/>
      </c>
      <c r="AN41" s="28">
        <f>IF(NOT(ISNUMBER(Dashboard_LoanBook!S44)),"",IF(Dashboard_LoanBook!S44&gt;=_config!$C$46,"ALERT",IF(Dashboard_LoanBook!S44&gt;=_config!$B$46,"WATCH","OK")))</f>
        <v/>
      </c>
      <c r="AO41" s="28">
        <f>IF(NOT(ISNUMBER(Dashboard_LoanBook!T44)),"",IF(Dashboard_LoanBook!T44&gt;=_config!$C$47,"ALERT",IF(Dashboard_LoanBook!T44&gt;=_config!$B$47,"WATCH","OK")))</f>
        <v/>
      </c>
      <c r="AP41" s="28">
        <f>IF(NOT(ISNUMBER(Dashboard_LoanBook!U44)),"",IF(Dashboard_LoanBook!U44&gt;=_config!$C$48,"ALERT",IF(Dashboard_LoanBook!U44&gt;=_config!$B$48,"WATCH","OK")))</f>
        <v/>
      </c>
      <c r="AQ41" s="28">
        <f>IF(NOT(ISNUMBER(Dashboard_LoanBook!V44)),"",IF(Dashboard_LoanBook!V44&gt;=_config!$C$49,"ALERT",IF(Dashboard_LoanBook!V44&gt;=_config!$B$49,"WATCH","OK")))</f>
        <v/>
      </c>
      <c r="AR41" s="28">
        <f>IF(NOT(ISNUMBER(Dashboard_LoanBook!D88)),"",IF(Dashboard_LoanBook!D88&gt;=_config!$C$50,"ALERT",IF(Dashboard_LoanBook!D88&gt;=_config!$B$50,"WATCH","OK")))</f>
        <v/>
      </c>
      <c r="AS41" s="28">
        <f>IF(NOT(ISNUMBER(Dashboard_LoanBook!E88)),"",IF(Dashboard_LoanBook!E88&gt;=_config!$C$51,"ALERT",IF(Dashboard_LoanBook!E88&gt;=_config!$B$51,"WATCH","OK")))</f>
        <v/>
      </c>
      <c r="AT41" s="28">
        <f>IF(NOT(ISNUMBER(Dashboard_LoanBook!F88)),"",IF(Dashboard_LoanBook!F88&gt;=_config!$C$52,"ALERT",IF(Dashboard_LoanBook!F88&gt;=_config!$B$52,"WATCH","OK")))</f>
        <v/>
      </c>
      <c r="AU41" s="28">
        <f>IF(NOT(ISNUMBER(Dashboard_LoanBook!G88)),"",IF(Dashboard_LoanBook!G88&gt;=_config!$C$53,"ALERT",IF(Dashboard_LoanBook!G88&gt;=_config!$B$53,"WATCH","OK")))</f>
        <v/>
      </c>
      <c r="AV41" s="28">
        <f>IF(NOT(ISNUMBER(Dashboard_LoanBook!H88)),"",IF(Dashboard_LoanBook!H88&gt;=_config!$C$54,"ALERT",IF(Dashboard_LoanBook!H88&gt;=_config!$B$54,"WATCH","OK")))</f>
        <v/>
      </c>
      <c r="AW41" s="28">
        <f>IF(NOT(ISNUMBER(Dashboard_LoanBook!I88)),"",IF(Dashboard_LoanBook!I88&gt;=_config!$C$55,"ALERT",IF(Dashboard_LoanBook!I88&gt;=_config!$B$55,"WATCH","OK")))</f>
        <v/>
      </c>
      <c r="AX41" s="28">
        <f>IF(NOT(ISNUMBER(Dashboard_LoanBook!J88)),"",IF(Dashboard_LoanBook!J88&gt;=_config!$C$56,"ALERT",IF(Dashboard_LoanBook!J88&gt;=_config!$B$56,"WATCH","OK")))</f>
        <v/>
      </c>
      <c r="AY41" s="28">
        <f>IF(NOT(ISNUMBER(Dashboard_LoanBook!K88)),"",IF(Dashboard_LoanBook!K88&gt;=_config!$C$57,"ALERT",IF(Dashboard_LoanBook!K88&gt;=_config!$B$57,"WATCH","OK")))</f>
        <v/>
      </c>
      <c r="AZ41" s="28">
        <f>IF(NOT(ISNUMBER(Dashboard_LoanBook!L88)),"",IF(Dashboard_LoanBook!L88&gt;=_config!$C$58,"ALERT",IF(Dashboard_LoanBook!L88&gt;=_config!$B$58,"WATCH","OK")))</f>
        <v/>
      </c>
      <c r="BA41" s="28">
        <f>IF(NOT(ISNUMBER(Dashboard_LoanBook!M88)),"",IF(Dashboard_LoanBook!M88&gt;=_config!$C$59,"ALERT",IF(Dashboard_LoanBook!M88&gt;=_config!$B$59,"WATCH","OK")))</f>
        <v/>
      </c>
      <c r="BB41" s="28">
        <f>IF(NOT(ISNUMBER(Dashboard_LoanBook!N88)),"",IF(Dashboard_LoanBook!N88&gt;=_config!$C$60,"ALERT",IF(Dashboard_LoanBook!N88&gt;=_config!$B$60,"WATCH","OK")))</f>
        <v/>
      </c>
      <c r="BC41" s="28">
        <f>IF(NOT(ISNUMBER(Dashboard_LoanBook!O88)),"",IF(Dashboard_LoanBook!O88&gt;=_config!$C$61,"ALERT",IF(Dashboard_LoanBook!O88&gt;=_config!$B$61,"WATCH","OK")))</f>
        <v/>
      </c>
      <c r="BD41" s="28">
        <f>IF(NOT(ISNUMBER(Dashboard_LoanBook!P88)),"",IF(Dashboard_LoanBook!P88&gt;=_config!$C$62,"ALERT",IF(Dashboard_LoanBook!P88&gt;=_config!$B$62,"WATCH","OK")))</f>
        <v/>
      </c>
      <c r="BE41" s="28">
        <f>IF(NOT(ISNUMBER(Dashboard_LoanBook!Q88)),"",IF(Dashboard_LoanBook!Q88&gt;=_config!$C$63,"ALERT",IF(Dashboard_LoanBook!Q88&gt;=_config!$B$63,"WATCH","OK")))</f>
        <v/>
      </c>
      <c r="BF41" s="28">
        <f>IF(NOT(ISNUMBER(Dashboard_LoanBook!R88)),"",IF(Dashboard_LoanBook!R88&gt;=_config!$C$64,"ALERT",IF(Dashboard_LoanBook!R88&gt;=_config!$B$64,"WATCH","OK")))</f>
        <v/>
      </c>
      <c r="BG41" s="28">
        <f>IF(NOT(ISNUMBER(Dashboard_LoanBook!S88)),"",IF(Dashboard_LoanBook!S88&gt;=_config!$C$65,"ALERT",IF(Dashboard_LoanBook!S88&gt;=_config!$B$65,"WATCH","OK")))</f>
        <v/>
      </c>
      <c r="BH41" s="28">
        <f>IF(NOT(ISNUMBER(Dashboard_Funding_Concentration!G44)),"",IF(Dashboard_Funding_Concentration!G44&gt;=_config!$C$66,"ALERT",IF(Dashboard_Funding_Concentration!G44&gt;=_config!$B$66,"WATCH","OK")))</f>
        <v/>
      </c>
      <c r="BI41" s="28">
        <f>IF(NOT(ISNUMBER(Dashboard_Funding_Concentration!H44)),"",IF(Dashboard_Funding_Concentration!H44&gt;=_config!$C$67,"ALERT",IF(Dashboard_Funding_Concentration!H44&gt;=_config!$B$67,"WATCH","OK")))</f>
        <v/>
      </c>
      <c r="BJ41" s="28">
        <f>IF(NOT(ISNUMBER(Dashboard_Funding_Concentration!I44)),"",IF(Dashboard_Funding_Concentration!I44&gt;=_config!$C$68,"ALERT",IF(Dashboard_Funding_Concentration!I44&gt;=_config!$B$68,"WATCH","OK")))</f>
        <v/>
      </c>
      <c r="BL41" s="28">
        <f>IF(NOT(ISNUMBER($E41)),"",$E41*10000+IF(ISNUMBER($D41),$D41,0))</f>
        <v/>
      </c>
    </row>
    <row r="42">
      <c r="A42" s="14">
        <f>IF(_config!$C$109="","",_config!$C$109)</f>
        <v/>
      </c>
      <c r="B42" s="25">
        <f>IF(_config!$B$109="","",_config!$B$109)</f>
        <v/>
      </c>
      <c r="C42" s="16">
        <f>IF(_config!$D$109="","",_config!$D$109)</f>
        <v/>
      </c>
      <c r="D42" s="26">
        <f>IF(Dashboard_AssetQuality!I45="","",Dashboard_AssetQuality!I45)</f>
        <v/>
      </c>
      <c r="E42" s="27">
        <f>IF($A42="","",COUNTIF($J42:$BJ42,"ALERT"))</f>
        <v/>
      </c>
      <c r="F42" s="27">
        <f>IF($A42="","",COUNTIF($J42:$BJ42,"WATCH"))</f>
        <v/>
      </c>
      <c r="G42" s="27">
        <f>IF($BL42="","",RANK($BL42,$BL$5:$BL$44))</f>
        <v/>
      </c>
      <c r="H42" s="27">
        <f>IF(_config!$C$109="","",IF(NOT(ISNUMBER(_config!$B$109)),"REFUSED: blank/invalid CERT -- run --lookup",IF(UPPER(_config!$E$109&amp;"")&lt;&gt;"TRUE","OFF",IF($E42&gt;0,"ALERT",IF($F42&gt;0,"WATCH","OK")))))</f>
        <v/>
      </c>
      <c r="J42" s="28">
        <f>IF(NOT(ISNUMBER(Dashboard_AssetQuality!D45)),"",IF(Dashboard_AssetQuality!D45&gt;=_config!$C$16,"ALERT",IF(Dashboard_AssetQuality!D45&gt;=_config!$B$16,"WATCH","OK")))</f>
        <v/>
      </c>
      <c r="K42" s="28">
        <f>IF(NOT(ISNUMBER(Dashboard_AssetQuality!E45)),"",IF(Dashboard_AssetQuality!E45&gt;=_config!$C$17,"ALERT",IF(Dashboard_AssetQuality!E45&gt;=_config!$B$17,"WATCH","OK")))</f>
        <v/>
      </c>
      <c r="L42" s="28">
        <f>IF(NOT(ISNUMBER(Dashboard_AssetQuality!F45)),"",IF(Dashboard_AssetQuality!F45&gt;=_config!$C$18,"ALERT",IF(Dashboard_AssetQuality!F45&gt;=_config!$B$18,"WATCH","OK")))</f>
        <v/>
      </c>
      <c r="M42" s="28">
        <f>IF(NOT(ISNUMBER(Dashboard_AssetQuality!G45)),"",IF(Dashboard_AssetQuality!G45&lt;=_config!$C$19,"ALERT",IF(Dashboard_AssetQuality!G45&lt;=_config!$B$19,"WATCH","OK")))</f>
        <v/>
      </c>
      <c r="N42" s="28">
        <f>IF(NOT(ISNUMBER(Dashboard_AssetQuality!H45)),"",IF(Dashboard_AssetQuality!H45&lt;=_config!$C$20,"ALERT",IF(Dashboard_AssetQuality!H45&lt;=_config!$B$20,"WATCH","OK")))</f>
        <v/>
      </c>
      <c r="O42" s="28">
        <f>IF(NOT(ISNUMBER(Dashboard_AssetQuality!I45)),"",IF(Dashboard_AssetQuality!I45&gt;=_config!$C$21,"ALERT",IF(Dashboard_AssetQuality!I45&gt;=_config!$B$21,"WATCH","OK")))</f>
        <v/>
      </c>
      <c r="P42" s="28">
        <f>IF(NOT(ISNUMBER(Dashboard_Capital_Earnings!D45)),"",IF(Dashboard_Capital_Earnings!D45&lt;=_config!$C$22,"ALERT",IF(Dashboard_Capital_Earnings!D45&lt;=_config!$B$22,"WATCH","OK")))</f>
        <v/>
      </c>
      <c r="Q42" s="28">
        <f>IF(NOT(ISNUMBER(Dashboard_Capital_Earnings!E45)),"",IF(Dashboard_Capital_Earnings!E45&lt;=_config!$C$23,"ALERT",IF(Dashboard_Capital_Earnings!E45&lt;=_config!$B$23,"WATCH","OK")))</f>
        <v/>
      </c>
      <c r="R42" s="28">
        <f>IF(NOT(ISNUMBER(Dashboard_Capital_Earnings!F45)),"",IF(Dashboard_Capital_Earnings!F45&lt;=_config!$C$24,"ALERT",IF(Dashboard_Capital_Earnings!F45&lt;=_config!$B$24,"WATCH","OK")))</f>
        <v/>
      </c>
      <c r="S42" s="28">
        <f>IF(NOT(ISNUMBER(Dashboard_Capital_Earnings!G45)),"",IF(Dashboard_Capital_Earnings!G45&lt;=_config!$C$25,"ALERT",IF(Dashboard_Capital_Earnings!G45&lt;=_config!$B$25,"WATCH","OK")))</f>
        <v/>
      </c>
      <c r="T42" s="28">
        <f>IF(NOT(ISNUMBER(Dashboard_Capital_Earnings!H45)),"",IF(Dashboard_Capital_Earnings!H45&lt;=_config!$C$26,"ALERT",IF(Dashboard_Capital_Earnings!H45&lt;=_config!$B$26,"WATCH","OK")))</f>
        <v/>
      </c>
      <c r="U42" s="28">
        <f>IF(NOT(ISNUMBER(Dashboard_Capital_Earnings!I45)),"",IF(Dashboard_Capital_Earnings!I45&gt;=_config!$C$27,"ALERT",IF(Dashboard_Capital_Earnings!I45&gt;=_config!$B$27,"WATCH","OK")))</f>
        <v/>
      </c>
      <c r="V42" s="28">
        <f>IF(NOT(ISNUMBER(Dashboard_Funding_Concentration!D45)),"",IF(Dashboard_Funding_Concentration!D45&gt;=_config!$C$28,"ALERT",IF(Dashboard_Funding_Concentration!D45&gt;=_config!$B$28,"WATCH","OK")))</f>
        <v/>
      </c>
      <c r="W42" s="28">
        <f>IF(NOT(ISNUMBER(Dashboard_Funding_Concentration!E45)),"",IF(Dashboard_Funding_Concentration!E45&gt;=_config!$C$29,"ALERT",IF(Dashboard_Funding_Concentration!E45&gt;=_config!$B$29,"WATCH","OK")))</f>
        <v/>
      </c>
      <c r="X42" s="28">
        <f>IF(NOT(ISNUMBER(Dashboard_Funding_Concentration!F45)),"",IF(Dashboard_Funding_Concentration!F45&gt;=_config!$C$30,"ALERT",IF(Dashboard_Funding_Concentration!F45&gt;=_config!$B$30,"WATCH","OK")))</f>
        <v/>
      </c>
      <c r="Y42" s="28">
        <f>IF(NOT(ISNUMBER(Dashboard_LoanBook!D45)),"",IF(Dashboard_LoanBook!D45&gt;=_config!$C$31,"ALERT",IF(Dashboard_LoanBook!D45&gt;=_config!$B$31,"WATCH","OK")))</f>
        <v/>
      </c>
      <c r="Z42" s="28">
        <f>IF(NOT(ISNUMBER(Dashboard_LoanBook!E45)),"",IF(Dashboard_LoanBook!E45&gt;=_config!$C$32,"ALERT",IF(Dashboard_LoanBook!E45&gt;=_config!$B$32,"WATCH","OK")))</f>
        <v/>
      </c>
      <c r="AA42" s="28">
        <f>IF(NOT(ISNUMBER(Dashboard_LoanBook!F45)),"",IF(Dashboard_LoanBook!F45&gt;=_config!$C$33,"ALERT",IF(Dashboard_LoanBook!F45&gt;=_config!$B$33,"WATCH","OK")))</f>
        <v/>
      </c>
      <c r="AB42" s="28">
        <f>IF(NOT(ISNUMBER(Dashboard_LoanBook!G45)),"",IF(Dashboard_LoanBook!G45&gt;=_config!$C$34,"ALERT",IF(Dashboard_LoanBook!G45&gt;=_config!$B$34,"WATCH","OK")))</f>
        <v/>
      </c>
      <c r="AC42" s="28">
        <f>IF(NOT(ISNUMBER(Dashboard_LoanBook!H45)),"",IF(Dashboard_LoanBook!H45&gt;=_config!$C$35,"ALERT",IF(Dashboard_LoanBook!H45&gt;=_config!$B$35,"WATCH","OK")))</f>
        <v/>
      </c>
      <c r="AD42" s="28">
        <f>IF(NOT(ISNUMBER(Dashboard_LoanBook!I45)),"",IF(Dashboard_LoanBook!I45&gt;=_config!$C$36,"ALERT",IF(Dashboard_LoanBook!I45&gt;=_config!$B$36,"WATCH","OK")))</f>
        <v/>
      </c>
      <c r="AE42" s="28">
        <f>IF(NOT(ISNUMBER(Dashboard_LoanBook!J45)),"",IF(Dashboard_LoanBook!J45&gt;=_config!$C$37,"ALERT",IF(Dashboard_LoanBook!J45&gt;=_config!$B$37,"WATCH","OK")))</f>
        <v/>
      </c>
      <c r="AF42" s="28">
        <f>IF(NOT(ISNUMBER(Dashboard_LoanBook!K45)),"",IF(Dashboard_LoanBook!K45&gt;=_config!$C$38,"ALERT",IF(Dashboard_LoanBook!K45&gt;=_config!$B$38,"WATCH","OK")))</f>
        <v/>
      </c>
      <c r="AG42" s="28">
        <f>IF(NOT(ISNUMBER(Dashboard_LoanBook!L45)),"",IF(Dashboard_LoanBook!L45&gt;=_config!$C$39,"ALERT",IF(Dashboard_LoanBook!L45&gt;=_config!$B$39,"WATCH","OK")))</f>
        <v/>
      </c>
      <c r="AH42" s="28">
        <f>IF(NOT(ISNUMBER(Dashboard_LoanBook!M45)),"",IF(Dashboard_LoanBook!M45&gt;=_config!$C$40,"ALERT",IF(Dashboard_LoanBook!M45&gt;=_config!$B$40,"WATCH","OK")))</f>
        <v/>
      </c>
      <c r="AI42" s="28">
        <f>IF(NOT(ISNUMBER(Dashboard_LoanBook!N45)),"",IF(Dashboard_LoanBook!N45&gt;=_config!$C$41,"ALERT",IF(Dashboard_LoanBook!N45&gt;=_config!$B$41,"WATCH","OK")))</f>
        <v/>
      </c>
      <c r="AJ42" s="28">
        <f>IF(NOT(ISNUMBER(Dashboard_LoanBook!O45)),"",IF(Dashboard_LoanBook!O45&gt;=_config!$C$42,"ALERT",IF(Dashboard_LoanBook!O45&gt;=_config!$B$42,"WATCH","OK")))</f>
        <v/>
      </c>
      <c r="AK42" s="28">
        <f>IF(NOT(ISNUMBER(Dashboard_LoanBook!P45)),"",IF(Dashboard_LoanBook!P45&gt;=_config!$C$43,"ALERT",IF(Dashboard_LoanBook!P45&gt;=_config!$B$43,"WATCH","OK")))</f>
        <v/>
      </c>
      <c r="AL42" s="28">
        <f>IF(NOT(ISNUMBER(Dashboard_LoanBook!Q45)),"",IF(Dashboard_LoanBook!Q45&gt;=_config!$C$44,"ALERT",IF(Dashboard_LoanBook!Q45&gt;=_config!$B$44,"WATCH","OK")))</f>
        <v/>
      </c>
      <c r="AM42" s="28">
        <f>IF(NOT(ISNUMBER(Dashboard_LoanBook!R45)),"",IF(Dashboard_LoanBook!R45&gt;=_config!$C$45,"ALERT",IF(Dashboard_LoanBook!R45&gt;=_config!$B$45,"WATCH","OK")))</f>
        <v/>
      </c>
      <c r="AN42" s="28">
        <f>IF(NOT(ISNUMBER(Dashboard_LoanBook!S45)),"",IF(Dashboard_LoanBook!S45&gt;=_config!$C$46,"ALERT",IF(Dashboard_LoanBook!S45&gt;=_config!$B$46,"WATCH","OK")))</f>
        <v/>
      </c>
      <c r="AO42" s="28">
        <f>IF(NOT(ISNUMBER(Dashboard_LoanBook!T45)),"",IF(Dashboard_LoanBook!T45&gt;=_config!$C$47,"ALERT",IF(Dashboard_LoanBook!T45&gt;=_config!$B$47,"WATCH","OK")))</f>
        <v/>
      </c>
      <c r="AP42" s="28">
        <f>IF(NOT(ISNUMBER(Dashboard_LoanBook!U45)),"",IF(Dashboard_LoanBook!U45&gt;=_config!$C$48,"ALERT",IF(Dashboard_LoanBook!U45&gt;=_config!$B$48,"WATCH","OK")))</f>
        <v/>
      </c>
      <c r="AQ42" s="28">
        <f>IF(NOT(ISNUMBER(Dashboard_LoanBook!V45)),"",IF(Dashboard_LoanBook!V45&gt;=_config!$C$49,"ALERT",IF(Dashboard_LoanBook!V45&gt;=_config!$B$49,"WATCH","OK")))</f>
        <v/>
      </c>
      <c r="AR42" s="28">
        <f>IF(NOT(ISNUMBER(Dashboard_LoanBook!D89)),"",IF(Dashboard_LoanBook!D89&gt;=_config!$C$50,"ALERT",IF(Dashboard_LoanBook!D89&gt;=_config!$B$50,"WATCH","OK")))</f>
        <v/>
      </c>
      <c r="AS42" s="28">
        <f>IF(NOT(ISNUMBER(Dashboard_LoanBook!E89)),"",IF(Dashboard_LoanBook!E89&gt;=_config!$C$51,"ALERT",IF(Dashboard_LoanBook!E89&gt;=_config!$B$51,"WATCH","OK")))</f>
        <v/>
      </c>
      <c r="AT42" s="28">
        <f>IF(NOT(ISNUMBER(Dashboard_LoanBook!F89)),"",IF(Dashboard_LoanBook!F89&gt;=_config!$C$52,"ALERT",IF(Dashboard_LoanBook!F89&gt;=_config!$B$52,"WATCH","OK")))</f>
        <v/>
      </c>
      <c r="AU42" s="28">
        <f>IF(NOT(ISNUMBER(Dashboard_LoanBook!G89)),"",IF(Dashboard_LoanBook!G89&gt;=_config!$C$53,"ALERT",IF(Dashboard_LoanBook!G89&gt;=_config!$B$53,"WATCH","OK")))</f>
        <v/>
      </c>
      <c r="AV42" s="28">
        <f>IF(NOT(ISNUMBER(Dashboard_LoanBook!H89)),"",IF(Dashboard_LoanBook!H89&gt;=_config!$C$54,"ALERT",IF(Dashboard_LoanBook!H89&gt;=_config!$B$54,"WATCH","OK")))</f>
        <v/>
      </c>
      <c r="AW42" s="28">
        <f>IF(NOT(ISNUMBER(Dashboard_LoanBook!I89)),"",IF(Dashboard_LoanBook!I89&gt;=_config!$C$55,"ALERT",IF(Dashboard_LoanBook!I89&gt;=_config!$B$55,"WATCH","OK")))</f>
        <v/>
      </c>
      <c r="AX42" s="28">
        <f>IF(NOT(ISNUMBER(Dashboard_LoanBook!J89)),"",IF(Dashboard_LoanBook!J89&gt;=_config!$C$56,"ALERT",IF(Dashboard_LoanBook!J89&gt;=_config!$B$56,"WATCH","OK")))</f>
        <v/>
      </c>
      <c r="AY42" s="28">
        <f>IF(NOT(ISNUMBER(Dashboard_LoanBook!K89)),"",IF(Dashboard_LoanBook!K89&gt;=_config!$C$57,"ALERT",IF(Dashboard_LoanBook!K89&gt;=_config!$B$57,"WATCH","OK")))</f>
        <v/>
      </c>
      <c r="AZ42" s="28">
        <f>IF(NOT(ISNUMBER(Dashboard_LoanBook!L89)),"",IF(Dashboard_LoanBook!L89&gt;=_config!$C$58,"ALERT",IF(Dashboard_LoanBook!L89&gt;=_config!$B$58,"WATCH","OK")))</f>
        <v/>
      </c>
      <c r="BA42" s="28">
        <f>IF(NOT(ISNUMBER(Dashboard_LoanBook!M89)),"",IF(Dashboard_LoanBook!M89&gt;=_config!$C$59,"ALERT",IF(Dashboard_LoanBook!M89&gt;=_config!$B$59,"WATCH","OK")))</f>
        <v/>
      </c>
      <c r="BB42" s="28">
        <f>IF(NOT(ISNUMBER(Dashboard_LoanBook!N89)),"",IF(Dashboard_LoanBook!N89&gt;=_config!$C$60,"ALERT",IF(Dashboard_LoanBook!N89&gt;=_config!$B$60,"WATCH","OK")))</f>
        <v/>
      </c>
      <c r="BC42" s="28">
        <f>IF(NOT(ISNUMBER(Dashboard_LoanBook!O89)),"",IF(Dashboard_LoanBook!O89&gt;=_config!$C$61,"ALERT",IF(Dashboard_LoanBook!O89&gt;=_config!$B$61,"WATCH","OK")))</f>
        <v/>
      </c>
      <c r="BD42" s="28">
        <f>IF(NOT(ISNUMBER(Dashboard_LoanBook!P89)),"",IF(Dashboard_LoanBook!P89&gt;=_config!$C$62,"ALERT",IF(Dashboard_LoanBook!P89&gt;=_config!$B$62,"WATCH","OK")))</f>
        <v/>
      </c>
      <c r="BE42" s="28">
        <f>IF(NOT(ISNUMBER(Dashboard_LoanBook!Q89)),"",IF(Dashboard_LoanBook!Q89&gt;=_config!$C$63,"ALERT",IF(Dashboard_LoanBook!Q89&gt;=_config!$B$63,"WATCH","OK")))</f>
        <v/>
      </c>
      <c r="BF42" s="28">
        <f>IF(NOT(ISNUMBER(Dashboard_LoanBook!R89)),"",IF(Dashboard_LoanBook!R89&gt;=_config!$C$64,"ALERT",IF(Dashboard_LoanBook!R89&gt;=_config!$B$64,"WATCH","OK")))</f>
        <v/>
      </c>
      <c r="BG42" s="28">
        <f>IF(NOT(ISNUMBER(Dashboard_LoanBook!S89)),"",IF(Dashboard_LoanBook!S89&gt;=_config!$C$65,"ALERT",IF(Dashboard_LoanBook!S89&gt;=_config!$B$65,"WATCH","OK")))</f>
        <v/>
      </c>
      <c r="BH42" s="28">
        <f>IF(NOT(ISNUMBER(Dashboard_Funding_Concentration!G45)),"",IF(Dashboard_Funding_Concentration!G45&gt;=_config!$C$66,"ALERT",IF(Dashboard_Funding_Concentration!G45&gt;=_config!$B$66,"WATCH","OK")))</f>
        <v/>
      </c>
      <c r="BI42" s="28">
        <f>IF(NOT(ISNUMBER(Dashboard_Funding_Concentration!H45)),"",IF(Dashboard_Funding_Concentration!H45&gt;=_config!$C$67,"ALERT",IF(Dashboard_Funding_Concentration!H45&gt;=_config!$B$67,"WATCH","OK")))</f>
        <v/>
      </c>
      <c r="BJ42" s="28">
        <f>IF(NOT(ISNUMBER(Dashboard_Funding_Concentration!I45)),"",IF(Dashboard_Funding_Concentration!I45&gt;=_config!$C$68,"ALERT",IF(Dashboard_Funding_Concentration!I45&gt;=_config!$B$68,"WATCH","OK")))</f>
        <v/>
      </c>
      <c r="BL42" s="28">
        <f>IF(NOT(ISNUMBER($E42)),"",$E42*10000+IF(ISNUMBER($D42),$D42,0))</f>
        <v/>
      </c>
    </row>
    <row r="43">
      <c r="A43" s="14">
        <f>IF(_config!$C$110="","",_config!$C$110)</f>
        <v/>
      </c>
      <c r="B43" s="25">
        <f>IF(_config!$B$110="","",_config!$B$110)</f>
        <v/>
      </c>
      <c r="C43" s="16">
        <f>IF(_config!$D$110="","",_config!$D$110)</f>
        <v/>
      </c>
      <c r="D43" s="26">
        <f>IF(Dashboard_AssetQuality!I46="","",Dashboard_AssetQuality!I46)</f>
        <v/>
      </c>
      <c r="E43" s="27">
        <f>IF($A43="","",COUNTIF($J43:$BJ43,"ALERT"))</f>
        <v/>
      </c>
      <c r="F43" s="27">
        <f>IF($A43="","",COUNTIF($J43:$BJ43,"WATCH"))</f>
        <v/>
      </c>
      <c r="G43" s="27">
        <f>IF($BL43="","",RANK($BL43,$BL$5:$BL$44))</f>
        <v/>
      </c>
      <c r="H43" s="27">
        <f>IF(_config!$C$110="","",IF(NOT(ISNUMBER(_config!$B$110)),"REFUSED: blank/invalid CERT -- run --lookup",IF(UPPER(_config!$E$110&amp;"")&lt;&gt;"TRUE","OFF",IF($E43&gt;0,"ALERT",IF($F43&gt;0,"WATCH","OK")))))</f>
        <v/>
      </c>
      <c r="J43" s="28">
        <f>IF(NOT(ISNUMBER(Dashboard_AssetQuality!D46)),"",IF(Dashboard_AssetQuality!D46&gt;=_config!$C$16,"ALERT",IF(Dashboard_AssetQuality!D46&gt;=_config!$B$16,"WATCH","OK")))</f>
        <v/>
      </c>
      <c r="K43" s="28">
        <f>IF(NOT(ISNUMBER(Dashboard_AssetQuality!E46)),"",IF(Dashboard_AssetQuality!E46&gt;=_config!$C$17,"ALERT",IF(Dashboard_AssetQuality!E46&gt;=_config!$B$17,"WATCH","OK")))</f>
        <v/>
      </c>
      <c r="L43" s="28">
        <f>IF(NOT(ISNUMBER(Dashboard_AssetQuality!F46)),"",IF(Dashboard_AssetQuality!F46&gt;=_config!$C$18,"ALERT",IF(Dashboard_AssetQuality!F46&gt;=_config!$B$18,"WATCH","OK")))</f>
        <v/>
      </c>
      <c r="M43" s="28">
        <f>IF(NOT(ISNUMBER(Dashboard_AssetQuality!G46)),"",IF(Dashboard_AssetQuality!G46&lt;=_config!$C$19,"ALERT",IF(Dashboard_AssetQuality!G46&lt;=_config!$B$19,"WATCH","OK")))</f>
        <v/>
      </c>
      <c r="N43" s="28">
        <f>IF(NOT(ISNUMBER(Dashboard_AssetQuality!H46)),"",IF(Dashboard_AssetQuality!H46&lt;=_config!$C$20,"ALERT",IF(Dashboard_AssetQuality!H46&lt;=_config!$B$20,"WATCH","OK")))</f>
        <v/>
      </c>
      <c r="O43" s="28">
        <f>IF(NOT(ISNUMBER(Dashboard_AssetQuality!I46)),"",IF(Dashboard_AssetQuality!I46&gt;=_config!$C$21,"ALERT",IF(Dashboard_AssetQuality!I46&gt;=_config!$B$21,"WATCH","OK")))</f>
        <v/>
      </c>
      <c r="P43" s="28">
        <f>IF(NOT(ISNUMBER(Dashboard_Capital_Earnings!D46)),"",IF(Dashboard_Capital_Earnings!D46&lt;=_config!$C$22,"ALERT",IF(Dashboard_Capital_Earnings!D46&lt;=_config!$B$22,"WATCH","OK")))</f>
        <v/>
      </c>
      <c r="Q43" s="28">
        <f>IF(NOT(ISNUMBER(Dashboard_Capital_Earnings!E46)),"",IF(Dashboard_Capital_Earnings!E46&lt;=_config!$C$23,"ALERT",IF(Dashboard_Capital_Earnings!E46&lt;=_config!$B$23,"WATCH","OK")))</f>
        <v/>
      </c>
      <c r="R43" s="28">
        <f>IF(NOT(ISNUMBER(Dashboard_Capital_Earnings!F46)),"",IF(Dashboard_Capital_Earnings!F46&lt;=_config!$C$24,"ALERT",IF(Dashboard_Capital_Earnings!F46&lt;=_config!$B$24,"WATCH","OK")))</f>
        <v/>
      </c>
      <c r="S43" s="28">
        <f>IF(NOT(ISNUMBER(Dashboard_Capital_Earnings!G46)),"",IF(Dashboard_Capital_Earnings!G46&lt;=_config!$C$25,"ALERT",IF(Dashboard_Capital_Earnings!G46&lt;=_config!$B$25,"WATCH","OK")))</f>
        <v/>
      </c>
      <c r="T43" s="28">
        <f>IF(NOT(ISNUMBER(Dashboard_Capital_Earnings!H46)),"",IF(Dashboard_Capital_Earnings!H46&lt;=_config!$C$26,"ALERT",IF(Dashboard_Capital_Earnings!H46&lt;=_config!$B$26,"WATCH","OK")))</f>
        <v/>
      </c>
      <c r="U43" s="28">
        <f>IF(NOT(ISNUMBER(Dashboard_Capital_Earnings!I46)),"",IF(Dashboard_Capital_Earnings!I46&gt;=_config!$C$27,"ALERT",IF(Dashboard_Capital_Earnings!I46&gt;=_config!$B$27,"WATCH","OK")))</f>
        <v/>
      </c>
      <c r="V43" s="28">
        <f>IF(NOT(ISNUMBER(Dashboard_Funding_Concentration!D46)),"",IF(Dashboard_Funding_Concentration!D46&gt;=_config!$C$28,"ALERT",IF(Dashboard_Funding_Concentration!D46&gt;=_config!$B$28,"WATCH","OK")))</f>
        <v/>
      </c>
      <c r="W43" s="28">
        <f>IF(NOT(ISNUMBER(Dashboard_Funding_Concentration!E46)),"",IF(Dashboard_Funding_Concentration!E46&gt;=_config!$C$29,"ALERT",IF(Dashboard_Funding_Concentration!E46&gt;=_config!$B$29,"WATCH","OK")))</f>
        <v/>
      </c>
      <c r="X43" s="28">
        <f>IF(NOT(ISNUMBER(Dashboard_Funding_Concentration!F46)),"",IF(Dashboard_Funding_Concentration!F46&gt;=_config!$C$30,"ALERT",IF(Dashboard_Funding_Concentration!F46&gt;=_config!$B$30,"WATCH","OK")))</f>
        <v/>
      </c>
      <c r="Y43" s="28">
        <f>IF(NOT(ISNUMBER(Dashboard_LoanBook!D46)),"",IF(Dashboard_LoanBook!D46&gt;=_config!$C$31,"ALERT",IF(Dashboard_LoanBook!D46&gt;=_config!$B$31,"WATCH","OK")))</f>
        <v/>
      </c>
      <c r="Z43" s="28">
        <f>IF(NOT(ISNUMBER(Dashboard_LoanBook!E46)),"",IF(Dashboard_LoanBook!E46&gt;=_config!$C$32,"ALERT",IF(Dashboard_LoanBook!E46&gt;=_config!$B$32,"WATCH","OK")))</f>
        <v/>
      </c>
      <c r="AA43" s="28">
        <f>IF(NOT(ISNUMBER(Dashboard_LoanBook!F46)),"",IF(Dashboard_LoanBook!F46&gt;=_config!$C$33,"ALERT",IF(Dashboard_LoanBook!F46&gt;=_config!$B$33,"WATCH","OK")))</f>
        <v/>
      </c>
      <c r="AB43" s="28">
        <f>IF(NOT(ISNUMBER(Dashboard_LoanBook!G46)),"",IF(Dashboard_LoanBook!G46&gt;=_config!$C$34,"ALERT",IF(Dashboard_LoanBook!G46&gt;=_config!$B$34,"WATCH","OK")))</f>
        <v/>
      </c>
      <c r="AC43" s="28">
        <f>IF(NOT(ISNUMBER(Dashboard_LoanBook!H46)),"",IF(Dashboard_LoanBook!H46&gt;=_config!$C$35,"ALERT",IF(Dashboard_LoanBook!H46&gt;=_config!$B$35,"WATCH","OK")))</f>
        <v/>
      </c>
      <c r="AD43" s="28">
        <f>IF(NOT(ISNUMBER(Dashboard_LoanBook!I46)),"",IF(Dashboard_LoanBook!I46&gt;=_config!$C$36,"ALERT",IF(Dashboard_LoanBook!I46&gt;=_config!$B$36,"WATCH","OK")))</f>
        <v/>
      </c>
      <c r="AE43" s="28">
        <f>IF(NOT(ISNUMBER(Dashboard_LoanBook!J46)),"",IF(Dashboard_LoanBook!J46&gt;=_config!$C$37,"ALERT",IF(Dashboard_LoanBook!J46&gt;=_config!$B$37,"WATCH","OK")))</f>
        <v/>
      </c>
      <c r="AF43" s="28">
        <f>IF(NOT(ISNUMBER(Dashboard_LoanBook!K46)),"",IF(Dashboard_LoanBook!K46&gt;=_config!$C$38,"ALERT",IF(Dashboard_LoanBook!K46&gt;=_config!$B$38,"WATCH","OK")))</f>
        <v/>
      </c>
      <c r="AG43" s="28">
        <f>IF(NOT(ISNUMBER(Dashboard_LoanBook!L46)),"",IF(Dashboard_LoanBook!L46&gt;=_config!$C$39,"ALERT",IF(Dashboard_LoanBook!L46&gt;=_config!$B$39,"WATCH","OK")))</f>
        <v/>
      </c>
      <c r="AH43" s="28">
        <f>IF(NOT(ISNUMBER(Dashboard_LoanBook!M46)),"",IF(Dashboard_LoanBook!M46&gt;=_config!$C$40,"ALERT",IF(Dashboard_LoanBook!M46&gt;=_config!$B$40,"WATCH","OK")))</f>
        <v/>
      </c>
      <c r="AI43" s="28">
        <f>IF(NOT(ISNUMBER(Dashboard_LoanBook!N46)),"",IF(Dashboard_LoanBook!N46&gt;=_config!$C$41,"ALERT",IF(Dashboard_LoanBook!N46&gt;=_config!$B$41,"WATCH","OK")))</f>
        <v/>
      </c>
      <c r="AJ43" s="28">
        <f>IF(NOT(ISNUMBER(Dashboard_LoanBook!O46)),"",IF(Dashboard_LoanBook!O46&gt;=_config!$C$42,"ALERT",IF(Dashboard_LoanBook!O46&gt;=_config!$B$42,"WATCH","OK")))</f>
        <v/>
      </c>
      <c r="AK43" s="28">
        <f>IF(NOT(ISNUMBER(Dashboard_LoanBook!P46)),"",IF(Dashboard_LoanBook!P46&gt;=_config!$C$43,"ALERT",IF(Dashboard_LoanBook!P46&gt;=_config!$B$43,"WATCH","OK")))</f>
        <v/>
      </c>
      <c r="AL43" s="28">
        <f>IF(NOT(ISNUMBER(Dashboard_LoanBook!Q46)),"",IF(Dashboard_LoanBook!Q46&gt;=_config!$C$44,"ALERT",IF(Dashboard_LoanBook!Q46&gt;=_config!$B$44,"WATCH","OK")))</f>
        <v/>
      </c>
      <c r="AM43" s="28">
        <f>IF(NOT(ISNUMBER(Dashboard_LoanBook!R46)),"",IF(Dashboard_LoanBook!R46&gt;=_config!$C$45,"ALERT",IF(Dashboard_LoanBook!R46&gt;=_config!$B$45,"WATCH","OK")))</f>
        <v/>
      </c>
      <c r="AN43" s="28">
        <f>IF(NOT(ISNUMBER(Dashboard_LoanBook!S46)),"",IF(Dashboard_LoanBook!S46&gt;=_config!$C$46,"ALERT",IF(Dashboard_LoanBook!S46&gt;=_config!$B$46,"WATCH","OK")))</f>
        <v/>
      </c>
      <c r="AO43" s="28">
        <f>IF(NOT(ISNUMBER(Dashboard_LoanBook!T46)),"",IF(Dashboard_LoanBook!T46&gt;=_config!$C$47,"ALERT",IF(Dashboard_LoanBook!T46&gt;=_config!$B$47,"WATCH","OK")))</f>
        <v/>
      </c>
      <c r="AP43" s="28">
        <f>IF(NOT(ISNUMBER(Dashboard_LoanBook!U46)),"",IF(Dashboard_LoanBook!U46&gt;=_config!$C$48,"ALERT",IF(Dashboard_LoanBook!U46&gt;=_config!$B$48,"WATCH","OK")))</f>
        <v/>
      </c>
      <c r="AQ43" s="28">
        <f>IF(NOT(ISNUMBER(Dashboard_LoanBook!V46)),"",IF(Dashboard_LoanBook!V46&gt;=_config!$C$49,"ALERT",IF(Dashboard_LoanBook!V46&gt;=_config!$B$49,"WATCH","OK")))</f>
        <v/>
      </c>
      <c r="AR43" s="28">
        <f>IF(NOT(ISNUMBER(Dashboard_LoanBook!D90)),"",IF(Dashboard_LoanBook!D90&gt;=_config!$C$50,"ALERT",IF(Dashboard_LoanBook!D90&gt;=_config!$B$50,"WATCH","OK")))</f>
        <v/>
      </c>
      <c r="AS43" s="28">
        <f>IF(NOT(ISNUMBER(Dashboard_LoanBook!E90)),"",IF(Dashboard_LoanBook!E90&gt;=_config!$C$51,"ALERT",IF(Dashboard_LoanBook!E90&gt;=_config!$B$51,"WATCH","OK")))</f>
        <v/>
      </c>
      <c r="AT43" s="28">
        <f>IF(NOT(ISNUMBER(Dashboard_LoanBook!F90)),"",IF(Dashboard_LoanBook!F90&gt;=_config!$C$52,"ALERT",IF(Dashboard_LoanBook!F90&gt;=_config!$B$52,"WATCH","OK")))</f>
        <v/>
      </c>
      <c r="AU43" s="28">
        <f>IF(NOT(ISNUMBER(Dashboard_LoanBook!G90)),"",IF(Dashboard_LoanBook!G90&gt;=_config!$C$53,"ALERT",IF(Dashboard_LoanBook!G90&gt;=_config!$B$53,"WATCH","OK")))</f>
        <v/>
      </c>
      <c r="AV43" s="28">
        <f>IF(NOT(ISNUMBER(Dashboard_LoanBook!H90)),"",IF(Dashboard_LoanBook!H90&gt;=_config!$C$54,"ALERT",IF(Dashboard_LoanBook!H90&gt;=_config!$B$54,"WATCH","OK")))</f>
        <v/>
      </c>
      <c r="AW43" s="28">
        <f>IF(NOT(ISNUMBER(Dashboard_LoanBook!I90)),"",IF(Dashboard_LoanBook!I90&gt;=_config!$C$55,"ALERT",IF(Dashboard_LoanBook!I90&gt;=_config!$B$55,"WATCH","OK")))</f>
        <v/>
      </c>
      <c r="AX43" s="28">
        <f>IF(NOT(ISNUMBER(Dashboard_LoanBook!J90)),"",IF(Dashboard_LoanBook!J90&gt;=_config!$C$56,"ALERT",IF(Dashboard_LoanBook!J90&gt;=_config!$B$56,"WATCH","OK")))</f>
        <v/>
      </c>
      <c r="AY43" s="28">
        <f>IF(NOT(ISNUMBER(Dashboard_LoanBook!K90)),"",IF(Dashboard_LoanBook!K90&gt;=_config!$C$57,"ALERT",IF(Dashboard_LoanBook!K90&gt;=_config!$B$57,"WATCH","OK")))</f>
        <v/>
      </c>
      <c r="AZ43" s="28">
        <f>IF(NOT(ISNUMBER(Dashboard_LoanBook!L90)),"",IF(Dashboard_LoanBook!L90&gt;=_config!$C$58,"ALERT",IF(Dashboard_LoanBook!L90&gt;=_config!$B$58,"WATCH","OK")))</f>
        <v/>
      </c>
      <c r="BA43" s="28">
        <f>IF(NOT(ISNUMBER(Dashboard_LoanBook!M90)),"",IF(Dashboard_LoanBook!M90&gt;=_config!$C$59,"ALERT",IF(Dashboard_LoanBook!M90&gt;=_config!$B$59,"WATCH","OK")))</f>
        <v/>
      </c>
      <c r="BB43" s="28">
        <f>IF(NOT(ISNUMBER(Dashboard_LoanBook!N90)),"",IF(Dashboard_LoanBook!N90&gt;=_config!$C$60,"ALERT",IF(Dashboard_LoanBook!N90&gt;=_config!$B$60,"WATCH","OK")))</f>
        <v/>
      </c>
      <c r="BC43" s="28">
        <f>IF(NOT(ISNUMBER(Dashboard_LoanBook!O90)),"",IF(Dashboard_LoanBook!O90&gt;=_config!$C$61,"ALERT",IF(Dashboard_LoanBook!O90&gt;=_config!$B$61,"WATCH","OK")))</f>
        <v/>
      </c>
      <c r="BD43" s="28">
        <f>IF(NOT(ISNUMBER(Dashboard_LoanBook!P90)),"",IF(Dashboard_LoanBook!P90&gt;=_config!$C$62,"ALERT",IF(Dashboard_LoanBook!P90&gt;=_config!$B$62,"WATCH","OK")))</f>
        <v/>
      </c>
      <c r="BE43" s="28">
        <f>IF(NOT(ISNUMBER(Dashboard_LoanBook!Q90)),"",IF(Dashboard_LoanBook!Q90&gt;=_config!$C$63,"ALERT",IF(Dashboard_LoanBook!Q90&gt;=_config!$B$63,"WATCH","OK")))</f>
        <v/>
      </c>
      <c r="BF43" s="28">
        <f>IF(NOT(ISNUMBER(Dashboard_LoanBook!R90)),"",IF(Dashboard_LoanBook!R90&gt;=_config!$C$64,"ALERT",IF(Dashboard_LoanBook!R90&gt;=_config!$B$64,"WATCH","OK")))</f>
        <v/>
      </c>
      <c r="BG43" s="28">
        <f>IF(NOT(ISNUMBER(Dashboard_LoanBook!S90)),"",IF(Dashboard_LoanBook!S90&gt;=_config!$C$65,"ALERT",IF(Dashboard_LoanBook!S90&gt;=_config!$B$65,"WATCH","OK")))</f>
        <v/>
      </c>
      <c r="BH43" s="28">
        <f>IF(NOT(ISNUMBER(Dashboard_Funding_Concentration!G46)),"",IF(Dashboard_Funding_Concentration!G46&gt;=_config!$C$66,"ALERT",IF(Dashboard_Funding_Concentration!G46&gt;=_config!$B$66,"WATCH","OK")))</f>
        <v/>
      </c>
      <c r="BI43" s="28">
        <f>IF(NOT(ISNUMBER(Dashboard_Funding_Concentration!H46)),"",IF(Dashboard_Funding_Concentration!H46&gt;=_config!$C$67,"ALERT",IF(Dashboard_Funding_Concentration!H46&gt;=_config!$B$67,"WATCH","OK")))</f>
        <v/>
      </c>
      <c r="BJ43" s="28">
        <f>IF(NOT(ISNUMBER(Dashboard_Funding_Concentration!I46)),"",IF(Dashboard_Funding_Concentration!I46&gt;=_config!$C$68,"ALERT",IF(Dashboard_Funding_Concentration!I46&gt;=_config!$B$68,"WATCH","OK")))</f>
        <v/>
      </c>
      <c r="BL43" s="28">
        <f>IF(NOT(ISNUMBER($E43)),"",$E43*10000+IF(ISNUMBER($D43),$D43,0))</f>
        <v/>
      </c>
    </row>
    <row r="44">
      <c r="A44" s="14">
        <f>IF(_config!$C$111="","",_config!$C$111)</f>
        <v/>
      </c>
      <c r="B44" s="25">
        <f>IF(_config!$B$111="","",_config!$B$111)</f>
        <v/>
      </c>
      <c r="C44" s="16">
        <f>IF(_config!$D$111="","",_config!$D$111)</f>
        <v/>
      </c>
      <c r="D44" s="26">
        <f>IF(Dashboard_AssetQuality!I47="","",Dashboard_AssetQuality!I47)</f>
        <v/>
      </c>
      <c r="E44" s="27">
        <f>IF($A44="","",COUNTIF($J44:$BJ44,"ALERT"))</f>
        <v/>
      </c>
      <c r="F44" s="27">
        <f>IF($A44="","",COUNTIF($J44:$BJ44,"WATCH"))</f>
        <v/>
      </c>
      <c r="G44" s="27">
        <f>IF($BL44="","",RANK($BL44,$BL$5:$BL$44))</f>
        <v/>
      </c>
      <c r="H44" s="27">
        <f>IF(_config!$C$111="","",IF(NOT(ISNUMBER(_config!$B$111)),"REFUSED: blank/invalid CERT -- run --lookup",IF(UPPER(_config!$E$111&amp;"")&lt;&gt;"TRUE","OFF",IF($E44&gt;0,"ALERT",IF($F44&gt;0,"WATCH","OK")))))</f>
        <v/>
      </c>
      <c r="J44" s="28">
        <f>IF(NOT(ISNUMBER(Dashboard_AssetQuality!D47)),"",IF(Dashboard_AssetQuality!D47&gt;=_config!$C$16,"ALERT",IF(Dashboard_AssetQuality!D47&gt;=_config!$B$16,"WATCH","OK")))</f>
        <v/>
      </c>
      <c r="K44" s="28">
        <f>IF(NOT(ISNUMBER(Dashboard_AssetQuality!E47)),"",IF(Dashboard_AssetQuality!E47&gt;=_config!$C$17,"ALERT",IF(Dashboard_AssetQuality!E47&gt;=_config!$B$17,"WATCH","OK")))</f>
        <v/>
      </c>
      <c r="L44" s="28">
        <f>IF(NOT(ISNUMBER(Dashboard_AssetQuality!F47)),"",IF(Dashboard_AssetQuality!F47&gt;=_config!$C$18,"ALERT",IF(Dashboard_AssetQuality!F47&gt;=_config!$B$18,"WATCH","OK")))</f>
        <v/>
      </c>
      <c r="M44" s="28">
        <f>IF(NOT(ISNUMBER(Dashboard_AssetQuality!G47)),"",IF(Dashboard_AssetQuality!G47&lt;=_config!$C$19,"ALERT",IF(Dashboard_AssetQuality!G47&lt;=_config!$B$19,"WATCH","OK")))</f>
        <v/>
      </c>
      <c r="N44" s="28">
        <f>IF(NOT(ISNUMBER(Dashboard_AssetQuality!H47)),"",IF(Dashboard_AssetQuality!H47&lt;=_config!$C$20,"ALERT",IF(Dashboard_AssetQuality!H47&lt;=_config!$B$20,"WATCH","OK")))</f>
        <v/>
      </c>
      <c r="O44" s="28">
        <f>IF(NOT(ISNUMBER(Dashboard_AssetQuality!I47)),"",IF(Dashboard_AssetQuality!I47&gt;=_config!$C$21,"ALERT",IF(Dashboard_AssetQuality!I47&gt;=_config!$B$21,"WATCH","OK")))</f>
        <v/>
      </c>
      <c r="P44" s="28">
        <f>IF(NOT(ISNUMBER(Dashboard_Capital_Earnings!D47)),"",IF(Dashboard_Capital_Earnings!D47&lt;=_config!$C$22,"ALERT",IF(Dashboard_Capital_Earnings!D47&lt;=_config!$B$22,"WATCH","OK")))</f>
        <v/>
      </c>
      <c r="Q44" s="28">
        <f>IF(NOT(ISNUMBER(Dashboard_Capital_Earnings!E47)),"",IF(Dashboard_Capital_Earnings!E47&lt;=_config!$C$23,"ALERT",IF(Dashboard_Capital_Earnings!E47&lt;=_config!$B$23,"WATCH","OK")))</f>
        <v/>
      </c>
      <c r="R44" s="28">
        <f>IF(NOT(ISNUMBER(Dashboard_Capital_Earnings!F47)),"",IF(Dashboard_Capital_Earnings!F47&lt;=_config!$C$24,"ALERT",IF(Dashboard_Capital_Earnings!F47&lt;=_config!$B$24,"WATCH","OK")))</f>
        <v/>
      </c>
      <c r="S44" s="28">
        <f>IF(NOT(ISNUMBER(Dashboard_Capital_Earnings!G47)),"",IF(Dashboard_Capital_Earnings!G47&lt;=_config!$C$25,"ALERT",IF(Dashboard_Capital_Earnings!G47&lt;=_config!$B$25,"WATCH","OK")))</f>
        <v/>
      </c>
      <c r="T44" s="28">
        <f>IF(NOT(ISNUMBER(Dashboard_Capital_Earnings!H47)),"",IF(Dashboard_Capital_Earnings!H47&lt;=_config!$C$26,"ALERT",IF(Dashboard_Capital_Earnings!H47&lt;=_config!$B$26,"WATCH","OK")))</f>
        <v/>
      </c>
      <c r="U44" s="28">
        <f>IF(NOT(ISNUMBER(Dashboard_Capital_Earnings!I47)),"",IF(Dashboard_Capital_Earnings!I47&gt;=_config!$C$27,"ALERT",IF(Dashboard_Capital_Earnings!I47&gt;=_config!$B$27,"WATCH","OK")))</f>
        <v/>
      </c>
      <c r="V44" s="28">
        <f>IF(NOT(ISNUMBER(Dashboard_Funding_Concentration!D47)),"",IF(Dashboard_Funding_Concentration!D47&gt;=_config!$C$28,"ALERT",IF(Dashboard_Funding_Concentration!D47&gt;=_config!$B$28,"WATCH","OK")))</f>
        <v/>
      </c>
      <c r="W44" s="28">
        <f>IF(NOT(ISNUMBER(Dashboard_Funding_Concentration!E47)),"",IF(Dashboard_Funding_Concentration!E47&gt;=_config!$C$29,"ALERT",IF(Dashboard_Funding_Concentration!E47&gt;=_config!$B$29,"WATCH","OK")))</f>
        <v/>
      </c>
      <c r="X44" s="28">
        <f>IF(NOT(ISNUMBER(Dashboard_Funding_Concentration!F47)),"",IF(Dashboard_Funding_Concentration!F47&gt;=_config!$C$30,"ALERT",IF(Dashboard_Funding_Concentration!F47&gt;=_config!$B$30,"WATCH","OK")))</f>
        <v/>
      </c>
      <c r="Y44" s="28">
        <f>IF(NOT(ISNUMBER(Dashboard_LoanBook!D47)),"",IF(Dashboard_LoanBook!D47&gt;=_config!$C$31,"ALERT",IF(Dashboard_LoanBook!D47&gt;=_config!$B$31,"WATCH","OK")))</f>
        <v/>
      </c>
      <c r="Z44" s="28">
        <f>IF(NOT(ISNUMBER(Dashboard_LoanBook!E47)),"",IF(Dashboard_LoanBook!E47&gt;=_config!$C$32,"ALERT",IF(Dashboard_LoanBook!E47&gt;=_config!$B$32,"WATCH","OK")))</f>
        <v/>
      </c>
      <c r="AA44" s="28">
        <f>IF(NOT(ISNUMBER(Dashboard_LoanBook!F47)),"",IF(Dashboard_LoanBook!F47&gt;=_config!$C$33,"ALERT",IF(Dashboard_LoanBook!F47&gt;=_config!$B$33,"WATCH","OK")))</f>
        <v/>
      </c>
      <c r="AB44" s="28">
        <f>IF(NOT(ISNUMBER(Dashboard_LoanBook!G47)),"",IF(Dashboard_LoanBook!G47&gt;=_config!$C$34,"ALERT",IF(Dashboard_LoanBook!G47&gt;=_config!$B$34,"WATCH","OK")))</f>
        <v/>
      </c>
      <c r="AC44" s="28">
        <f>IF(NOT(ISNUMBER(Dashboard_LoanBook!H47)),"",IF(Dashboard_LoanBook!H47&gt;=_config!$C$35,"ALERT",IF(Dashboard_LoanBook!H47&gt;=_config!$B$35,"WATCH","OK")))</f>
        <v/>
      </c>
      <c r="AD44" s="28">
        <f>IF(NOT(ISNUMBER(Dashboard_LoanBook!I47)),"",IF(Dashboard_LoanBook!I47&gt;=_config!$C$36,"ALERT",IF(Dashboard_LoanBook!I47&gt;=_config!$B$36,"WATCH","OK")))</f>
        <v/>
      </c>
      <c r="AE44" s="28">
        <f>IF(NOT(ISNUMBER(Dashboard_LoanBook!J47)),"",IF(Dashboard_LoanBook!J47&gt;=_config!$C$37,"ALERT",IF(Dashboard_LoanBook!J47&gt;=_config!$B$37,"WATCH","OK")))</f>
        <v/>
      </c>
      <c r="AF44" s="28">
        <f>IF(NOT(ISNUMBER(Dashboard_LoanBook!K47)),"",IF(Dashboard_LoanBook!K47&gt;=_config!$C$38,"ALERT",IF(Dashboard_LoanBook!K47&gt;=_config!$B$38,"WATCH","OK")))</f>
        <v/>
      </c>
      <c r="AG44" s="28">
        <f>IF(NOT(ISNUMBER(Dashboard_LoanBook!L47)),"",IF(Dashboard_LoanBook!L47&gt;=_config!$C$39,"ALERT",IF(Dashboard_LoanBook!L47&gt;=_config!$B$39,"WATCH","OK")))</f>
        <v/>
      </c>
      <c r="AH44" s="28">
        <f>IF(NOT(ISNUMBER(Dashboard_LoanBook!M47)),"",IF(Dashboard_LoanBook!M47&gt;=_config!$C$40,"ALERT",IF(Dashboard_LoanBook!M47&gt;=_config!$B$40,"WATCH","OK")))</f>
        <v/>
      </c>
      <c r="AI44" s="28">
        <f>IF(NOT(ISNUMBER(Dashboard_LoanBook!N47)),"",IF(Dashboard_LoanBook!N47&gt;=_config!$C$41,"ALERT",IF(Dashboard_LoanBook!N47&gt;=_config!$B$41,"WATCH","OK")))</f>
        <v/>
      </c>
      <c r="AJ44" s="28">
        <f>IF(NOT(ISNUMBER(Dashboard_LoanBook!O47)),"",IF(Dashboard_LoanBook!O47&gt;=_config!$C$42,"ALERT",IF(Dashboard_LoanBook!O47&gt;=_config!$B$42,"WATCH","OK")))</f>
        <v/>
      </c>
      <c r="AK44" s="28">
        <f>IF(NOT(ISNUMBER(Dashboard_LoanBook!P47)),"",IF(Dashboard_LoanBook!P47&gt;=_config!$C$43,"ALERT",IF(Dashboard_LoanBook!P47&gt;=_config!$B$43,"WATCH","OK")))</f>
        <v/>
      </c>
      <c r="AL44" s="28">
        <f>IF(NOT(ISNUMBER(Dashboard_LoanBook!Q47)),"",IF(Dashboard_LoanBook!Q47&gt;=_config!$C$44,"ALERT",IF(Dashboard_LoanBook!Q47&gt;=_config!$B$44,"WATCH","OK")))</f>
        <v/>
      </c>
      <c r="AM44" s="28">
        <f>IF(NOT(ISNUMBER(Dashboard_LoanBook!R47)),"",IF(Dashboard_LoanBook!R47&gt;=_config!$C$45,"ALERT",IF(Dashboard_LoanBook!R47&gt;=_config!$B$45,"WATCH","OK")))</f>
        <v/>
      </c>
      <c r="AN44" s="28">
        <f>IF(NOT(ISNUMBER(Dashboard_LoanBook!S47)),"",IF(Dashboard_LoanBook!S47&gt;=_config!$C$46,"ALERT",IF(Dashboard_LoanBook!S47&gt;=_config!$B$46,"WATCH","OK")))</f>
        <v/>
      </c>
      <c r="AO44" s="28">
        <f>IF(NOT(ISNUMBER(Dashboard_LoanBook!T47)),"",IF(Dashboard_LoanBook!T47&gt;=_config!$C$47,"ALERT",IF(Dashboard_LoanBook!T47&gt;=_config!$B$47,"WATCH","OK")))</f>
        <v/>
      </c>
      <c r="AP44" s="28">
        <f>IF(NOT(ISNUMBER(Dashboard_LoanBook!U47)),"",IF(Dashboard_LoanBook!U47&gt;=_config!$C$48,"ALERT",IF(Dashboard_LoanBook!U47&gt;=_config!$B$48,"WATCH","OK")))</f>
        <v/>
      </c>
      <c r="AQ44" s="28">
        <f>IF(NOT(ISNUMBER(Dashboard_LoanBook!V47)),"",IF(Dashboard_LoanBook!V47&gt;=_config!$C$49,"ALERT",IF(Dashboard_LoanBook!V47&gt;=_config!$B$49,"WATCH","OK")))</f>
        <v/>
      </c>
      <c r="AR44" s="28">
        <f>IF(NOT(ISNUMBER(Dashboard_LoanBook!D91)),"",IF(Dashboard_LoanBook!D91&gt;=_config!$C$50,"ALERT",IF(Dashboard_LoanBook!D91&gt;=_config!$B$50,"WATCH","OK")))</f>
        <v/>
      </c>
      <c r="AS44" s="28">
        <f>IF(NOT(ISNUMBER(Dashboard_LoanBook!E91)),"",IF(Dashboard_LoanBook!E91&gt;=_config!$C$51,"ALERT",IF(Dashboard_LoanBook!E91&gt;=_config!$B$51,"WATCH","OK")))</f>
        <v/>
      </c>
      <c r="AT44" s="28">
        <f>IF(NOT(ISNUMBER(Dashboard_LoanBook!F91)),"",IF(Dashboard_LoanBook!F91&gt;=_config!$C$52,"ALERT",IF(Dashboard_LoanBook!F91&gt;=_config!$B$52,"WATCH","OK")))</f>
        <v/>
      </c>
      <c r="AU44" s="28">
        <f>IF(NOT(ISNUMBER(Dashboard_LoanBook!G91)),"",IF(Dashboard_LoanBook!G91&gt;=_config!$C$53,"ALERT",IF(Dashboard_LoanBook!G91&gt;=_config!$B$53,"WATCH","OK")))</f>
        <v/>
      </c>
      <c r="AV44" s="28">
        <f>IF(NOT(ISNUMBER(Dashboard_LoanBook!H91)),"",IF(Dashboard_LoanBook!H91&gt;=_config!$C$54,"ALERT",IF(Dashboard_LoanBook!H91&gt;=_config!$B$54,"WATCH","OK")))</f>
        <v/>
      </c>
      <c r="AW44" s="28">
        <f>IF(NOT(ISNUMBER(Dashboard_LoanBook!I91)),"",IF(Dashboard_LoanBook!I91&gt;=_config!$C$55,"ALERT",IF(Dashboard_LoanBook!I91&gt;=_config!$B$55,"WATCH","OK")))</f>
        <v/>
      </c>
      <c r="AX44" s="28">
        <f>IF(NOT(ISNUMBER(Dashboard_LoanBook!J91)),"",IF(Dashboard_LoanBook!J91&gt;=_config!$C$56,"ALERT",IF(Dashboard_LoanBook!J91&gt;=_config!$B$56,"WATCH","OK")))</f>
        <v/>
      </c>
      <c r="AY44" s="28">
        <f>IF(NOT(ISNUMBER(Dashboard_LoanBook!K91)),"",IF(Dashboard_LoanBook!K91&gt;=_config!$C$57,"ALERT",IF(Dashboard_LoanBook!K91&gt;=_config!$B$57,"WATCH","OK")))</f>
        <v/>
      </c>
      <c r="AZ44" s="28">
        <f>IF(NOT(ISNUMBER(Dashboard_LoanBook!L91)),"",IF(Dashboard_LoanBook!L91&gt;=_config!$C$58,"ALERT",IF(Dashboard_LoanBook!L91&gt;=_config!$B$58,"WATCH","OK")))</f>
        <v/>
      </c>
      <c r="BA44" s="28">
        <f>IF(NOT(ISNUMBER(Dashboard_LoanBook!M91)),"",IF(Dashboard_LoanBook!M91&gt;=_config!$C$59,"ALERT",IF(Dashboard_LoanBook!M91&gt;=_config!$B$59,"WATCH","OK")))</f>
        <v/>
      </c>
      <c r="BB44" s="28">
        <f>IF(NOT(ISNUMBER(Dashboard_LoanBook!N91)),"",IF(Dashboard_LoanBook!N91&gt;=_config!$C$60,"ALERT",IF(Dashboard_LoanBook!N91&gt;=_config!$B$60,"WATCH","OK")))</f>
        <v/>
      </c>
      <c r="BC44" s="28">
        <f>IF(NOT(ISNUMBER(Dashboard_LoanBook!O91)),"",IF(Dashboard_LoanBook!O91&gt;=_config!$C$61,"ALERT",IF(Dashboard_LoanBook!O91&gt;=_config!$B$61,"WATCH","OK")))</f>
        <v/>
      </c>
      <c r="BD44" s="28">
        <f>IF(NOT(ISNUMBER(Dashboard_LoanBook!P91)),"",IF(Dashboard_LoanBook!P91&gt;=_config!$C$62,"ALERT",IF(Dashboard_LoanBook!P91&gt;=_config!$B$62,"WATCH","OK")))</f>
        <v/>
      </c>
      <c r="BE44" s="28">
        <f>IF(NOT(ISNUMBER(Dashboard_LoanBook!Q91)),"",IF(Dashboard_LoanBook!Q91&gt;=_config!$C$63,"ALERT",IF(Dashboard_LoanBook!Q91&gt;=_config!$B$63,"WATCH","OK")))</f>
        <v/>
      </c>
      <c r="BF44" s="28">
        <f>IF(NOT(ISNUMBER(Dashboard_LoanBook!R91)),"",IF(Dashboard_LoanBook!R91&gt;=_config!$C$64,"ALERT",IF(Dashboard_LoanBook!R91&gt;=_config!$B$64,"WATCH","OK")))</f>
        <v/>
      </c>
      <c r="BG44" s="28">
        <f>IF(NOT(ISNUMBER(Dashboard_LoanBook!S91)),"",IF(Dashboard_LoanBook!S91&gt;=_config!$C$65,"ALERT",IF(Dashboard_LoanBook!S91&gt;=_config!$B$65,"WATCH","OK")))</f>
        <v/>
      </c>
      <c r="BH44" s="28">
        <f>IF(NOT(ISNUMBER(Dashboard_Funding_Concentration!G47)),"",IF(Dashboard_Funding_Concentration!G47&gt;=_config!$C$66,"ALERT",IF(Dashboard_Funding_Concentration!G47&gt;=_config!$B$66,"WATCH","OK")))</f>
        <v/>
      </c>
      <c r="BI44" s="28">
        <f>IF(NOT(ISNUMBER(Dashboard_Funding_Concentration!H47)),"",IF(Dashboard_Funding_Concentration!H47&gt;=_config!$C$67,"ALERT",IF(Dashboard_Funding_Concentration!H47&gt;=_config!$B$67,"WATCH","OK")))</f>
        <v/>
      </c>
      <c r="BJ44" s="28">
        <f>IF(NOT(ISNUMBER(Dashboard_Funding_Concentration!I47)),"",IF(Dashboard_Funding_Concentration!I47&gt;=_config!$C$68,"ALERT",IF(Dashboard_Funding_Concentration!I47&gt;=_config!$B$68,"WATCH","OK")))</f>
        <v/>
      </c>
      <c r="BL44" s="28">
        <f>IF(NOT(ISNUMBER($E44)),"",$E44*10000+IF(ISNUMBER($D44),$D44,0))</f>
        <v/>
      </c>
    </row>
    <row r="46">
      <c r="A46" s="28" t="inlineStr">
        <is>
          <t>Columns J-BJ are the per-metric status helpers feeding the flag COUNTIFs; the rank score column makes the (ALERT, Texas) ordering auditable. Sort/filter on Rank if desired.</t>
        </is>
      </c>
    </row>
  </sheetData>
  <mergeCells count="4">
    <mergeCell ref="A46:H46"/>
    <mergeCell ref="A3:H3"/>
    <mergeCell ref="A2:H2"/>
    <mergeCell ref="A1:H1"/>
  </mergeCells>
  <conditionalFormatting sqref="H5:H44">
    <cfRule type="expression" priority="1" dxfId="0">
      <formula>ISNUMBER(SEARCH("ALERT",H5))</formula>
    </cfRule>
  </conditionalFormatting>
  <conditionalFormatting sqref="D5:D44">
    <cfRule type="colorScale" priority="2">
      <colorScale>
        <cfvo type="min"/>
        <cfvo type="percentile" val="50"/>
        <cfvo type="max"/>
        <color rgb="00BBD3BD"/>
        <color rgb="00F4F1EC"/>
        <color rgb="00E0A6A6"/>
      </colorScale>
    </cfRule>
  </conditionalFormatting>
  <conditionalFormatting sqref="E5:E44">
    <cfRule type="colorScale" priority="3">
      <colorScale>
        <cfvo type="min"/>
        <cfvo type="percentile" val="50"/>
        <cfvo type="max"/>
        <color rgb="00BBD3BD"/>
        <color rgb="00F4F1EC"/>
        <color rgb="00E0A6A6"/>
      </colorScale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BQ783"/>
  <sheetViews>
    <sheetView showGridLines="0" workbookViewId="0">
      <selection activeCell="A1" sqref="A1"/>
    </sheetView>
  </sheetViews>
  <sheetFormatPr baseColWidth="8" defaultRowHeight="15"/>
  <cols>
    <col width="12" customWidth="1" min="1" max="1"/>
    <col width="12" customWidth="1" min="2" max="2"/>
    <col width="12" customWidth="1" min="3" max="3"/>
    <col width="12" customWidth="1" min="4" max="4"/>
    <col width="12" customWidth="1" min="5" max="5"/>
    <col width="12" customWidth="1" min="6" max="6"/>
    <col width="12" customWidth="1" min="7" max="7"/>
    <col width="12" customWidth="1" min="8" max="8"/>
    <col width="12" customWidth="1" min="9" max="9"/>
    <col width="12" customWidth="1" min="10" max="10"/>
    <col width="12" customWidth="1" min="11" max="11"/>
    <col width="12" customWidth="1" min="12" max="12"/>
    <col width="12" customWidth="1" min="13" max="13"/>
    <col width="12" customWidth="1" min="14" max="14"/>
    <col width="12" customWidth="1" min="15" max="15"/>
    <col width="12" customWidth="1" min="16" max="16"/>
    <col width="12" customWidth="1" min="17" max="17"/>
    <col width="12" customWidth="1" min="18" max="18"/>
    <col width="12" customWidth="1" min="19" max="19"/>
    <col width="12" customWidth="1" min="20" max="20"/>
    <col width="12" customWidth="1" min="21" max="21"/>
    <col width="12" customWidth="1" min="22" max="22"/>
    <col width="12" customWidth="1" min="23" max="23"/>
    <col width="12" customWidth="1" min="24" max="24"/>
    <col width="12" customWidth="1" min="25" max="25"/>
    <col width="12" customWidth="1" min="26" max="26"/>
    <col width="12" customWidth="1" min="27" max="27"/>
    <col width="12" customWidth="1" min="28" max="28"/>
    <col width="12" customWidth="1" min="29" max="29"/>
    <col width="12" customWidth="1" min="30" max="30"/>
    <col width="12" customWidth="1" min="31" max="31"/>
    <col width="12" customWidth="1" min="32" max="32"/>
    <col width="12" customWidth="1" min="33" max="33"/>
    <col width="12" customWidth="1" min="34" max="34"/>
    <col width="12" customWidth="1" min="35" max="35"/>
    <col width="12" customWidth="1" min="36" max="36"/>
    <col width="12" customWidth="1" min="37" max="37"/>
    <col width="12" customWidth="1" min="38" max="38"/>
    <col width="12" customWidth="1" min="39" max="39"/>
    <col width="12" customWidth="1" min="40" max="40"/>
    <col width="12" customWidth="1" min="41" max="41"/>
    <col width="12" customWidth="1" min="42" max="42"/>
    <col width="12" customWidth="1" min="43" max="43"/>
    <col width="12" customWidth="1" min="44" max="44"/>
    <col width="12" customWidth="1" min="45" max="45"/>
    <col width="12" customWidth="1" min="46" max="46"/>
    <col width="12" customWidth="1" min="47" max="47"/>
    <col width="12" customWidth="1" min="48" max="48"/>
    <col width="12" customWidth="1" min="49" max="49"/>
    <col width="12" customWidth="1" min="50" max="50"/>
    <col width="12" customWidth="1" min="51" max="51"/>
    <col width="12" customWidth="1" min="52" max="52"/>
    <col width="12" customWidth="1" min="53" max="53"/>
    <col width="12" customWidth="1" min="54" max="54"/>
    <col width="12" customWidth="1" min="55" max="55"/>
    <col width="12" customWidth="1" min="56" max="56"/>
    <col width="12" customWidth="1" min="57" max="57"/>
    <col width="12" customWidth="1" min="58" max="58"/>
    <col width="12" customWidth="1" min="59" max="59"/>
    <col width="12" customWidth="1" min="60" max="60"/>
    <col width="12" customWidth="1" min="61" max="61"/>
    <col width="12" customWidth="1" min="62" max="62"/>
    <col width="12" customWidth="1" min="63" max="63"/>
    <col width="12" customWidth="1" min="64" max="64"/>
    <col width="12" customWidth="1" min="65" max="65"/>
    <col width="12" customWidth="1" min="66" max="66"/>
    <col width="12" customWidth="1" min="67" max="67"/>
    <col width="12" customWidth="1" min="68" max="68"/>
    <col width="12" customWidth="1" min="69" max="69"/>
  </cols>
  <sheetData>
    <row r="1">
      <c r="A1" s="28" t="inlineStr">
        <is>
          <t>Raw_FDIC -- raw FDIC /financials fields per peer slot (or FdicDemoProvider output in --demo), newest quarter first. One block per SLOT: anchors never move when [PEERS] changes. Dollar fields are $ thousands, ratio fields are percent (trap F4). Written by runner.py -- do not edit.</t>
        </is>
      </c>
    </row>
    <row r="2">
      <c r="A2" s="29" t="inlineStr">
        <is>
          <t>slot01</t>
        </is>
      </c>
    </row>
    <row r="3">
      <c r="A3" s="24" t="inlineStr">
        <is>
          <t>REPDTE</t>
        </is>
      </c>
      <c r="B3" s="24" t="inlineStr">
        <is>
          <t>ASSET</t>
        </is>
      </c>
      <c r="C3" s="24" t="inlineStr">
        <is>
          <t>DEP</t>
        </is>
      </c>
      <c r="D3" s="24" t="inlineStr">
        <is>
          <t>LNLSGR</t>
        </is>
      </c>
      <c r="E3" s="24" t="inlineStr">
        <is>
          <t>LNLSNET</t>
        </is>
      </c>
      <c r="F3" s="24" t="inlineStr">
        <is>
          <t>BRO</t>
        </is>
      </c>
      <c r="G3" s="24" t="inlineStr">
        <is>
          <t>EQ</t>
        </is>
      </c>
      <c r="H3" s="24" t="inlineStr">
        <is>
          <t>NCLNLS</t>
        </is>
      </c>
      <c r="I3" s="24" t="inlineStr">
        <is>
          <t>LNATRES</t>
        </is>
      </c>
      <c r="J3" s="24" t="inlineStr">
        <is>
          <t>P3LNLS</t>
        </is>
      </c>
      <c r="K3" s="24" t="inlineStr">
        <is>
          <t>LNRECONS</t>
        </is>
      </c>
      <c r="L3" s="24" t="inlineStr">
        <is>
          <t>LNRENRES</t>
        </is>
      </c>
      <c r="M3" s="24" t="inlineStr">
        <is>
          <t>LNREMULT</t>
        </is>
      </c>
      <c r="N3" s="24" t="inlineStr">
        <is>
          <t>NCLNLSR</t>
        </is>
      </c>
      <c r="O3" s="24" t="inlineStr">
        <is>
          <t>NTLNLSQR</t>
        </is>
      </c>
      <c r="P3" s="24" t="inlineStr">
        <is>
          <t>LNATRESR</t>
        </is>
      </c>
      <c r="Q3" s="24" t="inlineStr">
        <is>
          <t>LNRESNCR</t>
        </is>
      </c>
      <c r="R3" s="24" t="inlineStr">
        <is>
          <t>RBC1AAJ</t>
        </is>
      </c>
      <c r="S3" s="24" t="inlineStr">
        <is>
          <t>RBCRWAJ</t>
        </is>
      </c>
      <c r="T3" s="24" t="inlineStr">
        <is>
          <t>EQV</t>
        </is>
      </c>
      <c r="U3" s="24" t="inlineStr">
        <is>
          <t>ROAQ</t>
        </is>
      </c>
      <c r="V3" s="24" t="inlineStr">
        <is>
          <t>NIMY</t>
        </is>
      </c>
      <c r="W3" s="24" t="inlineStr">
        <is>
          <t>EEFFR</t>
        </is>
      </c>
      <c r="X3" s="24" t="inlineStr">
        <is>
          <t>P3CRCDR</t>
        </is>
      </c>
      <c r="Y3" s="24" t="inlineStr">
        <is>
          <t>P9CRCDR</t>
        </is>
      </c>
      <c r="Z3" s="24" t="inlineStr">
        <is>
          <t>NACRCDR</t>
        </is>
      </c>
      <c r="AA3" s="24" t="inlineStr">
        <is>
          <t>P3AUTOR</t>
        </is>
      </c>
      <c r="AB3" s="24" t="inlineStr">
        <is>
          <t>P9AUTOR</t>
        </is>
      </c>
      <c r="AC3" s="24" t="inlineStr">
        <is>
          <t>NAAUTOR</t>
        </is>
      </c>
      <c r="AD3" s="24" t="inlineStr">
        <is>
          <t>P3RERESR</t>
        </is>
      </c>
      <c r="AE3" s="24" t="inlineStr">
        <is>
          <t>P9RERESR</t>
        </is>
      </c>
      <c r="AF3" s="24" t="inlineStr">
        <is>
          <t>NARERESR</t>
        </is>
      </c>
      <c r="AG3" s="24" t="inlineStr">
        <is>
          <t>P3RELOCR</t>
        </is>
      </c>
      <c r="AH3" s="24" t="inlineStr">
        <is>
          <t>P9RELOCR</t>
        </is>
      </c>
      <c r="AI3" s="24" t="inlineStr">
        <is>
          <t>NARELOCR</t>
        </is>
      </c>
      <c r="AJ3" s="24" t="inlineStr">
        <is>
          <t>P3CONOTH</t>
        </is>
      </c>
      <c r="AK3" s="24" t="inlineStr">
        <is>
          <t>P9CONOTH</t>
        </is>
      </c>
      <c r="AL3" s="24" t="inlineStr">
        <is>
          <t>NACONOTH</t>
        </is>
      </c>
      <c r="AM3" s="24" t="inlineStr">
        <is>
          <t>LNCRCD</t>
        </is>
      </c>
      <c r="AN3" s="24" t="inlineStr">
        <is>
          <t>LNAUTO</t>
        </is>
      </c>
      <c r="AO3" s="24" t="inlineStr">
        <is>
          <t>LNCONOTH</t>
        </is>
      </c>
      <c r="AP3" s="24" t="inlineStr">
        <is>
          <t>LNRERES</t>
        </is>
      </c>
      <c r="AQ3" s="24" t="inlineStr">
        <is>
          <t>NTCRCDQ</t>
        </is>
      </c>
      <c r="AR3" s="24" t="inlineStr">
        <is>
          <t>NTAUTOQ</t>
        </is>
      </c>
      <c r="AS3" s="24" t="inlineStr">
        <is>
          <t>NTCONOTQ</t>
        </is>
      </c>
      <c r="AT3" s="24" t="inlineStr">
        <is>
          <t>NTRERESQ</t>
        </is>
      </c>
      <c r="AU3" s="24" t="inlineStr">
        <is>
          <t>P3CIR</t>
        </is>
      </c>
      <c r="AV3" s="24" t="inlineStr">
        <is>
          <t>P9CIR</t>
        </is>
      </c>
      <c r="AW3" s="24" t="inlineStr">
        <is>
          <t>NACIR</t>
        </is>
      </c>
      <c r="AX3" s="24" t="inlineStr">
        <is>
          <t>P3RECONS</t>
        </is>
      </c>
      <c r="AY3" s="24" t="inlineStr">
        <is>
          <t>P9RECONS</t>
        </is>
      </c>
      <c r="AZ3" s="24" t="inlineStr">
        <is>
          <t>NARECONS</t>
        </is>
      </c>
      <c r="BA3" s="24" t="inlineStr">
        <is>
          <t>P3RENRES</t>
        </is>
      </c>
      <c r="BB3" s="24" t="inlineStr">
        <is>
          <t>P9RENRES</t>
        </is>
      </c>
      <c r="BC3" s="24" t="inlineStr">
        <is>
          <t>NARENRES</t>
        </is>
      </c>
      <c r="BD3" s="24" t="inlineStr">
        <is>
          <t>P3REMULT</t>
        </is>
      </c>
      <c r="BE3" s="24" t="inlineStr">
        <is>
          <t>P9REMULT</t>
        </is>
      </c>
      <c r="BF3" s="24" t="inlineStr">
        <is>
          <t>NAREMULT</t>
        </is>
      </c>
      <c r="BG3" s="24" t="inlineStr">
        <is>
          <t>LNCI</t>
        </is>
      </c>
      <c r="BH3" s="24" t="inlineStr">
        <is>
          <t>NTRECONQ</t>
        </is>
      </c>
      <c r="BI3" s="24" t="inlineStr">
        <is>
          <t>NTRENREQ</t>
        </is>
      </c>
      <c r="BJ3" s="24" t="inlineStr">
        <is>
          <t>NTREMULQ</t>
        </is>
      </c>
      <c r="BK3" s="24" t="inlineStr">
        <is>
          <t>NTCIQ</t>
        </is>
      </c>
      <c r="BL3" s="24" t="inlineStr">
        <is>
          <t>DEPUNINS</t>
        </is>
      </c>
      <c r="BM3" s="24" t="inlineStr">
        <is>
          <t>SCHA</t>
        </is>
      </c>
      <c r="BN3" s="24" t="inlineStr">
        <is>
          <t>SCHF</t>
        </is>
      </c>
      <c r="BO3" s="24" t="inlineStr">
        <is>
          <t>SCAA</t>
        </is>
      </c>
      <c r="BP3" s="24" t="inlineStr">
        <is>
          <t>SCAF</t>
        </is>
      </c>
      <c r="BQ3" s="24" t="inlineStr">
        <is>
          <t>OTHBFHLB</t>
        </is>
      </c>
    </row>
    <row r="22">
      <c r="A22" s="29" t="inlineStr">
        <is>
          <t>slot02</t>
        </is>
      </c>
    </row>
    <row r="23">
      <c r="A23" s="24" t="inlineStr">
        <is>
          <t>REPDTE</t>
        </is>
      </c>
      <c r="B23" s="24" t="inlineStr">
        <is>
          <t>ASSET</t>
        </is>
      </c>
      <c r="C23" s="24" t="inlineStr">
        <is>
          <t>DEP</t>
        </is>
      </c>
      <c r="D23" s="24" t="inlineStr">
        <is>
          <t>LNLSGR</t>
        </is>
      </c>
      <c r="E23" s="24" t="inlineStr">
        <is>
          <t>LNLSNET</t>
        </is>
      </c>
      <c r="F23" s="24" t="inlineStr">
        <is>
          <t>BRO</t>
        </is>
      </c>
      <c r="G23" s="24" t="inlineStr">
        <is>
          <t>EQ</t>
        </is>
      </c>
      <c r="H23" s="24" t="inlineStr">
        <is>
          <t>NCLNLS</t>
        </is>
      </c>
      <c r="I23" s="24" t="inlineStr">
        <is>
          <t>LNATRES</t>
        </is>
      </c>
      <c r="J23" s="24" t="inlineStr">
        <is>
          <t>P3LNLS</t>
        </is>
      </c>
      <c r="K23" s="24" t="inlineStr">
        <is>
          <t>LNRECONS</t>
        </is>
      </c>
      <c r="L23" s="24" t="inlineStr">
        <is>
          <t>LNRENRES</t>
        </is>
      </c>
      <c r="M23" s="24" t="inlineStr">
        <is>
          <t>LNREMULT</t>
        </is>
      </c>
      <c r="N23" s="24" t="inlineStr">
        <is>
          <t>NCLNLSR</t>
        </is>
      </c>
      <c r="O23" s="24" t="inlineStr">
        <is>
          <t>NTLNLSQR</t>
        </is>
      </c>
      <c r="P23" s="24" t="inlineStr">
        <is>
          <t>LNATRESR</t>
        </is>
      </c>
      <c r="Q23" s="24" t="inlineStr">
        <is>
          <t>LNRESNCR</t>
        </is>
      </c>
      <c r="R23" s="24" t="inlineStr">
        <is>
          <t>RBC1AAJ</t>
        </is>
      </c>
      <c r="S23" s="24" t="inlineStr">
        <is>
          <t>RBCRWAJ</t>
        </is>
      </c>
      <c r="T23" s="24" t="inlineStr">
        <is>
          <t>EQV</t>
        </is>
      </c>
      <c r="U23" s="24" t="inlineStr">
        <is>
          <t>ROAQ</t>
        </is>
      </c>
      <c r="V23" s="24" t="inlineStr">
        <is>
          <t>NIMY</t>
        </is>
      </c>
      <c r="W23" s="24" t="inlineStr">
        <is>
          <t>EEFFR</t>
        </is>
      </c>
      <c r="X23" s="24" t="inlineStr">
        <is>
          <t>P3CRCDR</t>
        </is>
      </c>
      <c r="Y23" s="24" t="inlineStr">
        <is>
          <t>P9CRCDR</t>
        </is>
      </c>
      <c r="Z23" s="24" t="inlineStr">
        <is>
          <t>NACRCDR</t>
        </is>
      </c>
      <c r="AA23" s="24" t="inlineStr">
        <is>
          <t>P3AUTOR</t>
        </is>
      </c>
      <c r="AB23" s="24" t="inlineStr">
        <is>
          <t>P9AUTOR</t>
        </is>
      </c>
      <c r="AC23" s="24" t="inlineStr">
        <is>
          <t>NAAUTOR</t>
        </is>
      </c>
      <c r="AD23" s="24" t="inlineStr">
        <is>
          <t>P3RERESR</t>
        </is>
      </c>
      <c r="AE23" s="24" t="inlineStr">
        <is>
          <t>P9RERESR</t>
        </is>
      </c>
      <c r="AF23" s="24" t="inlineStr">
        <is>
          <t>NARERESR</t>
        </is>
      </c>
      <c r="AG23" s="24" t="inlineStr">
        <is>
          <t>P3RELOCR</t>
        </is>
      </c>
      <c r="AH23" s="24" t="inlineStr">
        <is>
          <t>P9RELOCR</t>
        </is>
      </c>
      <c r="AI23" s="24" t="inlineStr">
        <is>
          <t>NARELOCR</t>
        </is>
      </c>
      <c r="AJ23" s="24" t="inlineStr">
        <is>
          <t>P3CONOTH</t>
        </is>
      </c>
      <c r="AK23" s="24" t="inlineStr">
        <is>
          <t>P9CONOTH</t>
        </is>
      </c>
      <c r="AL23" s="24" t="inlineStr">
        <is>
          <t>NACONOTH</t>
        </is>
      </c>
      <c r="AM23" s="24" t="inlineStr">
        <is>
          <t>LNCRCD</t>
        </is>
      </c>
      <c r="AN23" s="24" t="inlineStr">
        <is>
          <t>LNAUTO</t>
        </is>
      </c>
      <c r="AO23" s="24" t="inlineStr">
        <is>
          <t>LNCONOTH</t>
        </is>
      </c>
      <c r="AP23" s="24" t="inlineStr">
        <is>
          <t>LNRERES</t>
        </is>
      </c>
      <c r="AQ23" s="24" t="inlineStr">
        <is>
          <t>NTCRCDQ</t>
        </is>
      </c>
      <c r="AR23" s="24" t="inlineStr">
        <is>
          <t>NTAUTOQ</t>
        </is>
      </c>
      <c r="AS23" s="24" t="inlineStr">
        <is>
          <t>NTCONOTQ</t>
        </is>
      </c>
      <c r="AT23" s="24" t="inlineStr">
        <is>
          <t>NTRERESQ</t>
        </is>
      </c>
      <c r="AU23" s="24" t="inlineStr">
        <is>
          <t>P3CIR</t>
        </is>
      </c>
      <c r="AV23" s="24" t="inlineStr">
        <is>
          <t>P9CIR</t>
        </is>
      </c>
      <c r="AW23" s="24" t="inlineStr">
        <is>
          <t>NACIR</t>
        </is>
      </c>
      <c r="AX23" s="24" t="inlineStr">
        <is>
          <t>P3RECONS</t>
        </is>
      </c>
      <c r="AY23" s="24" t="inlineStr">
        <is>
          <t>P9RECONS</t>
        </is>
      </c>
      <c r="AZ23" s="24" t="inlineStr">
        <is>
          <t>NARECONS</t>
        </is>
      </c>
      <c r="BA23" s="24" t="inlineStr">
        <is>
          <t>P3RENRES</t>
        </is>
      </c>
      <c r="BB23" s="24" t="inlineStr">
        <is>
          <t>P9RENRES</t>
        </is>
      </c>
      <c r="BC23" s="24" t="inlineStr">
        <is>
          <t>NARENRES</t>
        </is>
      </c>
      <c r="BD23" s="24" t="inlineStr">
        <is>
          <t>P3REMULT</t>
        </is>
      </c>
      <c r="BE23" s="24" t="inlineStr">
        <is>
          <t>P9REMULT</t>
        </is>
      </c>
      <c r="BF23" s="24" t="inlineStr">
        <is>
          <t>NAREMULT</t>
        </is>
      </c>
      <c r="BG23" s="24" t="inlineStr">
        <is>
          <t>LNCI</t>
        </is>
      </c>
      <c r="BH23" s="24" t="inlineStr">
        <is>
          <t>NTRECONQ</t>
        </is>
      </c>
      <c r="BI23" s="24" t="inlineStr">
        <is>
          <t>NTRENREQ</t>
        </is>
      </c>
      <c r="BJ23" s="24" t="inlineStr">
        <is>
          <t>NTREMULQ</t>
        </is>
      </c>
      <c r="BK23" s="24" t="inlineStr">
        <is>
          <t>NTCIQ</t>
        </is>
      </c>
      <c r="BL23" s="24" t="inlineStr">
        <is>
          <t>DEPUNINS</t>
        </is>
      </c>
      <c r="BM23" s="24" t="inlineStr">
        <is>
          <t>SCHA</t>
        </is>
      </c>
      <c r="BN23" s="24" t="inlineStr">
        <is>
          <t>SCHF</t>
        </is>
      </c>
      <c r="BO23" s="24" t="inlineStr">
        <is>
          <t>SCAA</t>
        </is>
      </c>
      <c r="BP23" s="24" t="inlineStr">
        <is>
          <t>SCAF</t>
        </is>
      </c>
      <c r="BQ23" s="24" t="inlineStr">
        <is>
          <t>OTHBFHLB</t>
        </is>
      </c>
    </row>
    <row r="42">
      <c r="A42" s="29" t="inlineStr">
        <is>
          <t>slot03</t>
        </is>
      </c>
    </row>
    <row r="43">
      <c r="A43" s="24" t="inlineStr">
        <is>
          <t>REPDTE</t>
        </is>
      </c>
      <c r="B43" s="24" t="inlineStr">
        <is>
          <t>ASSET</t>
        </is>
      </c>
      <c r="C43" s="24" t="inlineStr">
        <is>
          <t>DEP</t>
        </is>
      </c>
      <c r="D43" s="24" t="inlineStr">
        <is>
          <t>LNLSGR</t>
        </is>
      </c>
      <c r="E43" s="24" t="inlineStr">
        <is>
          <t>LNLSNET</t>
        </is>
      </c>
      <c r="F43" s="24" t="inlineStr">
        <is>
          <t>BRO</t>
        </is>
      </c>
      <c r="G43" s="24" t="inlineStr">
        <is>
          <t>EQ</t>
        </is>
      </c>
      <c r="H43" s="24" t="inlineStr">
        <is>
          <t>NCLNLS</t>
        </is>
      </c>
      <c r="I43" s="24" t="inlineStr">
        <is>
          <t>LNATRES</t>
        </is>
      </c>
      <c r="J43" s="24" t="inlineStr">
        <is>
          <t>P3LNLS</t>
        </is>
      </c>
      <c r="K43" s="24" t="inlineStr">
        <is>
          <t>LNRECONS</t>
        </is>
      </c>
      <c r="L43" s="24" t="inlineStr">
        <is>
          <t>LNRENRES</t>
        </is>
      </c>
      <c r="M43" s="24" t="inlineStr">
        <is>
          <t>LNREMULT</t>
        </is>
      </c>
      <c r="N43" s="24" t="inlineStr">
        <is>
          <t>NCLNLSR</t>
        </is>
      </c>
      <c r="O43" s="24" t="inlineStr">
        <is>
          <t>NTLNLSQR</t>
        </is>
      </c>
      <c r="P43" s="24" t="inlineStr">
        <is>
          <t>LNATRESR</t>
        </is>
      </c>
      <c r="Q43" s="24" t="inlineStr">
        <is>
          <t>LNRESNCR</t>
        </is>
      </c>
      <c r="R43" s="24" t="inlineStr">
        <is>
          <t>RBC1AAJ</t>
        </is>
      </c>
      <c r="S43" s="24" t="inlineStr">
        <is>
          <t>RBCRWAJ</t>
        </is>
      </c>
      <c r="T43" s="24" t="inlineStr">
        <is>
          <t>EQV</t>
        </is>
      </c>
      <c r="U43" s="24" t="inlineStr">
        <is>
          <t>ROAQ</t>
        </is>
      </c>
      <c r="V43" s="24" t="inlineStr">
        <is>
          <t>NIMY</t>
        </is>
      </c>
      <c r="W43" s="24" t="inlineStr">
        <is>
          <t>EEFFR</t>
        </is>
      </c>
      <c r="X43" s="24" t="inlineStr">
        <is>
          <t>P3CRCDR</t>
        </is>
      </c>
      <c r="Y43" s="24" t="inlineStr">
        <is>
          <t>P9CRCDR</t>
        </is>
      </c>
      <c r="Z43" s="24" t="inlineStr">
        <is>
          <t>NACRCDR</t>
        </is>
      </c>
      <c r="AA43" s="24" t="inlineStr">
        <is>
          <t>P3AUTOR</t>
        </is>
      </c>
      <c r="AB43" s="24" t="inlineStr">
        <is>
          <t>P9AUTOR</t>
        </is>
      </c>
      <c r="AC43" s="24" t="inlineStr">
        <is>
          <t>NAAUTOR</t>
        </is>
      </c>
      <c r="AD43" s="24" t="inlineStr">
        <is>
          <t>P3RERESR</t>
        </is>
      </c>
      <c r="AE43" s="24" t="inlineStr">
        <is>
          <t>P9RERESR</t>
        </is>
      </c>
      <c r="AF43" s="24" t="inlineStr">
        <is>
          <t>NARERESR</t>
        </is>
      </c>
      <c r="AG43" s="24" t="inlineStr">
        <is>
          <t>P3RELOCR</t>
        </is>
      </c>
      <c r="AH43" s="24" t="inlineStr">
        <is>
          <t>P9RELOCR</t>
        </is>
      </c>
      <c r="AI43" s="24" t="inlineStr">
        <is>
          <t>NARELOCR</t>
        </is>
      </c>
      <c r="AJ43" s="24" t="inlineStr">
        <is>
          <t>P3CONOTH</t>
        </is>
      </c>
      <c r="AK43" s="24" t="inlineStr">
        <is>
          <t>P9CONOTH</t>
        </is>
      </c>
      <c r="AL43" s="24" t="inlineStr">
        <is>
          <t>NACONOTH</t>
        </is>
      </c>
      <c r="AM43" s="24" t="inlineStr">
        <is>
          <t>LNCRCD</t>
        </is>
      </c>
      <c r="AN43" s="24" t="inlineStr">
        <is>
          <t>LNAUTO</t>
        </is>
      </c>
      <c r="AO43" s="24" t="inlineStr">
        <is>
          <t>LNCONOTH</t>
        </is>
      </c>
      <c r="AP43" s="24" t="inlineStr">
        <is>
          <t>LNRERES</t>
        </is>
      </c>
      <c r="AQ43" s="24" t="inlineStr">
        <is>
          <t>NTCRCDQ</t>
        </is>
      </c>
      <c r="AR43" s="24" t="inlineStr">
        <is>
          <t>NTAUTOQ</t>
        </is>
      </c>
      <c r="AS43" s="24" t="inlineStr">
        <is>
          <t>NTCONOTQ</t>
        </is>
      </c>
      <c r="AT43" s="24" t="inlineStr">
        <is>
          <t>NTRERESQ</t>
        </is>
      </c>
      <c r="AU43" s="24" t="inlineStr">
        <is>
          <t>P3CIR</t>
        </is>
      </c>
      <c r="AV43" s="24" t="inlineStr">
        <is>
          <t>P9CIR</t>
        </is>
      </c>
      <c r="AW43" s="24" t="inlineStr">
        <is>
          <t>NACIR</t>
        </is>
      </c>
      <c r="AX43" s="24" t="inlineStr">
        <is>
          <t>P3RECONS</t>
        </is>
      </c>
      <c r="AY43" s="24" t="inlineStr">
        <is>
          <t>P9RECONS</t>
        </is>
      </c>
      <c r="AZ43" s="24" t="inlineStr">
        <is>
          <t>NARECONS</t>
        </is>
      </c>
      <c r="BA43" s="24" t="inlineStr">
        <is>
          <t>P3RENRES</t>
        </is>
      </c>
      <c r="BB43" s="24" t="inlineStr">
        <is>
          <t>P9RENRES</t>
        </is>
      </c>
      <c r="BC43" s="24" t="inlineStr">
        <is>
          <t>NARENRES</t>
        </is>
      </c>
      <c r="BD43" s="24" t="inlineStr">
        <is>
          <t>P3REMULT</t>
        </is>
      </c>
      <c r="BE43" s="24" t="inlineStr">
        <is>
          <t>P9REMULT</t>
        </is>
      </c>
      <c r="BF43" s="24" t="inlineStr">
        <is>
          <t>NAREMULT</t>
        </is>
      </c>
      <c r="BG43" s="24" t="inlineStr">
        <is>
          <t>LNCI</t>
        </is>
      </c>
      <c r="BH43" s="24" t="inlineStr">
        <is>
          <t>NTRECONQ</t>
        </is>
      </c>
      <c r="BI43" s="24" t="inlineStr">
        <is>
          <t>NTRENREQ</t>
        </is>
      </c>
      <c r="BJ43" s="24" t="inlineStr">
        <is>
          <t>NTREMULQ</t>
        </is>
      </c>
      <c r="BK43" s="24" t="inlineStr">
        <is>
          <t>NTCIQ</t>
        </is>
      </c>
      <c r="BL43" s="24" t="inlineStr">
        <is>
          <t>DEPUNINS</t>
        </is>
      </c>
      <c r="BM43" s="24" t="inlineStr">
        <is>
          <t>SCHA</t>
        </is>
      </c>
      <c r="BN43" s="24" t="inlineStr">
        <is>
          <t>SCHF</t>
        </is>
      </c>
      <c r="BO43" s="24" t="inlineStr">
        <is>
          <t>SCAA</t>
        </is>
      </c>
      <c r="BP43" s="24" t="inlineStr">
        <is>
          <t>SCAF</t>
        </is>
      </c>
      <c r="BQ43" s="24" t="inlineStr">
        <is>
          <t>OTHBFHLB</t>
        </is>
      </c>
    </row>
    <row r="62">
      <c r="A62" s="29" t="inlineStr">
        <is>
          <t>slot04</t>
        </is>
      </c>
    </row>
    <row r="63">
      <c r="A63" s="24" t="inlineStr">
        <is>
          <t>REPDTE</t>
        </is>
      </c>
      <c r="B63" s="24" t="inlineStr">
        <is>
          <t>ASSET</t>
        </is>
      </c>
      <c r="C63" s="24" t="inlineStr">
        <is>
          <t>DEP</t>
        </is>
      </c>
      <c r="D63" s="24" t="inlineStr">
        <is>
          <t>LNLSGR</t>
        </is>
      </c>
      <c r="E63" s="24" t="inlineStr">
        <is>
          <t>LNLSNET</t>
        </is>
      </c>
      <c r="F63" s="24" t="inlineStr">
        <is>
          <t>BRO</t>
        </is>
      </c>
      <c r="G63" s="24" t="inlineStr">
        <is>
          <t>EQ</t>
        </is>
      </c>
      <c r="H63" s="24" t="inlineStr">
        <is>
          <t>NCLNLS</t>
        </is>
      </c>
      <c r="I63" s="24" t="inlineStr">
        <is>
          <t>LNATRES</t>
        </is>
      </c>
      <c r="J63" s="24" t="inlineStr">
        <is>
          <t>P3LNLS</t>
        </is>
      </c>
      <c r="K63" s="24" t="inlineStr">
        <is>
          <t>LNRECONS</t>
        </is>
      </c>
      <c r="L63" s="24" t="inlineStr">
        <is>
          <t>LNRENRES</t>
        </is>
      </c>
      <c r="M63" s="24" t="inlineStr">
        <is>
          <t>LNREMULT</t>
        </is>
      </c>
      <c r="N63" s="24" t="inlineStr">
        <is>
          <t>NCLNLSR</t>
        </is>
      </c>
      <c r="O63" s="24" t="inlineStr">
        <is>
          <t>NTLNLSQR</t>
        </is>
      </c>
      <c r="P63" s="24" t="inlineStr">
        <is>
          <t>LNATRESR</t>
        </is>
      </c>
      <c r="Q63" s="24" t="inlineStr">
        <is>
          <t>LNRESNCR</t>
        </is>
      </c>
      <c r="R63" s="24" t="inlineStr">
        <is>
          <t>RBC1AAJ</t>
        </is>
      </c>
      <c r="S63" s="24" t="inlineStr">
        <is>
          <t>RBCRWAJ</t>
        </is>
      </c>
      <c r="T63" s="24" t="inlineStr">
        <is>
          <t>EQV</t>
        </is>
      </c>
      <c r="U63" s="24" t="inlineStr">
        <is>
          <t>ROAQ</t>
        </is>
      </c>
      <c r="V63" s="24" t="inlineStr">
        <is>
          <t>NIMY</t>
        </is>
      </c>
      <c r="W63" s="24" t="inlineStr">
        <is>
          <t>EEFFR</t>
        </is>
      </c>
      <c r="X63" s="24" t="inlineStr">
        <is>
          <t>P3CRCDR</t>
        </is>
      </c>
      <c r="Y63" s="24" t="inlineStr">
        <is>
          <t>P9CRCDR</t>
        </is>
      </c>
      <c r="Z63" s="24" t="inlineStr">
        <is>
          <t>NACRCDR</t>
        </is>
      </c>
      <c r="AA63" s="24" t="inlineStr">
        <is>
          <t>P3AUTOR</t>
        </is>
      </c>
      <c r="AB63" s="24" t="inlineStr">
        <is>
          <t>P9AUTOR</t>
        </is>
      </c>
      <c r="AC63" s="24" t="inlineStr">
        <is>
          <t>NAAUTOR</t>
        </is>
      </c>
      <c r="AD63" s="24" t="inlineStr">
        <is>
          <t>P3RERESR</t>
        </is>
      </c>
      <c r="AE63" s="24" t="inlineStr">
        <is>
          <t>P9RERESR</t>
        </is>
      </c>
      <c r="AF63" s="24" t="inlineStr">
        <is>
          <t>NARERESR</t>
        </is>
      </c>
      <c r="AG63" s="24" t="inlineStr">
        <is>
          <t>P3RELOCR</t>
        </is>
      </c>
      <c r="AH63" s="24" t="inlineStr">
        <is>
          <t>P9RELOCR</t>
        </is>
      </c>
      <c r="AI63" s="24" t="inlineStr">
        <is>
          <t>NARELOCR</t>
        </is>
      </c>
      <c r="AJ63" s="24" t="inlineStr">
        <is>
          <t>P3CONOTH</t>
        </is>
      </c>
      <c r="AK63" s="24" t="inlineStr">
        <is>
          <t>P9CONOTH</t>
        </is>
      </c>
      <c r="AL63" s="24" t="inlineStr">
        <is>
          <t>NACONOTH</t>
        </is>
      </c>
      <c r="AM63" s="24" t="inlineStr">
        <is>
          <t>LNCRCD</t>
        </is>
      </c>
      <c r="AN63" s="24" t="inlineStr">
        <is>
          <t>LNAUTO</t>
        </is>
      </c>
      <c r="AO63" s="24" t="inlineStr">
        <is>
          <t>LNCONOTH</t>
        </is>
      </c>
      <c r="AP63" s="24" t="inlineStr">
        <is>
          <t>LNRERES</t>
        </is>
      </c>
      <c r="AQ63" s="24" t="inlineStr">
        <is>
          <t>NTCRCDQ</t>
        </is>
      </c>
      <c r="AR63" s="24" t="inlineStr">
        <is>
          <t>NTAUTOQ</t>
        </is>
      </c>
      <c r="AS63" s="24" t="inlineStr">
        <is>
          <t>NTCONOTQ</t>
        </is>
      </c>
      <c r="AT63" s="24" t="inlineStr">
        <is>
          <t>NTRERESQ</t>
        </is>
      </c>
      <c r="AU63" s="24" t="inlineStr">
        <is>
          <t>P3CIR</t>
        </is>
      </c>
      <c r="AV63" s="24" t="inlineStr">
        <is>
          <t>P9CIR</t>
        </is>
      </c>
      <c r="AW63" s="24" t="inlineStr">
        <is>
          <t>NACIR</t>
        </is>
      </c>
      <c r="AX63" s="24" t="inlineStr">
        <is>
          <t>P3RECONS</t>
        </is>
      </c>
      <c r="AY63" s="24" t="inlineStr">
        <is>
          <t>P9RECONS</t>
        </is>
      </c>
      <c r="AZ63" s="24" t="inlineStr">
        <is>
          <t>NARECONS</t>
        </is>
      </c>
      <c r="BA63" s="24" t="inlineStr">
        <is>
          <t>P3RENRES</t>
        </is>
      </c>
      <c r="BB63" s="24" t="inlineStr">
        <is>
          <t>P9RENRES</t>
        </is>
      </c>
      <c r="BC63" s="24" t="inlineStr">
        <is>
          <t>NARENRES</t>
        </is>
      </c>
      <c r="BD63" s="24" t="inlineStr">
        <is>
          <t>P3REMULT</t>
        </is>
      </c>
      <c r="BE63" s="24" t="inlineStr">
        <is>
          <t>P9REMULT</t>
        </is>
      </c>
      <c r="BF63" s="24" t="inlineStr">
        <is>
          <t>NAREMULT</t>
        </is>
      </c>
      <c r="BG63" s="24" t="inlineStr">
        <is>
          <t>LNCI</t>
        </is>
      </c>
      <c r="BH63" s="24" t="inlineStr">
        <is>
          <t>NTRECONQ</t>
        </is>
      </c>
      <c r="BI63" s="24" t="inlineStr">
        <is>
          <t>NTRENREQ</t>
        </is>
      </c>
      <c r="BJ63" s="24" t="inlineStr">
        <is>
          <t>NTREMULQ</t>
        </is>
      </c>
      <c r="BK63" s="24" t="inlineStr">
        <is>
          <t>NTCIQ</t>
        </is>
      </c>
      <c r="BL63" s="24" t="inlineStr">
        <is>
          <t>DEPUNINS</t>
        </is>
      </c>
      <c r="BM63" s="24" t="inlineStr">
        <is>
          <t>SCHA</t>
        </is>
      </c>
      <c r="BN63" s="24" t="inlineStr">
        <is>
          <t>SCHF</t>
        </is>
      </c>
      <c r="BO63" s="24" t="inlineStr">
        <is>
          <t>SCAA</t>
        </is>
      </c>
      <c r="BP63" s="24" t="inlineStr">
        <is>
          <t>SCAF</t>
        </is>
      </c>
      <c r="BQ63" s="24" t="inlineStr">
        <is>
          <t>OTHBFHLB</t>
        </is>
      </c>
    </row>
    <row r="82">
      <c r="A82" s="29" t="inlineStr">
        <is>
          <t>slot05</t>
        </is>
      </c>
    </row>
    <row r="83">
      <c r="A83" s="24" t="inlineStr">
        <is>
          <t>REPDTE</t>
        </is>
      </c>
      <c r="B83" s="24" t="inlineStr">
        <is>
          <t>ASSET</t>
        </is>
      </c>
      <c r="C83" s="24" t="inlineStr">
        <is>
          <t>DEP</t>
        </is>
      </c>
      <c r="D83" s="24" t="inlineStr">
        <is>
          <t>LNLSGR</t>
        </is>
      </c>
      <c r="E83" s="24" t="inlineStr">
        <is>
          <t>LNLSNET</t>
        </is>
      </c>
      <c r="F83" s="24" t="inlineStr">
        <is>
          <t>BRO</t>
        </is>
      </c>
      <c r="G83" s="24" t="inlineStr">
        <is>
          <t>EQ</t>
        </is>
      </c>
      <c r="H83" s="24" t="inlineStr">
        <is>
          <t>NCLNLS</t>
        </is>
      </c>
      <c r="I83" s="24" t="inlineStr">
        <is>
          <t>LNATRES</t>
        </is>
      </c>
      <c r="J83" s="24" t="inlineStr">
        <is>
          <t>P3LNLS</t>
        </is>
      </c>
      <c r="K83" s="24" t="inlineStr">
        <is>
          <t>LNRECONS</t>
        </is>
      </c>
      <c r="L83" s="24" t="inlineStr">
        <is>
          <t>LNRENRES</t>
        </is>
      </c>
      <c r="M83" s="24" t="inlineStr">
        <is>
          <t>LNREMULT</t>
        </is>
      </c>
      <c r="N83" s="24" t="inlineStr">
        <is>
          <t>NCLNLSR</t>
        </is>
      </c>
      <c r="O83" s="24" t="inlineStr">
        <is>
          <t>NTLNLSQR</t>
        </is>
      </c>
      <c r="P83" s="24" t="inlineStr">
        <is>
          <t>LNATRESR</t>
        </is>
      </c>
      <c r="Q83" s="24" t="inlineStr">
        <is>
          <t>LNRESNCR</t>
        </is>
      </c>
      <c r="R83" s="24" t="inlineStr">
        <is>
          <t>RBC1AAJ</t>
        </is>
      </c>
      <c r="S83" s="24" t="inlineStr">
        <is>
          <t>RBCRWAJ</t>
        </is>
      </c>
      <c r="T83" s="24" t="inlineStr">
        <is>
          <t>EQV</t>
        </is>
      </c>
      <c r="U83" s="24" t="inlineStr">
        <is>
          <t>ROAQ</t>
        </is>
      </c>
      <c r="V83" s="24" t="inlineStr">
        <is>
          <t>NIMY</t>
        </is>
      </c>
      <c r="W83" s="24" t="inlineStr">
        <is>
          <t>EEFFR</t>
        </is>
      </c>
      <c r="X83" s="24" t="inlineStr">
        <is>
          <t>P3CRCDR</t>
        </is>
      </c>
      <c r="Y83" s="24" t="inlineStr">
        <is>
          <t>P9CRCDR</t>
        </is>
      </c>
      <c r="Z83" s="24" t="inlineStr">
        <is>
          <t>NACRCDR</t>
        </is>
      </c>
      <c r="AA83" s="24" t="inlineStr">
        <is>
          <t>P3AUTOR</t>
        </is>
      </c>
      <c r="AB83" s="24" t="inlineStr">
        <is>
          <t>P9AUTOR</t>
        </is>
      </c>
      <c r="AC83" s="24" t="inlineStr">
        <is>
          <t>NAAUTOR</t>
        </is>
      </c>
      <c r="AD83" s="24" t="inlineStr">
        <is>
          <t>P3RERESR</t>
        </is>
      </c>
      <c r="AE83" s="24" t="inlineStr">
        <is>
          <t>P9RERESR</t>
        </is>
      </c>
      <c r="AF83" s="24" t="inlineStr">
        <is>
          <t>NARERESR</t>
        </is>
      </c>
      <c r="AG83" s="24" t="inlineStr">
        <is>
          <t>P3RELOCR</t>
        </is>
      </c>
      <c r="AH83" s="24" t="inlineStr">
        <is>
          <t>P9RELOCR</t>
        </is>
      </c>
      <c r="AI83" s="24" t="inlineStr">
        <is>
          <t>NARELOCR</t>
        </is>
      </c>
      <c r="AJ83" s="24" t="inlineStr">
        <is>
          <t>P3CONOTH</t>
        </is>
      </c>
      <c r="AK83" s="24" t="inlineStr">
        <is>
          <t>P9CONOTH</t>
        </is>
      </c>
      <c r="AL83" s="24" t="inlineStr">
        <is>
          <t>NACONOTH</t>
        </is>
      </c>
      <c r="AM83" s="24" t="inlineStr">
        <is>
          <t>LNCRCD</t>
        </is>
      </c>
      <c r="AN83" s="24" t="inlineStr">
        <is>
          <t>LNAUTO</t>
        </is>
      </c>
      <c r="AO83" s="24" t="inlineStr">
        <is>
          <t>LNCONOTH</t>
        </is>
      </c>
      <c r="AP83" s="24" t="inlineStr">
        <is>
          <t>LNRERES</t>
        </is>
      </c>
      <c r="AQ83" s="24" t="inlineStr">
        <is>
          <t>NTCRCDQ</t>
        </is>
      </c>
      <c r="AR83" s="24" t="inlineStr">
        <is>
          <t>NTAUTOQ</t>
        </is>
      </c>
      <c r="AS83" s="24" t="inlineStr">
        <is>
          <t>NTCONOTQ</t>
        </is>
      </c>
      <c r="AT83" s="24" t="inlineStr">
        <is>
          <t>NTRERESQ</t>
        </is>
      </c>
      <c r="AU83" s="24" t="inlineStr">
        <is>
          <t>P3CIR</t>
        </is>
      </c>
      <c r="AV83" s="24" t="inlineStr">
        <is>
          <t>P9CIR</t>
        </is>
      </c>
      <c r="AW83" s="24" t="inlineStr">
        <is>
          <t>NACIR</t>
        </is>
      </c>
      <c r="AX83" s="24" t="inlineStr">
        <is>
          <t>P3RECONS</t>
        </is>
      </c>
      <c r="AY83" s="24" t="inlineStr">
        <is>
          <t>P9RECONS</t>
        </is>
      </c>
      <c r="AZ83" s="24" t="inlineStr">
        <is>
          <t>NARECONS</t>
        </is>
      </c>
      <c r="BA83" s="24" t="inlineStr">
        <is>
          <t>P3RENRES</t>
        </is>
      </c>
      <c r="BB83" s="24" t="inlineStr">
        <is>
          <t>P9RENRES</t>
        </is>
      </c>
      <c r="BC83" s="24" t="inlineStr">
        <is>
          <t>NARENRES</t>
        </is>
      </c>
      <c r="BD83" s="24" t="inlineStr">
        <is>
          <t>P3REMULT</t>
        </is>
      </c>
      <c r="BE83" s="24" t="inlineStr">
        <is>
          <t>P9REMULT</t>
        </is>
      </c>
      <c r="BF83" s="24" t="inlineStr">
        <is>
          <t>NAREMULT</t>
        </is>
      </c>
      <c r="BG83" s="24" t="inlineStr">
        <is>
          <t>LNCI</t>
        </is>
      </c>
      <c r="BH83" s="24" t="inlineStr">
        <is>
          <t>NTRECONQ</t>
        </is>
      </c>
      <c r="BI83" s="24" t="inlineStr">
        <is>
          <t>NTRENREQ</t>
        </is>
      </c>
      <c r="BJ83" s="24" t="inlineStr">
        <is>
          <t>NTREMULQ</t>
        </is>
      </c>
      <c r="BK83" s="24" t="inlineStr">
        <is>
          <t>NTCIQ</t>
        </is>
      </c>
      <c r="BL83" s="24" t="inlineStr">
        <is>
          <t>DEPUNINS</t>
        </is>
      </c>
      <c r="BM83" s="24" t="inlineStr">
        <is>
          <t>SCHA</t>
        </is>
      </c>
      <c r="BN83" s="24" t="inlineStr">
        <is>
          <t>SCHF</t>
        </is>
      </c>
      <c r="BO83" s="24" t="inlineStr">
        <is>
          <t>SCAA</t>
        </is>
      </c>
      <c r="BP83" s="24" t="inlineStr">
        <is>
          <t>SCAF</t>
        </is>
      </c>
      <c r="BQ83" s="24" t="inlineStr">
        <is>
          <t>OTHBFHLB</t>
        </is>
      </c>
    </row>
    <row r="102">
      <c r="A102" s="29" t="inlineStr">
        <is>
          <t>slot06</t>
        </is>
      </c>
    </row>
    <row r="103">
      <c r="A103" s="24" t="inlineStr">
        <is>
          <t>REPDTE</t>
        </is>
      </c>
      <c r="B103" s="24" t="inlineStr">
        <is>
          <t>ASSET</t>
        </is>
      </c>
      <c r="C103" s="24" t="inlineStr">
        <is>
          <t>DEP</t>
        </is>
      </c>
      <c r="D103" s="24" t="inlineStr">
        <is>
          <t>LNLSGR</t>
        </is>
      </c>
      <c r="E103" s="24" t="inlineStr">
        <is>
          <t>LNLSNET</t>
        </is>
      </c>
      <c r="F103" s="24" t="inlineStr">
        <is>
          <t>BRO</t>
        </is>
      </c>
      <c r="G103" s="24" t="inlineStr">
        <is>
          <t>EQ</t>
        </is>
      </c>
      <c r="H103" s="24" t="inlineStr">
        <is>
          <t>NCLNLS</t>
        </is>
      </c>
      <c r="I103" s="24" t="inlineStr">
        <is>
          <t>LNATRES</t>
        </is>
      </c>
      <c r="J103" s="24" t="inlineStr">
        <is>
          <t>P3LNLS</t>
        </is>
      </c>
      <c r="K103" s="24" t="inlineStr">
        <is>
          <t>LNRECONS</t>
        </is>
      </c>
      <c r="L103" s="24" t="inlineStr">
        <is>
          <t>LNRENRES</t>
        </is>
      </c>
      <c r="M103" s="24" t="inlineStr">
        <is>
          <t>LNREMULT</t>
        </is>
      </c>
      <c r="N103" s="24" t="inlineStr">
        <is>
          <t>NCLNLSR</t>
        </is>
      </c>
      <c r="O103" s="24" t="inlineStr">
        <is>
          <t>NTLNLSQR</t>
        </is>
      </c>
      <c r="P103" s="24" t="inlineStr">
        <is>
          <t>LNATRESR</t>
        </is>
      </c>
      <c r="Q103" s="24" t="inlineStr">
        <is>
          <t>LNRESNCR</t>
        </is>
      </c>
      <c r="R103" s="24" t="inlineStr">
        <is>
          <t>RBC1AAJ</t>
        </is>
      </c>
      <c r="S103" s="24" t="inlineStr">
        <is>
          <t>RBCRWAJ</t>
        </is>
      </c>
      <c r="T103" s="24" t="inlineStr">
        <is>
          <t>EQV</t>
        </is>
      </c>
      <c r="U103" s="24" t="inlineStr">
        <is>
          <t>ROAQ</t>
        </is>
      </c>
      <c r="V103" s="24" t="inlineStr">
        <is>
          <t>NIMY</t>
        </is>
      </c>
      <c r="W103" s="24" t="inlineStr">
        <is>
          <t>EEFFR</t>
        </is>
      </c>
      <c r="X103" s="24" t="inlineStr">
        <is>
          <t>P3CRCDR</t>
        </is>
      </c>
      <c r="Y103" s="24" t="inlineStr">
        <is>
          <t>P9CRCDR</t>
        </is>
      </c>
      <c r="Z103" s="24" t="inlineStr">
        <is>
          <t>NACRCDR</t>
        </is>
      </c>
      <c r="AA103" s="24" t="inlineStr">
        <is>
          <t>P3AUTOR</t>
        </is>
      </c>
      <c r="AB103" s="24" t="inlineStr">
        <is>
          <t>P9AUTOR</t>
        </is>
      </c>
      <c r="AC103" s="24" t="inlineStr">
        <is>
          <t>NAAUTOR</t>
        </is>
      </c>
      <c r="AD103" s="24" t="inlineStr">
        <is>
          <t>P3RERESR</t>
        </is>
      </c>
      <c r="AE103" s="24" t="inlineStr">
        <is>
          <t>P9RERESR</t>
        </is>
      </c>
      <c r="AF103" s="24" t="inlineStr">
        <is>
          <t>NARERESR</t>
        </is>
      </c>
      <c r="AG103" s="24" t="inlineStr">
        <is>
          <t>P3RELOCR</t>
        </is>
      </c>
      <c r="AH103" s="24" t="inlineStr">
        <is>
          <t>P9RELOCR</t>
        </is>
      </c>
      <c r="AI103" s="24" t="inlineStr">
        <is>
          <t>NARELOCR</t>
        </is>
      </c>
      <c r="AJ103" s="24" t="inlineStr">
        <is>
          <t>P3CONOTH</t>
        </is>
      </c>
      <c r="AK103" s="24" t="inlineStr">
        <is>
          <t>P9CONOTH</t>
        </is>
      </c>
      <c r="AL103" s="24" t="inlineStr">
        <is>
          <t>NACONOTH</t>
        </is>
      </c>
      <c r="AM103" s="24" t="inlineStr">
        <is>
          <t>LNCRCD</t>
        </is>
      </c>
      <c r="AN103" s="24" t="inlineStr">
        <is>
          <t>LNAUTO</t>
        </is>
      </c>
      <c r="AO103" s="24" t="inlineStr">
        <is>
          <t>LNCONOTH</t>
        </is>
      </c>
      <c r="AP103" s="24" t="inlineStr">
        <is>
          <t>LNRERES</t>
        </is>
      </c>
      <c r="AQ103" s="24" t="inlineStr">
        <is>
          <t>NTCRCDQ</t>
        </is>
      </c>
      <c r="AR103" s="24" t="inlineStr">
        <is>
          <t>NTAUTOQ</t>
        </is>
      </c>
      <c r="AS103" s="24" t="inlineStr">
        <is>
          <t>NTCONOTQ</t>
        </is>
      </c>
      <c r="AT103" s="24" t="inlineStr">
        <is>
          <t>NTRERESQ</t>
        </is>
      </c>
      <c r="AU103" s="24" t="inlineStr">
        <is>
          <t>P3CIR</t>
        </is>
      </c>
      <c r="AV103" s="24" t="inlineStr">
        <is>
          <t>P9CIR</t>
        </is>
      </c>
      <c r="AW103" s="24" t="inlineStr">
        <is>
          <t>NACIR</t>
        </is>
      </c>
      <c r="AX103" s="24" t="inlineStr">
        <is>
          <t>P3RECONS</t>
        </is>
      </c>
      <c r="AY103" s="24" t="inlineStr">
        <is>
          <t>P9RECONS</t>
        </is>
      </c>
      <c r="AZ103" s="24" t="inlineStr">
        <is>
          <t>NARECONS</t>
        </is>
      </c>
      <c r="BA103" s="24" t="inlineStr">
        <is>
          <t>P3RENRES</t>
        </is>
      </c>
      <c r="BB103" s="24" t="inlineStr">
        <is>
          <t>P9RENRES</t>
        </is>
      </c>
      <c r="BC103" s="24" t="inlineStr">
        <is>
          <t>NARENRES</t>
        </is>
      </c>
      <c r="BD103" s="24" t="inlineStr">
        <is>
          <t>P3REMULT</t>
        </is>
      </c>
      <c r="BE103" s="24" t="inlineStr">
        <is>
          <t>P9REMULT</t>
        </is>
      </c>
      <c r="BF103" s="24" t="inlineStr">
        <is>
          <t>NAREMULT</t>
        </is>
      </c>
      <c r="BG103" s="24" t="inlineStr">
        <is>
          <t>LNCI</t>
        </is>
      </c>
      <c r="BH103" s="24" t="inlineStr">
        <is>
          <t>NTRECONQ</t>
        </is>
      </c>
      <c r="BI103" s="24" t="inlineStr">
        <is>
          <t>NTRENREQ</t>
        </is>
      </c>
      <c r="BJ103" s="24" t="inlineStr">
        <is>
          <t>NTREMULQ</t>
        </is>
      </c>
      <c r="BK103" s="24" t="inlineStr">
        <is>
          <t>NTCIQ</t>
        </is>
      </c>
      <c r="BL103" s="24" t="inlineStr">
        <is>
          <t>DEPUNINS</t>
        </is>
      </c>
      <c r="BM103" s="24" t="inlineStr">
        <is>
          <t>SCHA</t>
        </is>
      </c>
      <c r="BN103" s="24" t="inlineStr">
        <is>
          <t>SCHF</t>
        </is>
      </c>
      <c r="BO103" s="24" t="inlineStr">
        <is>
          <t>SCAA</t>
        </is>
      </c>
      <c r="BP103" s="24" t="inlineStr">
        <is>
          <t>SCAF</t>
        </is>
      </c>
      <c r="BQ103" s="24" t="inlineStr">
        <is>
          <t>OTHBFHLB</t>
        </is>
      </c>
    </row>
    <row r="122">
      <c r="A122" s="29" t="inlineStr">
        <is>
          <t>slot07</t>
        </is>
      </c>
    </row>
    <row r="123">
      <c r="A123" s="24" t="inlineStr">
        <is>
          <t>REPDTE</t>
        </is>
      </c>
      <c r="B123" s="24" t="inlineStr">
        <is>
          <t>ASSET</t>
        </is>
      </c>
      <c r="C123" s="24" t="inlineStr">
        <is>
          <t>DEP</t>
        </is>
      </c>
      <c r="D123" s="24" t="inlineStr">
        <is>
          <t>LNLSGR</t>
        </is>
      </c>
      <c r="E123" s="24" t="inlineStr">
        <is>
          <t>LNLSNET</t>
        </is>
      </c>
      <c r="F123" s="24" t="inlineStr">
        <is>
          <t>BRO</t>
        </is>
      </c>
      <c r="G123" s="24" t="inlineStr">
        <is>
          <t>EQ</t>
        </is>
      </c>
      <c r="H123" s="24" t="inlineStr">
        <is>
          <t>NCLNLS</t>
        </is>
      </c>
      <c r="I123" s="24" t="inlineStr">
        <is>
          <t>LNATRES</t>
        </is>
      </c>
      <c r="J123" s="24" t="inlineStr">
        <is>
          <t>P3LNLS</t>
        </is>
      </c>
      <c r="K123" s="24" t="inlineStr">
        <is>
          <t>LNRECONS</t>
        </is>
      </c>
      <c r="L123" s="24" t="inlineStr">
        <is>
          <t>LNRENRES</t>
        </is>
      </c>
      <c r="M123" s="24" t="inlineStr">
        <is>
          <t>LNREMULT</t>
        </is>
      </c>
      <c r="N123" s="24" t="inlineStr">
        <is>
          <t>NCLNLSR</t>
        </is>
      </c>
      <c r="O123" s="24" t="inlineStr">
        <is>
          <t>NTLNLSQR</t>
        </is>
      </c>
      <c r="P123" s="24" t="inlineStr">
        <is>
          <t>LNATRESR</t>
        </is>
      </c>
      <c r="Q123" s="24" t="inlineStr">
        <is>
          <t>LNRESNCR</t>
        </is>
      </c>
      <c r="R123" s="24" t="inlineStr">
        <is>
          <t>RBC1AAJ</t>
        </is>
      </c>
      <c r="S123" s="24" t="inlineStr">
        <is>
          <t>RBCRWAJ</t>
        </is>
      </c>
      <c r="T123" s="24" t="inlineStr">
        <is>
          <t>EQV</t>
        </is>
      </c>
      <c r="U123" s="24" t="inlineStr">
        <is>
          <t>ROAQ</t>
        </is>
      </c>
      <c r="V123" s="24" t="inlineStr">
        <is>
          <t>NIMY</t>
        </is>
      </c>
      <c r="W123" s="24" t="inlineStr">
        <is>
          <t>EEFFR</t>
        </is>
      </c>
      <c r="X123" s="24" t="inlineStr">
        <is>
          <t>P3CRCDR</t>
        </is>
      </c>
      <c r="Y123" s="24" t="inlineStr">
        <is>
          <t>P9CRCDR</t>
        </is>
      </c>
      <c r="Z123" s="24" t="inlineStr">
        <is>
          <t>NACRCDR</t>
        </is>
      </c>
      <c r="AA123" s="24" t="inlineStr">
        <is>
          <t>P3AUTOR</t>
        </is>
      </c>
      <c r="AB123" s="24" t="inlineStr">
        <is>
          <t>P9AUTOR</t>
        </is>
      </c>
      <c r="AC123" s="24" t="inlineStr">
        <is>
          <t>NAAUTOR</t>
        </is>
      </c>
      <c r="AD123" s="24" t="inlineStr">
        <is>
          <t>P3RERESR</t>
        </is>
      </c>
      <c r="AE123" s="24" t="inlineStr">
        <is>
          <t>P9RERESR</t>
        </is>
      </c>
      <c r="AF123" s="24" t="inlineStr">
        <is>
          <t>NARERESR</t>
        </is>
      </c>
      <c r="AG123" s="24" t="inlineStr">
        <is>
          <t>P3RELOCR</t>
        </is>
      </c>
      <c r="AH123" s="24" t="inlineStr">
        <is>
          <t>P9RELOCR</t>
        </is>
      </c>
      <c r="AI123" s="24" t="inlineStr">
        <is>
          <t>NARELOCR</t>
        </is>
      </c>
      <c r="AJ123" s="24" t="inlineStr">
        <is>
          <t>P3CONOTH</t>
        </is>
      </c>
      <c r="AK123" s="24" t="inlineStr">
        <is>
          <t>P9CONOTH</t>
        </is>
      </c>
      <c r="AL123" s="24" t="inlineStr">
        <is>
          <t>NACONOTH</t>
        </is>
      </c>
      <c r="AM123" s="24" t="inlineStr">
        <is>
          <t>LNCRCD</t>
        </is>
      </c>
      <c r="AN123" s="24" t="inlineStr">
        <is>
          <t>LNAUTO</t>
        </is>
      </c>
      <c r="AO123" s="24" t="inlineStr">
        <is>
          <t>LNCONOTH</t>
        </is>
      </c>
      <c r="AP123" s="24" t="inlineStr">
        <is>
          <t>LNRERES</t>
        </is>
      </c>
      <c r="AQ123" s="24" t="inlineStr">
        <is>
          <t>NTCRCDQ</t>
        </is>
      </c>
      <c r="AR123" s="24" t="inlineStr">
        <is>
          <t>NTAUTOQ</t>
        </is>
      </c>
      <c r="AS123" s="24" t="inlineStr">
        <is>
          <t>NTCONOTQ</t>
        </is>
      </c>
      <c r="AT123" s="24" t="inlineStr">
        <is>
          <t>NTRERESQ</t>
        </is>
      </c>
      <c r="AU123" s="24" t="inlineStr">
        <is>
          <t>P3CIR</t>
        </is>
      </c>
      <c r="AV123" s="24" t="inlineStr">
        <is>
          <t>P9CIR</t>
        </is>
      </c>
      <c r="AW123" s="24" t="inlineStr">
        <is>
          <t>NACIR</t>
        </is>
      </c>
      <c r="AX123" s="24" t="inlineStr">
        <is>
          <t>P3RECONS</t>
        </is>
      </c>
      <c r="AY123" s="24" t="inlineStr">
        <is>
          <t>P9RECONS</t>
        </is>
      </c>
      <c r="AZ123" s="24" t="inlineStr">
        <is>
          <t>NARECONS</t>
        </is>
      </c>
      <c r="BA123" s="24" t="inlineStr">
        <is>
          <t>P3RENRES</t>
        </is>
      </c>
      <c r="BB123" s="24" t="inlineStr">
        <is>
          <t>P9RENRES</t>
        </is>
      </c>
      <c r="BC123" s="24" t="inlineStr">
        <is>
          <t>NARENRES</t>
        </is>
      </c>
      <c r="BD123" s="24" t="inlineStr">
        <is>
          <t>P3REMULT</t>
        </is>
      </c>
      <c r="BE123" s="24" t="inlineStr">
        <is>
          <t>P9REMULT</t>
        </is>
      </c>
      <c r="BF123" s="24" t="inlineStr">
        <is>
          <t>NAREMULT</t>
        </is>
      </c>
      <c r="BG123" s="24" t="inlineStr">
        <is>
          <t>LNCI</t>
        </is>
      </c>
      <c r="BH123" s="24" t="inlineStr">
        <is>
          <t>NTRECONQ</t>
        </is>
      </c>
      <c r="BI123" s="24" t="inlineStr">
        <is>
          <t>NTRENREQ</t>
        </is>
      </c>
      <c r="BJ123" s="24" t="inlineStr">
        <is>
          <t>NTREMULQ</t>
        </is>
      </c>
      <c r="BK123" s="24" t="inlineStr">
        <is>
          <t>NTCIQ</t>
        </is>
      </c>
      <c r="BL123" s="24" t="inlineStr">
        <is>
          <t>DEPUNINS</t>
        </is>
      </c>
      <c r="BM123" s="24" t="inlineStr">
        <is>
          <t>SCHA</t>
        </is>
      </c>
      <c r="BN123" s="24" t="inlineStr">
        <is>
          <t>SCHF</t>
        </is>
      </c>
      <c r="BO123" s="24" t="inlineStr">
        <is>
          <t>SCAA</t>
        </is>
      </c>
      <c r="BP123" s="24" t="inlineStr">
        <is>
          <t>SCAF</t>
        </is>
      </c>
      <c r="BQ123" s="24" t="inlineStr">
        <is>
          <t>OTHBFHLB</t>
        </is>
      </c>
    </row>
    <row r="142">
      <c r="A142" s="29" t="inlineStr">
        <is>
          <t>slot08</t>
        </is>
      </c>
    </row>
    <row r="143">
      <c r="A143" s="24" t="inlineStr">
        <is>
          <t>REPDTE</t>
        </is>
      </c>
      <c r="B143" s="24" t="inlineStr">
        <is>
          <t>ASSET</t>
        </is>
      </c>
      <c r="C143" s="24" t="inlineStr">
        <is>
          <t>DEP</t>
        </is>
      </c>
      <c r="D143" s="24" t="inlineStr">
        <is>
          <t>LNLSGR</t>
        </is>
      </c>
      <c r="E143" s="24" t="inlineStr">
        <is>
          <t>LNLSNET</t>
        </is>
      </c>
      <c r="F143" s="24" t="inlineStr">
        <is>
          <t>BRO</t>
        </is>
      </c>
      <c r="G143" s="24" t="inlineStr">
        <is>
          <t>EQ</t>
        </is>
      </c>
      <c r="H143" s="24" t="inlineStr">
        <is>
          <t>NCLNLS</t>
        </is>
      </c>
      <c r="I143" s="24" t="inlineStr">
        <is>
          <t>LNATRES</t>
        </is>
      </c>
      <c r="J143" s="24" t="inlineStr">
        <is>
          <t>P3LNLS</t>
        </is>
      </c>
      <c r="K143" s="24" t="inlineStr">
        <is>
          <t>LNRECONS</t>
        </is>
      </c>
      <c r="L143" s="24" t="inlineStr">
        <is>
          <t>LNRENRES</t>
        </is>
      </c>
      <c r="M143" s="24" t="inlineStr">
        <is>
          <t>LNREMULT</t>
        </is>
      </c>
      <c r="N143" s="24" t="inlineStr">
        <is>
          <t>NCLNLSR</t>
        </is>
      </c>
      <c r="O143" s="24" t="inlineStr">
        <is>
          <t>NTLNLSQR</t>
        </is>
      </c>
      <c r="P143" s="24" t="inlineStr">
        <is>
          <t>LNATRESR</t>
        </is>
      </c>
      <c r="Q143" s="24" t="inlineStr">
        <is>
          <t>LNRESNCR</t>
        </is>
      </c>
      <c r="R143" s="24" t="inlineStr">
        <is>
          <t>RBC1AAJ</t>
        </is>
      </c>
      <c r="S143" s="24" t="inlineStr">
        <is>
          <t>RBCRWAJ</t>
        </is>
      </c>
      <c r="T143" s="24" t="inlineStr">
        <is>
          <t>EQV</t>
        </is>
      </c>
      <c r="U143" s="24" t="inlineStr">
        <is>
          <t>ROAQ</t>
        </is>
      </c>
      <c r="V143" s="24" t="inlineStr">
        <is>
          <t>NIMY</t>
        </is>
      </c>
      <c r="W143" s="24" t="inlineStr">
        <is>
          <t>EEFFR</t>
        </is>
      </c>
      <c r="X143" s="24" t="inlineStr">
        <is>
          <t>P3CRCDR</t>
        </is>
      </c>
      <c r="Y143" s="24" t="inlineStr">
        <is>
          <t>P9CRCDR</t>
        </is>
      </c>
      <c r="Z143" s="24" t="inlineStr">
        <is>
          <t>NACRCDR</t>
        </is>
      </c>
      <c r="AA143" s="24" t="inlineStr">
        <is>
          <t>P3AUTOR</t>
        </is>
      </c>
      <c r="AB143" s="24" t="inlineStr">
        <is>
          <t>P9AUTOR</t>
        </is>
      </c>
      <c r="AC143" s="24" t="inlineStr">
        <is>
          <t>NAAUTOR</t>
        </is>
      </c>
      <c r="AD143" s="24" t="inlineStr">
        <is>
          <t>P3RERESR</t>
        </is>
      </c>
      <c r="AE143" s="24" t="inlineStr">
        <is>
          <t>P9RERESR</t>
        </is>
      </c>
      <c r="AF143" s="24" t="inlineStr">
        <is>
          <t>NARERESR</t>
        </is>
      </c>
      <c r="AG143" s="24" t="inlineStr">
        <is>
          <t>P3RELOCR</t>
        </is>
      </c>
      <c r="AH143" s="24" t="inlineStr">
        <is>
          <t>P9RELOCR</t>
        </is>
      </c>
      <c r="AI143" s="24" t="inlineStr">
        <is>
          <t>NARELOCR</t>
        </is>
      </c>
      <c r="AJ143" s="24" t="inlineStr">
        <is>
          <t>P3CONOTH</t>
        </is>
      </c>
      <c r="AK143" s="24" t="inlineStr">
        <is>
          <t>P9CONOTH</t>
        </is>
      </c>
      <c r="AL143" s="24" t="inlineStr">
        <is>
          <t>NACONOTH</t>
        </is>
      </c>
      <c r="AM143" s="24" t="inlineStr">
        <is>
          <t>LNCRCD</t>
        </is>
      </c>
      <c r="AN143" s="24" t="inlineStr">
        <is>
          <t>LNAUTO</t>
        </is>
      </c>
      <c r="AO143" s="24" t="inlineStr">
        <is>
          <t>LNCONOTH</t>
        </is>
      </c>
      <c r="AP143" s="24" t="inlineStr">
        <is>
          <t>LNRERES</t>
        </is>
      </c>
      <c r="AQ143" s="24" t="inlineStr">
        <is>
          <t>NTCRCDQ</t>
        </is>
      </c>
      <c r="AR143" s="24" t="inlineStr">
        <is>
          <t>NTAUTOQ</t>
        </is>
      </c>
      <c r="AS143" s="24" t="inlineStr">
        <is>
          <t>NTCONOTQ</t>
        </is>
      </c>
      <c r="AT143" s="24" t="inlineStr">
        <is>
          <t>NTRERESQ</t>
        </is>
      </c>
      <c r="AU143" s="24" t="inlineStr">
        <is>
          <t>P3CIR</t>
        </is>
      </c>
      <c r="AV143" s="24" t="inlineStr">
        <is>
          <t>P9CIR</t>
        </is>
      </c>
      <c r="AW143" s="24" t="inlineStr">
        <is>
          <t>NACIR</t>
        </is>
      </c>
      <c r="AX143" s="24" t="inlineStr">
        <is>
          <t>P3RECONS</t>
        </is>
      </c>
      <c r="AY143" s="24" t="inlineStr">
        <is>
          <t>P9RECONS</t>
        </is>
      </c>
      <c r="AZ143" s="24" t="inlineStr">
        <is>
          <t>NARECONS</t>
        </is>
      </c>
      <c r="BA143" s="24" t="inlineStr">
        <is>
          <t>P3RENRES</t>
        </is>
      </c>
      <c r="BB143" s="24" t="inlineStr">
        <is>
          <t>P9RENRES</t>
        </is>
      </c>
      <c r="BC143" s="24" t="inlineStr">
        <is>
          <t>NARENRES</t>
        </is>
      </c>
      <c r="BD143" s="24" t="inlineStr">
        <is>
          <t>P3REMULT</t>
        </is>
      </c>
      <c r="BE143" s="24" t="inlineStr">
        <is>
          <t>P9REMULT</t>
        </is>
      </c>
      <c r="BF143" s="24" t="inlineStr">
        <is>
          <t>NAREMULT</t>
        </is>
      </c>
      <c r="BG143" s="24" t="inlineStr">
        <is>
          <t>LNCI</t>
        </is>
      </c>
      <c r="BH143" s="24" t="inlineStr">
        <is>
          <t>NTRECONQ</t>
        </is>
      </c>
      <c r="BI143" s="24" t="inlineStr">
        <is>
          <t>NTRENREQ</t>
        </is>
      </c>
      <c r="BJ143" s="24" t="inlineStr">
        <is>
          <t>NTREMULQ</t>
        </is>
      </c>
      <c r="BK143" s="24" t="inlineStr">
        <is>
          <t>NTCIQ</t>
        </is>
      </c>
      <c r="BL143" s="24" t="inlineStr">
        <is>
          <t>DEPUNINS</t>
        </is>
      </c>
      <c r="BM143" s="24" t="inlineStr">
        <is>
          <t>SCHA</t>
        </is>
      </c>
      <c r="BN143" s="24" t="inlineStr">
        <is>
          <t>SCHF</t>
        </is>
      </c>
      <c r="BO143" s="24" t="inlineStr">
        <is>
          <t>SCAA</t>
        </is>
      </c>
      <c r="BP143" s="24" t="inlineStr">
        <is>
          <t>SCAF</t>
        </is>
      </c>
      <c r="BQ143" s="24" t="inlineStr">
        <is>
          <t>OTHBFHLB</t>
        </is>
      </c>
    </row>
    <row r="162">
      <c r="A162" s="29" t="inlineStr">
        <is>
          <t>slot09</t>
        </is>
      </c>
    </row>
    <row r="163">
      <c r="A163" s="24" t="inlineStr">
        <is>
          <t>REPDTE</t>
        </is>
      </c>
      <c r="B163" s="24" t="inlineStr">
        <is>
          <t>ASSET</t>
        </is>
      </c>
      <c r="C163" s="24" t="inlineStr">
        <is>
          <t>DEP</t>
        </is>
      </c>
      <c r="D163" s="24" t="inlineStr">
        <is>
          <t>LNLSGR</t>
        </is>
      </c>
      <c r="E163" s="24" t="inlineStr">
        <is>
          <t>LNLSNET</t>
        </is>
      </c>
      <c r="F163" s="24" t="inlineStr">
        <is>
          <t>BRO</t>
        </is>
      </c>
      <c r="G163" s="24" t="inlineStr">
        <is>
          <t>EQ</t>
        </is>
      </c>
      <c r="H163" s="24" t="inlineStr">
        <is>
          <t>NCLNLS</t>
        </is>
      </c>
      <c r="I163" s="24" t="inlineStr">
        <is>
          <t>LNATRES</t>
        </is>
      </c>
      <c r="J163" s="24" t="inlineStr">
        <is>
          <t>P3LNLS</t>
        </is>
      </c>
      <c r="K163" s="24" t="inlineStr">
        <is>
          <t>LNRECONS</t>
        </is>
      </c>
      <c r="L163" s="24" t="inlineStr">
        <is>
          <t>LNRENRES</t>
        </is>
      </c>
      <c r="M163" s="24" t="inlineStr">
        <is>
          <t>LNREMULT</t>
        </is>
      </c>
      <c r="N163" s="24" t="inlineStr">
        <is>
          <t>NCLNLSR</t>
        </is>
      </c>
      <c r="O163" s="24" t="inlineStr">
        <is>
          <t>NTLNLSQR</t>
        </is>
      </c>
      <c r="P163" s="24" t="inlineStr">
        <is>
          <t>LNATRESR</t>
        </is>
      </c>
      <c r="Q163" s="24" t="inlineStr">
        <is>
          <t>LNRESNCR</t>
        </is>
      </c>
      <c r="R163" s="24" t="inlineStr">
        <is>
          <t>RBC1AAJ</t>
        </is>
      </c>
      <c r="S163" s="24" t="inlineStr">
        <is>
          <t>RBCRWAJ</t>
        </is>
      </c>
      <c r="T163" s="24" t="inlineStr">
        <is>
          <t>EQV</t>
        </is>
      </c>
      <c r="U163" s="24" t="inlineStr">
        <is>
          <t>ROAQ</t>
        </is>
      </c>
      <c r="V163" s="24" t="inlineStr">
        <is>
          <t>NIMY</t>
        </is>
      </c>
      <c r="W163" s="24" t="inlineStr">
        <is>
          <t>EEFFR</t>
        </is>
      </c>
      <c r="X163" s="24" t="inlineStr">
        <is>
          <t>P3CRCDR</t>
        </is>
      </c>
      <c r="Y163" s="24" t="inlineStr">
        <is>
          <t>P9CRCDR</t>
        </is>
      </c>
      <c r="Z163" s="24" t="inlineStr">
        <is>
          <t>NACRCDR</t>
        </is>
      </c>
      <c r="AA163" s="24" t="inlineStr">
        <is>
          <t>P3AUTOR</t>
        </is>
      </c>
      <c r="AB163" s="24" t="inlineStr">
        <is>
          <t>P9AUTOR</t>
        </is>
      </c>
      <c r="AC163" s="24" t="inlineStr">
        <is>
          <t>NAAUTOR</t>
        </is>
      </c>
      <c r="AD163" s="24" t="inlineStr">
        <is>
          <t>P3RERESR</t>
        </is>
      </c>
      <c r="AE163" s="24" t="inlineStr">
        <is>
          <t>P9RERESR</t>
        </is>
      </c>
      <c r="AF163" s="24" t="inlineStr">
        <is>
          <t>NARERESR</t>
        </is>
      </c>
      <c r="AG163" s="24" t="inlineStr">
        <is>
          <t>P3RELOCR</t>
        </is>
      </c>
      <c r="AH163" s="24" t="inlineStr">
        <is>
          <t>P9RELOCR</t>
        </is>
      </c>
      <c r="AI163" s="24" t="inlineStr">
        <is>
          <t>NARELOCR</t>
        </is>
      </c>
      <c r="AJ163" s="24" t="inlineStr">
        <is>
          <t>P3CONOTH</t>
        </is>
      </c>
      <c r="AK163" s="24" t="inlineStr">
        <is>
          <t>P9CONOTH</t>
        </is>
      </c>
      <c r="AL163" s="24" t="inlineStr">
        <is>
          <t>NACONOTH</t>
        </is>
      </c>
      <c r="AM163" s="24" t="inlineStr">
        <is>
          <t>LNCRCD</t>
        </is>
      </c>
      <c r="AN163" s="24" t="inlineStr">
        <is>
          <t>LNAUTO</t>
        </is>
      </c>
      <c r="AO163" s="24" t="inlineStr">
        <is>
          <t>LNCONOTH</t>
        </is>
      </c>
      <c r="AP163" s="24" t="inlineStr">
        <is>
          <t>LNRERES</t>
        </is>
      </c>
      <c r="AQ163" s="24" t="inlineStr">
        <is>
          <t>NTCRCDQ</t>
        </is>
      </c>
      <c r="AR163" s="24" t="inlineStr">
        <is>
          <t>NTAUTOQ</t>
        </is>
      </c>
      <c r="AS163" s="24" t="inlineStr">
        <is>
          <t>NTCONOTQ</t>
        </is>
      </c>
      <c r="AT163" s="24" t="inlineStr">
        <is>
          <t>NTRERESQ</t>
        </is>
      </c>
      <c r="AU163" s="24" t="inlineStr">
        <is>
          <t>P3CIR</t>
        </is>
      </c>
      <c r="AV163" s="24" t="inlineStr">
        <is>
          <t>P9CIR</t>
        </is>
      </c>
      <c r="AW163" s="24" t="inlineStr">
        <is>
          <t>NACIR</t>
        </is>
      </c>
      <c r="AX163" s="24" t="inlineStr">
        <is>
          <t>P3RECONS</t>
        </is>
      </c>
      <c r="AY163" s="24" t="inlineStr">
        <is>
          <t>P9RECONS</t>
        </is>
      </c>
      <c r="AZ163" s="24" t="inlineStr">
        <is>
          <t>NARECONS</t>
        </is>
      </c>
      <c r="BA163" s="24" t="inlineStr">
        <is>
          <t>P3RENRES</t>
        </is>
      </c>
      <c r="BB163" s="24" t="inlineStr">
        <is>
          <t>P9RENRES</t>
        </is>
      </c>
      <c r="BC163" s="24" t="inlineStr">
        <is>
          <t>NARENRES</t>
        </is>
      </c>
      <c r="BD163" s="24" t="inlineStr">
        <is>
          <t>P3REMULT</t>
        </is>
      </c>
      <c r="BE163" s="24" t="inlineStr">
        <is>
          <t>P9REMULT</t>
        </is>
      </c>
      <c r="BF163" s="24" t="inlineStr">
        <is>
          <t>NAREMULT</t>
        </is>
      </c>
      <c r="BG163" s="24" t="inlineStr">
        <is>
          <t>LNCI</t>
        </is>
      </c>
      <c r="BH163" s="24" t="inlineStr">
        <is>
          <t>NTRECONQ</t>
        </is>
      </c>
      <c r="BI163" s="24" t="inlineStr">
        <is>
          <t>NTRENREQ</t>
        </is>
      </c>
      <c r="BJ163" s="24" t="inlineStr">
        <is>
          <t>NTREMULQ</t>
        </is>
      </c>
      <c r="BK163" s="24" t="inlineStr">
        <is>
          <t>NTCIQ</t>
        </is>
      </c>
      <c r="BL163" s="24" t="inlineStr">
        <is>
          <t>DEPUNINS</t>
        </is>
      </c>
      <c r="BM163" s="24" t="inlineStr">
        <is>
          <t>SCHA</t>
        </is>
      </c>
      <c r="BN163" s="24" t="inlineStr">
        <is>
          <t>SCHF</t>
        </is>
      </c>
      <c r="BO163" s="24" t="inlineStr">
        <is>
          <t>SCAA</t>
        </is>
      </c>
      <c r="BP163" s="24" t="inlineStr">
        <is>
          <t>SCAF</t>
        </is>
      </c>
      <c r="BQ163" s="24" t="inlineStr">
        <is>
          <t>OTHBFHLB</t>
        </is>
      </c>
    </row>
    <row r="182">
      <c r="A182" s="29" t="inlineStr">
        <is>
          <t>slot10</t>
        </is>
      </c>
    </row>
    <row r="183">
      <c r="A183" s="24" t="inlineStr">
        <is>
          <t>REPDTE</t>
        </is>
      </c>
      <c r="B183" s="24" t="inlineStr">
        <is>
          <t>ASSET</t>
        </is>
      </c>
      <c r="C183" s="24" t="inlineStr">
        <is>
          <t>DEP</t>
        </is>
      </c>
      <c r="D183" s="24" t="inlineStr">
        <is>
          <t>LNLSGR</t>
        </is>
      </c>
      <c r="E183" s="24" t="inlineStr">
        <is>
          <t>LNLSNET</t>
        </is>
      </c>
      <c r="F183" s="24" t="inlineStr">
        <is>
          <t>BRO</t>
        </is>
      </c>
      <c r="G183" s="24" t="inlineStr">
        <is>
          <t>EQ</t>
        </is>
      </c>
      <c r="H183" s="24" t="inlineStr">
        <is>
          <t>NCLNLS</t>
        </is>
      </c>
      <c r="I183" s="24" t="inlineStr">
        <is>
          <t>LNATRES</t>
        </is>
      </c>
      <c r="J183" s="24" t="inlineStr">
        <is>
          <t>P3LNLS</t>
        </is>
      </c>
      <c r="K183" s="24" t="inlineStr">
        <is>
          <t>LNRECONS</t>
        </is>
      </c>
      <c r="L183" s="24" t="inlineStr">
        <is>
          <t>LNRENRES</t>
        </is>
      </c>
      <c r="M183" s="24" t="inlineStr">
        <is>
          <t>LNREMULT</t>
        </is>
      </c>
      <c r="N183" s="24" t="inlineStr">
        <is>
          <t>NCLNLSR</t>
        </is>
      </c>
      <c r="O183" s="24" t="inlineStr">
        <is>
          <t>NTLNLSQR</t>
        </is>
      </c>
      <c r="P183" s="24" t="inlineStr">
        <is>
          <t>LNATRESR</t>
        </is>
      </c>
      <c r="Q183" s="24" t="inlineStr">
        <is>
          <t>LNRESNCR</t>
        </is>
      </c>
      <c r="R183" s="24" t="inlineStr">
        <is>
          <t>RBC1AAJ</t>
        </is>
      </c>
      <c r="S183" s="24" t="inlineStr">
        <is>
          <t>RBCRWAJ</t>
        </is>
      </c>
      <c r="T183" s="24" t="inlineStr">
        <is>
          <t>EQV</t>
        </is>
      </c>
      <c r="U183" s="24" t="inlineStr">
        <is>
          <t>ROAQ</t>
        </is>
      </c>
      <c r="V183" s="24" t="inlineStr">
        <is>
          <t>NIMY</t>
        </is>
      </c>
      <c r="W183" s="24" t="inlineStr">
        <is>
          <t>EEFFR</t>
        </is>
      </c>
      <c r="X183" s="24" t="inlineStr">
        <is>
          <t>P3CRCDR</t>
        </is>
      </c>
      <c r="Y183" s="24" t="inlineStr">
        <is>
          <t>P9CRCDR</t>
        </is>
      </c>
      <c r="Z183" s="24" t="inlineStr">
        <is>
          <t>NACRCDR</t>
        </is>
      </c>
      <c r="AA183" s="24" t="inlineStr">
        <is>
          <t>P3AUTOR</t>
        </is>
      </c>
      <c r="AB183" s="24" t="inlineStr">
        <is>
          <t>P9AUTOR</t>
        </is>
      </c>
      <c r="AC183" s="24" t="inlineStr">
        <is>
          <t>NAAUTOR</t>
        </is>
      </c>
      <c r="AD183" s="24" t="inlineStr">
        <is>
          <t>P3RERESR</t>
        </is>
      </c>
      <c r="AE183" s="24" t="inlineStr">
        <is>
          <t>P9RERESR</t>
        </is>
      </c>
      <c r="AF183" s="24" t="inlineStr">
        <is>
          <t>NARERESR</t>
        </is>
      </c>
      <c r="AG183" s="24" t="inlineStr">
        <is>
          <t>P3RELOCR</t>
        </is>
      </c>
      <c r="AH183" s="24" t="inlineStr">
        <is>
          <t>P9RELOCR</t>
        </is>
      </c>
      <c r="AI183" s="24" t="inlineStr">
        <is>
          <t>NARELOCR</t>
        </is>
      </c>
      <c r="AJ183" s="24" t="inlineStr">
        <is>
          <t>P3CONOTH</t>
        </is>
      </c>
      <c r="AK183" s="24" t="inlineStr">
        <is>
          <t>P9CONOTH</t>
        </is>
      </c>
      <c r="AL183" s="24" t="inlineStr">
        <is>
          <t>NACONOTH</t>
        </is>
      </c>
      <c r="AM183" s="24" t="inlineStr">
        <is>
          <t>LNCRCD</t>
        </is>
      </c>
      <c r="AN183" s="24" t="inlineStr">
        <is>
          <t>LNAUTO</t>
        </is>
      </c>
      <c r="AO183" s="24" t="inlineStr">
        <is>
          <t>LNCONOTH</t>
        </is>
      </c>
      <c r="AP183" s="24" t="inlineStr">
        <is>
          <t>LNRERES</t>
        </is>
      </c>
      <c r="AQ183" s="24" t="inlineStr">
        <is>
          <t>NTCRCDQ</t>
        </is>
      </c>
      <c r="AR183" s="24" t="inlineStr">
        <is>
          <t>NTAUTOQ</t>
        </is>
      </c>
      <c r="AS183" s="24" t="inlineStr">
        <is>
          <t>NTCONOTQ</t>
        </is>
      </c>
      <c r="AT183" s="24" t="inlineStr">
        <is>
          <t>NTRERESQ</t>
        </is>
      </c>
      <c r="AU183" s="24" t="inlineStr">
        <is>
          <t>P3CIR</t>
        </is>
      </c>
      <c r="AV183" s="24" t="inlineStr">
        <is>
          <t>P9CIR</t>
        </is>
      </c>
      <c r="AW183" s="24" t="inlineStr">
        <is>
          <t>NACIR</t>
        </is>
      </c>
      <c r="AX183" s="24" t="inlineStr">
        <is>
          <t>P3RECONS</t>
        </is>
      </c>
      <c r="AY183" s="24" t="inlineStr">
        <is>
          <t>P9RECONS</t>
        </is>
      </c>
      <c r="AZ183" s="24" t="inlineStr">
        <is>
          <t>NARECONS</t>
        </is>
      </c>
      <c r="BA183" s="24" t="inlineStr">
        <is>
          <t>P3RENRES</t>
        </is>
      </c>
      <c r="BB183" s="24" t="inlineStr">
        <is>
          <t>P9RENRES</t>
        </is>
      </c>
      <c r="BC183" s="24" t="inlineStr">
        <is>
          <t>NARENRES</t>
        </is>
      </c>
      <c r="BD183" s="24" t="inlineStr">
        <is>
          <t>P3REMULT</t>
        </is>
      </c>
      <c r="BE183" s="24" t="inlineStr">
        <is>
          <t>P9REMULT</t>
        </is>
      </c>
      <c r="BF183" s="24" t="inlineStr">
        <is>
          <t>NAREMULT</t>
        </is>
      </c>
      <c r="BG183" s="24" t="inlineStr">
        <is>
          <t>LNCI</t>
        </is>
      </c>
      <c r="BH183" s="24" t="inlineStr">
        <is>
          <t>NTRECONQ</t>
        </is>
      </c>
      <c r="BI183" s="24" t="inlineStr">
        <is>
          <t>NTRENREQ</t>
        </is>
      </c>
      <c r="BJ183" s="24" t="inlineStr">
        <is>
          <t>NTREMULQ</t>
        </is>
      </c>
      <c r="BK183" s="24" t="inlineStr">
        <is>
          <t>NTCIQ</t>
        </is>
      </c>
      <c r="BL183" s="24" t="inlineStr">
        <is>
          <t>DEPUNINS</t>
        </is>
      </c>
      <c r="BM183" s="24" t="inlineStr">
        <is>
          <t>SCHA</t>
        </is>
      </c>
      <c r="BN183" s="24" t="inlineStr">
        <is>
          <t>SCHF</t>
        </is>
      </c>
      <c r="BO183" s="24" t="inlineStr">
        <is>
          <t>SCAA</t>
        </is>
      </c>
      <c r="BP183" s="24" t="inlineStr">
        <is>
          <t>SCAF</t>
        </is>
      </c>
      <c r="BQ183" s="24" t="inlineStr">
        <is>
          <t>OTHBFHLB</t>
        </is>
      </c>
    </row>
    <row r="202">
      <c r="A202" s="29" t="inlineStr">
        <is>
          <t>slot11</t>
        </is>
      </c>
    </row>
    <row r="203">
      <c r="A203" s="24" t="inlineStr">
        <is>
          <t>REPDTE</t>
        </is>
      </c>
      <c r="B203" s="24" t="inlineStr">
        <is>
          <t>ASSET</t>
        </is>
      </c>
      <c r="C203" s="24" t="inlineStr">
        <is>
          <t>DEP</t>
        </is>
      </c>
      <c r="D203" s="24" t="inlineStr">
        <is>
          <t>LNLSGR</t>
        </is>
      </c>
      <c r="E203" s="24" t="inlineStr">
        <is>
          <t>LNLSNET</t>
        </is>
      </c>
      <c r="F203" s="24" t="inlineStr">
        <is>
          <t>BRO</t>
        </is>
      </c>
      <c r="G203" s="24" t="inlineStr">
        <is>
          <t>EQ</t>
        </is>
      </c>
      <c r="H203" s="24" t="inlineStr">
        <is>
          <t>NCLNLS</t>
        </is>
      </c>
      <c r="I203" s="24" t="inlineStr">
        <is>
          <t>LNATRES</t>
        </is>
      </c>
      <c r="J203" s="24" t="inlineStr">
        <is>
          <t>P3LNLS</t>
        </is>
      </c>
      <c r="K203" s="24" t="inlineStr">
        <is>
          <t>LNRECONS</t>
        </is>
      </c>
      <c r="L203" s="24" t="inlineStr">
        <is>
          <t>LNRENRES</t>
        </is>
      </c>
      <c r="M203" s="24" t="inlineStr">
        <is>
          <t>LNREMULT</t>
        </is>
      </c>
      <c r="N203" s="24" t="inlineStr">
        <is>
          <t>NCLNLSR</t>
        </is>
      </c>
      <c r="O203" s="24" t="inlineStr">
        <is>
          <t>NTLNLSQR</t>
        </is>
      </c>
      <c r="P203" s="24" t="inlineStr">
        <is>
          <t>LNATRESR</t>
        </is>
      </c>
      <c r="Q203" s="24" t="inlineStr">
        <is>
          <t>LNRESNCR</t>
        </is>
      </c>
      <c r="R203" s="24" t="inlineStr">
        <is>
          <t>RBC1AAJ</t>
        </is>
      </c>
      <c r="S203" s="24" t="inlineStr">
        <is>
          <t>RBCRWAJ</t>
        </is>
      </c>
      <c r="T203" s="24" t="inlineStr">
        <is>
          <t>EQV</t>
        </is>
      </c>
      <c r="U203" s="24" t="inlineStr">
        <is>
          <t>ROAQ</t>
        </is>
      </c>
      <c r="V203" s="24" t="inlineStr">
        <is>
          <t>NIMY</t>
        </is>
      </c>
      <c r="W203" s="24" t="inlineStr">
        <is>
          <t>EEFFR</t>
        </is>
      </c>
      <c r="X203" s="24" t="inlineStr">
        <is>
          <t>P3CRCDR</t>
        </is>
      </c>
      <c r="Y203" s="24" t="inlineStr">
        <is>
          <t>P9CRCDR</t>
        </is>
      </c>
      <c r="Z203" s="24" t="inlineStr">
        <is>
          <t>NACRCDR</t>
        </is>
      </c>
      <c r="AA203" s="24" t="inlineStr">
        <is>
          <t>P3AUTOR</t>
        </is>
      </c>
      <c r="AB203" s="24" t="inlineStr">
        <is>
          <t>P9AUTOR</t>
        </is>
      </c>
      <c r="AC203" s="24" t="inlineStr">
        <is>
          <t>NAAUTOR</t>
        </is>
      </c>
      <c r="AD203" s="24" t="inlineStr">
        <is>
          <t>P3RERESR</t>
        </is>
      </c>
      <c r="AE203" s="24" t="inlineStr">
        <is>
          <t>P9RERESR</t>
        </is>
      </c>
      <c r="AF203" s="24" t="inlineStr">
        <is>
          <t>NARERESR</t>
        </is>
      </c>
      <c r="AG203" s="24" t="inlineStr">
        <is>
          <t>P3RELOCR</t>
        </is>
      </c>
      <c r="AH203" s="24" t="inlineStr">
        <is>
          <t>P9RELOCR</t>
        </is>
      </c>
      <c r="AI203" s="24" t="inlineStr">
        <is>
          <t>NARELOCR</t>
        </is>
      </c>
      <c r="AJ203" s="24" t="inlineStr">
        <is>
          <t>P3CONOTH</t>
        </is>
      </c>
      <c r="AK203" s="24" t="inlineStr">
        <is>
          <t>P9CONOTH</t>
        </is>
      </c>
      <c r="AL203" s="24" t="inlineStr">
        <is>
          <t>NACONOTH</t>
        </is>
      </c>
      <c r="AM203" s="24" t="inlineStr">
        <is>
          <t>LNCRCD</t>
        </is>
      </c>
      <c r="AN203" s="24" t="inlineStr">
        <is>
          <t>LNAUTO</t>
        </is>
      </c>
      <c r="AO203" s="24" t="inlineStr">
        <is>
          <t>LNCONOTH</t>
        </is>
      </c>
      <c r="AP203" s="24" t="inlineStr">
        <is>
          <t>LNRERES</t>
        </is>
      </c>
      <c r="AQ203" s="24" t="inlineStr">
        <is>
          <t>NTCRCDQ</t>
        </is>
      </c>
      <c r="AR203" s="24" t="inlineStr">
        <is>
          <t>NTAUTOQ</t>
        </is>
      </c>
      <c r="AS203" s="24" t="inlineStr">
        <is>
          <t>NTCONOTQ</t>
        </is>
      </c>
      <c r="AT203" s="24" t="inlineStr">
        <is>
          <t>NTRERESQ</t>
        </is>
      </c>
      <c r="AU203" s="24" t="inlineStr">
        <is>
          <t>P3CIR</t>
        </is>
      </c>
      <c r="AV203" s="24" t="inlineStr">
        <is>
          <t>P9CIR</t>
        </is>
      </c>
      <c r="AW203" s="24" t="inlineStr">
        <is>
          <t>NACIR</t>
        </is>
      </c>
      <c r="AX203" s="24" t="inlineStr">
        <is>
          <t>P3RECONS</t>
        </is>
      </c>
      <c r="AY203" s="24" t="inlineStr">
        <is>
          <t>P9RECONS</t>
        </is>
      </c>
      <c r="AZ203" s="24" t="inlineStr">
        <is>
          <t>NARECONS</t>
        </is>
      </c>
      <c r="BA203" s="24" t="inlineStr">
        <is>
          <t>P3RENRES</t>
        </is>
      </c>
      <c r="BB203" s="24" t="inlineStr">
        <is>
          <t>P9RENRES</t>
        </is>
      </c>
      <c r="BC203" s="24" t="inlineStr">
        <is>
          <t>NARENRES</t>
        </is>
      </c>
      <c r="BD203" s="24" t="inlineStr">
        <is>
          <t>P3REMULT</t>
        </is>
      </c>
      <c r="BE203" s="24" t="inlineStr">
        <is>
          <t>P9REMULT</t>
        </is>
      </c>
      <c r="BF203" s="24" t="inlineStr">
        <is>
          <t>NAREMULT</t>
        </is>
      </c>
      <c r="BG203" s="24" t="inlineStr">
        <is>
          <t>LNCI</t>
        </is>
      </c>
      <c r="BH203" s="24" t="inlineStr">
        <is>
          <t>NTRECONQ</t>
        </is>
      </c>
      <c r="BI203" s="24" t="inlineStr">
        <is>
          <t>NTRENREQ</t>
        </is>
      </c>
      <c r="BJ203" s="24" t="inlineStr">
        <is>
          <t>NTREMULQ</t>
        </is>
      </c>
      <c r="BK203" s="24" t="inlineStr">
        <is>
          <t>NTCIQ</t>
        </is>
      </c>
      <c r="BL203" s="24" t="inlineStr">
        <is>
          <t>DEPUNINS</t>
        </is>
      </c>
      <c r="BM203" s="24" t="inlineStr">
        <is>
          <t>SCHA</t>
        </is>
      </c>
      <c r="BN203" s="24" t="inlineStr">
        <is>
          <t>SCHF</t>
        </is>
      </c>
      <c r="BO203" s="24" t="inlineStr">
        <is>
          <t>SCAA</t>
        </is>
      </c>
      <c r="BP203" s="24" t="inlineStr">
        <is>
          <t>SCAF</t>
        </is>
      </c>
      <c r="BQ203" s="24" t="inlineStr">
        <is>
          <t>OTHBFHLB</t>
        </is>
      </c>
    </row>
    <row r="222">
      <c r="A222" s="29" t="inlineStr">
        <is>
          <t>slot12</t>
        </is>
      </c>
    </row>
    <row r="223">
      <c r="A223" s="24" t="inlineStr">
        <is>
          <t>REPDTE</t>
        </is>
      </c>
      <c r="B223" s="24" t="inlineStr">
        <is>
          <t>ASSET</t>
        </is>
      </c>
      <c r="C223" s="24" t="inlineStr">
        <is>
          <t>DEP</t>
        </is>
      </c>
      <c r="D223" s="24" t="inlineStr">
        <is>
          <t>LNLSGR</t>
        </is>
      </c>
      <c r="E223" s="24" t="inlineStr">
        <is>
          <t>LNLSNET</t>
        </is>
      </c>
      <c r="F223" s="24" t="inlineStr">
        <is>
          <t>BRO</t>
        </is>
      </c>
      <c r="G223" s="24" t="inlineStr">
        <is>
          <t>EQ</t>
        </is>
      </c>
      <c r="H223" s="24" t="inlineStr">
        <is>
          <t>NCLNLS</t>
        </is>
      </c>
      <c r="I223" s="24" t="inlineStr">
        <is>
          <t>LNATRES</t>
        </is>
      </c>
      <c r="J223" s="24" t="inlineStr">
        <is>
          <t>P3LNLS</t>
        </is>
      </c>
      <c r="K223" s="24" t="inlineStr">
        <is>
          <t>LNRECONS</t>
        </is>
      </c>
      <c r="L223" s="24" t="inlineStr">
        <is>
          <t>LNRENRES</t>
        </is>
      </c>
      <c r="M223" s="24" t="inlineStr">
        <is>
          <t>LNREMULT</t>
        </is>
      </c>
      <c r="N223" s="24" t="inlineStr">
        <is>
          <t>NCLNLSR</t>
        </is>
      </c>
      <c r="O223" s="24" t="inlineStr">
        <is>
          <t>NTLNLSQR</t>
        </is>
      </c>
      <c r="P223" s="24" t="inlineStr">
        <is>
          <t>LNATRESR</t>
        </is>
      </c>
      <c r="Q223" s="24" t="inlineStr">
        <is>
          <t>LNRESNCR</t>
        </is>
      </c>
      <c r="R223" s="24" t="inlineStr">
        <is>
          <t>RBC1AAJ</t>
        </is>
      </c>
      <c r="S223" s="24" t="inlineStr">
        <is>
          <t>RBCRWAJ</t>
        </is>
      </c>
      <c r="T223" s="24" t="inlineStr">
        <is>
          <t>EQV</t>
        </is>
      </c>
      <c r="U223" s="24" t="inlineStr">
        <is>
          <t>ROAQ</t>
        </is>
      </c>
      <c r="V223" s="24" t="inlineStr">
        <is>
          <t>NIMY</t>
        </is>
      </c>
      <c r="W223" s="24" t="inlineStr">
        <is>
          <t>EEFFR</t>
        </is>
      </c>
      <c r="X223" s="24" t="inlineStr">
        <is>
          <t>P3CRCDR</t>
        </is>
      </c>
      <c r="Y223" s="24" t="inlineStr">
        <is>
          <t>P9CRCDR</t>
        </is>
      </c>
      <c r="Z223" s="24" t="inlineStr">
        <is>
          <t>NACRCDR</t>
        </is>
      </c>
      <c r="AA223" s="24" t="inlineStr">
        <is>
          <t>P3AUTOR</t>
        </is>
      </c>
      <c r="AB223" s="24" t="inlineStr">
        <is>
          <t>P9AUTOR</t>
        </is>
      </c>
      <c r="AC223" s="24" t="inlineStr">
        <is>
          <t>NAAUTOR</t>
        </is>
      </c>
      <c r="AD223" s="24" t="inlineStr">
        <is>
          <t>P3RERESR</t>
        </is>
      </c>
      <c r="AE223" s="24" t="inlineStr">
        <is>
          <t>P9RERESR</t>
        </is>
      </c>
      <c r="AF223" s="24" t="inlineStr">
        <is>
          <t>NARERESR</t>
        </is>
      </c>
      <c r="AG223" s="24" t="inlineStr">
        <is>
          <t>P3RELOCR</t>
        </is>
      </c>
      <c r="AH223" s="24" t="inlineStr">
        <is>
          <t>P9RELOCR</t>
        </is>
      </c>
      <c r="AI223" s="24" t="inlineStr">
        <is>
          <t>NARELOCR</t>
        </is>
      </c>
      <c r="AJ223" s="24" t="inlineStr">
        <is>
          <t>P3CONOTH</t>
        </is>
      </c>
      <c r="AK223" s="24" t="inlineStr">
        <is>
          <t>P9CONOTH</t>
        </is>
      </c>
      <c r="AL223" s="24" t="inlineStr">
        <is>
          <t>NACONOTH</t>
        </is>
      </c>
      <c r="AM223" s="24" t="inlineStr">
        <is>
          <t>LNCRCD</t>
        </is>
      </c>
      <c r="AN223" s="24" t="inlineStr">
        <is>
          <t>LNAUTO</t>
        </is>
      </c>
      <c r="AO223" s="24" t="inlineStr">
        <is>
          <t>LNCONOTH</t>
        </is>
      </c>
      <c r="AP223" s="24" t="inlineStr">
        <is>
          <t>LNRERES</t>
        </is>
      </c>
      <c r="AQ223" s="24" t="inlineStr">
        <is>
          <t>NTCRCDQ</t>
        </is>
      </c>
      <c r="AR223" s="24" t="inlineStr">
        <is>
          <t>NTAUTOQ</t>
        </is>
      </c>
      <c r="AS223" s="24" t="inlineStr">
        <is>
          <t>NTCONOTQ</t>
        </is>
      </c>
      <c r="AT223" s="24" t="inlineStr">
        <is>
          <t>NTRERESQ</t>
        </is>
      </c>
      <c r="AU223" s="24" t="inlineStr">
        <is>
          <t>P3CIR</t>
        </is>
      </c>
      <c r="AV223" s="24" t="inlineStr">
        <is>
          <t>P9CIR</t>
        </is>
      </c>
      <c r="AW223" s="24" t="inlineStr">
        <is>
          <t>NACIR</t>
        </is>
      </c>
      <c r="AX223" s="24" t="inlineStr">
        <is>
          <t>P3RECONS</t>
        </is>
      </c>
      <c r="AY223" s="24" t="inlineStr">
        <is>
          <t>P9RECONS</t>
        </is>
      </c>
      <c r="AZ223" s="24" t="inlineStr">
        <is>
          <t>NARECONS</t>
        </is>
      </c>
      <c r="BA223" s="24" t="inlineStr">
        <is>
          <t>P3RENRES</t>
        </is>
      </c>
      <c r="BB223" s="24" t="inlineStr">
        <is>
          <t>P9RENRES</t>
        </is>
      </c>
      <c r="BC223" s="24" t="inlineStr">
        <is>
          <t>NARENRES</t>
        </is>
      </c>
      <c r="BD223" s="24" t="inlineStr">
        <is>
          <t>P3REMULT</t>
        </is>
      </c>
      <c r="BE223" s="24" t="inlineStr">
        <is>
          <t>P9REMULT</t>
        </is>
      </c>
      <c r="BF223" s="24" t="inlineStr">
        <is>
          <t>NAREMULT</t>
        </is>
      </c>
      <c r="BG223" s="24" t="inlineStr">
        <is>
          <t>LNCI</t>
        </is>
      </c>
      <c r="BH223" s="24" t="inlineStr">
        <is>
          <t>NTRECONQ</t>
        </is>
      </c>
      <c r="BI223" s="24" t="inlineStr">
        <is>
          <t>NTRENREQ</t>
        </is>
      </c>
      <c r="BJ223" s="24" t="inlineStr">
        <is>
          <t>NTREMULQ</t>
        </is>
      </c>
      <c r="BK223" s="24" t="inlineStr">
        <is>
          <t>NTCIQ</t>
        </is>
      </c>
      <c r="BL223" s="24" t="inlineStr">
        <is>
          <t>DEPUNINS</t>
        </is>
      </c>
      <c r="BM223" s="24" t="inlineStr">
        <is>
          <t>SCHA</t>
        </is>
      </c>
      <c r="BN223" s="24" t="inlineStr">
        <is>
          <t>SCHF</t>
        </is>
      </c>
      <c r="BO223" s="24" t="inlineStr">
        <is>
          <t>SCAA</t>
        </is>
      </c>
      <c r="BP223" s="24" t="inlineStr">
        <is>
          <t>SCAF</t>
        </is>
      </c>
      <c r="BQ223" s="24" t="inlineStr">
        <is>
          <t>OTHBFHLB</t>
        </is>
      </c>
    </row>
    <row r="242">
      <c r="A242" s="29" t="inlineStr">
        <is>
          <t>slot13</t>
        </is>
      </c>
    </row>
    <row r="243">
      <c r="A243" s="24" t="inlineStr">
        <is>
          <t>REPDTE</t>
        </is>
      </c>
      <c r="B243" s="24" t="inlineStr">
        <is>
          <t>ASSET</t>
        </is>
      </c>
      <c r="C243" s="24" t="inlineStr">
        <is>
          <t>DEP</t>
        </is>
      </c>
      <c r="D243" s="24" t="inlineStr">
        <is>
          <t>LNLSGR</t>
        </is>
      </c>
      <c r="E243" s="24" t="inlineStr">
        <is>
          <t>LNLSNET</t>
        </is>
      </c>
      <c r="F243" s="24" t="inlineStr">
        <is>
          <t>BRO</t>
        </is>
      </c>
      <c r="G243" s="24" t="inlineStr">
        <is>
          <t>EQ</t>
        </is>
      </c>
      <c r="H243" s="24" t="inlineStr">
        <is>
          <t>NCLNLS</t>
        </is>
      </c>
      <c r="I243" s="24" t="inlineStr">
        <is>
          <t>LNATRES</t>
        </is>
      </c>
      <c r="J243" s="24" t="inlineStr">
        <is>
          <t>P3LNLS</t>
        </is>
      </c>
      <c r="K243" s="24" t="inlineStr">
        <is>
          <t>LNRECONS</t>
        </is>
      </c>
      <c r="L243" s="24" t="inlineStr">
        <is>
          <t>LNRENRES</t>
        </is>
      </c>
      <c r="M243" s="24" t="inlineStr">
        <is>
          <t>LNREMULT</t>
        </is>
      </c>
      <c r="N243" s="24" t="inlineStr">
        <is>
          <t>NCLNLSR</t>
        </is>
      </c>
      <c r="O243" s="24" t="inlineStr">
        <is>
          <t>NTLNLSQR</t>
        </is>
      </c>
      <c r="P243" s="24" t="inlineStr">
        <is>
          <t>LNATRESR</t>
        </is>
      </c>
      <c r="Q243" s="24" t="inlineStr">
        <is>
          <t>LNRESNCR</t>
        </is>
      </c>
      <c r="R243" s="24" t="inlineStr">
        <is>
          <t>RBC1AAJ</t>
        </is>
      </c>
      <c r="S243" s="24" t="inlineStr">
        <is>
          <t>RBCRWAJ</t>
        </is>
      </c>
      <c r="T243" s="24" t="inlineStr">
        <is>
          <t>EQV</t>
        </is>
      </c>
      <c r="U243" s="24" t="inlineStr">
        <is>
          <t>ROAQ</t>
        </is>
      </c>
      <c r="V243" s="24" t="inlineStr">
        <is>
          <t>NIMY</t>
        </is>
      </c>
      <c r="W243" s="24" t="inlineStr">
        <is>
          <t>EEFFR</t>
        </is>
      </c>
      <c r="X243" s="24" t="inlineStr">
        <is>
          <t>P3CRCDR</t>
        </is>
      </c>
      <c r="Y243" s="24" t="inlineStr">
        <is>
          <t>P9CRCDR</t>
        </is>
      </c>
      <c r="Z243" s="24" t="inlineStr">
        <is>
          <t>NACRCDR</t>
        </is>
      </c>
      <c r="AA243" s="24" t="inlineStr">
        <is>
          <t>P3AUTOR</t>
        </is>
      </c>
      <c r="AB243" s="24" t="inlineStr">
        <is>
          <t>P9AUTOR</t>
        </is>
      </c>
      <c r="AC243" s="24" t="inlineStr">
        <is>
          <t>NAAUTOR</t>
        </is>
      </c>
      <c r="AD243" s="24" t="inlineStr">
        <is>
          <t>P3RERESR</t>
        </is>
      </c>
      <c r="AE243" s="24" t="inlineStr">
        <is>
          <t>P9RERESR</t>
        </is>
      </c>
      <c r="AF243" s="24" t="inlineStr">
        <is>
          <t>NARERESR</t>
        </is>
      </c>
      <c r="AG243" s="24" t="inlineStr">
        <is>
          <t>P3RELOCR</t>
        </is>
      </c>
      <c r="AH243" s="24" t="inlineStr">
        <is>
          <t>P9RELOCR</t>
        </is>
      </c>
      <c r="AI243" s="24" t="inlineStr">
        <is>
          <t>NARELOCR</t>
        </is>
      </c>
      <c r="AJ243" s="24" t="inlineStr">
        <is>
          <t>P3CONOTH</t>
        </is>
      </c>
      <c r="AK243" s="24" t="inlineStr">
        <is>
          <t>P9CONOTH</t>
        </is>
      </c>
      <c r="AL243" s="24" t="inlineStr">
        <is>
          <t>NACONOTH</t>
        </is>
      </c>
      <c r="AM243" s="24" t="inlineStr">
        <is>
          <t>LNCRCD</t>
        </is>
      </c>
      <c r="AN243" s="24" t="inlineStr">
        <is>
          <t>LNAUTO</t>
        </is>
      </c>
      <c r="AO243" s="24" t="inlineStr">
        <is>
          <t>LNCONOTH</t>
        </is>
      </c>
      <c r="AP243" s="24" t="inlineStr">
        <is>
          <t>LNRERES</t>
        </is>
      </c>
      <c r="AQ243" s="24" t="inlineStr">
        <is>
          <t>NTCRCDQ</t>
        </is>
      </c>
      <c r="AR243" s="24" t="inlineStr">
        <is>
          <t>NTAUTOQ</t>
        </is>
      </c>
      <c r="AS243" s="24" t="inlineStr">
        <is>
          <t>NTCONOTQ</t>
        </is>
      </c>
      <c r="AT243" s="24" t="inlineStr">
        <is>
          <t>NTRERESQ</t>
        </is>
      </c>
      <c r="AU243" s="24" t="inlineStr">
        <is>
          <t>P3CIR</t>
        </is>
      </c>
      <c r="AV243" s="24" t="inlineStr">
        <is>
          <t>P9CIR</t>
        </is>
      </c>
      <c r="AW243" s="24" t="inlineStr">
        <is>
          <t>NACIR</t>
        </is>
      </c>
      <c r="AX243" s="24" t="inlineStr">
        <is>
          <t>P3RECONS</t>
        </is>
      </c>
      <c r="AY243" s="24" t="inlineStr">
        <is>
          <t>P9RECONS</t>
        </is>
      </c>
      <c r="AZ243" s="24" t="inlineStr">
        <is>
          <t>NARECONS</t>
        </is>
      </c>
      <c r="BA243" s="24" t="inlineStr">
        <is>
          <t>P3RENRES</t>
        </is>
      </c>
      <c r="BB243" s="24" t="inlineStr">
        <is>
          <t>P9RENRES</t>
        </is>
      </c>
      <c r="BC243" s="24" t="inlineStr">
        <is>
          <t>NARENRES</t>
        </is>
      </c>
      <c r="BD243" s="24" t="inlineStr">
        <is>
          <t>P3REMULT</t>
        </is>
      </c>
      <c r="BE243" s="24" t="inlineStr">
        <is>
          <t>P9REMULT</t>
        </is>
      </c>
      <c r="BF243" s="24" t="inlineStr">
        <is>
          <t>NAREMULT</t>
        </is>
      </c>
      <c r="BG243" s="24" t="inlineStr">
        <is>
          <t>LNCI</t>
        </is>
      </c>
      <c r="BH243" s="24" t="inlineStr">
        <is>
          <t>NTRECONQ</t>
        </is>
      </c>
      <c r="BI243" s="24" t="inlineStr">
        <is>
          <t>NTRENREQ</t>
        </is>
      </c>
      <c r="BJ243" s="24" t="inlineStr">
        <is>
          <t>NTREMULQ</t>
        </is>
      </c>
      <c r="BK243" s="24" t="inlineStr">
        <is>
          <t>NTCIQ</t>
        </is>
      </c>
      <c r="BL243" s="24" t="inlineStr">
        <is>
          <t>DEPUNINS</t>
        </is>
      </c>
      <c r="BM243" s="24" t="inlineStr">
        <is>
          <t>SCHA</t>
        </is>
      </c>
      <c r="BN243" s="24" t="inlineStr">
        <is>
          <t>SCHF</t>
        </is>
      </c>
      <c r="BO243" s="24" t="inlineStr">
        <is>
          <t>SCAA</t>
        </is>
      </c>
      <c r="BP243" s="24" t="inlineStr">
        <is>
          <t>SCAF</t>
        </is>
      </c>
      <c r="BQ243" s="24" t="inlineStr">
        <is>
          <t>OTHBFHLB</t>
        </is>
      </c>
    </row>
    <row r="262">
      <c r="A262" s="29" t="inlineStr">
        <is>
          <t>slot14</t>
        </is>
      </c>
    </row>
    <row r="263">
      <c r="A263" s="24" t="inlineStr">
        <is>
          <t>REPDTE</t>
        </is>
      </c>
      <c r="B263" s="24" t="inlineStr">
        <is>
          <t>ASSET</t>
        </is>
      </c>
      <c r="C263" s="24" t="inlineStr">
        <is>
          <t>DEP</t>
        </is>
      </c>
      <c r="D263" s="24" t="inlineStr">
        <is>
          <t>LNLSGR</t>
        </is>
      </c>
      <c r="E263" s="24" t="inlineStr">
        <is>
          <t>LNLSNET</t>
        </is>
      </c>
      <c r="F263" s="24" t="inlineStr">
        <is>
          <t>BRO</t>
        </is>
      </c>
      <c r="G263" s="24" t="inlineStr">
        <is>
          <t>EQ</t>
        </is>
      </c>
      <c r="H263" s="24" t="inlineStr">
        <is>
          <t>NCLNLS</t>
        </is>
      </c>
      <c r="I263" s="24" t="inlineStr">
        <is>
          <t>LNATRES</t>
        </is>
      </c>
      <c r="J263" s="24" t="inlineStr">
        <is>
          <t>P3LNLS</t>
        </is>
      </c>
      <c r="K263" s="24" t="inlineStr">
        <is>
          <t>LNRECONS</t>
        </is>
      </c>
      <c r="L263" s="24" t="inlineStr">
        <is>
          <t>LNRENRES</t>
        </is>
      </c>
      <c r="M263" s="24" t="inlineStr">
        <is>
          <t>LNREMULT</t>
        </is>
      </c>
      <c r="N263" s="24" t="inlineStr">
        <is>
          <t>NCLNLSR</t>
        </is>
      </c>
      <c r="O263" s="24" t="inlineStr">
        <is>
          <t>NTLNLSQR</t>
        </is>
      </c>
      <c r="P263" s="24" t="inlineStr">
        <is>
          <t>LNATRESR</t>
        </is>
      </c>
      <c r="Q263" s="24" t="inlineStr">
        <is>
          <t>LNRESNCR</t>
        </is>
      </c>
      <c r="R263" s="24" t="inlineStr">
        <is>
          <t>RBC1AAJ</t>
        </is>
      </c>
      <c r="S263" s="24" t="inlineStr">
        <is>
          <t>RBCRWAJ</t>
        </is>
      </c>
      <c r="T263" s="24" t="inlineStr">
        <is>
          <t>EQV</t>
        </is>
      </c>
      <c r="U263" s="24" t="inlineStr">
        <is>
          <t>ROAQ</t>
        </is>
      </c>
      <c r="V263" s="24" t="inlineStr">
        <is>
          <t>NIMY</t>
        </is>
      </c>
      <c r="W263" s="24" t="inlineStr">
        <is>
          <t>EEFFR</t>
        </is>
      </c>
      <c r="X263" s="24" t="inlineStr">
        <is>
          <t>P3CRCDR</t>
        </is>
      </c>
      <c r="Y263" s="24" t="inlineStr">
        <is>
          <t>P9CRCDR</t>
        </is>
      </c>
      <c r="Z263" s="24" t="inlineStr">
        <is>
          <t>NACRCDR</t>
        </is>
      </c>
      <c r="AA263" s="24" t="inlineStr">
        <is>
          <t>P3AUTOR</t>
        </is>
      </c>
      <c r="AB263" s="24" t="inlineStr">
        <is>
          <t>P9AUTOR</t>
        </is>
      </c>
      <c r="AC263" s="24" t="inlineStr">
        <is>
          <t>NAAUTOR</t>
        </is>
      </c>
      <c r="AD263" s="24" t="inlineStr">
        <is>
          <t>P3RERESR</t>
        </is>
      </c>
      <c r="AE263" s="24" t="inlineStr">
        <is>
          <t>P9RERESR</t>
        </is>
      </c>
      <c r="AF263" s="24" t="inlineStr">
        <is>
          <t>NARERESR</t>
        </is>
      </c>
      <c r="AG263" s="24" t="inlineStr">
        <is>
          <t>P3RELOCR</t>
        </is>
      </c>
      <c r="AH263" s="24" t="inlineStr">
        <is>
          <t>P9RELOCR</t>
        </is>
      </c>
      <c r="AI263" s="24" t="inlineStr">
        <is>
          <t>NARELOCR</t>
        </is>
      </c>
      <c r="AJ263" s="24" t="inlineStr">
        <is>
          <t>P3CONOTH</t>
        </is>
      </c>
      <c r="AK263" s="24" t="inlineStr">
        <is>
          <t>P9CONOTH</t>
        </is>
      </c>
      <c r="AL263" s="24" t="inlineStr">
        <is>
          <t>NACONOTH</t>
        </is>
      </c>
      <c r="AM263" s="24" t="inlineStr">
        <is>
          <t>LNCRCD</t>
        </is>
      </c>
      <c r="AN263" s="24" t="inlineStr">
        <is>
          <t>LNAUTO</t>
        </is>
      </c>
      <c r="AO263" s="24" t="inlineStr">
        <is>
          <t>LNCONOTH</t>
        </is>
      </c>
      <c r="AP263" s="24" t="inlineStr">
        <is>
          <t>LNRERES</t>
        </is>
      </c>
      <c r="AQ263" s="24" t="inlineStr">
        <is>
          <t>NTCRCDQ</t>
        </is>
      </c>
      <c r="AR263" s="24" t="inlineStr">
        <is>
          <t>NTAUTOQ</t>
        </is>
      </c>
      <c r="AS263" s="24" t="inlineStr">
        <is>
          <t>NTCONOTQ</t>
        </is>
      </c>
      <c r="AT263" s="24" t="inlineStr">
        <is>
          <t>NTRERESQ</t>
        </is>
      </c>
      <c r="AU263" s="24" t="inlineStr">
        <is>
          <t>P3CIR</t>
        </is>
      </c>
      <c r="AV263" s="24" t="inlineStr">
        <is>
          <t>P9CIR</t>
        </is>
      </c>
      <c r="AW263" s="24" t="inlineStr">
        <is>
          <t>NACIR</t>
        </is>
      </c>
      <c r="AX263" s="24" t="inlineStr">
        <is>
          <t>P3RECONS</t>
        </is>
      </c>
      <c r="AY263" s="24" t="inlineStr">
        <is>
          <t>P9RECONS</t>
        </is>
      </c>
      <c r="AZ263" s="24" t="inlineStr">
        <is>
          <t>NARECONS</t>
        </is>
      </c>
      <c r="BA263" s="24" t="inlineStr">
        <is>
          <t>P3RENRES</t>
        </is>
      </c>
      <c r="BB263" s="24" t="inlineStr">
        <is>
          <t>P9RENRES</t>
        </is>
      </c>
      <c r="BC263" s="24" t="inlineStr">
        <is>
          <t>NARENRES</t>
        </is>
      </c>
      <c r="BD263" s="24" t="inlineStr">
        <is>
          <t>P3REMULT</t>
        </is>
      </c>
      <c r="BE263" s="24" t="inlineStr">
        <is>
          <t>P9REMULT</t>
        </is>
      </c>
      <c r="BF263" s="24" t="inlineStr">
        <is>
          <t>NAREMULT</t>
        </is>
      </c>
      <c r="BG263" s="24" t="inlineStr">
        <is>
          <t>LNCI</t>
        </is>
      </c>
      <c r="BH263" s="24" t="inlineStr">
        <is>
          <t>NTRECONQ</t>
        </is>
      </c>
      <c r="BI263" s="24" t="inlineStr">
        <is>
          <t>NTRENREQ</t>
        </is>
      </c>
      <c r="BJ263" s="24" t="inlineStr">
        <is>
          <t>NTREMULQ</t>
        </is>
      </c>
      <c r="BK263" s="24" t="inlineStr">
        <is>
          <t>NTCIQ</t>
        </is>
      </c>
      <c r="BL263" s="24" t="inlineStr">
        <is>
          <t>DEPUNINS</t>
        </is>
      </c>
      <c r="BM263" s="24" t="inlineStr">
        <is>
          <t>SCHA</t>
        </is>
      </c>
      <c r="BN263" s="24" t="inlineStr">
        <is>
          <t>SCHF</t>
        </is>
      </c>
      <c r="BO263" s="24" t="inlineStr">
        <is>
          <t>SCAA</t>
        </is>
      </c>
      <c r="BP263" s="24" t="inlineStr">
        <is>
          <t>SCAF</t>
        </is>
      </c>
      <c r="BQ263" s="24" t="inlineStr">
        <is>
          <t>OTHBFHLB</t>
        </is>
      </c>
    </row>
    <row r="282">
      <c r="A282" s="29" t="inlineStr">
        <is>
          <t>slot15</t>
        </is>
      </c>
    </row>
    <row r="283">
      <c r="A283" s="24" t="inlineStr">
        <is>
          <t>REPDTE</t>
        </is>
      </c>
      <c r="B283" s="24" t="inlineStr">
        <is>
          <t>ASSET</t>
        </is>
      </c>
      <c r="C283" s="24" t="inlineStr">
        <is>
          <t>DEP</t>
        </is>
      </c>
      <c r="D283" s="24" t="inlineStr">
        <is>
          <t>LNLSGR</t>
        </is>
      </c>
      <c r="E283" s="24" t="inlineStr">
        <is>
          <t>LNLSNET</t>
        </is>
      </c>
      <c r="F283" s="24" t="inlineStr">
        <is>
          <t>BRO</t>
        </is>
      </c>
      <c r="G283" s="24" t="inlineStr">
        <is>
          <t>EQ</t>
        </is>
      </c>
      <c r="H283" s="24" t="inlineStr">
        <is>
          <t>NCLNLS</t>
        </is>
      </c>
      <c r="I283" s="24" t="inlineStr">
        <is>
          <t>LNATRES</t>
        </is>
      </c>
      <c r="J283" s="24" t="inlineStr">
        <is>
          <t>P3LNLS</t>
        </is>
      </c>
      <c r="K283" s="24" t="inlineStr">
        <is>
          <t>LNRECONS</t>
        </is>
      </c>
      <c r="L283" s="24" t="inlineStr">
        <is>
          <t>LNRENRES</t>
        </is>
      </c>
      <c r="M283" s="24" t="inlineStr">
        <is>
          <t>LNREMULT</t>
        </is>
      </c>
      <c r="N283" s="24" t="inlineStr">
        <is>
          <t>NCLNLSR</t>
        </is>
      </c>
      <c r="O283" s="24" t="inlineStr">
        <is>
          <t>NTLNLSQR</t>
        </is>
      </c>
      <c r="P283" s="24" t="inlineStr">
        <is>
          <t>LNATRESR</t>
        </is>
      </c>
      <c r="Q283" s="24" t="inlineStr">
        <is>
          <t>LNRESNCR</t>
        </is>
      </c>
      <c r="R283" s="24" t="inlineStr">
        <is>
          <t>RBC1AAJ</t>
        </is>
      </c>
      <c r="S283" s="24" t="inlineStr">
        <is>
          <t>RBCRWAJ</t>
        </is>
      </c>
      <c r="T283" s="24" t="inlineStr">
        <is>
          <t>EQV</t>
        </is>
      </c>
      <c r="U283" s="24" t="inlineStr">
        <is>
          <t>ROAQ</t>
        </is>
      </c>
      <c r="V283" s="24" t="inlineStr">
        <is>
          <t>NIMY</t>
        </is>
      </c>
      <c r="W283" s="24" t="inlineStr">
        <is>
          <t>EEFFR</t>
        </is>
      </c>
      <c r="X283" s="24" t="inlineStr">
        <is>
          <t>P3CRCDR</t>
        </is>
      </c>
      <c r="Y283" s="24" t="inlineStr">
        <is>
          <t>P9CRCDR</t>
        </is>
      </c>
      <c r="Z283" s="24" t="inlineStr">
        <is>
          <t>NACRCDR</t>
        </is>
      </c>
      <c r="AA283" s="24" t="inlineStr">
        <is>
          <t>P3AUTOR</t>
        </is>
      </c>
      <c r="AB283" s="24" t="inlineStr">
        <is>
          <t>P9AUTOR</t>
        </is>
      </c>
      <c r="AC283" s="24" t="inlineStr">
        <is>
          <t>NAAUTOR</t>
        </is>
      </c>
      <c r="AD283" s="24" t="inlineStr">
        <is>
          <t>P3RERESR</t>
        </is>
      </c>
      <c r="AE283" s="24" t="inlineStr">
        <is>
          <t>P9RERESR</t>
        </is>
      </c>
      <c r="AF283" s="24" t="inlineStr">
        <is>
          <t>NARERESR</t>
        </is>
      </c>
      <c r="AG283" s="24" t="inlineStr">
        <is>
          <t>P3RELOCR</t>
        </is>
      </c>
      <c r="AH283" s="24" t="inlineStr">
        <is>
          <t>P9RELOCR</t>
        </is>
      </c>
      <c r="AI283" s="24" t="inlineStr">
        <is>
          <t>NARELOCR</t>
        </is>
      </c>
      <c r="AJ283" s="24" t="inlineStr">
        <is>
          <t>P3CONOTH</t>
        </is>
      </c>
      <c r="AK283" s="24" t="inlineStr">
        <is>
          <t>P9CONOTH</t>
        </is>
      </c>
      <c r="AL283" s="24" t="inlineStr">
        <is>
          <t>NACONOTH</t>
        </is>
      </c>
      <c r="AM283" s="24" t="inlineStr">
        <is>
          <t>LNCRCD</t>
        </is>
      </c>
      <c r="AN283" s="24" t="inlineStr">
        <is>
          <t>LNAUTO</t>
        </is>
      </c>
      <c r="AO283" s="24" t="inlineStr">
        <is>
          <t>LNCONOTH</t>
        </is>
      </c>
      <c r="AP283" s="24" t="inlineStr">
        <is>
          <t>LNRERES</t>
        </is>
      </c>
      <c r="AQ283" s="24" t="inlineStr">
        <is>
          <t>NTCRCDQ</t>
        </is>
      </c>
      <c r="AR283" s="24" t="inlineStr">
        <is>
          <t>NTAUTOQ</t>
        </is>
      </c>
      <c r="AS283" s="24" t="inlineStr">
        <is>
          <t>NTCONOTQ</t>
        </is>
      </c>
      <c r="AT283" s="24" t="inlineStr">
        <is>
          <t>NTRERESQ</t>
        </is>
      </c>
      <c r="AU283" s="24" t="inlineStr">
        <is>
          <t>P3CIR</t>
        </is>
      </c>
      <c r="AV283" s="24" t="inlineStr">
        <is>
          <t>P9CIR</t>
        </is>
      </c>
      <c r="AW283" s="24" t="inlineStr">
        <is>
          <t>NACIR</t>
        </is>
      </c>
      <c r="AX283" s="24" t="inlineStr">
        <is>
          <t>P3RECONS</t>
        </is>
      </c>
      <c r="AY283" s="24" t="inlineStr">
        <is>
          <t>P9RECONS</t>
        </is>
      </c>
      <c r="AZ283" s="24" t="inlineStr">
        <is>
          <t>NARECONS</t>
        </is>
      </c>
      <c r="BA283" s="24" t="inlineStr">
        <is>
          <t>P3RENRES</t>
        </is>
      </c>
      <c r="BB283" s="24" t="inlineStr">
        <is>
          <t>P9RENRES</t>
        </is>
      </c>
      <c r="BC283" s="24" t="inlineStr">
        <is>
          <t>NARENRES</t>
        </is>
      </c>
      <c r="BD283" s="24" t="inlineStr">
        <is>
          <t>P3REMULT</t>
        </is>
      </c>
      <c r="BE283" s="24" t="inlineStr">
        <is>
          <t>P9REMULT</t>
        </is>
      </c>
      <c r="BF283" s="24" t="inlineStr">
        <is>
          <t>NAREMULT</t>
        </is>
      </c>
      <c r="BG283" s="24" t="inlineStr">
        <is>
          <t>LNCI</t>
        </is>
      </c>
      <c r="BH283" s="24" t="inlineStr">
        <is>
          <t>NTRECONQ</t>
        </is>
      </c>
      <c r="BI283" s="24" t="inlineStr">
        <is>
          <t>NTRENREQ</t>
        </is>
      </c>
      <c r="BJ283" s="24" t="inlineStr">
        <is>
          <t>NTREMULQ</t>
        </is>
      </c>
      <c r="BK283" s="24" t="inlineStr">
        <is>
          <t>NTCIQ</t>
        </is>
      </c>
      <c r="BL283" s="24" t="inlineStr">
        <is>
          <t>DEPUNINS</t>
        </is>
      </c>
      <c r="BM283" s="24" t="inlineStr">
        <is>
          <t>SCHA</t>
        </is>
      </c>
      <c r="BN283" s="24" t="inlineStr">
        <is>
          <t>SCHF</t>
        </is>
      </c>
      <c r="BO283" s="24" t="inlineStr">
        <is>
          <t>SCAA</t>
        </is>
      </c>
      <c r="BP283" s="24" t="inlineStr">
        <is>
          <t>SCAF</t>
        </is>
      </c>
      <c r="BQ283" s="24" t="inlineStr">
        <is>
          <t>OTHBFHLB</t>
        </is>
      </c>
    </row>
    <row r="302">
      <c r="A302" s="29" t="inlineStr">
        <is>
          <t>slot16</t>
        </is>
      </c>
    </row>
    <row r="303">
      <c r="A303" s="24" t="inlineStr">
        <is>
          <t>REPDTE</t>
        </is>
      </c>
      <c r="B303" s="24" t="inlineStr">
        <is>
          <t>ASSET</t>
        </is>
      </c>
      <c r="C303" s="24" t="inlineStr">
        <is>
          <t>DEP</t>
        </is>
      </c>
      <c r="D303" s="24" t="inlineStr">
        <is>
          <t>LNLSGR</t>
        </is>
      </c>
      <c r="E303" s="24" t="inlineStr">
        <is>
          <t>LNLSNET</t>
        </is>
      </c>
      <c r="F303" s="24" t="inlineStr">
        <is>
          <t>BRO</t>
        </is>
      </c>
      <c r="G303" s="24" t="inlineStr">
        <is>
          <t>EQ</t>
        </is>
      </c>
      <c r="H303" s="24" t="inlineStr">
        <is>
          <t>NCLNLS</t>
        </is>
      </c>
      <c r="I303" s="24" t="inlineStr">
        <is>
          <t>LNATRES</t>
        </is>
      </c>
      <c r="J303" s="24" t="inlineStr">
        <is>
          <t>P3LNLS</t>
        </is>
      </c>
      <c r="K303" s="24" t="inlineStr">
        <is>
          <t>LNRECONS</t>
        </is>
      </c>
      <c r="L303" s="24" t="inlineStr">
        <is>
          <t>LNRENRES</t>
        </is>
      </c>
      <c r="M303" s="24" t="inlineStr">
        <is>
          <t>LNREMULT</t>
        </is>
      </c>
      <c r="N303" s="24" t="inlineStr">
        <is>
          <t>NCLNLSR</t>
        </is>
      </c>
      <c r="O303" s="24" t="inlineStr">
        <is>
          <t>NTLNLSQR</t>
        </is>
      </c>
      <c r="P303" s="24" t="inlineStr">
        <is>
          <t>LNATRESR</t>
        </is>
      </c>
      <c r="Q303" s="24" t="inlineStr">
        <is>
          <t>LNRESNCR</t>
        </is>
      </c>
      <c r="R303" s="24" t="inlineStr">
        <is>
          <t>RBC1AAJ</t>
        </is>
      </c>
      <c r="S303" s="24" t="inlineStr">
        <is>
          <t>RBCRWAJ</t>
        </is>
      </c>
      <c r="T303" s="24" t="inlineStr">
        <is>
          <t>EQV</t>
        </is>
      </c>
      <c r="U303" s="24" t="inlineStr">
        <is>
          <t>ROAQ</t>
        </is>
      </c>
      <c r="V303" s="24" t="inlineStr">
        <is>
          <t>NIMY</t>
        </is>
      </c>
      <c r="W303" s="24" t="inlineStr">
        <is>
          <t>EEFFR</t>
        </is>
      </c>
      <c r="X303" s="24" t="inlineStr">
        <is>
          <t>P3CRCDR</t>
        </is>
      </c>
      <c r="Y303" s="24" t="inlineStr">
        <is>
          <t>P9CRCDR</t>
        </is>
      </c>
      <c r="Z303" s="24" t="inlineStr">
        <is>
          <t>NACRCDR</t>
        </is>
      </c>
      <c r="AA303" s="24" t="inlineStr">
        <is>
          <t>P3AUTOR</t>
        </is>
      </c>
      <c r="AB303" s="24" t="inlineStr">
        <is>
          <t>P9AUTOR</t>
        </is>
      </c>
      <c r="AC303" s="24" t="inlineStr">
        <is>
          <t>NAAUTOR</t>
        </is>
      </c>
      <c r="AD303" s="24" t="inlineStr">
        <is>
          <t>P3RERESR</t>
        </is>
      </c>
      <c r="AE303" s="24" t="inlineStr">
        <is>
          <t>P9RERESR</t>
        </is>
      </c>
      <c r="AF303" s="24" t="inlineStr">
        <is>
          <t>NARERESR</t>
        </is>
      </c>
      <c r="AG303" s="24" t="inlineStr">
        <is>
          <t>P3RELOCR</t>
        </is>
      </c>
      <c r="AH303" s="24" t="inlineStr">
        <is>
          <t>P9RELOCR</t>
        </is>
      </c>
      <c r="AI303" s="24" t="inlineStr">
        <is>
          <t>NARELOCR</t>
        </is>
      </c>
      <c r="AJ303" s="24" t="inlineStr">
        <is>
          <t>P3CONOTH</t>
        </is>
      </c>
      <c r="AK303" s="24" t="inlineStr">
        <is>
          <t>P9CONOTH</t>
        </is>
      </c>
      <c r="AL303" s="24" t="inlineStr">
        <is>
          <t>NACONOTH</t>
        </is>
      </c>
      <c r="AM303" s="24" t="inlineStr">
        <is>
          <t>LNCRCD</t>
        </is>
      </c>
      <c r="AN303" s="24" t="inlineStr">
        <is>
          <t>LNAUTO</t>
        </is>
      </c>
      <c r="AO303" s="24" t="inlineStr">
        <is>
          <t>LNCONOTH</t>
        </is>
      </c>
      <c r="AP303" s="24" t="inlineStr">
        <is>
          <t>LNRERES</t>
        </is>
      </c>
      <c r="AQ303" s="24" t="inlineStr">
        <is>
          <t>NTCRCDQ</t>
        </is>
      </c>
      <c r="AR303" s="24" t="inlineStr">
        <is>
          <t>NTAUTOQ</t>
        </is>
      </c>
      <c r="AS303" s="24" t="inlineStr">
        <is>
          <t>NTCONOTQ</t>
        </is>
      </c>
      <c r="AT303" s="24" t="inlineStr">
        <is>
          <t>NTRERESQ</t>
        </is>
      </c>
      <c r="AU303" s="24" t="inlineStr">
        <is>
          <t>P3CIR</t>
        </is>
      </c>
      <c r="AV303" s="24" t="inlineStr">
        <is>
          <t>P9CIR</t>
        </is>
      </c>
      <c r="AW303" s="24" t="inlineStr">
        <is>
          <t>NACIR</t>
        </is>
      </c>
      <c r="AX303" s="24" t="inlineStr">
        <is>
          <t>P3RECONS</t>
        </is>
      </c>
      <c r="AY303" s="24" t="inlineStr">
        <is>
          <t>P9RECONS</t>
        </is>
      </c>
      <c r="AZ303" s="24" t="inlineStr">
        <is>
          <t>NARECONS</t>
        </is>
      </c>
      <c r="BA303" s="24" t="inlineStr">
        <is>
          <t>P3RENRES</t>
        </is>
      </c>
      <c r="BB303" s="24" t="inlineStr">
        <is>
          <t>P9RENRES</t>
        </is>
      </c>
      <c r="BC303" s="24" t="inlineStr">
        <is>
          <t>NARENRES</t>
        </is>
      </c>
      <c r="BD303" s="24" t="inlineStr">
        <is>
          <t>P3REMULT</t>
        </is>
      </c>
      <c r="BE303" s="24" t="inlineStr">
        <is>
          <t>P9REMULT</t>
        </is>
      </c>
      <c r="BF303" s="24" t="inlineStr">
        <is>
          <t>NAREMULT</t>
        </is>
      </c>
      <c r="BG303" s="24" t="inlineStr">
        <is>
          <t>LNCI</t>
        </is>
      </c>
      <c r="BH303" s="24" t="inlineStr">
        <is>
          <t>NTRECONQ</t>
        </is>
      </c>
      <c r="BI303" s="24" t="inlineStr">
        <is>
          <t>NTRENREQ</t>
        </is>
      </c>
      <c r="BJ303" s="24" t="inlineStr">
        <is>
          <t>NTREMULQ</t>
        </is>
      </c>
      <c r="BK303" s="24" t="inlineStr">
        <is>
          <t>NTCIQ</t>
        </is>
      </c>
      <c r="BL303" s="24" t="inlineStr">
        <is>
          <t>DEPUNINS</t>
        </is>
      </c>
      <c r="BM303" s="24" t="inlineStr">
        <is>
          <t>SCHA</t>
        </is>
      </c>
      <c r="BN303" s="24" t="inlineStr">
        <is>
          <t>SCHF</t>
        </is>
      </c>
      <c r="BO303" s="24" t="inlineStr">
        <is>
          <t>SCAA</t>
        </is>
      </c>
      <c r="BP303" s="24" t="inlineStr">
        <is>
          <t>SCAF</t>
        </is>
      </c>
      <c r="BQ303" s="24" t="inlineStr">
        <is>
          <t>OTHBFHLB</t>
        </is>
      </c>
    </row>
    <row r="322">
      <c r="A322" s="29" t="inlineStr">
        <is>
          <t>slot17</t>
        </is>
      </c>
    </row>
    <row r="323">
      <c r="A323" s="24" t="inlineStr">
        <is>
          <t>REPDTE</t>
        </is>
      </c>
      <c r="B323" s="24" t="inlineStr">
        <is>
          <t>ASSET</t>
        </is>
      </c>
      <c r="C323" s="24" t="inlineStr">
        <is>
          <t>DEP</t>
        </is>
      </c>
      <c r="D323" s="24" t="inlineStr">
        <is>
          <t>LNLSGR</t>
        </is>
      </c>
      <c r="E323" s="24" t="inlineStr">
        <is>
          <t>LNLSNET</t>
        </is>
      </c>
      <c r="F323" s="24" t="inlineStr">
        <is>
          <t>BRO</t>
        </is>
      </c>
      <c r="G323" s="24" t="inlineStr">
        <is>
          <t>EQ</t>
        </is>
      </c>
      <c r="H323" s="24" t="inlineStr">
        <is>
          <t>NCLNLS</t>
        </is>
      </c>
      <c r="I323" s="24" t="inlineStr">
        <is>
          <t>LNATRES</t>
        </is>
      </c>
      <c r="J323" s="24" t="inlineStr">
        <is>
          <t>P3LNLS</t>
        </is>
      </c>
      <c r="K323" s="24" t="inlineStr">
        <is>
          <t>LNRECONS</t>
        </is>
      </c>
      <c r="L323" s="24" t="inlineStr">
        <is>
          <t>LNRENRES</t>
        </is>
      </c>
      <c r="M323" s="24" t="inlineStr">
        <is>
          <t>LNREMULT</t>
        </is>
      </c>
      <c r="N323" s="24" t="inlineStr">
        <is>
          <t>NCLNLSR</t>
        </is>
      </c>
      <c r="O323" s="24" t="inlineStr">
        <is>
          <t>NTLNLSQR</t>
        </is>
      </c>
      <c r="P323" s="24" t="inlineStr">
        <is>
          <t>LNATRESR</t>
        </is>
      </c>
      <c r="Q323" s="24" t="inlineStr">
        <is>
          <t>LNRESNCR</t>
        </is>
      </c>
      <c r="R323" s="24" t="inlineStr">
        <is>
          <t>RBC1AAJ</t>
        </is>
      </c>
      <c r="S323" s="24" t="inlineStr">
        <is>
          <t>RBCRWAJ</t>
        </is>
      </c>
      <c r="T323" s="24" t="inlineStr">
        <is>
          <t>EQV</t>
        </is>
      </c>
      <c r="U323" s="24" t="inlineStr">
        <is>
          <t>ROAQ</t>
        </is>
      </c>
      <c r="V323" s="24" t="inlineStr">
        <is>
          <t>NIMY</t>
        </is>
      </c>
      <c r="W323" s="24" t="inlineStr">
        <is>
          <t>EEFFR</t>
        </is>
      </c>
      <c r="X323" s="24" t="inlineStr">
        <is>
          <t>P3CRCDR</t>
        </is>
      </c>
      <c r="Y323" s="24" t="inlineStr">
        <is>
          <t>P9CRCDR</t>
        </is>
      </c>
      <c r="Z323" s="24" t="inlineStr">
        <is>
          <t>NACRCDR</t>
        </is>
      </c>
      <c r="AA323" s="24" t="inlineStr">
        <is>
          <t>P3AUTOR</t>
        </is>
      </c>
      <c r="AB323" s="24" t="inlineStr">
        <is>
          <t>P9AUTOR</t>
        </is>
      </c>
      <c r="AC323" s="24" t="inlineStr">
        <is>
          <t>NAAUTOR</t>
        </is>
      </c>
      <c r="AD323" s="24" t="inlineStr">
        <is>
          <t>P3RERESR</t>
        </is>
      </c>
      <c r="AE323" s="24" t="inlineStr">
        <is>
          <t>P9RERESR</t>
        </is>
      </c>
      <c r="AF323" s="24" t="inlineStr">
        <is>
          <t>NARERESR</t>
        </is>
      </c>
      <c r="AG323" s="24" t="inlineStr">
        <is>
          <t>P3RELOCR</t>
        </is>
      </c>
      <c r="AH323" s="24" t="inlineStr">
        <is>
          <t>P9RELOCR</t>
        </is>
      </c>
      <c r="AI323" s="24" t="inlineStr">
        <is>
          <t>NARELOCR</t>
        </is>
      </c>
      <c r="AJ323" s="24" t="inlineStr">
        <is>
          <t>P3CONOTH</t>
        </is>
      </c>
      <c r="AK323" s="24" t="inlineStr">
        <is>
          <t>P9CONOTH</t>
        </is>
      </c>
      <c r="AL323" s="24" t="inlineStr">
        <is>
          <t>NACONOTH</t>
        </is>
      </c>
      <c r="AM323" s="24" t="inlineStr">
        <is>
          <t>LNCRCD</t>
        </is>
      </c>
      <c r="AN323" s="24" t="inlineStr">
        <is>
          <t>LNAUTO</t>
        </is>
      </c>
      <c r="AO323" s="24" t="inlineStr">
        <is>
          <t>LNCONOTH</t>
        </is>
      </c>
      <c r="AP323" s="24" t="inlineStr">
        <is>
          <t>LNRERES</t>
        </is>
      </c>
      <c r="AQ323" s="24" t="inlineStr">
        <is>
          <t>NTCRCDQ</t>
        </is>
      </c>
      <c r="AR323" s="24" t="inlineStr">
        <is>
          <t>NTAUTOQ</t>
        </is>
      </c>
      <c r="AS323" s="24" t="inlineStr">
        <is>
          <t>NTCONOTQ</t>
        </is>
      </c>
      <c r="AT323" s="24" t="inlineStr">
        <is>
          <t>NTRERESQ</t>
        </is>
      </c>
      <c r="AU323" s="24" t="inlineStr">
        <is>
          <t>P3CIR</t>
        </is>
      </c>
      <c r="AV323" s="24" t="inlineStr">
        <is>
          <t>P9CIR</t>
        </is>
      </c>
      <c r="AW323" s="24" t="inlineStr">
        <is>
          <t>NACIR</t>
        </is>
      </c>
      <c r="AX323" s="24" t="inlineStr">
        <is>
          <t>P3RECONS</t>
        </is>
      </c>
      <c r="AY323" s="24" t="inlineStr">
        <is>
          <t>P9RECONS</t>
        </is>
      </c>
      <c r="AZ323" s="24" t="inlineStr">
        <is>
          <t>NARECONS</t>
        </is>
      </c>
      <c r="BA323" s="24" t="inlineStr">
        <is>
          <t>P3RENRES</t>
        </is>
      </c>
      <c r="BB323" s="24" t="inlineStr">
        <is>
          <t>P9RENRES</t>
        </is>
      </c>
      <c r="BC323" s="24" t="inlineStr">
        <is>
          <t>NARENRES</t>
        </is>
      </c>
      <c r="BD323" s="24" t="inlineStr">
        <is>
          <t>P3REMULT</t>
        </is>
      </c>
      <c r="BE323" s="24" t="inlineStr">
        <is>
          <t>P9REMULT</t>
        </is>
      </c>
      <c r="BF323" s="24" t="inlineStr">
        <is>
          <t>NAREMULT</t>
        </is>
      </c>
      <c r="BG323" s="24" t="inlineStr">
        <is>
          <t>LNCI</t>
        </is>
      </c>
      <c r="BH323" s="24" t="inlineStr">
        <is>
          <t>NTRECONQ</t>
        </is>
      </c>
      <c r="BI323" s="24" t="inlineStr">
        <is>
          <t>NTRENREQ</t>
        </is>
      </c>
      <c r="BJ323" s="24" t="inlineStr">
        <is>
          <t>NTREMULQ</t>
        </is>
      </c>
      <c r="BK323" s="24" t="inlineStr">
        <is>
          <t>NTCIQ</t>
        </is>
      </c>
      <c r="BL323" s="24" t="inlineStr">
        <is>
          <t>DEPUNINS</t>
        </is>
      </c>
      <c r="BM323" s="24" t="inlineStr">
        <is>
          <t>SCHA</t>
        </is>
      </c>
      <c r="BN323" s="24" t="inlineStr">
        <is>
          <t>SCHF</t>
        </is>
      </c>
      <c r="BO323" s="24" t="inlineStr">
        <is>
          <t>SCAA</t>
        </is>
      </c>
      <c r="BP323" s="24" t="inlineStr">
        <is>
          <t>SCAF</t>
        </is>
      </c>
      <c r="BQ323" s="24" t="inlineStr">
        <is>
          <t>OTHBFHLB</t>
        </is>
      </c>
    </row>
    <row r="342">
      <c r="A342" s="29" t="inlineStr">
        <is>
          <t>slot18</t>
        </is>
      </c>
    </row>
    <row r="343">
      <c r="A343" s="24" t="inlineStr">
        <is>
          <t>REPDTE</t>
        </is>
      </c>
      <c r="B343" s="24" t="inlineStr">
        <is>
          <t>ASSET</t>
        </is>
      </c>
      <c r="C343" s="24" t="inlineStr">
        <is>
          <t>DEP</t>
        </is>
      </c>
      <c r="D343" s="24" t="inlineStr">
        <is>
          <t>LNLSGR</t>
        </is>
      </c>
      <c r="E343" s="24" t="inlineStr">
        <is>
          <t>LNLSNET</t>
        </is>
      </c>
      <c r="F343" s="24" t="inlineStr">
        <is>
          <t>BRO</t>
        </is>
      </c>
      <c r="G343" s="24" t="inlineStr">
        <is>
          <t>EQ</t>
        </is>
      </c>
      <c r="H343" s="24" t="inlineStr">
        <is>
          <t>NCLNLS</t>
        </is>
      </c>
      <c r="I343" s="24" t="inlineStr">
        <is>
          <t>LNATRES</t>
        </is>
      </c>
      <c r="J343" s="24" t="inlineStr">
        <is>
          <t>P3LNLS</t>
        </is>
      </c>
      <c r="K343" s="24" t="inlineStr">
        <is>
          <t>LNRECONS</t>
        </is>
      </c>
      <c r="L343" s="24" t="inlineStr">
        <is>
          <t>LNRENRES</t>
        </is>
      </c>
      <c r="M343" s="24" t="inlineStr">
        <is>
          <t>LNREMULT</t>
        </is>
      </c>
      <c r="N343" s="24" t="inlineStr">
        <is>
          <t>NCLNLSR</t>
        </is>
      </c>
      <c r="O343" s="24" t="inlineStr">
        <is>
          <t>NTLNLSQR</t>
        </is>
      </c>
      <c r="P343" s="24" t="inlineStr">
        <is>
          <t>LNATRESR</t>
        </is>
      </c>
      <c r="Q343" s="24" t="inlineStr">
        <is>
          <t>LNRESNCR</t>
        </is>
      </c>
      <c r="R343" s="24" t="inlineStr">
        <is>
          <t>RBC1AAJ</t>
        </is>
      </c>
      <c r="S343" s="24" t="inlineStr">
        <is>
          <t>RBCRWAJ</t>
        </is>
      </c>
      <c r="T343" s="24" t="inlineStr">
        <is>
          <t>EQV</t>
        </is>
      </c>
      <c r="U343" s="24" t="inlineStr">
        <is>
          <t>ROAQ</t>
        </is>
      </c>
      <c r="V343" s="24" t="inlineStr">
        <is>
          <t>NIMY</t>
        </is>
      </c>
      <c r="W343" s="24" t="inlineStr">
        <is>
          <t>EEFFR</t>
        </is>
      </c>
      <c r="X343" s="24" t="inlineStr">
        <is>
          <t>P3CRCDR</t>
        </is>
      </c>
      <c r="Y343" s="24" t="inlineStr">
        <is>
          <t>P9CRCDR</t>
        </is>
      </c>
      <c r="Z343" s="24" t="inlineStr">
        <is>
          <t>NACRCDR</t>
        </is>
      </c>
      <c r="AA343" s="24" t="inlineStr">
        <is>
          <t>P3AUTOR</t>
        </is>
      </c>
      <c r="AB343" s="24" t="inlineStr">
        <is>
          <t>P9AUTOR</t>
        </is>
      </c>
      <c r="AC343" s="24" t="inlineStr">
        <is>
          <t>NAAUTOR</t>
        </is>
      </c>
      <c r="AD343" s="24" t="inlineStr">
        <is>
          <t>P3RERESR</t>
        </is>
      </c>
      <c r="AE343" s="24" t="inlineStr">
        <is>
          <t>P9RERESR</t>
        </is>
      </c>
      <c r="AF343" s="24" t="inlineStr">
        <is>
          <t>NARERESR</t>
        </is>
      </c>
      <c r="AG343" s="24" t="inlineStr">
        <is>
          <t>P3RELOCR</t>
        </is>
      </c>
      <c r="AH343" s="24" t="inlineStr">
        <is>
          <t>P9RELOCR</t>
        </is>
      </c>
      <c r="AI343" s="24" t="inlineStr">
        <is>
          <t>NARELOCR</t>
        </is>
      </c>
      <c r="AJ343" s="24" t="inlineStr">
        <is>
          <t>P3CONOTH</t>
        </is>
      </c>
      <c r="AK343" s="24" t="inlineStr">
        <is>
          <t>P9CONOTH</t>
        </is>
      </c>
      <c r="AL343" s="24" t="inlineStr">
        <is>
          <t>NACONOTH</t>
        </is>
      </c>
      <c r="AM343" s="24" t="inlineStr">
        <is>
          <t>LNCRCD</t>
        </is>
      </c>
      <c r="AN343" s="24" t="inlineStr">
        <is>
          <t>LNAUTO</t>
        </is>
      </c>
      <c r="AO343" s="24" t="inlineStr">
        <is>
          <t>LNCONOTH</t>
        </is>
      </c>
      <c r="AP343" s="24" t="inlineStr">
        <is>
          <t>LNRERES</t>
        </is>
      </c>
      <c r="AQ343" s="24" t="inlineStr">
        <is>
          <t>NTCRCDQ</t>
        </is>
      </c>
      <c r="AR343" s="24" t="inlineStr">
        <is>
          <t>NTAUTOQ</t>
        </is>
      </c>
      <c r="AS343" s="24" t="inlineStr">
        <is>
          <t>NTCONOTQ</t>
        </is>
      </c>
      <c r="AT343" s="24" t="inlineStr">
        <is>
          <t>NTRERESQ</t>
        </is>
      </c>
      <c r="AU343" s="24" t="inlineStr">
        <is>
          <t>P3CIR</t>
        </is>
      </c>
      <c r="AV343" s="24" t="inlineStr">
        <is>
          <t>P9CIR</t>
        </is>
      </c>
      <c r="AW343" s="24" t="inlineStr">
        <is>
          <t>NACIR</t>
        </is>
      </c>
      <c r="AX343" s="24" t="inlineStr">
        <is>
          <t>P3RECONS</t>
        </is>
      </c>
      <c r="AY343" s="24" t="inlineStr">
        <is>
          <t>P9RECONS</t>
        </is>
      </c>
      <c r="AZ343" s="24" t="inlineStr">
        <is>
          <t>NARECONS</t>
        </is>
      </c>
      <c r="BA343" s="24" t="inlineStr">
        <is>
          <t>P3RENRES</t>
        </is>
      </c>
      <c r="BB343" s="24" t="inlineStr">
        <is>
          <t>P9RENRES</t>
        </is>
      </c>
      <c r="BC343" s="24" t="inlineStr">
        <is>
          <t>NARENRES</t>
        </is>
      </c>
      <c r="BD343" s="24" t="inlineStr">
        <is>
          <t>P3REMULT</t>
        </is>
      </c>
      <c r="BE343" s="24" t="inlineStr">
        <is>
          <t>P9REMULT</t>
        </is>
      </c>
      <c r="BF343" s="24" t="inlineStr">
        <is>
          <t>NAREMULT</t>
        </is>
      </c>
      <c r="BG343" s="24" t="inlineStr">
        <is>
          <t>LNCI</t>
        </is>
      </c>
      <c r="BH343" s="24" t="inlineStr">
        <is>
          <t>NTRECONQ</t>
        </is>
      </c>
      <c r="BI343" s="24" t="inlineStr">
        <is>
          <t>NTRENREQ</t>
        </is>
      </c>
      <c r="BJ343" s="24" t="inlineStr">
        <is>
          <t>NTREMULQ</t>
        </is>
      </c>
      <c r="BK343" s="24" t="inlineStr">
        <is>
          <t>NTCIQ</t>
        </is>
      </c>
      <c r="BL343" s="24" t="inlineStr">
        <is>
          <t>DEPUNINS</t>
        </is>
      </c>
      <c r="BM343" s="24" t="inlineStr">
        <is>
          <t>SCHA</t>
        </is>
      </c>
      <c r="BN343" s="24" t="inlineStr">
        <is>
          <t>SCHF</t>
        </is>
      </c>
      <c r="BO343" s="24" t="inlineStr">
        <is>
          <t>SCAA</t>
        </is>
      </c>
      <c r="BP343" s="24" t="inlineStr">
        <is>
          <t>SCAF</t>
        </is>
      </c>
      <c r="BQ343" s="24" t="inlineStr">
        <is>
          <t>OTHBFHLB</t>
        </is>
      </c>
    </row>
    <row r="362">
      <c r="A362" s="29" t="inlineStr">
        <is>
          <t>slot19</t>
        </is>
      </c>
    </row>
    <row r="363">
      <c r="A363" s="24" t="inlineStr">
        <is>
          <t>REPDTE</t>
        </is>
      </c>
      <c r="B363" s="24" t="inlineStr">
        <is>
          <t>ASSET</t>
        </is>
      </c>
      <c r="C363" s="24" t="inlineStr">
        <is>
          <t>DEP</t>
        </is>
      </c>
      <c r="D363" s="24" t="inlineStr">
        <is>
          <t>LNLSGR</t>
        </is>
      </c>
      <c r="E363" s="24" t="inlineStr">
        <is>
          <t>LNLSNET</t>
        </is>
      </c>
      <c r="F363" s="24" t="inlineStr">
        <is>
          <t>BRO</t>
        </is>
      </c>
      <c r="G363" s="24" t="inlineStr">
        <is>
          <t>EQ</t>
        </is>
      </c>
      <c r="H363" s="24" t="inlineStr">
        <is>
          <t>NCLNLS</t>
        </is>
      </c>
      <c r="I363" s="24" t="inlineStr">
        <is>
          <t>LNATRES</t>
        </is>
      </c>
      <c r="J363" s="24" t="inlineStr">
        <is>
          <t>P3LNLS</t>
        </is>
      </c>
      <c r="K363" s="24" t="inlineStr">
        <is>
          <t>LNRECONS</t>
        </is>
      </c>
      <c r="L363" s="24" t="inlineStr">
        <is>
          <t>LNRENRES</t>
        </is>
      </c>
      <c r="M363" s="24" t="inlineStr">
        <is>
          <t>LNREMULT</t>
        </is>
      </c>
      <c r="N363" s="24" t="inlineStr">
        <is>
          <t>NCLNLSR</t>
        </is>
      </c>
      <c r="O363" s="24" t="inlineStr">
        <is>
          <t>NTLNLSQR</t>
        </is>
      </c>
      <c r="P363" s="24" t="inlineStr">
        <is>
          <t>LNATRESR</t>
        </is>
      </c>
      <c r="Q363" s="24" t="inlineStr">
        <is>
          <t>LNRESNCR</t>
        </is>
      </c>
      <c r="R363" s="24" t="inlineStr">
        <is>
          <t>RBC1AAJ</t>
        </is>
      </c>
      <c r="S363" s="24" t="inlineStr">
        <is>
          <t>RBCRWAJ</t>
        </is>
      </c>
      <c r="T363" s="24" t="inlineStr">
        <is>
          <t>EQV</t>
        </is>
      </c>
      <c r="U363" s="24" t="inlineStr">
        <is>
          <t>ROAQ</t>
        </is>
      </c>
      <c r="V363" s="24" t="inlineStr">
        <is>
          <t>NIMY</t>
        </is>
      </c>
      <c r="W363" s="24" t="inlineStr">
        <is>
          <t>EEFFR</t>
        </is>
      </c>
      <c r="X363" s="24" t="inlineStr">
        <is>
          <t>P3CRCDR</t>
        </is>
      </c>
      <c r="Y363" s="24" t="inlineStr">
        <is>
          <t>P9CRCDR</t>
        </is>
      </c>
      <c r="Z363" s="24" t="inlineStr">
        <is>
          <t>NACRCDR</t>
        </is>
      </c>
      <c r="AA363" s="24" t="inlineStr">
        <is>
          <t>P3AUTOR</t>
        </is>
      </c>
      <c r="AB363" s="24" t="inlineStr">
        <is>
          <t>P9AUTOR</t>
        </is>
      </c>
      <c r="AC363" s="24" t="inlineStr">
        <is>
          <t>NAAUTOR</t>
        </is>
      </c>
      <c r="AD363" s="24" t="inlineStr">
        <is>
          <t>P3RERESR</t>
        </is>
      </c>
      <c r="AE363" s="24" t="inlineStr">
        <is>
          <t>P9RERESR</t>
        </is>
      </c>
      <c r="AF363" s="24" t="inlineStr">
        <is>
          <t>NARERESR</t>
        </is>
      </c>
      <c r="AG363" s="24" t="inlineStr">
        <is>
          <t>P3RELOCR</t>
        </is>
      </c>
      <c r="AH363" s="24" t="inlineStr">
        <is>
          <t>P9RELOCR</t>
        </is>
      </c>
      <c r="AI363" s="24" t="inlineStr">
        <is>
          <t>NARELOCR</t>
        </is>
      </c>
      <c r="AJ363" s="24" t="inlineStr">
        <is>
          <t>P3CONOTH</t>
        </is>
      </c>
      <c r="AK363" s="24" t="inlineStr">
        <is>
          <t>P9CONOTH</t>
        </is>
      </c>
      <c r="AL363" s="24" t="inlineStr">
        <is>
          <t>NACONOTH</t>
        </is>
      </c>
      <c r="AM363" s="24" t="inlineStr">
        <is>
          <t>LNCRCD</t>
        </is>
      </c>
      <c r="AN363" s="24" t="inlineStr">
        <is>
          <t>LNAUTO</t>
        </is>
      </c>
      <c r="AO363" s="24" t="inlineStr">
        <is>
          <t>LNCONOTH</t>
        </is>
      </c>
      <c r="AP363" s="24" t="inlineStr">
        <is>
          <t>LNRERES</t>
        </is>
      </c>
      <c r="AQ363" s="24" t="inlineStr">
        <is>
          <t>NTCRCDQ</t>
        </is>
      </c>
      <c r="AR363" s="24" t="inlineStr">
        <is>
          <t>NTAUTOQ</t>
        </is>
      </c>
      <c r="AS363" s="24" t="inlineStr">
        <is>
          <t>NTCONOTQ</t>
        </is>
      </c>
      <c r="AT363" s="24" t="inlineStr">
        <is>
          <t>NTRERESQ</t>
        </is>
      </c>
      <c r="AU363" s="24" t="inlineStr">
        <is>
          <t>P3CIR</t>
        </is>
      </c>
      <c r="AV363" s="24" t="inlineStr">
        <is>
          <t>P9CIR</t>
        </is>
      </c>
      <c r="AW363" s="24" t="inlineStr">
        <is>
          <t>NACIR</t>
        </is>
      </c>
      <c r="AX363" s="24" t="inlineStr">
        <is>
          <t>P3RECONS</t>
        </is>
      </c>
      <c r="AY363" s="24" t="inlineStr">
        <is>
          <t>P9RECONS</t>
        </is>
      </c>
      <c r="AZ363" s="24" t="inlineStr">
        <is>
          <t>NARECONS</t>
        </is>
      </c>
      <c r="BA363" s="24" t="inlineStr">
        <is>
          <t>P3RENRES</t>
        </is>
      </c>
      <c r="BB363" s="24" t="inlineStr">
        <is>
          <t>P9RENRES</t>
        </is>
      </c>
      <c r="BC363" s="24" t="inlineStr">
        <is>
          <t>NARENRES</t>
        </is>
      </c>
      <c r="BD363" s="24" t="inlineStr">
        <is>
          <t>P3REMULT</t>
        </is>
      </c>
      <c r="BE363" s="24" t="inlineStr">
        <is>
          <t>P9REMULT</t>
        </is>
      </c>
      <c r="BF363" s="24" t="inlineStr">
        <is>
          <t>NAREMULT</t>
        </is>
      </c>
      <c r="BG363" s="24" t="inlineStr">
        <is>
          <t>LNCI</t>
        </is>
      </c>
      <c r="BH363" s="24" t="inlineStr">
        <is>
          <t>NTRECONQ</t>
        </is>
      </c>
      <c r="BI363" s="24" t="inlineStr">
        <is>
          <t>NTRENREQ</t>
        </is>
      </c>
      <c r="BJ363" s="24" t="inlineStr">
        <is>
          <t>NTREMULQ</t>
        </is>
      </c>
      <c r="BK363" s="24" t="inlineStr">
        <is>
          <t>NTCIQ</t>
        </is>
      </c>
      <c r="BL363" s="24" t="inlineStr">
        <is>
          <t>DEPUNINS</t>
        </is>
      </c>
      <c r="BM363" s="24" t="inlineStr">
        <is>
          <t>SCHA</t>
        </is>
      </c>
      <c r="BN363" s="24" t="inlineStr">
        <is>
          <t>SCHF</t>
        </is>
      </c>
      <c r="BO363" s="24" t="inlineStr">
        <is>
          <t>SCAA</t>
        </is>
      </c>
      <c r="BP363" s="24" t="inlineStr">
        <is>
          <t>SCAF</t>
        </is>
      </c>
      <c r="BQ363" s="24" t="inlineStr">
        <is>
          <t>OTHBFHLB</t>
        </is>
      </c>
    </row>
    <row r="382">
      <c r="A382" s="29" t="inlineStr">
        <is>
          <t>slot20</t>
        </is>
      </c>
    </row>
    <row r="383">
      <c r="A383" s="24" t="inlineStr">
        <is>
          <t>REPDTE</t>
        </is>
      </c>
      <c r="B383" s="24" t="inlineStr">
        <is>
          <t>ASSET</t>
        </is>
      </c>
      <c r="C383" s="24" t="inlineStr">
        <is>
          <t>DEP</t>
        </is>
      </c>
      <c r="D383" s="24" t="inlineStr">
        <is>
          <t>LNLSGR</t>
        </is>
      </c>
      <c r="E383" s="24" t="inlineStr">
        <is>
          <t>LNLSNET</t>
        </is>
      </c>
      <c r="F383" s="24" t="inlineStr">
        <is>
          <t>BRO</t>
        </is>
      </c>
      <c r="G383" s="24" t="inlineStr">
        <is>
          <t>EQ</t>
        </is>
      </c>
      <c r="H383" s="24" t="inlineStr">
        <is>
          <t>NCLNLS</t>
        </is>
      </c>
      <c r="I383" s="24" t="inlineStr">
        <is>
          <t>LNATRES</t>
        </is>
      </c>
      <c r="J383" s="24" t="inlineStr">
        <is>
          <t>P3LNLS</t>
        </is>
      </c>
      <c r="K383" s="24" t="inlineStr">
        <is>
          <t>LNRECONS</t>
        </is>
      </c>
      <c r="L383" s="24" t="inlineStr">
        <is>
          <t>LNRENRES</t>
        </is>
      </c>
      <c r="M383" s="24" t="inlineStr">
        <is>
          <t>LNREMULT</t>
        </is>
      </c>
      <c r="N383" s="24" t="inlineStr">
        <is>
          <t>NCLNLSR</t>
        </is>
      </c>
      <c r="O383" s="24" t="inlineStr">
        <is>
          <t>NTLNLSQR</t>
        </is>
      </c>
      <c r="P383" s="24" t="inlineStr">
        <is>
          <t>LNATRESR</t>
        </is>
      </c>
      <c r="Q383" s="24" t="inlineStr">
        <is>
          <t>LNRESNCR</t>
        </is>
      </c>
      <c r="R383" s="24" t="inlineStr">
        <is>
          <t>RBC1AAJ</t>
        </is>
      </c>
      <c r="S383" s="24" t="inlineStr">
        <is>
          <t>RBCRWAJ</t>
        </is>
      </c>
      <c r="T383" s="24" t="inlineStr">
        <is>
          <t>EQV</t>
        </is>
      </c>
      <c r="U383" s="24" t="inlineStr">
        <is>
          <t>ROAQ</t>
        </is>
      </c>
      <c r="V383" s="24" t="inlineStr">
        <is>
          <t>NIMY</t>
        </is>
      </c>
      <c r="W383" s="24" t="inlineStr">
        <is>
          <t>EEFFR</t>
        </is>
      </c>
      <c r="X383" s="24" t="inlineStr">
        <is>
          <t>P3CRCDR</t>
        </is>
      </c>
      <c r="Y383" s="24" t="inlineStr">
        <is>
          <t>P9CRCDR</t>
        </is>
      </c>
      <c r="Z383" s="24" t="inlineStr">
        <is>
          <t>NACRCDR</t>
        </is>
      </c>
      <c r="AA383" s="24" t="inlineStr">
        <is>
          <t>P3AUTOR</t>
        </is>
      </c>
      <c r="AB383" s="24" t="inlineStr">
        <is>
          <t>P9AUTOR</t>
        </is>
      </c>
      <c r="AC383" s="24" t="inlineStr">
        <is>
          <t>NAAUTOR</t>
        </is>
      </c>
      <c r="AD383" s="24" t="inlineStr">
        <is>
          <t>P3RERESR</t>
        </is>
      </c>
      <c r="AE383" s="24" t="inlineStr">
        <is>
          <t>P9RERESR</t>
        </is>
      </c>
      <c r="AF383" s="24" t="inlineStr">
        <is>
          <t>NARERESR</t>
        </is>
      </c>
      <c r="AG383" s="24" t="inlineStr">
        <is>
          <t>P3RELOCR</t>
        </is>
      </c>
      <c r="AH383" s="24" t="inlineStr">
        <is>
          <t>P9RELOCR</t>
        </is>
      </c>
      <c r="AI383" s="24" t="inlineStr">
        <is>
          <t>NARELOCR</t>
        </is>
      </c>
      <c r="AJ383" s="24" t="inlineStr">
        <is>
          <t>P3CONOTH</t>
        </is>
      </c>
      <c r="AK383" s="24" t="inlineStr">
        <is>
          <t>P9CONOTH</t>
        </is>
      </c>
      <c r="AL383" s="24" t="inlineStr">
        <is>
          <t>NACONOTH</t>
        </is>
      </c>
      <c r="AM383" s="24" t="inlineStr">
        <is>
          <t>LNCRCD</t>
        </is>
      </c>
      <c r="AN383" s="24" t="inlineStr">
        <is>
          <t>LNAUTO</t>
        </is>
      </c>
      <c r="AO383" s="24" t="inlineStr">
        <is>
          <t>LNCONOTH</t>
        </is>
      </c>
      <c r="AP383" s="24" t="inlineStr">
        <is>
          <t>LNRERES</t>
        </is>
      </c>
      <c r="AQ383" s="24" t="inlineStr">
        <is>
          <t>NTCRCDQ</t>
        </is>
      </c>
      <c r="AR383" s="24" t="inlineStr">
        <is>
          <t>NTAUTOQ</t>
        </is>
      </c>
      <c r="AS383" s="24" t="inlineStr">
        <is>
          <t>NTCONOTQ</t>
        </is>
      </c>
      <c r="AT383" s="24" t="inlineStr">
        <is>
          <t>NTRERESQ</t>
        </is>
      </c>
      <c r="AU383" s="24" t="inlineStr">
        <is>
          <t>P3CIR</t>
        </is>
      </c>
      <c r="AV383" s="24" t="inlineStr">
        <is>
          <t>P9CIR</t>
        </is>
      </c>
      <c r="AW383" s="24" t="inlineStr">
        <is>
          <t>NACIR</t>
        </is>
      </c>
      <c r="AX383" s="24" t="inlineStr">
        <is>
          <t>P3RECONS</t>
        </is>
      </c>
      <c r="AY383" s="24" t="inlineStr">
        <is>
          <t>P9RECONS</t>
        </is>
      </c>
      <c r="AZ383" s="24" t="inlineStr">
        <is>
          <t>NARECONS</t>
        </is>
      </c>
      <c r="BA383" s="24" t="inlineStr">
        <is>
          <t>P3RENRES</t>
        </is>
      </c>
      <c r="BB383" s="24" t="inlineStr">
        <is>
          <t>P9RENRES</t>
        </is>
      </c>
      <c r="BC383" s="24" t="inlineStr">
        <is>
          <t>NARENRES</t>
        </is>
      </c>
      <c r="BD383" s="24" t="inlineStr">
        <is>
          <t>P3REMULT</t>
        </is>
      </c>
      <c r="BE383" s="24" t="inlineStr">
        <is>
          <t>P9REMULT</t>
        </is>
      </c>
      <c r="BF383" s="24" t="inlineStr">
        <is>
          <t>NAREMULT</t>
        </is>
      </c>
      <c r="BG383" s="24" t="inlineStr">
        <is>
          <t>LNCI</t>
        </is>
      </c>
      <c r="BH383" s="24" t="inlineStr">
        <is>
          <t>NTRECONQ</t>
        </is>
      </c>
      <c r="BI383" s="24" t="inlineStr">
        <is>
          <t>NTRENREQ</t>
        </is>
      </c>
      <c r="BJ383" s="24" t="inlineStr">
        <is>
          <t>NTREMULQ</t>
        </is>
      </c>
      <c r="BK383" s="24" t="inlineStr">
        <is>
          <t>NTCIQ</t>
        </is>
      </c>
      <c r="BL383" s="24" t="inlineStr">
        <is>
          <t>DEPUNINS</t>
        </is>
      </c>
      <c r="BM383" s="24" t="inlineStr">
        <is>
          <t>SCHA</t>
        </is>
      </c>
      <c r="BN383" s="24" t="inlineStr">
        <is>
          <t>SCHF</t>
        </is>
      </c>
      <c r="BO383" s="24" t="inlineStr">
        <is>
          <t>SCAA</t>
        </is>
      </c>
      <c r="BP383" s="24" t="inlineStr">
        <is>
          <t>SCAF</t>
        </is>
      </c>
      <c r="BQ383" s="24" t="inlineStr">
        <is>
          <t>OTHBFHLB</t>
        </is>
      </c>
    </row>
    <row r="402">
      <c r="A402" s="29" t="inlineStr">
        <is>
          <t>slot21</t>
        </is>
      </c>
    </row>
    <row r="403">
      <c r="A403" s="24" t="inlineStr">
        <is>
          <t>REPDTE</t>
        </is>
      </c>
      <c r="B403" s="24" t="inlineStr">
        <is>
          <t>ASSET</t>
        </is>
      </c>
      <c r="C403" s="24" t="inlineStr">
        <is>
          <t>DEP</t>
        </is>
      </c>
      <c r="D403" s="24" t="inlineStr">
        <is>
          <t>LNLSGR</t>
        </is>
      </c>
      <c r="E403" s="24" t="inlineStr">
        <is>
          <t>LNLSNET</t>
        </is>
      </c>
      <c r="F403" s="24" t="inlineStr">
        <is>
          <t>BRO</t>
        </is>
      </c>
      <c r="G403" s="24" t="inlineStr">
        <is>
          <t>EQ</t>
        </is>
      </c>
      <c r="H403" s="24" t="inlineStr">
        <is>
          <t>NCLNLS</t>
        </is>
      </c>
      <c r="I403" s="24" t="inlineStr">
        <is>
          <t>LNATRES</t>
        </is>
      </c>
      <c r="J403" s="24" t="inlineStr">
        <is>
          <t>P3LNLS</t>
        </is>
      </c>
      <c r="K403" s="24" t="inlineStr">
        <is>
          <t>LNRECONS</t>
        </is>
      </c>
      <c r="L403" s="24" t="inlineStr">
        <is>
          <t>LNRENRES</t>
        </is>
      </c>
      <c r="M403" s="24" t="inlineStr">
        <is>
          <t>LNREMULT</t>
        </is>
      </c>
      <c r="N403" s="24" t="inlineStr">
        <is>
          <t>NCLNLSR</t>
        </is>
      </c>
      <c r="O403" s="24" t="inlineStr">
        <is>
          <t>NTLNLSQR</t>
        </is>
      </c>
      <c r="P403" s="24" t="inlineStr">
        <is>
          <t>LNATRESR</t>
        </is>
      </c>
      <c r="Q403" s="24" t="inlineStr">
        <is>
          <t>LNRESNCR</t>
        </is>
      </c>
      <c r="R403" s="24" t="inlineStr">
        <is>
          <t>RBC1AAJ</t>
        </is>
      </c>
      <c r="S403" s="24" t="inlineStr">
        <is>
          <t>RBCRWAJ</t>
        </is>
      </c>
      <c r="T403" s="24" t="inlineStr">
        <is>
          <t>EQV</t>
        </is>
      </c>
      <c r="U403" s="24" t="inlineStr">
        <is>
          <t>ROAQ</t>
        </is>
      </c>
      <c r="V403" s="24" t="inlineStr">
        <is>
          <t>NIMY</t>
        </is>
      </c>
      <c r="W403" s="24" t="inlineStr">
        <is>
          <t>EEFFR</t>
        </is>
      </c>
      <c r="X403" s="24" t="inlineStr">
        <is>
          <t>P3CRCDR</t>
        </is>
      </c>
      <c r="Y403" s="24" t="inlineStr">
        <is>
          <t>P9CRCDR</t>
        </is>
      </c>
      <c r="Z403" s="24" t="inlineStr">
        <is>
          <t>NACRCDR</t>
        </is>
      </c>
      <c r="AA403" s="24" t="inlineStr">
        <is>
          <t>P3AUTOR</t>
        </is>
      </c>
      <c r="AB403" s="24" t="inlineStr">
        <is>
          <t>P9AUTOR</t>
        </is>
      </c>
      <c r="AC403" s="24" t="inlineStr">
        <is>
          <t>NAAUTOR</t>
        </is>
      </c>
      <c r="AD403" s="24" t="inlineStr">
        <is>
          <t>P3RERESR</t>
        </is>
      </c>
      <c r="AE403" s="24" t="inlineStr">
        <is>
          <t>P9RERESR</t>
        </is>
      </c>
      <c r="AF403" s="24" t="inlineStr">
        <is>
          <t>NARERESR</t>
        </is>
      </c>
      <c r="AG403" s="24" t="inlineStr">
        <is>
          <t>P3RELOCR</t>
        </is>
      </c>
      <c r="AH403" s="24" t="inlineStr">
        <is>
          <t>P9RELOCR</t>
        </is>
      </c>
      <c r="AI403" s="24" t="inlineStr">
        <is>
          <t>NARELOCR</t>
        </is>
      </c>
      <c r="AJ403" s="24" t="inlineStr">
        <is>
          <t>P3CONOTH</t>
        </is>
      </c>
      <c r="AK403" s="24" t="inlineStr">
        <is>
          <t>P9CONOTH</t>
        </is>
      </c>
      <c r="AL403" s="24" t="inlineStr">
        <is>
          <t>NACONOTH</t>
        </is>
      </c>
      <c r="AM403" s="24" t="inlineStr">
        <is>
          <t>LNCRCD</t>
        </is>
      </c>
      <c r="AN403" s="24" t="inlineStr">
        <is>
          <t>LNAUTO</t>
        </is>
      </c>
      <c r="AO403" s="24" t="inlineStr">
        <is>
          <t>LNCONOTH</t>
        </is>
      </c>
      <c r="AP403" s="24" t="inlineStr">
        <is>
          <t>LNRERES</t>
        </is>
      </c>
      <c r="AQ403" s="24" t="inlineStr">
        <is>
          <t>NTCRCDQ</t>
        </is>
      </c>
      <c r="AR403" s="24" t="inlineStr">
        <is>
          <t>NTAUTOQ</t>
        </is>
      </c>
      <c r="AS403" s="24" t="inlineStr">
        <is>
          <t>NTCONOTQ</t>
        </is>
      </c>
      <c r="AT403" s="24" t="inlineStr">
        <is>
          <t>NTRERESQ</t>
        </is>
      </c>
      <c r="AU403" s="24" t="inlineStr">
        <is>
          <t>P3CIR</t>
        </is>
      </c>
      <c r="AV403" s="24" t="inlineStr">
        <is>
          <t>P9CIR</t>
        </is>
      </c>
      <c r="AW403" s="24" t="inlineStr">
        <is>
          <t>NACIR</t>
        </is>
      </c>
      <c r="AX403" s="24" t="inlineStr">
        <is>
          <t>P3RECONS</t>
        </is>
      </c>
      <c r="AY403" s="24" t="inlineStr">
        <is>
          <t>P9RECONS</t>
        </is>
      </c>
      <c r="AZ403" s="24" t="inlineStr">
        <is>
          <t>NARECONS</t>
        </is>
      </c>
      <c r="BA403" s="24" t="inlineStr">
        <is>
          <t>P3RENRES</t>
        </is>
      </c>
      <c r="BB403" s="24" t="inlineStr">
        <is>
          <t>P9RENRES</t>
        </is>
      </c>
      <c r="BC403" s="24" t="inlineStr">
        <is>
          <t>NARENRES</t>
        </is>
      </c>
      <c r="BD403" s="24" t="inlineStr">
        <is>
          <t>P3REMULT</t>
        </is>
      </c>
      <c r="BE403" s="24" t="inlineStr">
        <is>
          <t>P9REMULT</t>
        </is>
      </c>
      <c r="BF403" s="24" t="inlineStr">
        <is>
          <t>NAREMULT</t>
        </is>
      </c>
      <c r="BG403" s="24" t="inlineStr">
        <is>
          <t>LNCI</t>
        </is>
      </c>
      <c r="BH403" s="24" t="inlineStr">
        <is>
          <t>NTRECONQ</t>
        </is>
      </c>
      <c r="BI403" s="24" t="inlineStr">
        <is>
          <t>NTRENREQ</t>
        </is>
      </c>
      <c r="BJ403" s="24" t="inlineStr">
        <is>
          <t>NTREMULQ</t>
        </is>
      </c>
      <c r="BK403" s="24" t="inlineStr">
        <is>
          <t>NTCIQ</t>
        </is>
      </c>
      <c r="BL403" s="24" t="inlineStr">
        <is>
          <t>DEPUNINS</t>
        </is>
      </c>
      <c r="BM403" s="24" t="inlineStr">
        <is>
          <t>SCHA</t>
        </is>
      </c>
      <c r="BN403" s="24" t="inlineStr">
        <is>
          <t>SCHF</t>
        </is>
      </c>
      <c r="BO403" s="24" t="inlineStr">
        <is>
          <t>SCAA</t>
        </is>
      </c>
      <c r="BP403" s="24" t="inlineStr">
        <is>
          <t>SCAF</t>
        </is>
      </c>
      <c r="BQ403" s="24" t="inlineStr">
        <is>
          <t>OTHBFHLB</t>
        </is>
      </c>
    </row>
    <row r="422">
      <c r="A422" s="29" t="inlineStr">
        <is>
          <t>slot22</t>
        </is>
      </c>
    </row>
    <row r="423">
      <c r="A423" s="24" t="inlineStr">
        <is>
          <t>REPDTE</t>
        </is>
      </c>
      <c r="B423" s="24" t="inlineStr">
        <is>
          <t>ASSET</t>
        </is>
      </c>
      <c r="C423" s="24" t="inlineStr">
        <is>
          <t>DEP</t>
        </is>
      </c>
      <c r="D423" s="24" t="inlineStr">
        <is>
          <t>LNLSGR</t>
        </is>
      </c>
      <c r="E423" s="24" t="inlineStr">
        <is>
          <t>LNLSNET</t>
        </is>
      </c>
      <c r="F423" s="24" t="inlineStr">
        <is>
          <t>BRO</t>
        </is>
      </c>
      <c r="G423" s="24" t="inlineStr">
        <is>
          <t>EQ</t>
        </is>
      </c>
      <c r="H423" s="24" t="inlineStr">
        <is>
          <t>NCLNLS</t>
        </is>
      </c>
      <c r="I423" s="24" t="inlineStr">
        <is>
          <t>LNATRES</t>
        </is>
      </c>
      <c r="J423" s="24" t="inlineStr">
        <is>
          <t>P3LNLS</t>
        </is>
      </c>
      <c r="K423" s="24" t="inlineStr">
        <is>
          <t>LNRECONS</t>
        </is>
      </c>
      <c r="L423" s="24" t="inlineStr">
        <is>
          <t>LNRENRES</t>
        </is>
      </c>
      <c r="M423" s="24" t="inlineStr">
        <is>
          <t>LNREMULT</t>
        </is>
      </c>
      <c r="N423" s="24" t="inlineStr">
        <is>
          <t>NCLNLSR</t>
        </is>
      </c>
      <c r="O423" s="24" t="inlineStr">
        <is>
          <t>NTLNLSQR</t>
        </is>
      </c>
      <c r="P423" s="24" t="inlineStr">
        <is>
          <t>LNATRESR</t>
        </is>
      </c>
      <c r="Q423" s="24" t="inlineStr">
        <is>
          <t>LNRESNCR</t>
        </is>
      </c>
      <c r="R423" s="24" t="inlineStr">
        <is>
          <t>RBC1AAJ</t>
        </is>
      </c>
      <c r="S423" s="24" t="inlineStr">
        <is>
          <t>RBCRWAJ</t>
        </is>
      </c>
      <c r="T423" s="24" t="inlineStr">
        <is>
          <t>EQV</t>
        </is>
      </c>
      <c r="U423" s="24" t="inlineStr">
        <is>
          <t>ROAQ</t>
        </is>
      </c>
      <c r="V423" s="24" t="inlineStr">
        <is>
          <t>NIMY</t>
        </is>
      </c>
      <c r="W423" s="24" t="inlineStr">
        <is>
          <t>EEFFR</t>
        </is>
      </c>
      <c r="X423" s="24" t="inlineStr">
        <is>
          <t>P3CRCDR</t>
        </is>
      </c>
      <c r="Y423" s="24" t="inlineStr">
        <is>
          <t>P9CRCDR</t>
        </is>
      </c>
      <c r="Z423" s="24" t="inlineStr">
        <is>
          <t>NACRCDR</t>
        </is>
      </c>
      <c r="AA423" s="24" t="inlineStr">
        <is>
          <t>P3AUTOR</t>
        </is>
      </c>
      <c r="AB423" s="24" t="inlineStr">
        <is>
          <t>P9AUTOR</t>
        </is>
      </c>
      <c r="AC423" s="24" t="inlineStr">
        <is>
          <t>NAAUTOR</t>
        </is>
      </c>
      <c r="AD423" s="24" t="inlineStr">
        <is>
          <t>P3RERESR</t>
        </is>
      </c>
      <c r="AE423" s="24" t="inlineStr">
        <is>
          <t>P9RERESR</t>
        </is>
      </c>
      <c r="AF423" s="24" t="inlineStr">
        <is>
          <t>NARERESR</t>
        </is>
      </c>
      <c r="AG423" s="24" t="inlineStr">
        <is>
          <t>P3RELOCR</t>
        </is>
      </c>
      <c r="AH423" s="24" t="inlineStr">
        <is>
          <t>P9RELOCR</t>
        </is>
      </c>
      <c r="AI423" s="24" t="inlineStr">
        <is>
          <t>NARELOCR</t>
        </is>
      </c>
      <c r="AJ423" s="24" t="inlineStr">
        <is>
          <t>P3CONOTH</t>
        </is>
      </c>
      <c r="AK423" s="24" t="inlineStr">
        <is>
          <t>P9CONOTH</t>
        </is>
      </c>
      <c r="AL423" s="24" t="inlineStr">
        <is>
          <t>NACONOTH</t>
        </is>
      </c>
      <c r="AM423" s="24" t="inlineStr">
        <is>
          <t>LNCRCD</t>
        </is>
      </c>
      <c r="AN423" s="24" t="inlineStr">
        <is>
          <t>LNAUTO</t>
        </is>
      </c>
      <c r="AO423" s="24" t="inlineStr">
        <is>
          <t>LNCONOTH</t>
        </is>
      </c>
      <c r="AP423" s="24" t="inlineStr">
        <is>
          <t>LNRERES</t>
        </is>
      </c>
      <c r="AQ423" s="24" t="inlineStr">
        <is>
          <t>NTCRCDQ</t>
        </is>
      </c>
      <c r="AR423" s="24" t="inlineStr">
        <is>
          <t>NTAUTOQ</t>
        </is>
      </c>
      <c r="AS423" s="24" t="inlineStr">
        <is>
          <t>NTCONOTQ</t>
        </is>
      </c>
      <c r="AT423" s="24" t="inlineStr">
        <is>
          <t>NTRERESQ</t>
        </is>
      </c>
      <c r="AU423" s="24" t="inlineStr">
        <is>
          <t>P3CIR</t>
        </is>
      </c>
      <c r="AV423" s="24" t="inlineStr">
        <is>
          <t>P9CIR</t>
        </is>
      </c>
      <c r="AW423" s="24" t="inlineStr">
        <is>
          <t>NACIR</t>
        </is>
      </c>
      <c r="AX423" s="24" t="inlineStr">
        <is>
          <t>P3RECONS</t>
        </is>
      </c>
      <c r="AY423" s="24" t="inlineStr">
        <is>
          <t>P9RECONS</t>
        </is>
      </c>
      <c r="AZ423" s="24" t="inlineStr">
        <is>
          <t>NARECONS</t>
        </is>
      </c>
      <c r="BA423" s="24" t="inlineStr">
        <is>
          <t>P3RENRES</t>
        </is>
      </c>
      <c r="BB423" s="24" t="inlineStr">
        <is>
          <t>P9RENRES</t>
        </is>
      </c>
      <c r="BC423" s="24" t="inlineStr">
        <is>
          <t>NARENRES</t>
        </is>
      </c>
      <c r="BD423" s="24" t="inlineStr">
        <is>
          <t>P3REMULT</t>
        </is>
      </c>
      <c r="BE423" s="24" t="inlineStr">
        <is>
          <t>P9REMULT</t>
        </is>
      </c>
      <c r="BF423" s="24" t="inlineStr">
        <is>
          <t>NAREMULT</t>
        </is>
      </c>
      <c r="BG423" s="24" t="inlineStr">
        <is>
          <t>LNCI</t>
        </is>
      </c>
      <c r="BH423" s="24" t="inlineStr">
        <is>
          <t>NTRECONQ</t>
        </is>
      </c>
      <c r="BI423" s="24" t="inlineStr">
        <is>
          <t>NTRENREQ</t>
        </is>
      </c>
      <c r="BJ423" s="24" t="inlineStr">
        <is>
          <t>NTREMULQ</t>
        </is>
      </c>
      <c r="BK423" s="24" t="inlineStr">
        <is>
          <t>NTCIQ</t>
        </is>
      </c>
      <c r="BL423" s="24" t="inlineStr">
        <is>
          <t>DEPUNINS</t>
        </is>
      </c>
      <c r="BM423" s="24" t="inlineStr">
        <is>
          <t>SCHA</t>
        </is>
      </c>
      <c r="BN423" s="24" t="inlineStr">
        <is>
          <t>SCHF</t>
        </is>
      </c>
      <c r="BO423" s="24" t="inlineStr">
        <is>
          <t>SCAA</t>
        </is>
      </c>
      <c r="BP423" s="24" t="inlineStr">
        <is>
          <t>SCAF</t>
        </is>
      </c>
      <c r="BQ423" s="24" t="inlineStr">
        <is>
          <t>OTHBFHLB</t>
        </is>
      </c>
    </row>
    <row r="442">
      <c r="A442" s="29" t="inlineStr">
        <is>
          <t>slot23</t>
        </is>
      </c>
    </row>
    <row r="443">
      <c r="A443" s="24" t="inlineStr">
        <is>
          <t>REPDTE</t>
        </is>
      </c>
      <c r="B443" s="24" t="inlineStr">
        <is>
          <t>ASSET</t>
        </is>
      </c>
      <c r="C443" s="24" t="inlineStr">
        <is>
          <t>DEP</t>
        </is>
      </c>
      <c r="D443" s="24" t="inlineStr">
        <is>
          <t>LNLSGR</t>
        </is>
      </c>
      <c r="E443" s="24" t="inlineStr">
        <is>
          <t>LNLSNET</t>
        </is>
      </c>
      <c r="F443" s="24" t="inlineStr">
        <is>
          <t>BRO</t>
        </is>
      </c>
      <c r="G443" s="24" t="inlineStr">
        <is>
          <t>EQ</t>
        </is>
      </c>
      <c r="H443" s="24" t="inlineStr">
        <is>
          <t>NCLNLS</t>
        </is>
      </c>
      <c r="I443" s="24" t="inlineStr">
        <is>
          <t>LNATRES</t>
        </is>
      </c>
      <c r="J443" s="24" t="inlineStr">
        <is>
          <t>P3LNLS</t>
        </is>
      </c>
      <c r="K443" s="24" t="inlineStr">
        <is>
          <t>LNRECONS</t>
        </is>
      </c>
      <c r="L443" s="24" t="inlineStr">
        <is>
          <t>LNRENRES</t>
        </is>
      </c>
      <c r="M443" s="24" t="inlineStr">
        <is>
          <t>LNREMULT</t>
        </is>
      </c>
      <c r="N443" s="24" t="inlineStr">
        <is>
          <t>NCLNLSR</t>
        </is>
      </c>
      <c r="O443" s="24" t="inlineStr">
        <is>
          <t>NTLNLSQR</t>
        </is>
      </c>
      <c r="P443" s="24" t="inlineStr">
        <is>
          <t>LNATRESR</t>
        </is>
      </c>
      <c r="Q443" s="24" t="inlineStr">
        <is>
          <t>LNRESNCR</t>
        </is>
      </c>
      <c r="R443" s="24" t="inlineStr">
        <is>
          <t>RBC1AAJ</t>
        </is>
      </c>
      <c r="S443" s="24" t="inlineStr">
        <is>
          <t>RBCRWAJ</t>
        </is>
      </c>
      <c r="T443" s="24" t="inlineStr">
        <is>
          <t>EQV</t>
        </is>
      </c>
      <c r="U443" s="24" t="inlineStr">
        <is>
          <t>ROAQ</t>
        </is>
      </c>
      <c r="V443" s="24" t="inlineStr">
        <is>
          <t>NIMY</t>
        </is>
      </c>
      <c r="W443" s="24" t="inlineStr">
        <is>
          <t>EEFFR</t>
        </is>
      </c>
      <c r="X443" s="24" t="inlineStr">
        <is>
          <t>P3CRCDR</t>
        </is>
      </c>
      <c r="Y443" s="24" t="inlineStr">
        <is>
          <t>P9CRCDR</t>
        </is>
      </c>
      <c r="Z443" s="24" t="inlineStr">
        <is>
          <t>NACRCDR</t>
        </is>
      </c>
      <c r="AA443" s="24" t="inlineStr">
        <is>
          <t>P3AUTOR</t>
        </is>
      </c>
      <c r="AB443" s="24" t="inlineStr">
        <is>
          <t>P9AUTOR</t>
        </is>
      </c>
      <c r="AC443" s="24" t="inlineStr">
        <is>
          <t>NAAUTOR</t>
        </is>
      </c>
      <c r="AD443" s="24" t="inlineStr">
        <is>
          <t>P3RERESR</t>
        </is>
      </c>
      <c r="AE443" s="24" t="inlineStr">
        <is>
          <t>P9RERESR</t>
        </is>
      </c>
      <c r="AF443" s="24" t="inlineStr">
        <is>
          <t>NARERESR</t>
        </is>
      </c>
      <c r="AG443" s="24" t="inlineStr">
        <is>
          <t>P3RELOCR</t>
        </is>
      </c>
      <c r="AH443" s="24" t="inlineStr">
        <is>
          <t>P9RELOCR</t>
        </is>
      </c>
      <c r="AI443" s="24" t="inlineStr">
        <is>
          <t>NARELOCR</t>
        </is>
      </c>
      <c r="AJ443" s="24" t="inlineStr">
        <is>
          <t>P3CONOTH</t>
        </is>
      </c>
      <c r="AK443" s="24" t="inlineStr">
        <is>
          <t>P9CONOTH</t>
        </is>
      </c>
      <c r="AL443" s="24" t="inlineStr">
        <is>
          <t>NACONOTH</t>
        </is>
      </c>
      <c r="AM443" s="24" t="inlineStr">
        <is>
          <t>LNCRCD</t>
        </is>
      </c>
      <c r="AN443" s="24" t="inlineStr">
        <is>
          <t>LNAUTO</t>
        </is>
      </c>
      <c r="AO443" s="24" t="inlineStr">
        <is>
          <t>LNCONOTH</t>
        </is>
      </c>
      <c r="AP443" s="24" t="inlineStr">
        <is>
          <t>LNRERES</t>
        </is>
      </c>
      <c r="AQ443" s="24" t="inlineStr">
        <is>
          <t>NTCRCDQ</t>
        </is>
      </c>
      <c r="AR443" s="24" t="inlineStr">
        <is>
          <t>NTAUTOQ</t>
        </is>
      </c>
      <c r="AS443" s="24" t="inlineStr">
        <is>
          <t>NTCONOTQ</t>
        </is>
      </c>
      <c r="AT443" s="24" t="inlineStr">
        <is>
          <t>NTRERESQ</t>
        </is>
      </c>
      <c r="AU443" s="24" t="inlineStr">
        <is>
          <t>P3CIR</t>
        </is>
      </c>
      <c r="AV443" s="24" t="inlineStr">
        <is>
          <t>P9CIR</t>
        </is>
      </c>
      <c r="AW443" s="24" t="inlineStr">
        <is>
          <t>NACIR</t>
        </is>
      </c>
      <c r="AX443" s="24" t="inlineStr">
        <is>
          <t>P3RECONS</t>
        </is>
      </c>
      <c r="AY443" s="24" t="inlineStr">
        <is>
          <t>P9RECONS</t>
        </is>
      </c>
      <c r="AZ443" s="24" t="inlineStr">
        <is>
          <t>NARECONS</t>
        </is>
      </c>
      <c r="BA443" s="24" t="inlineStr">
        <is>
          <t>P3RENRES</t>
        </is>
      </c>
      <c r="BB443" s="24" t="inlineStr">
        <is>
          <t>P9RENRES</t>
        </is>
      </c>
      <c r="BC443" s="24" t="inlineStr">
        <is>
          <t>NARENRES</t>
        </is>
      </c>
      <c r="BD443" s="24" t="inlineStr">
        <is>
          <t>P3REMULT</t>
        </is>
      </c>
      <c r="BE443" s="24" t="inlineStr">
        <is>
          <t>P9REMULT</t>
        </is>
      </c>
      <c r="BF443" s="24" t="inlineStr">
        <is>
          <t>NAREMULT</t>
        </is>
      </c>
      <c r="BG443" s="24" t="inlineStr">
        <is>
          <t>LNCI</t>
        </is>
      </c>
      <c r="BH443" s="24" t="inlineStr">
        <is>
          <t>NTRECONQ</t>
        </is>
      </c>
      <c r="BI443" s="24" t="inlineStr">
        <is>
          <t>NTRENREQ</t>
        </is>
      </c>
      <c r="BJ443" s="24" t="inlineStr">
        <is>
          <t>NTREMULQ</t>
        </is>
      </c>
      <c r="BK443" s="24" t="inlineStr">
        <is>
          <t>NTCIQ</t>
        </is>
      </c>
      <c r="BL443" s="24" t="inlineStr">
        <is>
          <t>DEPUNINS</t>
        </is>
      </c>
      <c r="BM443" s="24" t="inlineStr">
        <is>
          <t>SCHA</t>
        </is>
      </c>
      <c r="BN443" s="24" t="inlineStr">
        <is>
          <t>SCHF</t>
        </is>
      </c>
      <c r="BO443" s="24" t="inlineStr">
        <is>
          <t>SCAA</t>
        </is>
      </c>
      <c r="BP443" s="24" t="inlineStr">
        <is>
          <t>SCAF</t>
        </is>
      </c>
      <c r="BQ443" s="24" t="inlineStr">
        <is>
          <t>OTHBFHLB</t>
        </is>
      </c>
    </row>
    <row r="462">
      <c r="A462" s="29" t="inlineStr">
        <is>
          <t>slot24</t>
        </is>
      </c>
    </row>
    <row r="463">
      <c r="A463" s="24" t="inlineStr">
        <is>
          <t>REPDTE</t>
        </is>
      </c>
      <c r="B463" s="24" t="inlineStr">
        <is>
          <t>ASSET</t>
        </is>
      </c>
      <c r="C463" s="24" t="inlineStr">
        <is>
          <t>DEP</t>
        </is>
      </c>
      <c r="D463" s="24" t="inlineStr">
        <is>
          <t>LNLSGR</t>
        </is>
      </c>
      <c r="E463" s="24" t="inlineStr">
        <is>
          <t>LNLSNET</t>
        </is>
      </c>
      <c r="F463" s="24" t="inlineStr">
        <is>
          <t>BRO</t>
        </is>
      </c>
      <c r="G463" s="24" t="inlineStr">
        <is>
          <t>EQ</t>
        </is>
      </c>
      <c r="H463" s="24" t="inlineStr">
        <is>
          <t>NCLNLS</t>
        </is>
      </c>
      <c r="I463" s="24" t="inlineStr">
        <is>
          <t>LNATRES</t>
        </is>
      </c>
      <c r="J463" s="24" t="inlineStr">
        <is>
          <t>P3LNLS</t>
        </is>
      </c>
      <c r="K463" s="24" t="inlineStr">
        <is>
          <t>LNRECONS</t>
        </is>
      </c>
      <c r="L463" s="24" t="inlineStr">
        <is>
          <t>LNRENRES</t>
        </is>
      </c>
      <c r="M463" s="24" t="inlineStr">
        <is>
          <t>LNREMULT</t>
        </is>
      </c>
      <c r="N463" s="24" t="inlineStr">
        <is>
          <t>NCLNLSR</t>
        </is>
      </c>
      <c r="O463" s="24" t="inlineStr">
        <is>
          <t>NTLNLSQR</t>
        </is>
      </c>
      <c r="P463" s="24" t="inlineStr">
        <is>
          <t>LNATRESR</t>
        </is>
      </c>
      <c r="Q463" s="24" t="inlineStr">
        <is>
          <t>LNRESNCR</t>
        </is>
      </c>
      <c r="R463" s="24" t="inlineStr">
        <is>
          <t>RBC1AAJ</t>
        </is>
      </c>
      <c r="S463" s="24" t="inlineStr">
        <is>
          <t>RBCRWAJ</t>
        </is>
      </c>
      <c r="T463" s="24" t="inlineStr">
        <is>
          <t>EQV</t>
        </is>
      </c>
      <c r="U463" s="24" t="inlineStr">
        <is>
          <t>ROAQ</t>
        </is>
      </c>
      <c r="V463" s="24" t="inlineStr">
        <is>
          <t>NIMY</t>
        </is>
      </c>
      <c r="W463" s="24" t="inlineStr">
        <is>
          <t>EEFFR</t>
        </is>
      </c>
      <c r="X463" s="24" t="inlineStr">
        <is>
          <t>P3CRCDR</t>
        </is>
      </c>
      <c r="Y463" s="24" t="inlineStr">
        <is>
          <t>P9CRCDR</t>
        </is>
      </c>
      <c r="Z463" s="24" t="inlineStr">
        <is>
          <t>NACRCDR</t>
        </is>
      </c>
      <c r="AA463" s="24" t="inlineStr">
        <is>
          <t>P3AUTOR</t>
        </is>
      </c>
      <c r="AB463" s="24" t="inlineStr">
        <is>
          <t>P9AUTOR</t>
        </is>
      </c>
      <c r="AC463" s="24" t="inlineStr">
        <is>
          <t>NAAUTOR</t>
        </is>
      </c>
      <c r="AD463" s="24" t="inlineStr">
        <is>
          <t>P3RERESR</t>
        </is>
      </c>
      <c r="AE463" s="24" t="inlineStr">
        <is>
          <t>P9RERESR</t>
        </is>
      </c>
      <c r="AF463" s="24" t="inlineStr">
        <is>
          <t>NARERESR</t>
        </is>
      </c>
      <c r="AG463" s="24" t="inlineStr">
        <is>
          <t>P3RELOCR</t>
        </is>
      </c>
      <c r="AH463" s="24" t="inlineStr">
        <is>
          <t>P9RELOCR</t>
        </is>
      </c>
      <c r="AI463" s="24" t="inlineStr">
        <is>
          <t>NARELOCR</t>
        </is>
      </c>
      <c r="AJ463" s="24" t="inlineStr">
        <is>
          <t>P3CONOTH</t>
        </is>
      </c>
      <c r="AK463" s="24" t="inlineStr">
        <is>
          <t>P9CONOTH</t>
        </is>
      </c>
      <c r="AL463" s="24" t="inlineStr">
        <is>
          <t>NACONOTH</t>
        </is>
      </c>
      <c r="AM463" s="24" t="inlineStr">
        <is>
          <t>LNCRCD</t>
        </is>
      </c>
      <c r="AN463" s="24" t="inlineStr">
        <is>
          <t>LNAUTO</t>
        </is>
      </c>
      <c r="AO463" s="24" t="inlineStr">
        <is>
          <t>LNCONOTH</t>
        </is>
      </c>
      <c r="AP463" s="24" t="inlineStr">
        <is>
          <t>LNRERES</t>
        </is>
      </c>
      <c r="AQ463" s="24" t="inlineStr">
        <is>
          <t>NTCRCDQ</t>
        </is>
      </c>
      <c r="AR463" s="24" t="inlineStr">
        <is>
          <t>NTAUTOQ</t>
        </is>
      </c>
      <c r="AS463" s="24" t="inlineStr">
        <is>
          <t>NTCONOTQ</t>
        </is>
      </c>
      <c r="AT463" s="24" t="inlineStr">
        <is>
          <t>NTRERESQ</t>
        </is>
      </c>
      <c r="AU463" s="24" t="inlineStr">
        <is>
          <t>P3CIR</t>
        </is>
      </c>
      <c r="AV463" s="24" t="inlineStr">
        <is>
          <t>P9CIR</t>
        </is>
      </c>
      <c r="AW463" s="24" t="inlineStr">
        <is>
          <t>NACIR</t>
        </is>
      </c>
      <c r="AX463" s="24" t="inlineStr">
        <is>
          <t>P3RECONS</t>
        </is>
      </c>
      <c r="AY463" s="24" t="inlineStr">
        <is>
          <t>P9RECONS</t>
        </is>
      </c>
      <c r="AZ463" s="24" t="inlineStr">
        <is>
          <t>NARECONS</t>
        </is>
      </c>
      <c r="BA463" s="24" t="inlineStr">
        <is>
          <t>P3RENRES</t>
        </is>
      </c>
      <c r="BB463" s="24" t="inlineStr">
        <is>
          <t>P9RENRES</t>
        </is>
      </c>
      <c r="BC463" s="24" t="inlineStr">
        <is>
          <t>NARENRES</t>
        </is>
      </c>
      <c r="BD463" s="24" t="inlineStr">
        <is>
          <t>P3REMULT</t>
        </is>
      </c>
      <c r="BE463" s="24" t="inlineStr">
        <is>
          <t>P9REMULT</t>
        </is>
      </c>
      <c r="BF463" s="24" t="inlineStr">
        <is>
          <t>NAREMULT</t>
        </is>
      </c>
      <c r="BG463" s="24" t="inlineStr">
        <is>
          <t>LNCI</t>
        </is>
      </c>
      <c r="BH463" s="24" t="inlineStr">
        <is>
          <t>NTRECONQ</t>
        </is>
      </c>
      <c r="BI463" s="24" t="inlineStr">
        <is>
          <t>NTRENREQ</t>
        </is>
      </c>
      <c r="BJ463" s="24" t="inlineStr">
        <is>
          <t>NTREMULQ</t>
        </is>
      </c>
      <c r="BK463" s="24" t="inlineStr">
        <is>
          <t>NTCIQ</t>
        </is>
      </c>
      <c r="BL463" s="24" t="inlineStr">
        <is>
          <t>DEPUNINS</t>
        </is>
      </c>
      <c r="BM463" s="24" t="inlineStr">
        <is>
          <t>SCHA</t>
        </is>
      </c>
      <c r="BN463" s="24" t="inlineStr">
        <is>
          <t>SCHF</t>
        </is>
      </c>
      <c r="BO463" s="24" t="inlineStr">
        <is>
          <t>SCAA</t>
        </is>
      </c>
      <c r="BP463" s="24" t="inlineStr">
        <is>
          <t>SCAF</t>
        </is>
      </c>
      <c r="BQ463" s="24" t="inlineStr">
        <is>
          <t>OTHBFHLB</t>
        </is>
      </c>
    </row>
    <row r="482">
      <c r="A482" s="29" t="inlineStr">
        <is>
          <t>slot25</t>
        </is>
      </c>
    </row>
    <row r="483">
      <c r="A483" s="24" t="inlineStr">
        <is>
          <t>REPDTE</t>
        </is>
      </c>
      <c r="B483" s="24" t="inlineStr">
        <is>
          <t>ASSET</t>
        </is>
      </c>
      <c r="C483" s="24" t="inlineStr">
        <is>
          <t>DEP</t>
        </is>
      </c>
      <c r="D483" s="24" t="inlineStr">
        <is>
          <t>LNLSGR</t>
        </is>
      </c>
      <c r="E483" s="24" t="inlineStr">
        <is>
          <t>LNLSNET</t>
        </is>
      </c>
      <c r="F483" s="24" t="inlineStr">
        <is>
          <t>BRO</t>
        </is>
      </c>
      <c r="G483" s="24" t="inlineStr">
        <is>
          <t>EQ</t>
        </is>
      </c>
      <c r="H483" s="24" t="inlineStr">
        <is>
          <t>NCLNLS</t>
        </is>
      </c>
      <c r="I483" s="24" t="inlineStr">
        <is>
          <t>LNATRES</t>
        </is>
      </c>
      <c r="J483" s="24" t="inlineStr">
        <is>
          <t>P3LNLS</t>
        </is>
      </c>
      <c r="K483" s="24" t="inlineStr">
        <is>
          <t>LNRECONS</t>
        </is>
      </c>
      <c r="L483" s="24" t="inlineStr">
        <is>
          <t>LNRENRES</t>
        </is>
      </c>
      <c r="M483" s="24" t="inlineStr">
        <is>
          <t>LNREMULT</t>
        </is>
      </c>
      <c r="N483" s="24" t="inlineStr">
        <is>
          <t>NCLNLSR</t>
        </is>
      </c>
      <c r="O483" s="24" t="inlineStr">
        <is>
          <t>NTLNLSQR</t>
        </is>
      </c>
      <c r="P483" s="24" t="inlineStr">
        <is>
          <t>LNATRESR</t>
        </is>
      </c>
      <c r="Q483" s="24" t="inlineStr">
        <is>
          <t>LNRESNCR</t>
        </is>
      </c>
      <c r="R483" s="24" t="inlineStr">
        <is>
          <t>RBC1AAJ</t>
        </is>
      </c>
      <c r="S483" s="24" t="inlineStr">
        <is>
          <t>RBCRWAJ</t>
        </is>
      </c>
      <c r="T483" s="24" t="inlineStr">
        <is>
          <t>EQV</t>
        </is>
      </c>
      <c r="U483" s="24" t="inlineStr">
        <is>
          <t>ROAQ</t>
        </is>
      </c>
      <c r="V483" s="24" t="inlineStr">
        <is>
          <t>NIMY</t>
        </is>
      </c>
      <c r="W483" s="24" t="inlineStr">
        <is>
          <t>EEFFR</t>
        </is>
      </c>
      <c r="X483" s="24" t="inlineStr">
        <is>
          <t>P3CRCDR</t>
        </is>
      </c>
      <c r="Y483" s="24" t="inlineStr">
        <is>
          <t>P9CRCDR</t>
        </is>
      </c>
      <c r="Z483" s="24" t="inlineStr">
        <is>
          <t>NACRCDR</t>
        </is>
      </c>
      <c r="AA483" s="24" t="inlineStr">
        <is>
          <t>P3AUTOR</t>
        </is>
      </c>
      <c r="AB483" s="24" t="inlineStr">
        <is>
          <t>P9AUTOR</t>
        </is>
      </c>
      <c r="AC483" s="24" t="inlineStr">
        <is>
          <t>NAAUTOR</t>
        </is>
      </c>
      <c r="AD483" s="24" t="inlineStr">
        <is>
          <t>P3RERESR</t>
        </is>
      </c>
      <c r="AE483" s="24" t="inlineStr">
        <is>
          <t>P9RERESR</t>
        </is>
      </c>
      <c r="AF483" s="24" t="inlineStr">
        <is>
          <t>NARERESR</t>
        </is>
      </c>
      <c r="AG483" s="24" t="inlineStr">
        <is>
          <t>P3RELOCR</t>
        </is>
      </c>
      <c r="AH483" s="24" t="inlineStr">
        <is>
          <t>P9RELOCR</t>
        </is>
      </c>
      <c r="AI483" s="24" t="inlineStr">
        <is>
          <t>NARELOCR</t>
        </is>
      </c>
      <c r="AJ483" s="24" t="inlineStr">
        <is>
          <t>P3CONOTH</t>
        </is>
      </c>
      <c r="AK483" s="24" t="inlineStr">
        <is>
          <t>P9CONOTH</t>
        </is>
      </c>
      <c r="AL483" s="24" t="inlineStr">
        <is>
          <t>NACONOTH</t>
        </is>
      </c>
      <c r="AM483" s="24" t="inlineStr">
        <is>
          <t>LNCRCD</t>
        </is>
      </c>
      <c r="AN483" s="24" t="inlineStr">
        <is>
          <t>LNAUTO</t>
        </is>
      </c>
      <c r="AO483" s="24" t="inlineStr">
        <is>
          <t>LNCONOTH</t>
        </is>
      </c>
      <c r="AP483" s="24" t="inlineStr">
        <is>
          <t>LNRERES</t>
        </is>
      </c>
      <c r="AQ483" s="24" t="inlineStr">
        <is>
          <t>NTCRCDQ</t>
        </is>
      </c>
      <c r="AR483" s="24" t="inlineStr">
        <is>
          <t>NTAUTOQ</t>
        </is>
      </c>
      <c r="AS483" s="24" t="inlineStr">
        <is>
          <t>NTCONOTQ</t>
        </is>
      </c>
      <c r="AT483" s="24" t="inlineStr">
        <is>
          <t>NTRERESQ</t>
        </is>
      </c>
      <c r="AU483" s="24" t="inlineStr">
        <is>
          <t>P3CIR</t>
        </is>
      </c>
      <c r="AV483" s="24" t="inlineStr">
        <is>
          <t>P9CIR</t>
        </is>
      </c>
      <c r="AW483" s="24" t="inlineStr">
        <is>
          <t>NACIR</t>
        </is>
      </c>
      <c r="AX483" s="24" t="inlineStr">
        <is>
          <t>P3RECONS</t>
        </is>
      </c>
      <c r="AY483" s="24" t="inlineStr">
        <is>
          <t>P9RECONS</t>
        </is>
      </c>
      <c r="AZ483" s="24" t="inlineStr">
        <is>
          <t>NARECONS</t>
        </is>
      </c>
      <c r="BA483" s="24" t="inlineStr">
        <is>
          <t>P3RENRES</t>
        </is>
      </c>
      <c r="BB483" s="24" t="inlineStr">
        <is>
          <t>P9RENRES</t>
        </is>
      </c>
      <c r="BC483" s="24" t="inlineStr">
        <is>
          <t>NARENRES</t>
        </is>
      </c>
      <c r="BD483" s="24" t="inlineStr">
        <is>
          <t>P3REMULT</t>
        </is>
      </c>
      <c r="BE483" s="24" t="inlineStr">
        <is>
          <t>P9REMULT</t>
        </is>
      </c>
      <c r="BF483" s="24" t="inlineStr">
        <is>
          <t>NAREMULT</t>
        </is>
      </c>
      <c r="BG483" s="24" t="inlineStr">
        <is>
          <t>LNCI</t>
        </is>
      </c>
      <c r="BH483" s="24" t="inlineStr">
        <is>
          <t>NTRECONQ</t>
        </is>
      </c>
      <c r="BI483" s="24" t="inlineStr">
        <is>
          <t>NTRENREQ</t>
        </is>
      </c>
      <c r="BJ483" s="24" t="inlineStr">
        <is>
          <t>NTREMULQ</t>
        </is>
      </c>
      <c r="BK483" s="24" t="inlineStr">
        <is>
          <t>NTCIQ</t>
        </is>
      </c>
      <c r="BL483" s="24" t="inlineStr">
        <is>
          <t>DEPUNINS</t>
        </is>
      </c>
      <c r="BM483" s="24" t="inlineStr">
        <is>
          <t>SCHA</t>
        </is>
      </c>
      <c r="BN483" s="24" t="inlineStr">
        <is>
          <t>SCHF</t>
        </is>
      </c>
      <c r="BO483" s="24" t="inlineStr">
        <is>
          <t>SCAA</t>
        </is>
      </c>
      <c r="BP483" s="24" t="inlineStr">
        <is>
          <t>SCAF</t>
        </is>
      </c>
      <c r="BQ483" s="24" t="inlineStr">
        <is>
          <t>OTHBFHLB</t>
        </is>
      </c>
    </row>
    <row r="502">
      <c r="A502" s="29" t="inlineStr">
        <is>
          <t>slot26</t>
        </is>
      </c>
    </row>
    <row r="503">
      <c r="A503" s="24" t="inlineStr">
        <is>
          <t>REPDTE</t>
        </is>
      </c>
      <c r="B503" s="24" t="inlineStr">
        <is>
          <t>ASSET</t>
        </is>
      </c>
      <c r="C503" s="24" t="inlineStr">
        <is>
          <t>DEP</t>
        </is>
      </c>
      <c r="D503" s="24" t="inlineStr">
        <is>
          <t>LNLSGR</t>
        </is>
      </c>
      <c r="E503" s="24" t="inlineStr">
        <is>
          <t>LNLSNET</t>
        </is>
      </c>
      <c r="F503" s="24" t="inlineStr">
        <is>
          <t>BRO</t>
        </is>
      </c>
      <c r="G503" s="24" t="inlineStr">
        <is>
          <t>EQ</t>
        </is>
      </c>
      <c r="H503" s="24" t="inlineStr">
        <is>
          <t>NCLNLS</t>
        </is>
      </c>
      <c r="I503" s="24" t="inlineStr">
        <is>
          <t>LNATRES</t>
        </is>
      </c>
      <c r="J503" s="24" t="inlineStr">
        <is>
          <t>P3LNLS</t>
        </is>
      </c>
      <c r="K503" s="24" t="inlineStr">
        <is>
          <t>LNRECONS</t>
        </is>
      </c>
      <c r="L503" s="24" t="inlineStr">
        <is>
          <t>LNRENRES</t>
        </is>
      </c>
      <c r="M503" s="24" t="inlineStr">
        <is>
          <t>LNREMULT</t>
        </is>
      </c>
      <c r="N503" s="24" t="inlineStr">
        <is>
          <t>NCLNLSR</t>
        </is>
      </c>
      <c r="O503" s="24" t="inlineStr">
        <is>
          <t>NTLNLSQR</t>
        </is>
      </c>
      <c r="P503" s="24" t="inlineStr">
        <is>
          <t>LNATRESR</t>
        </is>
      </c>
      <c r="Q503" s="24" t="inlineStr">
        <is>
          <t>LNRESNCR</t>
        </is>
      </c>
      <c r="R503" s="24" t="inlineStr">
        <is>
          <t>RBC1AAJ</t>
        </is>
      </c>
      <c r="S503" s="24" t="inlineStr">
        <is>
          <t>RBCRWAJ</t>
        </is>
      </c>
      <c r="T503" s="24" t="inlineStr">
        <is>
          <t>EQV</t>
        </is>
      </c>
      <c r="U503" s="24" t="inlineStr">
        <is>
          <t>ROAQ</t>
        </is>
      </c>
      <c r="V503" s="24" t="inlineStr">
        <is>
          <t>NIMY</t>
        </is>
      </c>
      <c r="W503" s="24" t="inlineStr">
        <is>
          <t>EEFFR</t>
        </is>
      </c>
      <c r="X503" s="24" t="inlineStr">
        <is>
          <t>P3CRCDR</t>
        </is>
      </c>
      <c r="Y503" s="24" t="inlineStr">
        <is>
          <t>P9CRCDR</t>
        </is>
      </c>
      <c r="Z503" s="24" t="inlineStr">
        <is>
          <t>NACRCDR</t>
        </is>
      </c>
      <c r="AA503" s="24" t="inlineStr">
        <is>
          <t>P3AUTOR</t>
        </is>
      </c>
      <c r="AB503" s="24" t="inlineStr">
        <is>
          <t>P9AUTOR</t>
        </is>
      </c>
      <c r="AC503" s="24" t="inlineStr">
        <is>
          <t>NAAUTOR</t>
        </is>
      </c>
      <c r="AD503" s="24" t="inlineStr">
        <is>
          <t>P3RERESR</t>
        </is>
      </c>
      <c r="AE503" s="24" t="inlineStr">
        <is>
          <t>P9RERESR</t>
        </is>
      </c>
      <c r="AF503" s="24" t="inlineStr">
        <is>
          <t>NARERESR</t>
        </is>
      </c>
      <c r="AG503" s="24" t="inlineStr">
        <is>
          <t>P3RELOCR</t>
        </is>
      </c>
      <c r="AH503" s="24" t="inlineStr">
        <is>
          <t>P9RELOCR</t>
        </is>
      </c>
      <c r="AI503" s="24" t="inlineStr">
        <is>
          <t>NARELOCR</t>
        </is>
      </c>
      <c r="AJ503" s="24" t="inlineStr">
        <is>
          <t>P3CONOTH</t>
        </is>
      </c>
      <c r="AK503" s="24" t="inlineStr">
        <is>
          <t>P9CONOTH</t>
        </is>
      </c>
      <c r="AL503" s="24" t="inlineStr">
        <is>
          <t>NACONOTH</t>
        </is>
      </c>
      <c r="AM503" s="24" t="inlineStr">
        <is>
          <t>LNCRCD</t>
        </is>
      </c>
      <c r="AN503" s="24" t="inlineStr">
        <is>
          <t>LNAUTO</t>
        </is>
      </c>
      <c r="AO503" s="24" t="inlineStr">
        <is>
          <t>LNCONOTH</t>
        </is>
      </c>
      <c r="AP503" s="24" t="inlineStr">
        <is>
          <t>LNRERES</t>
        </is>
      </c>
      <c r="AQ503" s="24" t="inlineStr">
        <is>
          <t>NTCRCDQ</t>
        </is>
      </c>
      <c r="AR503" s="24" t="inlineStr">
        <is>
          <t>NTAUTOQ</t>
        </is>
      </c>
      <c r="AS503" s="24" t="inlineStr">
        <is>
          <t>NTCONOTQ</t>
        </is>
      </c>
      <c r="AT503" s="24" t="inlineStr">
        <is>
          <t>NTRERESQ</t>
        </is>
      </c>
      <c r="AU503" s="24" t="inlineStr">
        <is>
          <t>P3CIR</t>
        </is>
      </c>
      <c r="AV503" s="24" t="inlineStr">
        <is>
          <t>P9CIR</t>
        </is>
      </c>
      <c r="AW503" s="24" t="inlineStr">
        <is>
          <t>NACIR</t>
        </is>
      </c>
      <c r="AX503" s="24" t="inlineStr">
        <is>
          <t>P3RECONS</t>
        </is>
      </c>
      <c r="AY503" s="24" t="inlineStr">
        <is>
          <t>P9RECONS</t>
        </is>
      </c>
      <c r="AZ503" s="24" t="inlineStr">
        <is>
          <t>NARECONS</t>
        </is>
      </c>
      <c r="BA503" s="24" t="inlineStr">
        <is>
          <t>P3RENRES</t>
        </is>
      </c>
      <c r="BB503" s="24" t="inlineStr">
        <is>
          <t>P9RENRES</t>
        </is>
      </c>
      <c r="BC503" s="24" t="inlineStr">
        <is>
          <t>NARENRES</t>
        </is>
      </c>
      <c r="BD503" s="24" t="inlineStr">
        <is>
          <t>P3REMULT</t>
        </is>
      </c>
      <c r="BE503" s="24" t="inlineStr">
        <is>
          <t>P9REMULT</t>
        </is>
      </c>
      <c r="BF503" s="24" t="inlineStr">
        <is>
          <t>NAREMULT</t>
        </is>
      </c>
      <c r="BG503" s="24" t="inlineStr">
        <is>
          <t>LNCI</t>
        </is>
      </c>
      <c r="BH503" s="24" t="inlineStr">
        <is>
          <t>NTRECONQ</t>
        </is>
      </c>
      <c r="BI503" s="24" t="inlineStr">
        <is>
          <t>NTRENREQ</t>
        </is>
      </c>
      <c r="BJ503" s="24" t="inlineStr">
        <is>
          <t>NTREMULQ</t>
        </is>
      </c>
      <c r="BK503" s="24" t="inlineStr">
        <is>
          <t>NTCIQ</t>
        </is>
      </c>
      <c r="BL503" s="24" t="inlineStr">
        <is>
          <t>DEPUNINS</t>
        </is>
      </c>
      <c r="BM503" s="24" t="inlineStr">
        <is>
          <t>SCHA</t>
        </is>
      </c>
      <c r="BN503" s="24" t="inlineStr">
        <is>
          <t>SCHF</t>
        </is>
      </c>
      <c r="BO503" s="24" t="inlineStr">
        <is>
          <t>SCAA</t>
        </is>
      </c>
      <c r="BP503" s="24" t="inlineStr">
        <is>
          <t>SCAF</t>
        </is>
      </c>
      <c r="BQ503" s="24" t="inlineStr">
        <is>
          <t>OTHBFHLB</t>
        </is>
      </c>
    </row>
    <row r="522">
      <c r="A522" s="29" t="inlineStr">
        <is>
          <t>slot27</t>
        </is>
      </c>
    </row>
    <row r="523">
      <c r="A523" s="24" t="inlineStr">
        <is>
          <t>REPDTE</t>
        </is>
      </c>
      <c r="B523" s="24" t="inlineStr">
        <is>
          <t>ASSET</t>
        </is>
      </c>
      <c r="C523" s="24" t="inlineStr">
        <is>
          <t>DEP</t>
        </is>
      </c>
      <c r="D523" s="24" t="inlineStr">
        <is>
          <t>LNLSGR</t>
        </is>
      </c>
      <c r="E523" s="24" t="inlineStr">
        <is>
          <t>LNLSNET</t>
        </is>
      </c>
      <c r="F523" s="24" t="inlineStr">
        <is>
          <t>BRO</t>
        </is>
      </c>
      <c r="G523" s="24" t="inlineStr">
        <is>
          <t>EQ</t>
        </is>
      </c>
      <c r="H523" s="24" t="inlineStr">
        <is>
          <t>NCLNLS</t>
        </is>
      </c>
      <c r="I523" s="24" t="inlineStr">
        <is>
          <t>LNATRES</t>
        </is>
      </c>
      <c r="J523" s="24" t="inlineStr">
        <is>
          <t>P3LNLS</t>
        </is>
      </c>
      <c r="K523" s="24" t="inlineStr">
        <is>
          <t>LNRECONS</t>
        </is>
      </c>
      <c r="L523" s="24" t="inlineStr">
        <is>
          <t>LNRENRES</t>
        </is>
      </c>
      <c r="M523" s="24" t="inlineStr">
        <is>
          <t>LNREMULT</t>
        </is>
      </c>
      <c r="N523" s="24" t="inlineStr">
        <is>
          <t>NCLNLSR</t>
        </is>
      </c>
      <c r="O523" s="24" t="inlineStr">
        <is>
          <t>NTLNLSQR</t>
        </is>
      </c>
      <c r="P523" s="24" t="inlineStr">
        <is>
          <t>LNATRESR</t>
        </is>
      </c>
      <c r="Q523" s="24" t="inlineStr">
        <is>
          <t>LNRESNCR</t>
        </is>
      </c>
      <c r="R523" s="24" t="inlineStr">
        <is>
          <t>RBC1AAJ</t>
        </is>
      </c>
      <c r="S523" s="24" t="inlineStr">
        <is>
          <t>RBCRWAJ</t>
        </is>
      </c>
      <c r="T523" s="24" t="inlineStr">
        <is>
          <t>EQV</t>
        </is>
      </c>
      <c r="U523" s="24" t="inlineStr">
        <is>
          <t>ROAQ</t>
        </is>
      </c>
      <c r="V523" s="24" t="inlineStr">
        <is>
          <t>NIMY</t>
        </is>
      </c>
      <c r="W523" s="24" t="inlineStr">
        <is>
          <t>EEFFR</t>
        </is>
      </c>
      <c r="X523" s="24" t="inlineStr">
        <is>
          <t>P3CRCDR</t>
        </is>
      </c>
      <c r="Y523" s="24" t="inlineStr">
        <is>
          <t>P9CRCDR</t>
        </is>
      </c>
      <c r="Z523" s="24" t="inlineStr">
        <is>
          <t>NACRCDR</t>
        </is>
      </c>
      <c r="AA523" s="24" t="inlineStr">
        <is>
          <t>P3AUTOR</t>
        </is>
      </c>
      <c r="AB523" s="24" t="inlineStr">
        <is>
          <t>P9AUTOR</t>
        </is>
      </c>
      <c r="AC523" s="24" t="inlineStr">
        <is>
          <t>NAAUTOR</t>
        </is>
      </c>
      <c r="AD523" s="24" t="inlineStr">
        <is>
          <t>P3RERESR</t>
        </is>
      </c>
      <c r="AE523" s="24" t="inlineStr">
        <is>
          <t>P9RERESR</t>
        </is>
      </c>
      <c r="AF523" s="24" t="inlineStr">
        <is>
          <t>NARERESR</t>
        </is>
      </c>
      <c r="AG523" s="24" t="inlineStr">
        <is>
          <t>P3RELOCR</t>
        </is>
      </c>
      <c r="AH523" s="24" t="inlineStr">
        <is>
          <t>P9RELOCR</t>
        </is>
      </c>
      <c r="AI523" s="24" t="inlineStr">
        <is>
          <t>NARELOCR</t>
        </is>
      </c>
      <c r="AJ523" s="24" t="inlineStr">
        <is>
          <t>P3CONOTH</t>
        </is>
      </c>
      <c r="AK523" s="24" t="inlineStr">
        <is>
          <t>P9CONOTH</t>
        </is>
      </c>
      <c r="AL523" s="24" t="inlineStr">
        <is>
          <t>NACONOTH</t>
        </is>
      </c>
      <c r="AM523" s="24" t="inlineStr">
        <is>
          <t>LNCRCD</t>
        </is>
      </c>
      <c r="AN523" s="24" t="inlineStr">
        <is>
          <t>LNAUTO</t>
        </is>
      </c>
      <c r="AO523" s="24" t="inlineStr">
        <is>
          <t>LNCONOTH</t>
        </is>
      </c>
      <c r="AP523" s="24" t="inlineStr">
        <is>
          <t>LNRERES</t>
        </is>
      </c>
      <c r="AQ523" s="24" t="inlineStr">
        <is>
          <t>NTCRCDQ</t>
        </is>
      </c>
      <c r="AR523" s="24" t="inlineStr">
        <is>
          <t>NTAUTOQ</t>
        </is>
      </c>
      <c r="AS523" s="24" t="inlineStr">
        <is>
          <t>NTCONOTQ</t>
        </is>
      </c>
      <c r="AT523" s="24" t="inlineStr">
        <is>
          <t>NTRERESQ</t>
        </is>
      </c>
      <c r="AU523" s="24" t="inlineStr">
        <is>
          <t>P3CIR</t>
        </is>
      </c>
      <c r="AV523" s="24" t="inlineStr">
        <is>
          <t>P9CIR</t>
        </is>
      </c>
      <c r="AW523" s="24" t="inlineStr">
        <is>
          <t>NACIR</t>
        </is>
      </c>
      <c r="AX523" s="24" t="inlineStr">
        <is>
          <t>P3RECONS</t>
        </is>
      </c>
      <c r="AY523" s="24" t="inlineStr">
        <is>
          <t>P9RECONS</t>
        </is>
      </c>
      <c r="AZ523" s="24" t="inlineStr">
        <is>
          <t>NARECONS</t>
        </is>
      </c>
      <c r="BA523" s="24" t="inlineStr">
        <is>
          <t>P3RENRES</t>
        </is>
      </c>
      <c r="BB523" s="24" t="inlineStr">
        <is>
          <t>P9RENRES</t>
        </is>
      </c>
      <c r="BC523" s="24" t="inlineStr">
        <is>
          <t>NARENRES</t>
        </is>
      </c>
      <c r="BD523" s="24" t="inlineStr">
        <is>
          <t>P3REMULT</t>
        </is>
      </c>
      <c r="BE523" s="24" t="inlineStr">
        <is>
          <t>P9REMULT</t>
        </is>
      </c>
      <c r="BF523" s="24" t="inlineStr">
        <is>
          <t>NAREMULT</t>
        </is>
      </c>
      <c r="BG523" s="24" t="inlineStr">
        <is>
          <t>LNCI</t>
        </is>
      </c>
      <c r="BH523" s="24" t="inlineStr">
        <is>
          <t>NTRECONQ</t>
        </is>
      </c>
      <c r="BI523" s="24" t="inlineStr">
        <is>
          <t>NTRENREQ</t>
        </is>
      </c>
      <c r="BJ523" s="24" t="inlineStr">
        <is>
          <t>NTREMULQ</t>
        </is>
      </c>
      <c r="BK523" s="24" t="inlineStr">
        <is>
          <t>NTCIQ</t>
        </is>
      </c>
      <c r="BL523" s="24" t="inlineStr">
        <is>
          <t>DEPUNINS</t>
        </is>
      </c>
      <c r="BM523" s="24" t="inlineStr">
        <is>
          <t>SCHA</t>
        </is>
      </c>
      <c r="BN523" s="24" t="inlineStr">
        <is>
          <t>SCHF</t>
        </is>
      </c>
      <c r="BO523" s="24" t="inlineStr">
        <is>
          <t>SCAA</t>
        </is>
      </c>
      <c r="BP523" s="24" t="inlineStr">
        <is>
          <t>SCAF</t>
        </is>
      </c>
      <c r="BQ523" s="24" t="inlineStr">
        <is>
          <t>OTHBFHLB</t>
        </is>
      </c>
    </row>
    <row r="542">
      <c r="A542" s="29" t="inlineStr">
        <is>
          <t>slot28</t>
        </is>
      </c>
    </row>
    <row r="543">
      <c r="A543" s="24" t="inlineStr">
        <is>
          <t>REPDTE</t>
        </is>
      </c>
      <c r="B543" s="24" t="inlineStr">
        <is>
          <t>ASSET</t>
        </is>
      </c>
      <c r="C543" s="24" t="inlineStr">
        <is>
          <t>DEP</t>
        </is>
      </c>
      <c r="D543" s="24" t="inlineStr">
        <is>
          <t>LNLSGR</t>
        </is>
      </c>
      <c r="E543" s="24" t="inlineStr">
        <is>
          <t>LNLSNET</t>
        </is>
      </c>
      <c r="F543" s="24" t="inlineStr">
        <is>
          <t>BRO</t>
        </is>
      </c>
      <c r="G543" s="24" t="inlineStr">
        <is>
          <t>EQ</t>
        </is>
      </c>
      <c r="H543" s="24" t="inlineStr">
        <is>
          <t>NCLNLS</t>
        </is>
      </c>
      <c r="I543" s="24" t="inlineStr">
        <is>
          <t>LNATRES</t>
        </is>
      </c>
      <c r="J543" s="24" t="inlineStr">
        <is>
          <t>P3LNLS</t>
        </is>
      </c>
      <c r="K543" s="24" t="inlineStr">
        <is>
          <t>LNRECONS</t>
        </is>
      </c>
      <c r="L543" s="24" t="inlineStr">
        <is>
          <t>LNRENRES</t>
        </is>
      </c>
      <c r="M543" s="24" t="inlineStr">
        <is>
          <t>LNREMULT</t>
        </is>
      </c>
      <c r="N543" s="24" t="inlineStr">
        <is>
          <t>NCLNLSR</t>
        </is>
      </c>
      <c r="O543" s="24" t="inlineStr">
        <is>
          <t>NTLNLSQR</t>
        </is>
      </c>
      <c r="P543" s="24" t="inlineStr">
        <is>
          <t>LNATRESR</t>
        </is>
      </c>
      <c r="Q543" s="24" t="inlineStr">
        <is>
          <t>LNRESNCR</t>
        </is>
      </c>
      <c r="R543" s="24" t="inlineStr">
        <is>
          <t>RBC1AAJ</t>
        </is>
      </c>
      <c r="S543" s="24" t="inlineStr">
        <is>
          <t>RBCRWAJ</t>
        </is>
      </c>
      <c r="T543" s="24" t="inlineStr">
        <is>
          <t>EQV</t>
        </is>
      </c>
      <c r="U543" s="24" t="inlineStr">
        <is>
          <t>ROAQ</t>
        </is>
      </c>
      <c r="V543" s="24" t="inlineStr">
        <is>
          <t>NIMY</t>
        </is>
      </c>
      <c r="W543" s="24" t="inlineStr">
        <is>
          <t>EEFFR</t>
        </is>
      </c>
      <c r="X543" s="24" t="inlineStr">
        <is>
          <t>P3CRCDR</t>
        </is>
      </c>
      <c r="Y543" s="24" t="inlineStr">
        <is>
          <t>P9CRCDR</t>
        </is>
      </c>
      <c r="Z543" s="24" t="inlineStr">
        <is>
          <t>NACRCDR</t>
        </is>
      </c>
      <c r="AA543" s="24" t="inlineStr">
        <is>
          <t>P3AUTOR</t>
        </is>
      </c>
      <c r="AB543" s="24" t="inlineStr">
        <is>
          <t>P9AUTOR</t>
        </is>
      </c>
      <c r="AC543" s="24" t="inlineStr">
        <is>
          <t>NAAUTOR</t>
        </is>
      </c>
      <c r="AD543" s="24" t="inlineStr">
        <is>
          <t>P3RERESR</t>
        </is>
      </c>
      <c r="AE543" s="24" t="inlineStr">
        <is>
          <t>P9RERESR</t>
        </is>
      </c>
      <c r="AF543" s="24" t="inlineStr">
        <is>
          <t>NARERESR</t>
        </is>
      </c>
      <c r="AG543" s="24" t="inlineStr">
        <is>
          <t>P3RELOCR</t>
        </is>
      </c>
      <c r="AH543" s="24" t="inlineStr">
        <is>
          <t>P9RELOCR</t>
        </is>
      </c>
      <c r="AI543" s="24" t="inlineStr">
        <is>
          <t>NARELOCR</t>
        </is>
      </c>
      <c r="AJ543" s="24" t="inlineStr">
        <is>
          <t>P3CONOTH</t>
        </is>
      </c>
      <c r="AK543" s="24" t="inlineStr">
        <is>
          <t>P9CONOTH</t>
        </is>
      </c>
      <c r="AL543" s="24" t="inlineStr">
        <is>
          <t>NACONOTH</t>
        </is>
      </c>
      <c r="AM543" s="24" t="inlineStr">
        <is>
          <t>LNCRCD</t>
        </is>
      </c>
      <c r="AN543" s="24" t="inlineStr">
        <is>
          <t>LNAUTO</t>
        </is>
      </c>
      <c r="AO543" s="24" t="inlineStr">
        <is>
          <t>LNCONOTH</t>
        </is>
      </c>
      <c r="AP543" s="24" t="inlineStr">
        <is>
          <t>LNRERES</t>
        </is>
      </c>
      <c r="AQ543" s="24" t="inlineStr">
        <is>
          <t>NTCRCDQ</t>
        </is>
      </c>
      <c r="AR543" s="24" t="inlineStr">
        <is>
          <t>NTAUTOQ</t>
        </is>
      </c>
      <c r="AS543" s="24" t="inlineStr">
        <is>
          <t>NTCONOTQ</t>
        </is>
      </c>
      <c r="AT543" s="24" t="inlineStr">
        <is>
          <t>NTRERESQ</t>
        </is>
      </c>
      <c r="AU543" s="24" t="inlineStr">
        <is>
          <t>P3CIR</t>
        </is>
      </c>
      <c r="AV543" s="24" t="inlineStr">
        <is>
          <t>P9CIR</t>
        </is>
      </c>
      <c r="AW543" s="24" t="inlineStr">
        <is>
          <t>NACIR</t>
        </is>
      </c>
      <c r="AX543" s="24" t="inlineStr">
        <is>
          <t>P3RECONS</t>
        </is>
      </c>
      <c r="AY543" s="24" t="inlineStr">
        <is>
          <t>P9RECONS</t>
        </is>
      </c>
      <c r="AZ543" s="24" t="inlineStr">
        <is>
          <t>NARECONS</t>
        </is>
      </c>
      <c r="BA543" s="24" t="inlineStr">
        <is>
          <t>P3RENRES</t>
        </is>
      </c>
      <c r="BB543" s="24" t="inlineStr">
        <is>
          <t>P9RENRES</t>
        </is>
      </c>
      <c r="BC543" s="24" t="inlineStr">
        <is>
          <t>NARENRES</t>
        </is>
      </c>
      <c r="BD543" s="24" t="inlineStr">
        <is>
          <t>P3REMULT</t>
        </is>
      </c>
      <c r="BE543" s="24" t="inlineStr">
        <is>
          <t>P9REMULT</t>
        </is>
      </c>
      <c r="BF543" s="24" t="inlineStr">
        <is>
          <t>NAREMULT</t>
        </is>
      </c>
      <c r="BG543" s="24" t="inlineStr">
        <is>
          <t>LNCI</t>
        </is>
      </c>
      <c r="BH543" s="24" t="inlineStr">
        <is>
          <t>NTRECONQ</t>
        </is>
      </c>
      <c r="BI543" s="24" t="inlineStr">
        <is>
          <t>NTRENREQ</t>
        </is>
      </c>
      <c r="BJ543" s="24" t="inlineStr">
        <is>
          <t>NTREMULQ</t>
        </is>
      </c>
      <c r="BK543" s="24" t="inlineStr">
        <is>
          <t>NTCIQ</t>
        </is>
      </c>
      <c r="BL543" s="24" t="inlineStr">
        <is>
          <t>DEPUNINS</t>
        </is>
      </c>
      <c r="BM543" s="24" t="inlineStr">
        <is>
          <t>SCHA</t>
        </is>
      </c>
      <c r="BN543" s="24" t="inlineStr">
        <is>
          <t>SCHF</t>
        </is>
      </c>
      <c r="BO543" s="24" t="inlineStr">
        <is>
          <t>SCAA</t>
        </is>
      </c>
      <c r="BP543" s="24" t="inlineStr">
        <is>
          <t>SCAF</t>
        </is>
      </c>
      <c r="BQ543" s="24" t="inlineStr">
        <is>
          <t>OTHBFHLB</t>
        </is>
      </c>
    </row>
    <row r="562">
      <c r="A562" s="29" t="inlineStr">
        <is>
          <t>slot29</t>
        </is>
      </c>
    </row>
    <row r="563">
      <c r="A563" s="24" t="inlineStr">
        <is>
          <t>REPDTE</t>
        </is>
      </c>
      <c r="B563" s="24" t="inlineStr">
        <is>
          <t>ASSET</t>
        </is>
      </c>
      <c r="C563" s="24" t="inlineStr">
        <is>
          <t>DEP</t>
        </is>
      </c>
      <c r="D563" s="24" t="inlineStr">
        <is>
          <t>LNLSGR</t>
        </is>
      </c>
      <c r="E563" s="24" t="inlineStr">
        <is>
          <t>LNLSNET</t>
        </is>
      </c>
      <c r="F563" s="24" t="inlineStr">
        <is>
          <t>BRO</t>
        </is>
      </c>
      <c r="G563" s="24" t="inlineStr">
        <is>
          <t>EQ</t>
        </is>
      </c>
      <c r="H563" s="24" t="inlineStr">
        <is>
          <t>NCLNLS</t>
        </is>
      </c>
      <c r="I563" s="24" t="inlineStr">
        <is>
          <t>LNATRES</t>
        </is>
      </c>
      <c r="J563" s="24" t="inlineStr">
        <is>
          <t>P3LNLS</t>
        </is>
      </c>
      <c r="K563" s="24" t="inlineStr">
        <is>
          <t>LNRECONS</t>
        </is>
      </c>
      <c r="L563" s="24" t="inlineStr">
        <is>
          <t>LNRENRES</t>
        </is>
      </c>
      <c r="M563" s="24" t="inlineStr">
        <is>
          <t>LNREMULT</t>
        </is>
      </c>
      <c r="N563" s="24" t="inlineStr">
        <is>
          <t>NCLNLSR</t>
        </is>
      </c>
      <c r="O563" s="24" t="inlineStr">
        <is>
          <t>NTLNLSQR</t>
        </is>
      </c>
      <c r="P563" s="24" t="inlineStr">
        <is>
          <t>LNATRESR</t>
        </is>
      </c>
      <c r="Q563" s="24" t="inlineStr">
        <is>
          <t>LNRESNCR</t>
        </is>
      </c>
      <c r="R563" s="24" t="inlineStr">
        <is>
          <t>RBC1AAJ</t>
        </is>
      </c>
      <c r="S563" s="24" t="inlineStr">
        <is>
          <t>RBCRWAJ</t>
        </is>
      </c>
      <c r="T563" s="24" t="inlineStr">
        <is>
          <t>EQV</t>
        </is>
      </c>
      <c r="U563" s="24" t="inlineStr">
        <is>
          <t>ROAQ</t>
        </is>
      </c>
      <c r="V563" s="24" t="inlineStr">
        <is>
          <t>NIMY</t>
        </is>
      </c>
      <c r="W563" s="24" t="inlineStr">
        <is>
          <t>EEFFR</t>
        </is>
      </c>
      <c r="X563" s="24" t="inlineStr">
        <is>
          <t>P3CRCDR</t>
        </is>
      </c>
      <c r="Y563" s="24" t="inlineStr">
        <is>
          <t>P9CRCDR</t>
        </is>
      </c>
      <c r="Z563" s="24" t="inlineStr">
        <is>
          <t>NACRCDR</t>
        </is>
      </c>
      <c r="AA563" s="24" t="inlineStr">
        <is>
          <t>P3AUTOR</t>
        </is>
      </c>
      <c r="AB563" s="24" t="inlineStr">
        <is>
          <t>P9AUTOR</t>
        </is>
      </c>
      <c r="AC563" s="24" t="inlineStr">
        <is>
          <t>NAAUTOR</t>
        </is>
      </c>
      <c r="AD563" s="24" t="inlineStr">
        <is>
          <t>P3RERESR</t>
        </is>
      </c>
      <c r="AE563" s="24" t="inlineStr">
        <is>
          <t>P9RERESR</t>
        </is>
      </c>
      <c r="AF563" s="24" t="inlineStr">
        <is>
          <t>NARERESR</t>
        </is>
      </c>
      <c r="AG563" s="24" t="inlineStr">
        <is>
          <t>P3RELOCR</t>
        </is>
      </c>
      <c r="AH563" s="24" t="inlineStr">
        <is>
          <t>P9RELOCR</t>
        </is>
      </c>
      <c r="AI563" s="24" t="inlineStr">
        <is>
          <t>NARELOCR</t>
        </is>
      </c>
      <c r="AJ563" s="24" t="inlineStr">
        <is>
          <t>P3CONOTH</t>
        </is>
      </c>
      <c r="AK563" s="24" t="inlineStr">
        <is>
          <t>P9CONOTH</t>
        </is>
      </c>
      <c r="AL563" s="24" t="inlineStr">
        <is>
          <t>NACONOTH</t>
        </is>
      </c>
      <c r="AM563" s="24" t="inlineStr">
        <is>
          <t>LNCRCD</t>
        </is>
      </c>
      <c r="AN563" s="24" t="inlineStr">
        <is>
          <t>LNAUTO</t>
        </is>
      </c>
      <c r="AO563" s="24" t="inlineStr">
        <is>
          <t>LNCONOTH</t>
        </is>
      </c>
      <c r="AP563" s="24" t="inlineStr">
        <is>
          <t>LNRERES</t>
        </is>
      </c>
      <c r="AQ563" s="24" t="inlineStr">
        <is>
          <t>NTCRCDQ</t>
        </is>
      </c>
      <c r="AR563" s="24" t="inlineStr">
        <is>
          <t>NTAUTOQ</t>
        </is>
      </c>
      <c r="AS563" s="24" t="inlineStr">
        <is>
          <t>NTCONOTQ</t>
        </is>
      </c>
      <c r="AT563" s="24" t="inlineStr">
        <is>
          <t>NTRERESQ</t>
        </is>
      </c>
      <c r="AU563" s="24" t="inlineStr">
        <is>
          <t>P3CIR</t>
        </is>
      </c>
      <c r="AV563" s="24" t="inlineStr">
        <is>
          <t>P9CIR</t>
        </is>
      </c>
      <c r="AW563" s="24" t="inlineStr">
        <is>
          <t>NACIR</t>
        </is>
      </c>
      <c r="AX563" s="24" t="inlineStr">
        <is>
          <t>P3RECONS</t>
        </is>
      </c>
      <c r="AY563" s="24" t="inlineStr">
        <is>
          <t>P9RECONS</t>
        </is>
      </c>
      <c r="AZ563" s="24" t="inlineStr">
        <is>
          <t>NARECONS</t>
        </is>
      </c>
      <c r="BA563" s="24" t="inlineStr">
        <is>
          <t>P3RENRES</t>
        </is>
      </c>
      <c r="BB563" s="24" t="inlineStr">
        <is>
          <t>P9RENRES</t>
        </is>
      </c>
      <c r="BC563" s="24" t="inlineStr">
        <is>
          <t>NARENRES</t>
        </is>
      </c>
      <c r="BD563" s="24" t="inlineStr">
        <is>
          <t>P3REMULT</t>
        </is>
      </c>
      <c r="BE563" s="24" t="inlineStr">
        <is>
          <t>P9REMULT</t>
        </is>
      </c>
      <c r="BF563" s="24" t="inlineStr">
        <is>
          <t>NAREMULT</t>
        </is>
      </c>
      <c r="BG563" s="24" t="inlineStr">
        <is>
          <t>LNCI</t>
        </is>
      </c>
      <c r="BH563" s="24" t="inlineStr">
        <is>
          <t>NTRECONQ</t>
        </is>
      </c>
      <c r="BI563" s="24" t="inlineStr">
        <is>
          <t>NTRENREQ</t>
        </is>
      </c>
      <c r="BJ563" s="24" t="inlineStr">
        <is>
          <t>NTREMULQ</t>
        </is>
      </c>
      <c r="BK563" s="24" t="inlineStr">
        <is>
          <t>NTCIQ</t>
        </is>
      </c>
      <c r="BL563" s="24" t="inlineStr">
        <is>
          <t>DEPUNINS</t>
        </is>
      </c>
      <c r="BM563" s="24" t="inlineStr">
        <is>
          <t>SCHA</t>
        </is>
      </c>
      <c r="BN563" s="24" t="inlineStr">
        <is>
          <t>SCHF</t>
        </is>
      </c>
      <c r="BO563" s="24" t="inlineStr">
        <is>
          <t>SCAA</t>
        </is>
      </c>
      <c r="BP563" s="24" t="inlineStr">
        <is>
          <t>SCAF</t>
        </is>
      </c>
      <c r="BQ563" s="24" t="inlineStr">
        <is>
          <t>OTHBFHLB</t>
        </is>
      </c>
    </row>
    <row r="582">
      <c r="A582" s="29" t="inlineStr">
        <is>
          <t>slot30</t>
        </is>
      </c>
    </row>
    <row r="583">
      <c r="A583" s="24" t="inlineStr">
        <is>
          <t>REPDTE</t>
        </is>
      </c>
      <c r="B583" s="24" t="inlineStr">
        <is>
          <t>ASSET</t>
        </is>
      </c>
      <c r="C583" s="24" t="inlineStr">
        <is>
          <t>DEP</t>
        </is>
      </c>
      <c r="D583" s="24" t="inlineStr">
        <is>
          <t>LNLSGR</t>
        </is>
      </c>
      <c r="E583" s="24" t="inlineStr">
        <is>
          <t>LNLSNET</t>
        </is>
      </c>
      <c r="F583" s="24" t="inlineStr">
        <is>
          <t>BRO</t>
        </is>
      </c>
      <c r="G583" s="24" t="inlineStr">
        <is>
          <t>EQ</t>
        </is>
      </c>
      <c r="H583" s="24" t="inlineStr">
        <is>
          <t>NCLNLS</t>
        </is>
      </c>
      <c r="I583" s="24" t="inlineStr">
        <is>
          <t>LNATRES</t>
        </is>
      </c>
      <c r="J583" s="24" t="inlineStr">
        <is>
          <t>P3LNLS</t>
        </is>
      </c>
      <c r="K583" s="24" t="inlineStr">
        <is>
          <t>LNRECONS</t>
        </is>
      </c>
      <c r="L583" s="24" t="inlineStr">
        <is>
          <t>LNRENRES</t>
        </is>
      </c>
      <c r="M583" s="24" t="inlineStr">
        <is>
          <t>LNREMULT</t>
        </is>
      </c>
      <c r="N583" s="24" t="inlineStr">
        <is>
          <t>NCLNLSR</t>
        </is>
      </c>
      <c r="O583" s="24" t="inlineStr">
        <is>
          <t>NTLNLSQR</t>
        </is>
      </c>
      <c r="P583" s="24" t="inlineStr">
        <is>
          <t>LNATRESR</t>
        </is>
      </c>
      <c r="Q583" s="24" t="inlineStr">
        <is>
          <t>LNRESNCR</t>
        </is>
      </c>
      <c r="R583" s="24" t="inlineStr">
        <is>
          <t>RBC1AAJ</t>
        </is>
      </c>
      <c r="S583" s="24" t="inlineStr">
        <is>
          <t>RBCRWAJ</t>
        </is>
      </c>
      <c r="T583" s="24" t="inlineStr">
        <is>
          <t>EQV</t>
        </is>
      </c>
      <c r="U583" s="24" t="inlineStr">
        <is>
          <t>ROAQ</t>
        </is>
      </c>
      <c r="V583" s="24" t="inlineStr">
        <is>
          <t>NIMY</t>
        </is>
      </c>
      <c r="W583" s="24" t="inlineStr">
        <is>
          <t>EEFFR</t>
        </is>
      </c>
      <c r="X583" s="24" t="inlineStr">
        <is>
          <t>P3CRCDR</t>
        </is>
      </c>
      <c r="Y583" s="24" t="inlineStr">
        <is>
          <t>P9CRCDR</t>
        </is>
      </c>
      <c r="Z583" s="24" t="inlineStr">
        <is>
          <t>NACRCDR</t>
        </is>
      </c>
      <c r="AA583" s="24" t="inlineStr">
        <is>
          <t>P3AUTOR</t>
        </is>
      </c>
      <c r="AB583" s="24" t="inlineStr">
        <is>
          <t>P9AUTOR</t>
        </is>
      </c>
      <c r="AC583" s="24" t="inlineStr">
        <is>
          <t>NAAUTOR</t>
        </is>
      </c>
      <c r="AD583" s="24" t="inlineStr">
        <is>
          <t>P3RERESR</t>
        </is>
      </c>
      <c r="AE583" s="24" t="inlineStr">
        <is>
          <t>P9RERESR</t>
        </is>
      </c>
      <c r="AF583" s="24" t="inlineStr">
        <is>
          <t>NARERESR</t>
        </is>
      </c>
      <c r="AG583" s="24" t="inlineStr">
        <is>
          <t>P3RELOCR</t>
        </is>
      </c>
      <c r="AH583" s="24" t="inlineStr">
        <is>
          <t>P9RELOCR</t>
        </is>
      </c>
      <c r="AI583" s="24" t="inlineStr">
        <is>
          <t>NARELOCR</t>
        </is>
      </c>
      <c r="AJ583" s="24" t="inlineStr">
        <is>
          <t>P3CONOTH</t>
        </is>
      </c>
      <c r="AK583" s="24" t="inlineStr">
        <is>
          <t>P9CONOTH</t>
        </is>
      </c>
      <c r="AL583" s="24" t="inlineStr">
        <is>
          <t>NACONOTH</t>
        </is>
      </c>
      <c r="AM583" s="24" t="inlineStr">
        <is>
          <t>LNCRCD</t>
        </is>
      </c>
      <c r="AN583" s="24" t="inlineStr">
        <is>
          <t>LNAUTO</t>
        </is>
      </c>
      <c r="AO583" s="24" t="inlineStr">
        <is>
          <t>LNCONOTH</t>
        </is>
      </c>
      <c r="AP583" s="24" t="inlineStr">
        <is>
          <t>LNRERES</t>
        </is>
      </c>
      <c r="AQ583" s="24" t="inlineStr">
        <is>
          <t>NTCRCDQ</t>
        </is>
      </c>
      <c r="AR583" s="24" t="inlineStr">
        <is>
          <t>NTAUTOQ</t>
        </is>
      </c>
      <c r="AS583" s="24" t="inlineStr">
        <is>
          <t>NTCONOTQ</t>
        </is>
      </c>
      <c r="AT583" s="24" t="inlineStr">
        <is>
          <t>NTRERESQ</t>
        </is>
      </c>
      <c r="AU583" s="24" t="inlineStr">
        <is>
          <t>P3CIR</t>
        </is>
      </c>
      <c r="AV583" s="24" t="inlineStr">
        <is>
          <t>P9CIR</t>
        </is>
      </c>
      <c r="AW583" s="24" t="inlineStr">
        <is>
          <t>NACIR</t>
        </is>
      </c>
      <c r="AX583" s="24" t="inlineStr">
        <is>
          <t>P3RECONS</t>
        </is>
      </c>
      <c r="AY583" s="24" t="inlineStr">
        <is>
          <t>P9RECONS</t>
        </is>
      </c>
      <c r="AZ583" s="24" t="inlineStr">
        <is>
          <t>NARECONS</t>
        </is>
      </c>
      <c r="BA583" s="24" t="inlineStr">
        <is>
          <t>P3RENRES</t>
        </is>
      </c>
      <c r="BB583" s="24" t="inlineStr">
        <is>
          <t>P9RENRES</t>
        </is>
      </c>
      <c r="BC583" s="24" t="inlineStr">
        <is>
          <t>NARENRES</t>
        </is>
      </c>
      <c r="BD583" s="24" t="inlineStr">
        <is>
          <t>P3REMULT</t>
        </is>
      </c>
      <c r="BE583" s="24" t="inlineStr">
        <is>
          <t>P9REMULT</t>
        </is>
      </c>
      <c r="BF583" s="24" t="inlineStr">
        <is>
          <t>NAREMULT</t>
        </is>
      </c>
      <c r="BG583" s="24" t="inlineStr">
        <is>
          <t>LNCI</t>
        </is>
      </c>
      <c r="BH583" s="24" t="inlineStr">
        <is>
          <t>NTRECONQ</t>
        </is>
      </c>
      <c r="BI583" s="24" t="inlineStr">
        <is>
          <t>NTRENREQ</t>
        </is>
      </c>
      <c r="BJ583" s="24" t="inlineStr">
        <is>
          <t>NTREMULQ</t>
        </is>
      </c>
      <c r="BK583" s="24" t="inlineStr">
        <is>
          <t>NTCIQ</t>
        </is>
      </c>
      <c r="BL583" s="24" t="inlineStr">
        <is>
          <t>DEPUNINS</t>
        </is>
      </c>
      <c r="BM583" s="24" t="inlineStr">
        <is>
          <t>SCHA</t>
        </is>
      </c>
      <c r="BN583" s="24" t="inlineStr">
        <is>
          <t>SCHF</t>
        </is>
      </c>
      <c r="BO583" s="24" t="inlineStr">
        <is>
          <t>SCAA</t>
        </is>
      </c>
      <c r="BP583" s="24" t="inlineStr">
        <is>
          <t>SCAF</t>
        </is>
      </c>
      <c r="BQ583" s="24" t="inlineStr">
        <is>
          <t>OTHBFHLB</t>
        </is>
      </c>
    </row>
    <row r="602">
      <c r="A602" s="29" t="inlineStr">
        <is>
          <t>slot31</t>
        </is>
      </c>
    </row>
    <row r="603">
      <c r="A603" s="24" t="inlineStr">
        <is>
          <t>REPDTE</t>
        </is>
      </c>
      <c r="B603" s="24" t="inlineStr">
        <is>
          <t>ASSET</t>
        </is>
      </c>
      <c r="C603" s="24" t="inlineStr">
        <is>
          <t>DEP</t>
        </is>
      </c>
      <c r="D603" s="24" t="inlineStr">
        <is>
          <t>LNLSGR</t>
        </is>
      </c>
      <c r="E603" s="24" t="inlineStr">
        <is>
          <t>LNLSNET</t>
        </is>
      </c>
      <c r="F603" s="24" t="inlineStr">
        <is>
          <t>BRO</t>
        </is>
      </c>
      <c r="G603" s="24" t="inlineStr">
        <is>
          <t>EQ</t>
        </is>
      </c>
      <c r="H603" s="24" t="inlineStr">
        <is>
          <t>NCLNLS</t>
        </is>
      </c>
      <c r="I603" s="24" t="inlineStr">
        <is>
          <t>LNATRES</t>
        </is>
      </c>
      <c r="J603" s="24" t="inlineStr">
        <is>
          <t>P3LNLS</t>
        </is>
      </c>
      <c r="K603" s="24" t="inlineStr">
        <is>
          <t>LNRECONS</t>
        </is>
      </c>
      <c r="L603" s="24" t="inlineStr">
        <is>
          <t>LNRENRES</t>
        </is>
      </c>
      <c r="M603" s="24" t="inlineStr">
        <is>
          <t>LNREMULT</t>
        </is>
      </c>
      <c r="N603" s="24" t="inlineStr">
        <is>
          <t>NCLNLSR</t>
        </is>
      </c>
      <c r="O603" s="24" t="inlineStr">
        <is>
          <t>NTLNLSQR</t>
        </is>
      </c>
      <c r="P603" s="24" t="inlineStr">
        <is>
          <t>LNATRESR</t>
        </is>
      </c>
      <c r="Q603" s="24" t="inlineStr">
        <is>
          <t>LNRESNCR</t>
        </is>
      </c>
      <c r="R603" s="24" t="inlineStr">
        <is>
          <t>RBC1AAJ</t>
        </is>
      </c>
      <c r="S603" s="24" t="inlineStr">
        <is>
          <t>RBCRWAJ</t>
        </is>
      </c>
      <c r="T603" s="24" t="inlineStr">
        <is>
          <t>EQV</t>
        </is>
      </c>
      <c r="U603" s="24" t="inlineStr">
        <is>
          <t>ROAQ</t>
        </is>
      </c>
      <c r="V603" s="24" t="inlineStr">
        <is>
          <t>NIMY</t>
        </is>
      </c>
      <c r="W603" s="24" t="inlineStr">
        <is>
          <t>EEFFR</t>
        </is>
      </c>
      <c r="X603" s="24" t="inlineStr">
        <is>
          <t>P3CRCDR</t>
        </is>
      </c>
      <c r="Y603" s="24" t="inlineStr">
        <is>
          <t>P9CRCDR</t>
        </is>
      </c>
      <c r="Z603" s="24" t="inlineStr">
        <is>
          <t>NACRCDR</t>
        </is>
      </c>
      <c r="AA603" s="24" t="inlineStr">
        <is>
          <t>P3AUTOR</t>
        </is>
      </c>
      <c r="AB603" s="24" t="inlineStr">
        <is>
          <t>P9AUTOR</t>
        </is>
      </c>
      <c r="AC603" s="24" t="inlineStr">
        <is>
          <t>NAAUTOR</t>
        </is>
      </c>
      <c r="AD603" s="24" t="inlineStr">
        <is>
          <t>P3RERESR</t>
        </is>
      </c>
      <c r="AE603" s="24" t="inlineStr">
        <is>
          <t>P9RERESR</t>
        </is>
      </c>
      <c r="AF603" s="24" t="inlineStr">
        <is>
          <t>NARERESR</t>
        </is>
      </c>
      <c r="AG603" s="24" t="inlineStr">
        <is>
          <t>P3RELOCR</t>
        </is>
      </c>
      <c r="AH603" s="24" t="inlineStr">
        <is>
          <t>P9RELOCR</t>
        </is>
      </c>
      <c r="AI603" s="24" t="inlineStr">
        <is>
          <t>NARELOCR</t>
        </is>
      </c>
      <c r="AJ603" s="24" t="inlineStr">
        <is>
          <t>P3CONOTH</t>
        </is>
      </c>
      <c r="AK603" s="24" t="inlineStr">
        <is>
          <t>P9CONOTH</t>
        </is>
      </c>
      <c r="AL603" s="24" t="inlineStr">
        <is>
          <t>NACONOTH</t>
        </is>
      </c>
      <c r="AM603" s="24" t="inlineStr">
        <is>
          <t>LNCRCD</t>
        </is>
      </c>
      <c r="AN603" s="24" t="inlineStr">
        <is>
          <t>LNAUTO</t>
        </is>
      </c>
      <c r="AO603" s="24" t="inlineStr">
        <is>
          <t>LNCONOTH</t>
        </is>
      </c>
      <c r="AP603" s="24" t="inlineStr">
        <is>
          <t>LNRERES</t>
        </is>
      </c>
      <c r="AQ603" s="24" t="inlineStr">
        <is>
          <t>NTCRCDQ</t>
        </is>
      </c>
      <c r="AR603" s="24" t="inlineStr">
        <is>
          <t>NTAUTOQ</t>
        </is>
      </c>
      <c r="AS603" s="24" t="inlineStr">
        <is>
          <t>NTCONOTQ</t>
        </is>
      </c>
      <c r="AT603" s="24" t="inlineStr">
        <is>
          <t>NTRERESQ</t>
        </is>
      </c>
      <c r="AU603" s="24" t="inlineStr">
        <is>
          <t>P3CIR</t>
        </is>
      </c>
      <c r="AV603" s="24" t="inlineStr">
        <is>
          <t>P9CIR</t>
        </is>
      </c>
      <c r="AW603" s="24" t="inlineStr">
        <is>
          <t>NACIR</t>
        </is>
      </c>
      <c r="AX603" s="24" t="inlineStr">
        <is>
          <t>P3RECONS</t>
        </is>
      </c>
      <c r="AY603" s="24" t="inlineStr">
        <is>
          <t>P9RECONS</t>
        </is>
      </c>
      <c r="AZ603" s="24" t="inlineStr">
        <is>
          <t>NARECONS</t>
        </is>
      </c>
      <c r="BA603" s="24" t="inlineStr">
        <is>
          <t>P3RENRES</t>
        </is>
      </c>
      <c r="BB603" s="24" t="inlineStr">
        <is>
          <t>P9RENRES</t>
        </is>
      </c>
      <c r="BC603" s="24" t="inlineStr">
        <is>
          <t>NARENRES</t>
        </is>
      </c>
      <c r="BD603" s="24" t="inlineStr">
        <is>
          <t>P3REMULT</t>
        </is>
      </c>
      <c r="BE603" s="24" t="inlineStr">
        <is>
          <t>P9REMULT</t>
        </is>
      </c>
      <c r="BF603" s="24" t="inlineStr">
        <is>
          <t>NAREMULT</t>
        </is>
      </c>
      <c r="BG603" s="24" t="inlineStr">
        <is>
          <t>LNCI</t>
        </is>
      </c>
      <c r="BH603" s="24" t="inlineStr">
        <is>
          <t>NTRECONQ</t>
        </is>
      </c>
      <c r="BI603" s="24" t="inlineStr">
        <is>
          <t>NTRENREQ</t>
        </is>
      </c>
      <c r="BJ603" s="24" t="inlineStr">
        <is>
          <t>NTREMULQ</t>
        </is>
      </c>
      <c r="BK603" s="24" t="inlineStr">
        <is>
          <t>NTCIQ</t>
        </is>
      </c>
      <c r="BL603" s="24" t="inlineStr">
        <is>
          <t>DEPUNINS</t>
        </is>
      </c>
      <c r="BM603" s="24" t="inlineStr">
        <is>
          <t>SCHA</t>
        </is>
      </c>
      <c r="BN603" s="24" t="inlineStr">
        <is>
          <t>SCHF</t>
        </is>
      </c>
      <c r="BO603" s="24" t="inlineStr">
        <is>
          <t>SCAA</t>
        </is>
      </c>
      <c r="BP603" s="24" t="inlineStr">
        <is>
          <t>SCAF</t>
        </is>
      </c>
      <c r="BQ603" s="24" t="inlineStr">
        <is>
          <t>OTHBFHLB</t>
        </is>
      </c>
    </row>
    <row r="622">
      <c r="A622" s="29" t="inlineStr">
        <is>
          <t>slot32</t>
        </is>
      </c>
    </row>
    <row r="623">
      <c r="A623" s="24" t="inlineStr">
        <is>
          <t>REPDTE</t>
        </is>
      </c>
      <c r="B623" s="24" t="inlineStr">
        <is>
          <t>ASSET</t>
        </is>
      </c>
      <c r="C623" s="24" t="inlineStr">
        <is>
          <t>DEP</t>
        </is>
      </c>
      <c r="D623" s="24" t="inlineStr">
        <is>
          <t>LNLSGR</t>
        </is>
      </c>
      <c r="E623" s="24" t="inlineStr">
        <is>
          <t>LNLSNET</t>
        </is>
      </c>
      <c r="F623" s="24" t="inlineStr">
        <is>
          <t>BRO</t>
        </is>
      </c>
      <c r="G623" s="24" t="inlineStr">
        <is>
          <t>EQ</t>
        </is>
      </c>
      <c r="H623" s="24" t="inlineStr">
        <is>
          <t>NCLNLS</t>
        </is>
      </c>
      <c r="I623" s="24" t="inlineStr">
        <is>
          <t>LNATRES</t>
        </is>
      </c>
      <c r="J623" s="24" t="inlineStr">
        <is>
          <t>P3LNLS</t>
        </is>
      </c>
      <c r="K623" s="24" t="inlineStr">
        <is>
          <t>LNRECONS</t>
        </is>
      </c>
      <c r="L623" s="24" t="inlineStr">
        <is>
          <t>LNRENRES</t>
        </is>
      </c>
      <c r="M623" s="24" t="inlineStr">
        <is>
          <t>LNREMULT</t>
        </is>
      </c>
      <c r="N623" s="24" t="inlineStr">
        <is>
          <t>NCLNLSR</t>
        </is>
      </c>
      <c r="O623" s="24" t="inlineStr">
        <is>
          <t>NTLNLSQR</t>
        </is>
      </c>
      <c r="P623" s="24" t="inlineStr">
        <is>
          <t>LNATRESR</t>
        </is>
      </c>
      <c r="Q623" s="24" t="inlineStr">
        <is>
          <t>LNRESNCR</t>
        </is>
      </c>
      <c r="R623" s="24" t="inlineStr">
        <is>
          <t>RBC1AAJ</t>
        </is>
      </c>
      <c r="S623" s="24" t="inlineStr">
        <is>
          <t>RBCRWAJ</t>
        </is>
      </c>
      <c r="T623" s="24" t="inlineStr">
        <is>
          <t>EQV</t>
        </is>
      </c>
      <c r="U623" s="24" t="inlineStr">
        <is>
          <t>ROAQ</t>
        </is>
      </c>
      <c r="V623" s="24" t="inlineStr">
        <is>
          <t>NIMY</t>
        </is>
      </c>
      <c r="W623" s="24" t="inlineStr">
        <is>
          <t>EEFFR</t>
        </is>
      </c>
      <c r="X623" s="24" t="inlineStr">
        <is>
          <t>P3CRCDR</t>
        </is>
      </c>
      <c r="Y623" s="24" t="inlineStr">
        <is>
          <t>P9CRCDR</t>
        </is>
      </c>
      <c r="Z623" s="24" t="inlineStr">
        <is>
          <t>NACRCDR</t>
        </is>
      </c>
      <c r="AA623" s="24" t="inlineStr">
        <is>
          <t>P3AUTOR</t>
        </is>
      </c>
      <c r="AB623" s="24" t="inlineStr">
        <is>
          <t>P9AUTOR</t>
        </is>
      </c>
      <c r="AC623" s="24" t="inlineStr">
        <is>
          <t>NAAUTOR</t>
        </is>
      </c>
      <c r="AD623" s="24" t="inlineStr">
        <is>
          <t>P3RERESR</t>
        </is>
      </c>
      <c r="AE623" s="24" t="inlineStr">
        <is>
          <t>P9RERESR</t>
        </is>
      </c>
      <c r="AF623" s="24" t="inlineStr">
        <is>
          <t>NARERESR</t>
        </is>
      </c>
      <c r="AG623" s="24" t="inlineStr">
        <is>
          <t>P3RELOCR</t>
        </is>
      </c>
      <c r="AH623" s="24" t="inlineStr">
        <is>
          <t>P9RELOCR</t>
        </is>
      </c>
      <c r="AI623" s="24" t="inlineStr">
        <is>
          <t>NARELOCR</t>
        </is>
      </c>
      <c r="AJ623" s="24" t="inlineStr">
        <is>
          <t>P3CONOTH</t>
        </is>
      </c>
      <c r="AK623" s="24" t="inlineStr">
        <is>
          <t>P9CONOTH</t>
        </is>
      </c>
      <c r="AL623" s="24" t="inlineStr">
        <is>
          <t>NACONOTH</t>
        </is>
      </c>
      <c r="AM623" s="24" t="inlineStr">
        <is>
          <t>LNCRCD</t>
        </is>
      </c>
      <c r="AN623" s="24" t="inlineStr">
        <is>
          <t>LNAUTO</t>
        </is>
      </c>
      <c r="AO623" s="24" t="inlineStr">
        <is>
          <t>LNCONOTH</t>
        </is>
      </c>
      <c r="AP623" s="24" t="inlineStr">
        <is>
          <t>LNRERES</t>
        </is>
      </c>
      <c r="AQ623" s="24" t="inlineStr">
        <is>
          <t>NTCRCDQ</t>
        </is>
      </c>
      <c r="AR623" s="24" t="inlineStr">
        <is>
          <t>NTAUTOQ</t>
        </is>
      </c>
      <c r="AS623" s="24" t="inlineStr">
        <is>
          <t>NTCONOTQ</t>
        </is>
      </c>
      <c r="AT623" s="24" t="inlineStr">
        <is>
          <t>NTRERESQ</t>
        </is>
      </c>
      <c r="AU623" s="24" t="inlineStr">
        <is>
          <t>P3CIR</t>
        </is>
      </c>
      <c r="AV623" s="24" t="inlineStr">
        <is>
          <t>P9CIR</t>
        </is>
      </c>
      <c r="AW623" s="24" t="inlineStr">
        <is>
          <t>NACIR</t>
        </is>
      </c>
      <c r="AX623" s="24" t="inlineStr">
        <is>
          <t>P3RECONS</t>
        </is>
      </c>
      <c r="AY623" s="24" t="inlineStr">
        <is>
          <t>P9RECONS</t>
        </is>
      </c>
      <c r="AZ623" s="24" t="inlineStr">
        <is>
          <t>NARECONS</t>
        </is>
      </c>
      <c r="BA623" s="24" t="inlineStr">
        <is>
          <t>P3RENRES</t>
        </is>
      </c>
      <c r="BB623" s="24" t="inlineStr">
        <is>
          <t>P9RENRES</t>
        </is>
      </c>
      <c r="BC623" s="24" t="inlineStr">
        <is>
          <t>NARENRES</t>
        </is>
      </c>
      <c r="BD623" s="24" t="inlineStr">
        <is>
          <t>P3REMULT</t>
        </is>
      </c>
      <c r="BE623" s="24" t="inlineStr">
        <is>
          <t>P9REMULT</t>
        </is>
      </c>
      <c r="BF623" s="24" t="inlineStr">
        <is>
          <t>NAREMULT</t>
        </is>
      </c>
      <c r="BG623" s="24" t="inlineStr">
        <is>
          <t>LNCI</t>
        </is>
      </c>
      <c r="BH623" s="24" t="inlineStr">
        <is>
          <t>NTRECONQ</t>
        </is>
      </c>
      <c r="BI623" s="24" t="inlineStr">
        <is>
          <t>NTRENREQ</t>
        </is>
      </c>
      <c r="BJ623" s="24" t="inlineStr">
        <is>
          <t>NTREMULQ</t>
        </is>
      </c>
      <c r="BK623" s="24" t="inlineStr">
        <is>
          <t>NTCIQ</t>
        </is>
      </c>
      <c r="BL623" s="24" t="inlineStr">
        <is>
          <t>DEPUNINS</t>
        </is>
      </c>
      <c r="BM623" s="24" t="inlineStr">
        <is>
          <t>SCHA</t>
        </is>
      </c>
      <c r="BN623" s="24" t="inlineStr">
        <is>
          <t>SCHF</t>
        </is>
      </c>
      <c r="BO623" s="24" t="inlineStr">
        <is>
          <t>SCAA</t>
        </is>
      </c>
      <c r="BP623" s="24" t="inlineStr">
        <is>
          <t>SCAF</t>
        </is>
      </c>
      <c r="BQ623" s="24" t="inlineStr">
        <is>
          <t>OTHBFHLB</t>
        </is>
      </c>
    </row>
    <row r="642">
      <c r="A642" s="29" t="inlineStr">
        <is>
          <t>slot33</t>
        </is>
      </c>
    </row>
    <row r="643">
      <c r="A643" s="24" t="inlineStr">
        <is>
          <t>REPDTE</t>
        </is>
      </c>
      <c r="B643" s="24" t="inlineStr">
        <is>
          <t>ASSET</t>
        </is>
      </c>
      <c r="C643" s="24" t="inlineStr">
        <is>
          <t>DEP</t>
        </is>
      </c>
      <c r="D643" s="24" t="inlineStr">
        <is>
          <t>LNLSGR</t>
        </is>
      </c>
      <c r="E643" s="24" t="inlineStr">
        <is>
          <t>LNLSNET</t>
        </is>
      </c>
      <c r="F643" s="24" t="inlineStr">
        <is>
          <t>BRO</t>
        </is>
      </c>
      <c r="G643" s="24" t="inlineStr">
        <is>
          <t>EQ</t>
        </is>
      </c>
      <c r="H643" s="24" t="inlineStr">
        <is>
          <t>NCLNLS</t>
        </is>
      </c>
      <c r="I643" s="24" t="inlineStr">
        <is>
          <t>LNATRES</t>
        </is>
      </c>
      <c r="J643" s="24" t="inlineStr">
        <is>
          <t>P3LNLS</t>
        </is>
      </c>
      <c r="K643" s="24" t="inlineStr">
        <is>
          <t>LNRECONS</t>
        </is>
      </c>
      <c r="L643" s="24" t="inlineStr">
        <is>
          <t>LNRENRES</t>
        </is>
      </c>
      <c r="M643" s="24" t="inlineStr">
        <is>
          <t>LNREMULT</t>
        </is>
      </c>
      <c r="N643" s="24" t="inlineStr">
        <is>
          <t>NCLNLSR</t>
        </is>
      </c>
      <c r="O643" s="24" t="inlineStr">
        <is>
          <t>NTLNLSQR</t>
        </is>
      </c>
      <c r="P643" s="24" t="inlineStr">
        <is>
          <t>LNATRESR</t>
        </is>
      </c>
      <c r="Q643" s="24" t="inlineStr">
        <is>
          <t>LNRESNCR</t>
        </is>
      </c>
      <c r="R643" s="24" t="inlineStr">
        <is>
          <t>RBC1AAJ</t>
        </is>
      </c>
      <c r="S643" s="24" t="inlineStr">
        <is>
          <t>RBCRWAJ</t>
        </is>
      </c>
      <c r="T643" s="24" t="inlineStr">
        <is>
          <t>EQV</t>
        </is>
      </c>
      <c r="U643" s="24" t="inlineStr">
        <is>
          <t>ROAQ</t>
        </is>
      </c>
      <c r="V643" s="24" t="inlineStr">
        <is>
          <t>NIMY</t>
        </is>
      </c>
      <c r="W643" s="24" t="inlineStr">
        <is>
          <t>EEFFR</t>
        </is>
      </c>
      <c r="X643" s="24" t="inlineStr">
        <is>
          <t>P3CRCDR</t>
        </is>
      </c>
      <c r="Y643" s="24" t="inlineStr">
        <is>
          <t>P9CRCDR</t>
        </is>
      </c>
      <c r="Z643" s="24" t="inlineStr">
        <is>
          <t>NACRCDR</t>
        </is>
      </c>
      <c r="AA643" s="24" t="inlineStr">
        <is>
          <t>P3AUTOR</t>
        </is>
      </c>
      <c r="AB643" s="24" t="inlineStr">
        <is>
          <t>P9AUTOR</t>
        </is>
      </c>
      <c r="AC643" s="24" t="inlineStr">
        <is>
          <t>NAAUTOR</t>
        </is>
      </c>
      <c r="AD643" s="24" t="inlineStr">
        <is>
          <t>P3RERESR</t>
        </is>
      </c>
      <c r="AE643" s="24" t="inlineStr">
        <is>
          <t>P9RERESR</t>
        </is>
      </c>
      <c r="AF643" s="24" t="inlineStr">
        <is>
          <t>NARERESR</t>
        </is>
      </c>
      <c r="AG643" s="24" t="inlineStr">
        <is>
          <t>P3RELOCR</t>
        </is>
      </c>
      <c r="AH643" s="24" t="inlineStr">
        <is>
          <t>P9RELOCR</t>
        </is>
      </c>
      <c r="AI643" s="24" t="inlineStr">
        <is>
          <t>NARELOCR</t>
        </is>
      </c>
      <c r="AJ643" s="24" t="inlineStr">
        <is>
          <t>P3CONOTH</t>
        </is>
      </c>
      <c r="AK643" s="24" t="inlineStr">
        <is>
          <t>P9CONOTH</t>
        </is>
      </c>
      <c r="AL643" s="24" t="inlineStr">
        <is>
          <t>NACONOTH</t>
        </is>
      </c>
      <c r="AM643" s="24" t="inlineStr">
        <is>
          <t>LNCRCD</t>
        </is>
      </c>
      <c r="AN643" s="24" t="inlineStr">
        <is>
          <t>LNAUTO</t>
        </is>
      </c>
      <c r="AO643" s="24" t="inlineStr">
        <is>
          <t>LNCONOTH</t>
        </is>
      </c>
      <c r="AP643" s="24" t="inlineStr">
        <is>
          <t>LNRERES</t>
        </is>
      </c>
      <c r="AQ643" s="24" t="inlineStr">
        <is>
          <t>NTCRCDQ</t>
        </is>
      </c>
      <c r="AR643" s="24" t="inlineStr">
        <is>
          <t>NTAUTOQ</t>
        </is>
      </c>
      <c r="AS643" s="24" t="inlineStr">
        <is>
          <t>NTCONOTQ</t>
        </is>
      </c>
      <c r="AT643" s="24" t="inlineStr">
        <is>
          <t>NTRERESQ</t>
        </is>
      </c>
      <c r="AU643" s="24" t="inlineStr">
        <is>
          <t>P3CIR</t>
        </is>
      </c>
      <c r="AV643" s="24" t="inlineStr">
        <is>
          <t>P9CIR</t>
        </is>
      </c>
      <c r="AW643" s="24" t="inlineStr">
        <is>
          <t>NACIR</t>
        </is>
      </c>
      <c r="AX643" s="24" t="inlineStr">
        <is>
          <t>P3RECONS</t>
        </is>
      </c>
      <c r="AY643" s="24" t="inlineStr">
        <is>
          <t>P9RECONS</t>
        </is>
      </c>
      <c r="AZ643" s="24" t="inlineStr">
        <is>
          <t>NARECONS</t>
        </is>
      </c>
      <c r="BA643" s="24" t="inlineStr">
        <is>
          <t>P3RENRES</t>
        </is>
      </c>
      <c r="BB643" s="24" t="inlineStr">
        <is>
          <t>P9RENRES</t>
        </is>
      </c>
      <c r="BC643" s="24" t="inlineStr">
        <is>
          <t>NARENRES</t>
        </is>
      </c>
      <c r="BD643" s="24" t="inlineStr">
        <is>
          <t>P3REMULT</t>
        </is>
      </c>
      <c r="BE643" s="24" t="inlineStr">
        <is>
          <t>P9REMULT</t>
        </is>
      </c>
      <c r="BF643" s="24" t="inlineStr">
        <is>
          <t>NAREMULT</t>
        </is>
      </c>
      <c r="BG643" s="24" t="inlineStr">
        <is>
          <t>LNCI</t>
        </is>
      </c>
      <c r="BH643" s="24" t="inlineStr">
        <is>
          <t>NTRECONQ</t>
        </is>
      </c>
      <c r="BI643" s="24" t="inlineStr">
        <is>
          <t>NTRENREQ</t>
        </is>
      </c>
      <c r="BJ643" s="24" t="inlineStr">
        <is>
          <t>NTREMULQ</t>
        </is>
      </c>
      <c r="BK643" s="24" t="inlineStr">
        <is>
          <t>NTCIQ</t>
        </is>
      </c>
      <c r="BL643" s="24" t="inlineStr">
        <is>
          <t>DEPUNINS</t>
        </is>
      </c>
      <c r="BM643" s="24" t="inlineStr">
        <is>
          <t>SCHA</t>
        </is>
      </c>
      <c r="BN643" s="24" t="inlineStr">
        <is>
          <t>SCHF</t>
        </is>
      </c>
      <c r="BO643" s="24" t="inlineStr">
        <is>
          <t>SCAA</t>
        </is>
      </c>
      <c r="BP643" s="24" t="inlineStr">
        <is>
          <t>SCAF</t>
        </is>
      </c>
      <c r="BQ643" s="24" t="inlineStr">
        <is>
          <t>OTHBFHLB</t>
        </is>
      </c>
    </row>
    <row r="662">
      <c r="A662" s="29" t="inlineStr">
        <is>
          <t>slot34</t>
        </is>
      </c>
    </row>
    <row r="663">
      <c r="A663" s="24" t="inlineStr">
        <is>
          <t>REPDTE</t>
        </is>
      </c>
      <c r="B663" s="24" t="inlineStr">
        <is>
          <t>ASSET</t>
        </is>
      </c>
      <c r="C663" s="24" t="inlineStr">
        <is>
          <t>DEP</t>
        </is>
      </c>
      <c r="D663" s="24" t="inlineStr">
        <is>
          <t>LNLSGR</t>
        </is>
      </c>
      <c r="E663" s="24" t="inlineStr">
        <is>
          <t>LNLSNET</t>
        </is>
      </c>
      <c r="F663" s="24" t="inlineStr">
        <is>
          <t>BRO</t>
        </is>
      </c>
      <c r="G663" s="24" t="inlineStr">
        <is>
          <t>EQ</t>
        </is>
      </c>
      <c r="H663" s="24" t="inlineStr">
        <is>
          <t>NCLNLS</t>
        </is>
      </c>
      <c r="I663" s="24" t="inlineStr">
        <is>
          <t>LNATRES</t>
        </is>
      </c>
      <c r="J663" s="24" t="inlineStr">
        <is>
          <t>P3LNLS</t>
        </is>
      </c>
      <c r="K663" s="24" t="inlineStr">
        <is>
          <t>LNRECONS</t>
        </is>
      </c>
      <c r="L663" s="24" t="inlineStr">
        <is>
          <t>LNRENRES</t>
        </is>
      </c>
      <c r="M663" s="24" t="inlineStr">
        <is>
          <t>LNREMULT</t>
        </is>
      </c>
      <c r="N663" s="24" t="inlineStr">
        <is>
          <t>NCLNLSR</t>
        </is>
      </c>
      <c r="O663" s="24" t="inlineStr">
        <is>
          <t>NTLNLSQR</t>
        </is>
      </c>
      <c r="P663" s="24" t="inlineStr">
        <is>
          <t>LNATRESR</t>
        </is>
      </c>
      <c r="Q663" s="24" t="inlineStr">
        <is>
          <t>LNRESNCR</t>
        </is>
      </c>
      <c r="R663" s="24" t="inlineStr">
        <is>
          <t>RBC1AAJ</t>
        </is>
      </c>
      <c r="S663" s="24" t="inlineStr">
        <is>
          <t>RBCRWAJ</t>
        </is>
      </c>
      <c r="T663" s="24" t="inlineStr">
        <is>
          <t>EQV</t>
        </is>
      </c>
      <c r="U663" s="24" t="inlineStr">
        <is>
          <t>ROAQ</t>
        </is>
      </c>
      <c r="V663" s="24" t="inlineStr">
        <is>
          <t>NIMY</t>
        </is>
      </c>
      <c r="W663" s="24" t="inlineStr">
        <is>
          <t>EEFFR</t>
        </is>
      </c>
      <c r="X663" s="24" t="inlineStr">
        <is>
          <t>P3CRCDR</t>
        </is>
      </c>
      <c r="Y663" s="24" t="inlineStr">
        <is>
          <t>P9CRCDR</t>
        </is>
      </c>
      <c r="Z663" s="24" t="inlineStr">
        <is>
          <t>NACRCDR</t>
        </is>
      </c>
      <c r="AA663" s="24" t="inlineStr">
        <is>
          <t>P3AUTOR</t>
        </is>
      </c>
      <c r="AB663" s="24" t="inlineStr">
        <is>
          <t>P9AUTOR</t>
        </is>
      </c>
      <c r="AC663" s="24" t="inlineStr">
        <is>
          <t>NAAUTOR</t>
        </is>
      </c>
      <c r="AD663" s="24" t="inlineStr">
        <is>
          <t>P3RERESR</t>
        </is>
      </c>
      <c r="AE663" s="24" t="inlineStr">
        <is>
          <t>P9RERESR</t>
        </is>
      </c>
      <c r="AF663" s="24" t="inlineStr">
        <is>
          <t>NARERESR</t>
        </is>
      </c>
      <c r="AG663" s="24" t="inlineStr">
        <is>
          <t>P3RELOCR</t>
        </is>
      </c>
      <c r="AH663" s="24" t="inlineStr">
        <is>
          <t>P9RELOCR</t>
        </is>
      </c>
      <c r="AI663" s="24" t="inlineStr">
        <is>
          <t>NARELOCR</t>
        </is>
      </c>
      <c r="AJ663" s="24" t="inlineStr">
        <is>
          <t>P3CONOTH</t>
        </is>
      </c>
      <c r="AK663" s="24" t="inlineStr">
        <is>
          <t>P9CONOTH</t>
        </is>
      </c>
      <c r="AL663" s="24" t="inlineStr">
        <is>
          <t>NACONOTH</t>
        </is>
      </c>
      <c r="AM663" s="24" t="inlineStr">
        <is>
          <t>LNCRCD</t>
        </is>
      </c>
      <c r="AN663" s="24" t="inlineStr">
        <is>
          <t>LNAUTO</t>
        </is>
      </c>
      <c r="AO663" s="24" t="inlineStr">
        <is>
          <t>LNCONOTH</t>
        </is>
      </c>
      <c r="AP663" s="24" t="inlineStr">
        <is>
          <t>LNRERES</t>
        </is>
      </c>
      <c r="AQ663" s="24" t="inlineStr">
        <is>
          <t>NTCRCDQ</t>
        </is>
      </c>
      <c r="AR663" s="24" t="inlineStr">
        <is>
          <t>NTAUTOQ</t>
        </is>
      </c>
      <c r="AS663" s="24" t="inlineStr">
        <is>
          <t>NTCONOTQ</t>
        </is>
      </c>
      <c r="AT663" s="24" t="inlineStr">
        <is>
          <t>NTRERESQ</t>
        </is>
      </c>
      <c r="AU663" s="24" t="inlineStr">
        <is>
          <t>P3CIR</t>
        </is>
      </c>
      <c r="AV663" s="24" t="inlineStr">
        <is>
          <t>P9CIR</t>
        </is>
      </c>
      <c r="AW663" s="24" t="inlineStr">
        <is>
          <t>NACIR</t>
        </is>
      </c>
      <c r="AX663" s="24" t="inlineStr">
        <is>
          <t>P3RECONS</t>
        </is>
      </c>
      <c r="AY663" s="24" t="inlineStr">
        <is>
          <t>P9RECONS</t>
        </is>
      </c>
      <c r="AZ663" s="24" t="inlineStr">
        <is>
          <t>NARECONS</t>
        </is>
      </c>
      <c r="BA663" s="24" t="inlineStr">
        <is>
          <t>P3RENRES</t>
        </is>
      </c>
      <c r="BB663" s="24" t="inlineStr">
        <is>
          <t>P9RENRES</t>
        </is>
      </c>
      <c r="BC663" s="24" t="inlineStr">
        <is>
          <t>NARENRES</t>
        </is>
      </c>
      <c r="BD663" s="24" t="inlineStr">
        <is>
          <t>P3REMULT</t>
        </is>
      </c>
      <c r="BE663" s="24" t="inlineStr">
        <is>
          <t>P9REMULT</t>
        </is>
      </c>
      <c r="BF663" s="24" t="inlineStr">
        <is>
          <t>NAREMULT</t>
        </is>
      </c>
      <c r="BG663" s="24" t="inlineStr">
        <is>
          <t>LNCI</t>
        </is>
      </c>
      <c r="BH663" s="24" t="inlineStr">
        <is>
          <t>NTRECONQ</t>
        </is>
      </c>
      <c r="BI663" s="24" t="inlineStr">
        <is>
          <t>NTRENREQ</t>
        </is>
      </c>
      <c r="BJ663" s="24" t="inlineStr">
        <is>
          <t>NTREMULQ</t>
        </is>
      </c>
      <c r="BK663" s="24" t="inlineStr">
        <is>
          <t>NTCIQ</t>
        </is>
      </c>
      <c r="BL663" s="24" t="inlineStr">
        <is>
          <t>DEPUNINS</t>
        </is>
      </c>
      <c r="BM663" s="24" t="inlineStr">
        <is>
          <t>SCHA</t>
        </is>
      </c>
      <c r="BN663" s="24" t="inlineStr">
        <is>
          <t>SCHF</t>
        </is>
      </c>
      <c r="BO663" s="24" t="inlineStr">
        <is>
          <t>SCAA</t>
        </is>
      </c>
      <c r="BP663" s="24" t="inlineStr">
        <is>
          <t>SCAF</t>
        </is>
      </c>
      <c r="BQ663" s="24" t="inlineStr">
        <is>
          <t>OTHBFHLB</t>
        </is>
      </c>
    </row>
    <row r="682">
      <c r="A682" s="29" t="inlineStr">
        <is>
          <t>slot35</t>
        </is>
      </c>
    </row>
    <row r="683">
      <c r="A683" s="24" t="inlineStr">
        <is>
          <t>REPDTE</t>
        </is>
      </c>
      <c r="B683" s="24" t="inlineStr">
        <is>
          <t>ASSET</t>
        </is>
      </c>
      <c r="C683" s="24" t="inlineStr">
        <is>
          <t>DEP</t>
        </is>
      </c>
      <c r="D683" s="24" t="inlineStr">
        <is>
          <t>LNLSGR</t>
        </is>
      </c>
      <c r="E683" s="24" t="inlineStr">
        <is>
          <t>LNLSNET</t>
        </is>
      </c>
      <c r="F683" s="24" t="inlineStr">
        <is>
          <t>BRO</t>
        </is>
      </c>
      <c r="G683" s="24" t="inlineStr">
        <is>
          <t>EQ</t>
        </is>
      </c>
      <c r="H683" s="24" t="inlineStr">
        <is>
          <t>NCLNLS</t>
        </is>
      </c>
      <c r="I683" s="24" t="inlineStr">
        <is>
          <t>LNATRES</t>
        </is>
      </c>
      <c r="J683" s="24" t="inlineStr">
        <is>
          <t>P3LNLS</t>
        </is>
      </c>
      <c r="K683" s="24" t="inlineStr">
        <is>
          <t>LNRECONS</t>
        </is>
      </c>
      <c r="L683" s="24" t="inlineStr">
        <is>
          <t>LNRENRES</t>
        </is>
      </c>
      <c r="M683" s="24" t="inlineStr">
        <is>
          <t>LNREMULT</t>
        </is>
      </c>
      <c r="N683" s="24" t="inlineStr">
        <is>
          <t>NCLNLSR</t>
        </is>
      </c>
      <c r="O683" s="24" t="inlineStr">
        <is>
          <t>NTLNLSQR</t>
        </is>
      </c>
      <c r="P683" s="24" t="inlineStr">
        <is>
          <t>LNATRESR</t>
        </is>
      </c>
      <c r="Q683" s="24" t="inlineStr">
        <is>
          <t>LNRESNCR</t>
        </is>
      </c>
      <c r="R683" s="24" t="inlineStr">
        <is>
          <t>RBC1AAJ</t>
        </is>
      </c>
      <c r="S683" s="24" t="inlineStr">
        <is>
          <t>RBCRWAJ</t>
        </is>
      </c>
      <c r="T683" s="24" t="inlineStr">
        <is>
          <t>EQV</t>
        </is>
      </c>
      <c r="U683" s="24" t="inlineStr">
        <is>
          <t>ROAQ</t>
        </is>
      </c>
      <c r="V683" s="24" t="inlineStr">
        <is>
          <t>NIMY</t>
        </is>
      </c>
      <c r="W683" s="24" t="inlineStr">
        <is>
          <t>EEFFR</t>
        </is>
      </c>
      <c r="X683" s="24" t="inlineStr">
        <is>
          <t>P3CRCDR</t>
        </is>
      </c>
      <c r="Y683" s="24" t="inlineStr">
        <is>
          <t>P9CRCDR</t>
        </is>
      </c>
      <c r="Z683" s="24" t="inlineStr">
        <is>
          <t>NACRCDR</t>
        </is>
      </c>
      <c r="AA683" s="24" t="inlineStr">
        <is>
          <t>P3AUTOR</t>
        </is>
      </c>
      <c r="AB683" s="24" t="inlineStr">
        <is>
          <t>P9AUTOR</t>
        </is>
      </c>
      <c r="AC683" s="24" t="inlineStr">
        <is>
          <t>NAAUTOR</t>
        </is>
      </c>
      <c r="AD683" s="24" t="inlineStr">
        <is>
          <t>P3RERESR</t>
        </is>
      </c>
      <c r="AE683" s="24" t="inlineStr">
        <is>
          <t>P9RERESR</t>
        </is>
      </c>
      <c r="AF683" s="24" t="inlineStr">
        <is>
          <t>NARERESR</t>
        </is>
      </c>
      <c r="AG683" s="24" t="inlineStr">
        <is>
          <t>P3RELOCR</t>
        </is>
      </c>
      <c r="AH683" s="24" t="inlineStr">
        <is>
          <t>P9RELOCR</t>
        </is>
      </c>
      <c r="AI683" s="24" t="inlineStr">
        <is>
          <t>NARELOCR</t>
        </is>
      </c>
      <c r="AJ683" s="24" t="inlineStr">
        <is>
          <t>P3CONOTH</t>
        </is>
      </c>
      <c r="AK683" s="24" t="inlineStr">
        <is>
          <t>P9CONOTH</t>
        </is>
      </c>
      <c r="AL683" s="24" t="inlineStr">
        <is>
          <t>NACONOTH</t>
        </is>
      </c>
      <c r="AM683" s="24" t="inlineStr">
        <is>
          <t>LNCRCD</t>
        </is>
      </c>
      <c r="AN683" s="24" t="inlineStr">
        <is>
          <t>LNAUTO</t>
        </is>
      </c>
      <c r="AO683" s="24" t="inlineStr">
        <is>
          <t>LNCONOTH</t>
        </is>
      </c>
      <c r="AP683" s="24" t="inlineStr">
        <is>
          <t>LNRERES</t>
        </is>
      </c>
      <c r="AQ683" s="24" t="inlineStr">
        <is>
          <t>NTCRCDQ</t>
        </is>
      </c>
      <c r="AR683" s="24" t="inlineStr">
        <is>
          <t>NTAUTOQ</t>
        </is>
      </c>
      <c r="AS683" s="24" t="inlineStr">
        <is>
          <t>NTCONOTQ</t>
        </is>
      </c>
      <c r="AT683" s="24" t="inlineStr">
        <is>
          <t>NTRERESQ</t>
        </is>
      </c>
      <c r="AU683" s="24" t="inlineStr">
        <is>
          <t>P3CIR</t>
        </is>
      </c>
      <c r="AV683" s="24" t="inlineStr">
        <is>
          <t>P9CIR</t>
        </is>
      </c>
      <c r="AW683" s="24" t="inlineStr">
        <is>
          <t>NACIR</t>
        </is>
      </c>
      <c r="AX683" s="24" t="inlineStr">
        <is>
          <t>P3RECONS</t>
        </is>
      </c>
      <c r="AY683" s="24" t="inlineStr">
        <is>
          <t>P9RECONS</t>
        </is>
      </c>
      <c r="AZ683" s="24" t="inlineStr">
        <is>
          <t>NARECONS</t>
        </is>
      </c>
      <c r="BA683" s="24" t="inlineStr">
        <is>
          <t>P3RENRES</t>
        </is>
      </c>
      <c r="BB683" s="24" t="inlineStr">
        <is>
          <t>P9RENRES</t>
        </is>
      </c>
      <c r="BC683" s="24" t="inlineStr">
        <is>
          <t>NARENRES</t>
        </is>
      </c>
      <c r="BD683" s="24" t="inlineStr">
        <is>
          <t>P3REMULT</t>
        </is>
      </c>
      <c r="BE683" s="24" t="inlineStr">
        <is>
          <t>P9REMULT</t>
        </is>
      </c>
      <c r="BF683" s="24" t="inlineStr">
        <is>
          <t>NAREMULT</t>
        </is>
      </c>
      <c r="BG683" s="24" t="inlineStr">
        <is>
          <t>LNCI</t>
        </is>
      </c>
      <c r="BH683" s="24" t="inlineStr">
        <is>
          <t>NTRECONQ</t>
        </is>
      </c>
      <c r="BI683" s="24" t="inlineStr">
        <is>
          <t>NTRENREQ</t>
        </is>
      </c>
      <c r="BJ683" s="24" t="inlineStr">
        <is>
          <t>NTREMULQ</t>
        </is>
      </c>
      <c r="BK683" s="24" t="inlineStr">
        <is>
          <t>NTCIQ</t>
        </is>
      </c>
      <c r="BL683" s="24" t="inlineStr">
        <is>
          <t>DEPUNINS</t>
        </is>
      </c>
      <c r="BM683" s="24" t="inlineStr">
        <is>
          <t>SCHA</t>
        </is>
      </c>
      <c r="BN683" s="24" t="inlineStr">
        <is>
          <t>SCHF</t>
        </is>
      </c>
      <c r="BO683" s="24" t="inlineStr">
        <is>
          <t>SCAA</t>
        </is>
      </c>
      <c r="BP683" s="24" t="inlineStr">
        <is>
          <t>SCAF</t>
        </is>
      </c>
      <c r="BQ683" s="24" t="inlineStr">
        <is>
          <t>OTHBFHLB</t>
        </is>
      </c>
    </row>
    <row r="702">
      <c r="A702" s="29" t="inlineStr">
        <is>
          <t>slot36</t>
        </is>
      </c>
    </row>
    <row r="703">
      <c r="A703" s="24" t="inlineStr">
        <is>
          <t>REPDTE</t>
        </is>
      </c>
      <c r="B703" s="24" t="inlineStr">
        <is>
          <t>ASSET</t>
        </is>
      </c>
      <c r="C703" s="24" t="inlineStr">
        <is>
          <t>DEP</t>
        </is>
      </c>
      <c r="D703" s="24" t="inlineStr">
        <is>
          <t>LNLSGR</t>
        </is>
      </c>
      <c r="E703" s="24" t="inlineStr">
        <is>
          <t>LNLSNET</t>
        </is>
      </c>
      <c r="F703" s="24" t="inlineStr">
        <is>
          <t>BRO</t>
        </is>
      </c>
      <c r="G703" s="24" t="inlineStr">
        <is>
          <t>EQ</t>
        </is>
      </c>
      <c r="H703" s="24" t="inlineStr">
        <is>
          <t>NCLNLS</t>
        </is>
      </c>
      <c r="I703" s="24" t="inlineStr">
        <is>
          <t>LNATRES</t>
        </is>
      </c>
      <c r="J703" s="24" t="inlineStr">
        <is>
          <t>P3LNLS</t>
        </is>
      </c>
      <c r="K703" s="24" t="inlineStr">
        <is>
          <t>LNRECONS</t>
        </is>
      </c>
      <c r="L703" s="24" t="inlineStr">
        <is>
          <t>LNRENRES</t>
        </is>
      </c>
      <c r="M703" s="24" t="inlineStr">
        <is>
          <t>LNREMULT</t>
        </is>
      </c>
      <c r="N703" s="24" t="inlineStr">
        <is>
          <t>NCLNLSR</t>
        </is>
      </c>
      <c r="O703" s="24" t="inlineStr">
        <is>
          <t>NTLNLSQR</t>
        </is>
      </c>
      <c r="P703" s="24" t="inlineStr">
        <is>
          <t>LNATRESR</t>
        </is>
      </c>
      <c r="Q703" s="24" t="inlineStr">
        <is>
          <t>LNRESNCR</t>
        </is>
      </c>
      <c r="R703" s="24" t="inlineStr">
        <is>
          <t>RBC1AAJ</t>
        </is>
      </c>
      <c r="S703" s="24" t="inlineStr">
        <is>
          <t>RBCRWAJ</t>
        </is>
      </c>
      <c r="T703" s="24" t="inlineStr">
        <is>
          <t>EQV</t>
        </is>
      </c>
      <c r="U703" s="24" t="inlineStr">
        <is>
          <t>ROAQ</t>
        </is>
      </c>
      <c r="V703" s="24" t="inlineStr">
        <is>
          <t>NIMY</t>
        </is>
      </c>
      <c r="W703" s="24" t="inlineStr">
        <is>
          <t>EEFFR</t>
        </is>
      </c>
      <c r="X703" s="24" t="inlineStr">
        <is>
          <t>P3CRCDR</t>
        </is>
      </c>
      <c r="Y703" s="24" t="inlineStr">
        <is>
          <t>P9CRCDR</t>
        </is>
      </c>
      <c r="Z703" s="24" t="inlineStr">
        <is>
          <t>NACRCDR</t>
        </is>
      </c>
      <c r="AA703" s="24" t="inlineStr">
        <is>
          <t>P3AUTOR</t>
        </is>
      </c>
      <c r="AB703" s="24" t="inlineStr">
        <is>
          <t>P9AUTOR</t>
        </is>
      </c>
      <c r="AC703" s="24" t="inlineStr">
        <is>
          <t>NAAUTOR</t>
        </is>
      </c>
      <c r="AD703" s="24" t="inlineStr">
        <is>
          <t>P3RERESR</t>
        </is>
      </c>
      <c r="AE703" s="24" t="inlineStr">
        <is>
          <t>P9RERESR</t>
        </is>
      </c>
      <c r="AF703" s="24" t="inlineStr">
        <is>
          <t>NARERESR</t>
        </is>
      </c>
      <c r="AG703" s="24" t="inlineStr">
        <is>
          <t>P3RELOCR</t>
        </is>
      </c>
      <c r="AH703" s="24" t="inlineStr">
        <is>
          <t>P9RELOCR</t>
        </is>
      </c>
      <c r="AI703" s="24" t="inlineStr">
        <is>
          <t>NARELOCR</t>
        </is>
      </c>
      <c r="AJ703" s="24" t="inlineStr">
        <is>
          <t>P3CONOTH</t>
        </is>
      </c>
      <c r="AK703" s="24" t="inlineStr">
        <is>
          <t>P9CONOTH</t>
        </is>
      </c>
      <c r="AL703" s="24" t="inlineStr">
        <is>
          <t>NACONOTH</t>
        </is>
      </c>
      <c r="AM703" s="24" t="inlineStr">
        <is>
          <t>LNCRCD</t>
        </is>
      </c>
      <c r="AN703" s="24" t="inlineStr">
        <is>
          <t>LNAUTO</t>
        </is>
      </c>
      <c r="AO703" s="24" t="inlineStr">
        <is>
          <t>LNCONOTH</t>
        </is>
      </c>
      <c r="AP703" s="24" t="inlineStr">
        <is>
          <t>LNRERES</t>
        </is>
      </c>
      <c r="AQ703" s="24" t="inlineStr">
        <is>
          <t>NTCRCDQ</t>
        </is>
      </c>
      <c r="AR703" s="24" t="inlineStr">
        <is>
          <t>NTAUTOQ</t>
        </is>
      </c>
      <c r="AS703" s="24" t="inlineStr">
        <is>
          <t>NTCONOTQ</t>
        </is>
      </c>
      <c r="AT703" s="24" t="inlineStr">
        <is>
          <t>NTRERESQ</t>
        </is>
      </c>
      <c r="AU703" s="24" t="inlineStr">
        <is>
          <t>P3CIR</t>
        </is>
      </c>
      <c r="AV703" s="24" t="inlineStr">
        <is>
          <t>P9CIR</t>
        </is>
      </c>
      <c r="AW703" s="24" t="inlineStr">
        <is>
          <t>NACIR</t>
        </is>
      </c>
      <c r="AX703" s="24" t="inlineStr">
        <is>
          <t>P3RECONS</t>
        </is>
      </c>
      <c r="AY703" s="24" t="inlineStr">
        <is>
          <t>P9RECONS</t>
        </is>
      </c>
      <c r="AZ703" s="24" t="inlineStr">
        <is>
          <t>NARECONS</t>
        </is>
      </c>
      <c r="BA703" s="24" t="inlineStr">
        <is>
          <t>P3RENRES</t>
        </is>
      </c>
      <c r="BB703" s="24" t="inlineStr">
        <is>
          <t>P9RENRES</t>
        </is>
      </c>
      <c r="BC703" s="24" t="inlineStr">
        <is>
          <t>NARENRES</t>
        </is>
      </c>
      <c r="BD703" s="24" t="inlineStr">
        <is>
          <t>P3REMULT</t>
        </is>
      </c>
      <c r="BE703" s="24" t="inlineStr">
        <is>
          <t>P9REMULT</t>
        </is>
      </c>
      <c r="BF703" s="24" t="inlineStr">
        <is>
          <t>NAREMULT</t>
        </is>
      </c>
      <c r="BG703" s="24" t="inlineStr">
        <is>
          <t>LNCI</t>
        </is>
      </c>
      <c r="BH703" s="24" t="inlineStr">
        <is>
          <t>NTRECONQ</t>
        </is>
      </c>
      <c r="BI703" s="24" t="inlineStr">
        <is>
          <t>NTRENREQ</t>
        </is>
      </c>
      <c r="BJ703" s="24" t="inlineStr">
        <is>
          <t>NTREMULQ</t>
        </is>
      </c>
      <c r="BK703" s="24" t="inlineStr">
        <is>
          <t>NTCIQ</t>
        </is>
      </c>
      <c r="BL703" s="24" t="inlineStr">
        <is>
          <t>DEPUNINS</t>
        </is>
      </c>
      <c r="BM703" s="24" t="inlineStr">
        <is>
          <t>SCHA</t>
        </is>
      </c>
      <c r="BN703" s="24" t="inlineStr">
        <is>
          <t>SCHF</t>
        </is>
      </c>
      <c r="BO703" s="24" t="inlineStr">
        <is>
          <t>SCAA</t>
        </is>
      </c>
      <c r="BP703" s="24" t="inlineStr">
        <is>
          <t>SCAF</t>
        </is>
      </c>
      <c r="BQ703" s="24" t="inlineStr">
        <is>
          <t>OTHBFHLB</t>
        </is>
      </c>
    </row>
    <row r="722">
      <c r="A722" s="29" t="inlineStr">
        <is>
          <t>slot37</t>
        </is>
      </c>
    </row>
    <row r="723">
      <c r="A723" s="24" t="inlineStr">
        <is>
          <t>REPDTE</t>
        </is>
      </c>
      <c r="B723" s="24" t="inlineStr">
        <is>
          <t>ASSET</t>
        </is>
      </c>
      <c r="C723" s="24" t="inlineStr">
        <is>
          <t>DEP</t>
        </is>
      </c>
      <c r="D723" s="24" t="inlineStr">
        <is>
          <t>LNLSGR</t>
        </is>
      </c>
      <c r="E723" s="24" t="inlineStr">
        <is>
          <t>LNLSNET</t>
        </is>
      </c>
      <c r="F723" s="24" t="inlineStr">
        <is>
          <t>BRO</t>
        </is>
      </c>
      <c r="G723" s="24" t="inlineStr">
        <is>
          <t>EQ</t>
        </is>
      </c>
      <c r="H723" s="24" t="inlineStr">
        <is>
          <t>NCLNLS</t>
        </is>
      </c>
      <c r="I723" s="24" t="inlineStr">
        <is>
          <t>LNATRES</t>
        </is>
      </c>
      <c r="J723" s="24" t="inlineStr">
        <is>
          <t>P3LNLS</t>
        </is>
      </c>
      <c r="K723" s="24" t="inlineStr">
        <is>
          <t>LNRECONS</t>
        </is>
      </c>
      <c r="L723" s="24" t="inlineStr">
        <is>
          <t>LNRENRES</t>
        </is>
      </c>
      <c r="M723" s="24" t="inlineStr">
        <is>
          <t>LNREMULT</t>
        </is>
      </c>
      <c r="N723" s="24" t="inlineStr">
        <is>
          <t>NCLNLSR</t>
        </is>
      </c>
      <c r="O723" s="24" t="inlineStr">
        <is>
          <t>NTLNLSQR</t>
        </is>
      </c>
      <c r="P723" s="24" t="inlineStr">
        <is>
          <t>LNATRESR</t>
        </is>
      </c>
      <c r="Q723" s="24" t="inlineStr">
        <is>
          <t>LNRESNCR</t>
        </is>
      </c>
      <c r="R723" s="24" t="inlineStr">
        <is>
          <t>RBC1AAJ</t>
        </is>
      </c>
      <c r="S723" s="24" t="inlineStr">
        <is>
          <t>RBCRWAJ</t>
        </is>
      </c>
      <c r="T723" s="24" t="inlineStr">
        <is>
          <t>EQV</t>
        </is>
      </c>
      <c r="U723" s="24" t="inlineStr">
        <is>
          <t>ROAQ</t>
        </is>
      </c>
      <c r="V723" s="24" t="inlineStr">
        <is>
          <t>NIMY</t>
        </is>
      </c>
      <c r="W723" s="24" t="inlineStr">
        <is>
          <t>EEFFR</t>
        </is>
      </c>
      <c r="X723" s="24" t="inlineStr">
        <is>
          <t>P3CRCDR</t>
        </is>
      </c>
      <c r="Y723" s="24" t="inlineStr">
        <is>
          <t>P9CRCDR</t>
        </is>
      </c>
      <c r="Z723" s="24" t="inlineStr">
        <is>
          <t>NACRCDR</t>
        </is>
      </c>
      <c r="AA723" s="24" t="inlineStr">
        <is>
          <t>P3AUTOR</t>
        </is>
      </c>
      <c r="AB723" s="24" t="inlineStr">
        <is>
          <t>P9AUTOR</t>
        </is>
      </c>
      <c r="AC723" s="24" t="inlineStr">
        <is>
          <t>NAAUTOR</t>
        </is>
      </c>
      <c r="AD723" s="24" t="inlineStr">
        <is>
          <t>P3RERESR</t>
        </is>
      </c>
      <c r="AE723" s="24" t="inlineStr">
        <is>
          <t>P9RERESR</t>
        </is>
      </c>
      <c r="AF723" s="24" t="inlineStr">
        <is>
          <t>NARERESR</t>
        </is>
      </c>
      <c r="AG723" s="24" t="inlineStr">
        <is>
          <t>P3RELOCR</t>
        </is>
      </c>
      <c r="AH723" s="24" t="inlineStr">
        <is>
          <t>P9RELOCR</t>
        </is>
      </c>
      <c r="AI723" s="24" t="inlineStr">
        <is>
          <t>NARELOCR</t>
        </is>
      </c>
      <c r="AJ723" s="24" t="inlineStr">
        <is>
          <t>P3CONOTH</t>
        </is>
      </c>
      <c r="AK723" s="24" t="inlineStr">
        <is>
          <t>P9CONOTH</t>
        </is>
      </c>
      <c r="AL723" s="24" t="inlineStr">
        <is>
          <t>NACONOTH</t>
        </is>
      </c>
      <c r="AM723" s="24" t="inlineStr">
        <is>
          <t>LNCRCD</t>
        </is>
      </c>
      <c r="AN723" s="24" t="inlineStr">
        <is>
          <t>LNAUTO</t>
        </is>
      </c>
      <c r="AO723" s="24" t="inlineStr">
        <is>
          <t>LNCONOTH</t>
        </is>
      </c>
      <c r="AP723" s="24" t="inlineStr">
        <is>
          <t>LNRERES</t>
        </is>
      </c>
      <c r="AQ723" s="24" t="inlineStr">
        <is>
          <t>NTCRCDQ</t>
        </is>
      </c>
      <c r="AR723" s="24" t="inlineStr">
        <is>
          <t>NTAUTOQ</t>
        </is>
      </c>
      <c r="AS723" s="24" t="inlineStr">
        <is>
          <t>NTCONOTQ</t>
        </is>
      </c>
      <c r="AT723" s="24" t="inlineStr">
        <is>
          <t>NTRERESQ</t>
        </is>
      </c>
      <c r="AU723" s="24" t="inlineStr">
        <is>
          <t>P3CIR</t>
        </is>
      </c>
      <c r="AV723" s="24" t="inlineStr">
        <is>
          <t>P9CIR</t>
        </is>
      </c>
      <c r="AW723" s="24" t="inlineStr">
        <is>
          <t>NACIR</t>
        </is>
      </c>
      <c r="AX723" s="24" t="inlineStr">
        <is>
          <t>P3RECONS</t>
        </is>
      </c>
      <c r="AY723" s="24" t="inlineStr">
        <is>
          <t>P9RECONS</t>
        </is>
      </c>
      <c r="AZ723" s="24" t="inlineStr">
        <is>
          <t>NARECONS</t>
        </is>
      </c>
      <c r="BA723" s="24" t="inlineStr">
        <is>
          <t>P3RENRES</t>
        </is>
      </c>
      <c r="BB723" s="24" t="inlineStr">
        <is>
          <t>P9RENRES</t>
        </is>
      </c>
      <c r="BC723" s="24" t="inlineStr">
        <is>
          <t>NARENRES</t>
        </is>
      </c>
      <c r="BD723" s="24" t="inlineStr">
        <is>
          <t>P3REMULT</t>
        </is>
      </c>
      <c r="BE723" s="24" t="inlineStr">
        <is>
          <t>P9REMULT</t>
        </is>
      </c>
      <c r="BF723" s="24" t="inlineStr">
        <is>
          <t>NAREMULT</t>
        </is>
      </c>
      <c r="BG723" s="24" t="inlineStr">
        <is>
          <t>LNCI</t>
        </is>
      </c>
      <c r="BH723" s="24" t="inlineStr">
        <is>
          <t>NTRECONQ</t>
        </is>
      </c>
      <c r="BI723" s="24" t="inlineStr">
        <is>
          <t>NTRENREQ</t>
        </is>
      </c>
      <c r="BJ723" s="24" t="inlineStr">
        <is>
          <t>NTREMULQ</t>
        </is>
      </c>
      <c r="BK723" s="24" t="inlineStr">
        <is>
          <t>NTCIQ</t>
        </is>
      </c>
      <c r="BL723" s="24" t="inlineStr">
        <is>
          <t>DEPUNINS</t>
        </is>
      </c>
      <c r="BM723" s="24" t="inlineStr">
        <is>
          <t>SCHA</t>
        </is>
      </c>
      <c r="BN723" s="24" t="inlineStr">
        <is>
          <t>SCHF</t>
        </is>
      </c>
      <c r="BO723" s="24" t="inlineStr">
        <is>
          <t>SCAA</t>
        </is>
      </c>
      <c r="BP723" s="24" t="inlineStr">
        <is>
          <t>SCAF</t>
        </is>
      </c>
      <c r="BQ723" s="24" t="inlineStr">
        <is>
          <t>OTHBFHLB</t>
        </is>
      </c>
    </row>
    <row r="742">
      <c r="A742" s="29" t="inlineStr">
        <is>
          <t>slot38</t>
        </is>
      </c>
    </row>
    <row r="743">
      <c r="A743" s="24" t="inlineStr">
        <is>
          <t>REPDTE</t>
        </is>
      </c>
      <c r="B743" s="24" t="inlineStr">
        <is>
          <t>ASSET</t>
        </is>
      </c>
      <c r="C743" s="24" t="inlineStr">
        <is>
          <t>DEP</t>
        </is>
      </c>
      <c r="D743" s="24" t="inlineStr">
        <is>
          <t>LNLSGR</t>
        </is>
      </c>
      <c r="E743" s="24" t="inlineStr">
        <is>
          <t>LNLSNET</t>
        </is>
      </c>
      <c r="F743" s="24" t="inlineStr">
        <is>
          <t>BRO</t>
        </is>
      </c>
      <c r="G743" s="24" t="inlineStr">
        <is>
          <t>EQ</t>
        </is>
      </c>
      <c r="H743" s="24" t="inlineStr">
        <is>
          <t>NCLNLS</t>
        </is>
      </c>
      <c r="I743" s="24" t="inlineStr">
        <is>
          <t>LNATRES</t>
        </is>
      </c>
      <c r="J743" s="24" t="inlineStr">
        <is>
          <t>P3LNLS</t>
        </is>
      </c>
      <c r="K743" s="24" t="inlineStr">
        <is>
          <t>LNRECONS</t>
        </is>
      </c>
      <c r="L743" s="24" t="inlineStr">
        <is>
          <t>LNRENRES</t>
        </is>
      </c>
      <c r="M743" s="24" t="inlineStr">
        <is>
          <t>LNREMULT</t>
        </is>
      </c>
      <c r="N743" s="24" t="inlineStr">
        <is>
          <t>NCLNLSR</t>
        </is>
      </c>
      <c r="O743" s="24" t="inlineStr">
        <is>
          <t>NTLNLSQR</t>
        </is>
      </c>
      <c r="P743" s="24" t="inlineStr">
        <is>
          <t>LNATRESR</t>
        </is>
      </c>
      <c r="Q743" s="24" t="inlineStr">
        <is>
          <t>LNRESNCR</t>
        </is>
      </c>
      <c r="R743" s="24" t="inlineStr">
        <is>
          <t>RBC1AAJ</t>
        </is>
      </c>
      <c r="S743" s="24" t="inlineStr">
        <is>
          <t>RBCRWAJ</t>
        </is>
      </c>
      <c r="T743" s="24" t="inlineStr">
        <is>
          <t>EQV</t>
        </is>
      </c>
      <c r="U743" s="24" t="inlineStr">
        <is>
          <t>ROAQ</t>
        </is>
      </c>
      <c r="V743" s="24" t="inlineStr">
        <is>
          <t>NIMY</t>
        </is>
      </c>
      <c r="W743" s="24" t="inlineStr">
        <is>
          <t>EEFFR</t>
        </is>
      </c>
      <c r="X743" s="24" t="inlineStr">
        <is>
          <t>P3CRCDR</t>
        </is>
      </c>
      <c r="Y743" s="24" t="inlineStr">
        <is>
          <t>P9CRCDR</t>
        </is>
      </c>
      <c r="Z743" s="24" t="inlineStr">
        <is>
          <t>NACRCDR</t>
        </is>
      </c>
      <c r="AA743" s="24" t="inlineStr">
        <is>
          <t>P3AUTOR</t>
        </is>
      </c>
      <c r="AB743" s="24" t="inlineStr">
        <is>
          <t>P9AUTOR</t>
        </is>
      </c>
      <c r="AC743" s="24" t="inlineStr">
        <is>
          <t>NAAUTOR</t>
        </is>
      </c>
      <c r="AD743" s="24" t="inlineStr">
        <is>
          <t>P3RERESR</t>
        </is>
      </c>
      <c r="AE743" s="24" t="inlineStr">
        <is>
          <t>P9RERESR</t>
        </is>
      </c>
      <c r="AF743" s="24" t="inlineStr">
        <is>
          <t>NARERESR</t>
        </is>
      </c>
      <c r="AG743" s="24" t="inlineStr">
        <is>
          <t>P3RELOCR</t>
        </is>
      </c>
      <c r="AH743" s="24" t="inlineStr">
        <is>
          <t>P9RELOCR</t>
        </is>
      </c>
      <c r="AI743" s="24" t="inlineStr">
        <is>
          <t>NARELOCR</t>
        </is>
      </c>
      <c r="AJ743" s="24" t="inlineStr">
        <is>
          <t>P3CONOTH</t>
        </is>
      </c>
      <c r="AK743" s="24" t="inlineStr">
        <is>
          <t>P9CONOTH</t>
        </is>
      </c>
      <c r="AL743" s="24" t="inlineStr">
        <is>
          <t>NACONOTH</t>
        </is>
      </c>
      <c r="AM743" s="24" t="inlineStr">
        <is>
          <t>LNCRCD</t>
        </is>
      </c>
      <c r="AN743" s="24" t="inlineStr">
        <is>
          <t>LNAUTO</t>
        </is>
      </c>
      <c r="AO743" s="24" t="inlineStr">
        <is>
          <t>LNCONOTH</t>
        </is>
      </c>
      <c r="AP743" s="24" t="inlineStr">
        <is>
          <t>LNRERES</t>
        </is>
      </c>
      <c r="AQ743" s="24" t="inlineStr">
        <is>
          <t>NTCRCDQ</t>
        </is>
      </c>
      <c r="AR743" s="24" t="inlineStr">
        <is>
          <t>NTAUTOQ</t>
        </is>
      </c>
      <c r="AS743" s="24" t="inlineStr">
        <is>
          <t>NTCONOTQ</t>
        </is>
      </c>
      <c r="AT743" s="24" t="inlineStr">
        <is>
          <t>NTRERESQ</t>
        </is>
      </c>
      <c r="AU743" s="24" t="inlineStr">
        <is>
          <t>P3CIR</t>
        </is>
      </c>
      <c r="AV743" s="24" t="inlineStr">
        <is>
          <t>P9CIR</t>
        </is>
      </c>
      <c r="AW743" s="24" t="inlineStr">
        <is>
          <t>NACIR</t>
        </is>
      </c>
      <c r="AX743" s="24" t="inlineStr">
        <is>
          <t>P3RECONS</t>
        </is>
      </c>
      <c r="AY743" s="24" t="inlineStr">
        <is>
          <t>P9RECONS</t>
        </is>
      </c>
      <c r="AZ743" s="24" t="inlineStr">
        <is>
          <t>NARECONS</t>
        </is>
      </c>
      <c r="BA743" s="24" t="inlineStr">
        <is>
          <t>P3RENRES</t>
        </is>
      </c>
      <c r="BB743" s="24" t="inlineStr">
        <is>
          <t>P9RENRES</t>
        </is>
      </c>
      <c r="BC743" s="24" t="inlineStr">
        <is>
          <t>NARENRES</t>
        </is>
      </c>
      <c r="BD743" s="24" t="inlineStr">
        <is>
          <t>P3REMULT</t>
        </is>
      </c>
      <c r="BE743" s="24" t="inlineStr">
        <is>
          <t>P9REMULT</t>
        </is>
      </c>
      <c r="BF743" s="24" t="inlineStr">
        <is>
          <t>NAREMULT</t>
        </is>
      </c>
      <c r="BG743" s="24" t="inlineStr">
        <is>
          <t>LNCI</t>
        </is>
      </c>
      <c r="BH743" s="24" t="inlineStr">
        <is>
          <t>NTRECONQ</t>
        </is>
      </c>
      <c r="BI743" s="24" t="inlineStr">
        <is>
          <t>NTRENREQ</t>
        </is>
      </c>
      <c r="BJ743" s="24" t="inlineStr">
        <is>
          <t>NTREMULQ</t>
        </is>
      </c>
      <c r="BK743" s="24" t="inlineStr">
        <is>
          <t>NTCIQ</t>
        </is>
      </c>
      <c r="BL743" s="24" t="inlineStr">
        <is>
          <t>DEPUNINS</t>
        </is>
      </c>
      <c r="BM743" s="24" t="inlineStr">
        <is>
          <t>SCHA</t>
        </is>
      </c>
      <c r="BN743" s="24" t="inlineStr">
        <is>
          <t>SCHF</t>
        </is>
      </c>
      <c r="BO743" s="24" t="inlineStr">
        <is>
          <t>SCAA</t>
        </is>
      </c>
      <c r="BP743" s="24" t="inlineStr">
        <is>
          <t>SCAF</t>
        </is>
      </c>
      <c r="BQ743" s="24" t="inlineStr">
        <is>
          <t>OTHBFHLB</t>
        </is>
      </c>
    </row>
    <row r="762">
      <c r="A762" s="29" t="inlineStr">
        <is>
          <t>slot39</t>
        </is>
      </c>
    </row>
    <row r="763">
      <c r="A763" s="24" t="inlineStr">
        <is>
          <t>REPDTE</t>
        </is>
      </c>
      <c r="B763" s="24" t="inlineStr">
        <is>
          <t>ASSET</t>
        </is>
      </c>
      <c r="C763" s="24" t="inlineStr">
        <is>
          <t>DEP</t>
        </is>
      </c>
      <c r="D763" s="24" t="inlineStr">
        <is>
          <t>LNLSGR</t>
        </is>
      </c>
      <c r="E763" s="24" t="inlineStr">
        <is>
          <t>LNLSNET</t>
        </is>
      </c>
      <c r="F763" s="24" t="inlineStr">
        <is>
          <t>BRO</t>
        </is>
      </c>
      <c r="G763" s="24" t="inlineStr">
        <is>
          <t>EQ</t>
        </is>
      </c>
      <c r="H763" s="24" t="inlineStr">
        <is>
          <t>NCLNLS</t>
        </is>
      </c>
      <c r="I763" s="24" t="inlineStr">
        <is>
          <t>LNATRES</t>
        </is>
      </c>
      <c r="J763" s="24" t="inlineStr">
        <is>
          <t>P3LNLS</t>
        </is>
      </c>
      <c r="K763" s="24" t="inlineStr">
        <is>
          <t>LNRECONS</t>
        </is>
      </c>
      <c r="L763" s="24" t="inlineStr">
        <is>
          <t>LNRENRES</t>
        </is>
      </c>
      <c r="M763" s="24" t="inlineStr">
        <is>
          <t>LNREMULT</t>
        </is>
      </c>
      <c r="N763" s="24" t="inlineStr">
        <is>
          <t>NCLNLSR</t>
        </is>
      </c>
      <c r="O763" s="24" t="inlineStr">
        <is>
          <t>NTLNLSQR</t>
        </is>
      </c>
      <c r="P763" s="24" t="inlineStr">
        <is>
          <t>LNATRESR</t>
        </is>
      </c>
      <c r="Q763" s="24" t="inlineStr">
        <is>
          <t>LNRESNCR</t>
        </is>
      </c>
      <c r="R763" s="24" t="inlineStr">
        <is>
          <t>RBC1AAJ</t>
        </is>
      </c>
      <c r="S763" s="24" t="inlineStr">
        <is>
          <t>RBCRWAJ</t>
        </is>
      </c>
      <c r="T763" s="24" t="inlineStr">
        <is>
          <t>EQV</t>
        </is>
      </c>
      <c r="U763" s="24" t="inlineStr">
        <is>
          <t>ROAQ</t>
        </is>
      </c>
      <c r="V763" s="24" t="inlineStr">
        <is>
          <t>NIMY</t>
        </is>
      </c>
      <c r="W763" s="24" t="inlineStr">
        <is>
          <t>EEFFR</t>
        </is>
      </c>
      <c r="X763" s="24" t="inlineStr">
        <is>
          <t>P3CRCDR</t>
        </is>
      </c>
      <c r="Y763" s="24" t="inlineStr">
        <is>
          <t>P9CRCDR</t>
        </is>
      </c>
      <c r="Z763" s="24" t="inlineStr">
        <is>
          <t>NACRCDR</t>
        </is>
      </c>
      <c r="AA763" s="24" t="inlineStr">
        <is>
          <t>P3AUTOR</t>
        </is>
      </c>
      <c r="AB763" s="24" t="inlineStr">
        <is>
          <t>P9AUTOR</t>
        </is>
      </c>
      <c r="AC763" s="24" t="inlineStr">
        <is>
          <t>NAAUTOR</t>
        </is>
      </c>
      <c r="AD763" s="24" t="inlineStr">
        <is>
          <t>P3RERESR</t>
        </is>
      </c>
      <c r="AE763" s="24" t="inlineStr">
        <is>
          <t>P9RERESR</t>
        </is>
      </c>
      <c r="AF763" s="24" t="inlineStr">
        <is>
          <t>NARERESR</t>
        </is>
      </c>
      <c r="AG763" s="24" t="inlineStr">
        <is>
          <t>P3RELOCR</t>
        </is>
      </c>
      <c r="AH763" s="24" t="inlineStr">
        <is>
          <t>P9RELOCR</t>
        </is>
      </c>
      <c r="AI763" s="24" t="inlineStr">
        <is>
          <t>NARELOCR</t>
        </is>
      </c>
      <c r="AJ763" s="24" t="inlineStr">
        <is>
          <t>P3CONOTH</t>
        </is>
      </c>
      <c r="AK763" s="24" t="inlineStr">
        <is>
          <t>P9CONOTH</t>
        </is>
      </c>
      <c r="AL763" s="24" t="inlineStr">
        <is>
          <t>NACONOTH</t>
        </is>
      </c>
      <c r="AM763" s="24" t="inlineStr">
        <is>
          <t>LNCRCD</t>
        </is>
      </c>
      <c r="AN763" s="24" t="inlineStr">
        <is>
          <t>LNAUTO</t>
        </is>
      </c>
      <c r="AO763" s="24" t="inlineStr">
        <is>
          <t>LNCONOTH</t>
        </is>
      </c>
      <c r="AP763" s="24" t="inlineStr">
        <is>
          <t>LNRERES</t>
        </is>
      </c>
      <c r="AQ763" s="24" t="inlineStr">
        <is>
          <t>NTCRCDQ</t>
        </is>
      </c>
      <c r="AR763" s="24" t="inlineStr">
        <is>
          <t>NTAUTOQ</t>
        </is>
      </c>
      <c r="AS763" s="24" t="inlineStr">
        <is>
          <t>NTCONOTQ</t>
        </is>
      </c>
      <c r="AT763" s="24" t="inlineStr">
        <is>
          <t>NTRERESQ</t>
        </is>
      </c>
      <c r="AU763" s="24" t="inlineStr">
        <is>
          <t>P3CIR</t>
        </is>
      </c>
      <c r="AV763" s="24" t="inlineStr">
        <is>
          <t>P9CIR</t>
        </is>
      </c>
      <c r="AW763" s="24" t="inlineStr">
        <is>
          <t>NACIR</t>
        </is>
      </c>
      <c r="AX763" s="24" t="inlineStr">
        <is>
          <t>P3RECONS</t>
        </is>
      </c>
      <c r="AY763" s="24" t="inlineStr">
        <is>
          <t>P9RECONS</t>
        </is>
      </c>
      <c r="AZ763" s="24" t="inlineStr">
        <is>
          <t>NARECONS</t>
        </is>
      </c>
      <c r="BA763" s="24" t="inlineStr">
        <is>
          <t>P3RENRES</t>
        </is>
      </c>
      <c r="BB763" s="24" t="inlineStr">
        <is>
          <t>P9RENRES</t>
        </is>
      </c>
      <c r="BC763" s="24" t="inlineStr">
        <is>
          <t>NARENRES</t>
        </is>
      </c>
      <c r="BD763" s="24" t="inlineStr">
        <is>
          <t>P3REMULT</t>
        </is>
      </c>
      <c r="BE763" s="24" t="inlineStr">
        <is>
          <t>P9REMULT</t>
        </is>
      </c>
      <c r="BF763" s="24" t="inlineStr">
        <is>
          <t>NAREMULT</t>
        </is>
      </c>
      <c r="BG763" s="24" t="inlineStr">
        <is>
          <t>LNCI</t>
        </is>
      </c>
      <c r="BH763" s="24" t="inlineStr">
        <is>
          <t>NTRECONQ</t>
        </is>
      </c>
      <c r="BI763" s="24" t="inlineStr">
        <is>
          <t>NTRENREQ</t>
        </is>
      </c>
      <c r="BJ763" s="24" t="inlineStr">
        <is>
          <t>NTREMULQ</t>
        </is>
      </c>
      <c r="BK763" s="24" t="inlineStr">
        <is>
          <t>NTCIQ</t>
        </is>
      </c>
      <c r="BL763" s="24" t="inlineStr">
        <is>
          <t>DEPUNINS</t>
        </is>
      </c>
      <c r="BM763" s="24" t="inlineStr">
        <is>
          <t>SCHA</t>
        </is>
      </c>
      <c r="BN763" s="24" t="inlineStr">
        <is>
          <t>SCHF</t>
        </is>
      </c>
      <c r="BO763" s="24" t="inlineStr">
        <is>
          <t>SCAA</t>
        </is>
      </c>
      <c r="BP763" s="24" t="inlineStr">
        <is>
          <t>SCAF</t>
        </is>
      </c>
      <c r="BQ763" s="24" t="inlineStr">
        <is>
          <t>OTHBFHLB</t>
        </is>
      </c>
    </row>
    <row r="782">
      <c r="A782" s="29" t="inlineStr">
        <is>
          <t>slot40</t>
        </is>
      </c>
    </row>
    <row r="783">
      <c r="A783" s="24" t="inlineStr">
        <is>
          <t>REPDTE</t>
        </is>
      </c>
      <c r="B783" s="24" t="inlineStr">
        <is>
          <t>ASSET</t>
        </is>
      </c>
      <c r="C783" s="24" t="inlineStr">
        <is>
          <t>DEP</t>
        </is>
      </c>
      <c r="D783" s="24" t="inlineStr">
        <is>
          <t>LNLSGR</t>
        </is>
      </c>
      <c r="E783" s="24" t="inlineStr">
        <is>
          <t>LNLSNET</t>
        </is>
      </c>
      <c r="F783" s="24" t="inlineStr">
        <is>
          <t>BRO</t>
        </is>
      </c>
      <c r="G783" s="24" t="inlineStr">
        <is>
          <t>EQ</t>
        </is>
      </c>
      <c r="H783" s="24" t="inlineStr">
        <is>
          <t>NCLNLS</t>
        </is>
      </c>
      <c r="I783" s="24" t="inlineStr">
        <is>
          <t>LNATRES</t>
        </is>
      </c>
      <c r="J783" s="24" t="inlineStr">
        <is>
          <t>P3LNLS</t>
        </is>
      </c>
      <c r="K783" s="24" t="inlineStr">
        <is>
          <t>LNRECONS</t>
        </is>
      </c>
      <c r="L783" s="24" t="inlineStr">
        <is>
          <t>LNRENRES</t>
        </is>
      </c>
      <c r="M783" s="24" t="inlineStr">
        <is>
          <t>LNREMULT</t>
        </is>
      </c>
      <c r="N783" s="24" t="inlineStr">
        <is>
          <t>NCLNLSR</t>
        </is>
      </c>
      <c r="O783" s="24" t="inlineStr">
        <is>
          <t>NTLNLSQR</t>
        </is>
      </c>
      <c r="P783" s="24" t="inlineStr">
        <is>
          <t>LNATRESR</t>
        </is>
      </c>
      <c r="Q783" s="24" t="inlineStr">
        <is>
          <t>LNRESNCR</t>
        </is>
      </c>
      <c r="R783" s="24" t="inlineStr">
        <is>
          <t>RBC1AAJ</t>
        </is>
      </c>
      <c r="S783" s="24" t="inlineStr">
        <is>
          <t>RBCRWAJ</t>
        </is>
      </c>
      <c r="T783" s="24" t="inlineStr">
        <is>
          <t>EQV</t>
        </is>
      </c>
      <c r="U783" s="24" t="inlineStr">
        <is>
          <t>ROAQ</t>
        </is>
      </c>
      <c r="V783" s="24" t="inlineStr">
        <is>
          <t>NIMY</t>
        </is>
      </c>
      <c r="W783" s="24" t="inlineStr">
        <is>
          <t>EEFFR</t>
        </is>
      </c>
      <c r="X783" s="24" t="inlineStr">
        <is>
          <t>P3CRCDR</t>
        </is>
      </c>
      <c r="Y783" s="24" t="inlineStr">
        <is>
          <t>P9CRCDR</t>
        </is>
      </c>
      <c r="Z783" s="24" t="inlineStr">
        <is>
          <t>NACRCDR</t>
        </is>
      </c>
      <c r="AA783" s="24" t="inlineStr">
        <is>
          <t>P3AUTOR</t>
        </is>
      </c>
      <c r="AB783" s="24" t="inlineStr">
        <is>
          <t>P9AUTOR</t>
        </is>
      </c>
      <c r="AC783" s="24" t="inlineStr">
        <is>
          <t>NAAUTOR</t>
        </is>
      </c>
      <c r="AD783" s="24" t="inlineStr">
        <is>
          <t>P3RERESR</t>
        </is>
      </c>
      <c r="AE783" s="24" t="inlineStr">
        <is>
          <t>P9RERESR</t>
        </is>
      </c>
      <c r="AF783" s="24" t="inlineStr">
        <is>
          <t>NARERESR</t>
        </is>
      </c>
      <c r="AG783" s="24" t="inlineStr">
        <is>
          <t>P3RELOCR</t>
        </is>
      </c>
      <c r="AH783" s="24" t="inlineStr">
        <is>
          <t>P9RELOCR</t>
        </is>
      </c>
      <c r="AI783" s="24" t="inlineStr">
        <is>
          <t>NARELOCR</t>
        </is>
      </c>
      <c r="AJ783" s="24" t="inlineStr">
        <is>
          <t>P3CONOTH</t>
        </is>
      </c>
      <c r="AK783" s="24" t="inlineStr">
        <is>
          <t>P9CONOTH</t>
        </is>
      </c>
      <c r="AL783" s="24" t="inlineStr">
        <is>
          <t>NACONOTH</t>
        </is>
      </c>
      <c r="AM783" s="24" t="inlineStr">
        <is>
          <t>LNCRCD</t>
        </is>
      </c>
      <c r="AN783" s="24" t="inlineStr">
        <is>
          <t>LNAUTO</t>
        </is>
      </c>
      <c r="AO783" s="24" t="inlineStr">
        <is>
          <t>LNCONOTH</t>
        </is>
      </c>
      <c r="AP783" s="24" t="inlineStr">
        <is>
          <t>LNRERES</t>
        </is>
      </c>
      <c r="AQ783" s="24" t="inlineStr">
        <is>
          <t>NTCRCDQ</t>
        </is>
      </c>
      <c r="AR783" s="24" t="inlineStr">
        <is>
          <t>NTAUTOQ</t>
        </is>
      </c>
      <c r="AS783" s="24" t="inlineStr">
        <is>
          <t>NTCONOTQ</t>
        </is>
      </c>
      <c r="AT783" s="24" t="inlineStr">
        <is>
          <t>NTRERESQ</t>
        </is>
      </c>
      <c r="AU783" s="24" t="inlineStr">
        <is>
          <t>P3CIR</t>
        </is>
      </c>
      <c r="AV783" s="24" t="inlineStr">
        <is>
          <t>P9CIR</t>
        </is>
      </c>
      <c r="AW783" s="24" t="inlineStr">
        <is>
          <t>NACIR</t>
        </is>
      </c>
      <c r="AX783" s="24" t="inlineStr">
        <is>
          <t>P3RECONS</t>
        </is>
      </c>
      <c r="AY783" s="24" t="inlineStr">
        <is>
          <t>P9RECONS</t>
        </is>
      </c>
      <c r="AZ783" s="24" t="inlineStr">
        <is>
          <t>NARECONS</t>
        </is>
      </c>
      <c r="BA783" s="24" t="inlineStr">
        <is>
          <t>P3RENRES</t>
        </is>
      </c>
      <c r="BB783" s="24" t="inlineStr">
        <is>
          <t>P9RENRES</t>
        </is>
      </c>
      <c r="BC783" s="24" t="inlineStr">
        <is>
          <t>NARENRES</t>
        </is>
      </c>
      <c r="BD783" s="24" t="inlineStr">
        <is>
          <t>P3REMULT</t>
        </is>
      </c>
      <c r="BE783" s="24" t="inlineStr">
        <is>
          <t>P9REMULT</t>
        </is>
      </c>
      <c r="BF783" s="24" t="inlineStr">
        <is>
          <t>NAREMULT</t>
        </is>
      </c>
      <c r="BG783" s="24" t="inlineStr">
        <is>
          <t>LNCI</t>
        </is>
      </c>
      <c r="BH783" s="24" t="inlineStr">
        <is>
          <t>NTRECONQ</t>
        </is>
      </c>
      <c r="BI783" s="24" t="inlineStr">
        <is>
          <t>NTRENREQ</t>
        </is>
      </c>
      <c r="BJ783" s="24" t="inlineStr">
        <is>
          <t>NTREMULQ</t>
        </is>
      </c>
      <c r="BK783" s="24" t="inlineStr">
        <is>
          <t>NTCIQ</t>
        </is>
      </c>
      <c r="BL783" s="24" t="inlineStr">
        <is>
          <t>DEPUNINS</t>
        </is>
      </c>
      <c r="BM783" s="24" t="inlineStr">
        <is>
          <t>SCHA</t>
        </is>
      </c>
      <c r="BN783" s="24" t="inlineStr">
        <is>
          <t>SCHF</t>
        </is>
      </c>
      <c r="BO783" s="24" t="inlineStr">
        <is>
          <t>SCAA</t>
        </is>
      </c>
      <c r="BP783" s="24" t="inlineStr">
        <is>
          <t>SCAF</t>
        </is>
      </c>
      <c r="BQ783" s="24" t="inlineStr">
        <is>
          <t>OTHBFHLB</t>
        </is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S173"/>
  <sheetViews>
    <sheetView showGridLines="0" workbookViewId="0">
      <selection activeCell="A1" sqref="A1"/>
    </sheetView>
  </sheetViews>
  <sheetFormatPr baseColWidth="8" defaultRowHeight="15"/>
  <cols>
    <col width="26" customWidth="1" min="1" max="1"/>
    <col width="16" customWidth="1" min="2" max="2"/>
    <col width="30" customWidth="1" min="3" max="3"/>
    <col width="16" customWidth="1" min="4" max="4"/>
    <col width="10" customWidth="1" min="5" max="5"/>
  </cols>
  <sheetData>
    <row r="1">
      <c r="A1" s="29" t="inlineStr">
        <is>
          <t>Bank Counterparty &amp; Peer Monitor (FDIC BankFind) -- CONFIG (the knob panel). Edit values here; no code change needed.</t>
        </is>
      </c>
    </row>
    <row r="3">
      <c r="A3" s="30" t="inlineStr">
        <is>
          <t>[SETTINGS]</t>
        </is>
      </c>
    </row>
    <row r="4">
      <c r="A4" t="inlineStr">
        <is>
          <t>key</t>
        </is>
      </c>
      <c r="B4" t="inlineStr">
        <is>
          <t>value</t>
        </is>
      </c>
      <c r="C4" t="inlineStr">
        <is>
          <t>help</t>
        </is>
      </c>
    </row>
    <row r="5">
      <c r="A5" t="inlineStr">
        <is>
          <t>pack_version</t>
        </is>
      </c>
      <c r="B5" t="inlineStr">
        <is>
          <t>1.1</t>
        </is>
      </c>
      <c r="C5" t="inlineStr">
        <is>
          <t>metric-pack version BUILT into this workbook (v1.1 = the two-track loan-book + SVB competitor pack, _provenance tab and --tieout mode). The raw layout and every formula are anchored to this pack; the runner refuses a mismatched field layout -- rebuild, never edit in place.</t>
        </is>
      </c>
    </row>
    <row r="6">
      <c r="A6" t="inlineStr">
        <is>
          <t>demo_mode</t>
        </is>
      </c>
      <c r="B6" t="inlineStr">
        <is>
          <t>FALSE</t>
        </is>
      </c>
      <c r="C6" t="inlineStr">
        <is>
          <t>TRUE = offline deterministic FdicDemoProvider (no network), for trying the button and tests. Live mode is KEYLESS -- the FDIC API needs no key either.</t>
        </is>
      </c>
    </row>
    <row r="7">
      <c r="A7" t="inlineStr">
        <is>
          <t>raw_slots</t>
        </is>
      </c>
      <c r="B7" t="n">
        <v>16</v>
      </c>
      <c r="C7" t="inlineStr">
        <is>
          <t>quarters kept per bank (newest-first). BUILT INTO every formula -- changing it requires rebuilding the workbook (make_workbook.py); the runner refuses a mismatched layout.</t>
        </is>
      </c>
    </row>
    <row r="8">
      <c r="A8" t="inlineStr">
        <is>
          <t>peer_slots</t>
        </is>
      </c>
      <c r="B8" t="n">
        <v>40</v>
      </c>
      <c r="C8" t="inlineStr">
        <is>
          <t>the BUILT peer capacity (informational; make_workbook.py --peer-slots N sets it). More banks than this in [PEERS] = the runner refuses with the rebuild command -- never truncation.</t>
        </is>
      </c>
    </row>
    <row r="9">
      <c r="A9" t="inlineStr">
        <is>
          <t>http_min_interval</t>
        </is>
      </c>
      <c r="B9" t="n">
        <v>0.6</v>
      </c>
      <c r="C9" t="inlineStr">
        <is>
          <t>seconds between live FDIC requests (rate limit undocumented -- stay polite).</t>
        </is>
      </c>
    </row>
    <row r="10">
      <c r="A10" t="inlineStr">
        <is>
          <t>fdic_max_retries</t>
        </is>
      </c>
      <c r="B10" t="n">
        <v>4</v>
      </c>
      <c r="C10" t="inlineStr">
        <is>
          <t>retries with backoff on HTTP 429/5xx.</t>
        </is>
      </c>
    </row>
    <row r="11">
      <c r="A11" t="inlineStr">
        <is>
          <t>stale_multiplier</t>
        </is>
      </c>
      <c r="B11" t="n">
        <v>2</v>
      </c>
      <c r="C11" t="inlineStr">
        <is>
          <t>a bank is STALE when its latest REPDTE lags the peer-set max by more than this many quarters (merged-away banks keep returning old data with no error -- trap F2); stale banks are excluded from digest alert counts. NOTE: the Excel median rows still include them in v1 -- see _readme.</t>
        </is>
      </c>
    </row>
    <row r="12">
      <c r="A12" t="inlineStr">
        <is>
          <t>secret_env</t>
        </is>
      </c>
      <c r="B12" t="inlineStr"/>
      <c r="C12" t="inlineStr">
        <is>
          <t>NAME of the env var holding a licensed (Class C) secret. Empty in v1 -- the FDIC API is keyless, and the gates admit ONLY Class A; a licensed swap requires its own review.</t>
        </is>
      </c>
    </row>
    <row r="14">
      <c r="A14" s="30" t="inlineStr">
        <is>
          <t>[THRESHOLDS]</t>
        </is>
      </c>
    </row>
    <row r="15">
      <c r="A15" t="inlineStr">
        <is>
          <t>id</t>
        </is>
      </c>
      <c r="B15" t="inlineStr">
        <is>
          <t>watch</t>
        </is>
      </c>
      <c r="C15" t="inlineStr">
        <is>
          <t>alert</t>
        </is>
      </c>
      <c r="D15" t="inlineStr">
        <is>
          <t>direction</t>
        </is>
      </c>
      <c r="E15" t="inlineStr">
        <is>
          <t>authority</t>
        </is>
      </c>
    </row>
    <row r="16">
      <c r="A16" t="inlineStr">
        <is>
          <t>NCLNLSR</t>
        </is>
      </c>
      <c r="B16" t="n">
        <v>1.5</v>
      </c>
      <c r="C16" t="n">
        <v>3</v>
      </c>
      <c r="D16" t="inlineStr">
        <is>
          <t>above</t>
        </is>
      </c>
      <c r="E16" t="inlineStr">
        <is>
          <t>noncurrent rate; healthy &lt;1 (JPM 0.85)</t>
        </is>
      </c>
    </row>
    <row r="17">
      <c r="A17" t="inlineStr">
        <is>
          <t>NTLNLSQR</t>
        </is>
      </c>
      <c r="B17" t="n">
        <v>1</v>
      </c>
      <c r="C17" t="n">
        <v>2</v>
      </c>
      <c r="D17" t="inlineStr">
        <is>
          <t>above</t>
        </is>
      </c>
      <c r="E17" t="inlineStr">
        <is>
          <t>total NCO; QBP Q1'26 industry 0.59</t>
        </is>
      </c>
    </row>
    <row r="18">
      <c r="A18" t="inlineStr">
        <is>
          <t>PD3089R</t>
        </is>
      </c>
      <c r="B18" t="n">
        <v>1.5</v>
      </c>
      <c r="C18" t="n">
        <v>3</v>
      </c>
      <c r="D18" t="inlineStr">
        <is>
          <t>above</t>
        </is>
      </c>
      <c r="E18" t="inlineStr">
        <is>
          <t>early-delinquency pipeline</t>
        </is>
      </c>
    </row>
    <row r="19">
      <c r="A19" t="inlineStr">
        <is>
          <t>LNATRESR</t>
        </is>
      </c>
      <c r="B19" t="n">
        <v>1</v>
      </c>
      <c r="C19" t="n">
        <v>0.75</v>
      </c>
      <c r="D19" t="inlineStr">
        <is>
          <t>below</t>
        </is>
      </c>
      <c r="E19" t="inlineStr">
        <is>
          <t>thin allowance / loans</t>
        </is>
      </c>
    </row>
    <row r="20">
      <c r="A20" t="inlineStr">
        <is>
          <t>LNRESNCR</t>
        </is>
      </c>
      <c r="B20" t="n">
        <v>100</v>
      </c>
      <c r="C20" t="n">
        <v>50</v>
      </c>
      <c r="D20" t="inlineStr">
        <is>
          <t>below</t>
        </is>
      </c>
      <c r="E20" t="inlineStr">
        <is>
          <t>coverage: reserves &lt; noncurrents</t>
        </is>
      </c>
    </row>
    <row r="21">
      <c r="A21" t="inlineStr">
        <is>
          <t>TEXAS</t>
        </is>
      </c>
      <c r="B21" t="n">
        <v>25</v>
      </c>
      <c r="C21" t="n">
        <v>50</v>
      </c>
      <c r="D21" t="inlineStr">
        <is>
          <t>above</t>
        </is>
      </c>
      <c r="E21" t="inlineStr">
        <is>
          <t>Cassidy/RBC; &lt;25 healthy, 50-100 significant stress, &gt;100 historic failure signal (v1 VARIANT numerator/denominator; JPM 3.56)</t>
        </is>
      </c>
    </row>
    <row r="22">
      <c r="A22" t="inlineStr">
        <is>
          <t>RBC1AAJ</t>
        </is>
      </c>
      <c r="B22" t="n">
        <v>6</v>
      </c>
      <c r="C22" t="n">
        <v>5</v>
      </c>
      <c r="D22" t="inlineStr">
        <is>
          <t>below</t>
        </is>
      </c>
      <c r="E22" t="inlineStr">
        <is>
          <t>PCA well-cap leverage 5; CBLR floor 8 eff 7/1/2026</t>
        </is>
      </c>
    </row>
    <row r="23">
      <c r="A23" t="inlineStr">
        <is>
          <t>RBCRWAJ</t>
        </is>
      </c>
      <c r="B23" t="n">
        <v>11</v>
      </c>
      <c r="C23" t="n">
        <v>10.5</v>
      </c>
      <c r="D23" t="inlineStr">
        <is>
          <t>below</t>
        </is>
      </c>
      <c r="E23" t="inlineStr">
        <is>
          <t>PCA well-cap total RBC 10; null for CBLR electors</t>
        </is>
      </c>
    </row>
    <row r="24">
      <c r="A24" t="inlineStr">
        <is>
          <t>EQV</t>
        </is>
      </c>
      <c r="B24" t="n">
        <v>7</v>
      </c>
      <c r="C24" t="n">
        <v>5</v>
      </c>
      <c r="D24" t="inlineStr">
        <is>
          <t>below</t>
        </is>
      </c>
      <c r="E24" t="inlineStr">
        <is>
          <t>equity/assets (leverage-parallel)</t>
        </is>
      </c>
    </row>
    <row r="25">
      <c r="A25" t="inlineStr">
        <is>
          <t>ROAQ</t>
        </is>
      </c>
      <c r="B25" t="n">
        <v>0.5</v>
      </c>
      <c r="C25" t="n">
        <v>0</v>
      </c>
      <c r="D25" t="inlineStr">
        <is>
          <t>below</t>
        </is>
      </c>
      <c r="E25" t="inlineStr">
        <is>
          <t>QBP Q1'26 industry ROA 1.26</t>
        </is>
      </c>
    </row>
    <row r="26">
      <c r="A26" t="inlineStr">
        <is>
          <t>NIMY</t>
        </is>
      </c>
      <c r="B26" t="n">
        <v>2</v>
      </c>
      <c r="C26" t="n">
        <v>1.5</v>
      </c>
      <c r="D26" t="inlineStr">
        <is>
          <t>below</t>
        </is>
      </c>
      <c r="E26" t="inlineStr">
        <is>
          <t>weak core margin; QBP Q1'26 NIM 3.31</t>
        </is>
      </c>
    </row>
    <row r="27">
      <c r="A27" t="inlineStr">
        <is>
          <t>EEFFR</t>
        </is>
      </c>
      <c r="B27" t="n">
        <v>70</v>
      </c>
      <c r="C27" t="n">
        <v>85</v>
      </c>
      <c r="D27" t="inlineStr">
        <is>
          <t>above</t>
        </is>
      </c>
      <c r="E27" t="inlineStr">
        <is>
          <t>expense discipline</t>
        </is>
      </c>
    </row>
    <row r="28">
      <c r="A28" t="inlineStr">
        <is>
          <t>LNDEPR</t>
        </is>
      </c>
      <c r="B28" t="n">
        <v>100</v>
      </c>
      <c r="C28" t="n">
        <v>110</v>
      </c>
      <c r="D28" t="inlineStr">
        <is>
          <t>above</t>
        </is>
      </c>
      <c r="E28" t="inlineStr">
        <is>
          <t>loans/deposits funding reliance</t>
        </is>
      </c>
    </row>
    <row r="29">
      <c r="A29" t="inlineStr">
        <is>
          <t>BRODEPR</t>
        </is>
      </c>
      <c r="B29" t="n">
        <v>15</v>
      </c>
      <c r="C29" t="n">
        <v>30</v>
      </c>
      <c r="D29" t="inlineStr">
        <is>
          <t>above</t>
        </is>
      </c>
      <c r="E29" t="inlineStr">
        <is>
          <t>brokered reliance; FDI Act s29 / 12 CFR 337.6 salience</t>
        </is>
      </c>
    </row>
    <row r="30">
      <c r="A30" t="inlineStr">
        <is>
          <t>CRECONR</t>
        </is>
      </c>
      <c r="B30" t="n">
        <v>250</v>
      </c>
      <c r="C30" t="n">
        <v>300</v>
      </c>
      <c r="D30" t="inlineStr">
        <is>
          <t>above</t>
        </is>
      </c>
      <c r="E30" t="inlineStr">
        <is>
          <t>2006 interagency CRE guidance 300 at ALERT (PROXY denominator); WATCH = approach band (JPM 49)</t>
        </is>
      </c>
    </row>
    <row r="31">
      <c r="A31" t="inlineStr">
        <is>
          <t>P3CRCDR</t>
        </is>
      </c>
      <c r="B31" t="n">
        <v>2.5</v>
      </c>
      <c r="C31" t="n">
        <v>4</v>
      </c>
      <c r="D31" t="inlineStr">
        <is>
          <t>above</t>
        </is>
      </c>
      <c r="E31" t="inlineStr">
        <is>
          <t>card 30-89 pipeline</t>
        </is>
      </c>
    </row>
    <row r="32">
      <c r="A32" t="inlineStr">
        <is>
          <t>P9CRCDR</t>
        </is>
      </c>
      <c r="B32" t="n">
        <v>2</v>
      </c>
      <c r="C32" t="n">
        <v>3.5</v>
      </c>
      <c r="D32" t="inlineStr">
        <is>
          <t>above</t>
        </is>
      </c>
      <c r="E32" t="inlineStr">
        <is>
          <t>card 90+ accruing</t>
        </is>
      </c>
    </row>
    <row r="33">
      <c r="A33" t="inlineStr">
        <is>
          <t>NACRCDR</t>
        </is>
      </c>
      <c r="B33" t="n">
        <v>1</v>
      </c>
      <c r="C33" t="n">
        <v>2</v>
      </c>
      <c r="D33" t="inlineStr">
        <is>
          <t>above</t>
        </is>
      </c>
      <c r="E33" t="inlineStr">
        <is>
          <t>cards charge off, rarely NA</t>
        </is>
      </c>
    </row>
    <row r="34">
      <c r="A34" t="inlineStr">
        <is>
          <t>NTCRCDQR</t>
        </is>
      </c>
      <c r="B34" t="n">
        <v>6</v>
      </c>
      <c r="C34" t="n">
        <v>8</v>
      </c>
      <c r="D34" t="inlineStr">
        <is>
          <t>above</t>
        </is>
      </c>
      <c r="E34" t="inlineStr">
        <is>
          <t>card NCO runs structurally high; normal 3-4% (JPM 3.28)</t>
        </is>
      </c>
    </row>
    <row r="35">
      <c r="A35" t="inlineStr">
        <is>
          <t>P3AUTOR</t>
        </is>
      </c>
      <c r="B35" t="n">
        <v>4</v>
      </c>
      <c r="C35" t="n">
        <v>6</v>
      </c>
      <c r="D35" t="inlineStr">
        <is>
          <t>above</t>
        </is>
      </c>
      <c r="E35" t="inlineStr">
        <is>
          <t>auto early DQ runs elevated</t>
        </is>
      </c>
    </row>
    <row r="36">
      <c r="A36" t="inlineStr">
        <is>
          <t>P9AUTOR</t>
        </is>
      </c>
      <c r="B36" t="n">
        <v>1</v>
      </c>
      <c r="C36" t="n">
        <v>2</v>
      </c>
      <c r="D36" t="inlineStr">
        <is>
          <t>above</t>
        </is>
      </c>
      <c r="E36" t="inlineStr">
        <is>
          <t>auto 90+ accruing</t>
        </is>
      </c>
    </row>
    <row r="37">
      <c r="A37" t="inlineStr">
        <is>
          <t>NAAUTOR</t>
        </is>
      </c>
      <c r="B37" t="n">
        <v>1.5</v>
      </c>
      <c r="C37" t="n">
        <v>3</v>
      </c>
      <c r="D37" t="inlineStr">
        <is>
          <t>above</t>
        </is>
      </c>
      <c r="E37" t="inlineStr">
        <is>
          <t>auto nonaccrual</t>
        </is>
      </c>
    </row>
    <row r="38">
      <c r="A38" t="inlineStr">
        <is>
          <t>NTAUTOQR</t>
        </is>
      </c>
      <c r="B38" t="n">
        <v>2.5</v>
      </c>
      <c r="C38" t="n">
        <v>4</v>
      </c>
      <c r="D38" t="inlineStr">
        <is>
          <t>above</t>
        </is>
      </c>
      <c r="E38" t="inlineStr">
        <is>
          <t>auto NCO; normal 0.5-2%</t>
        </is>
      </c>
    </row>
    <row r="39">
      <c r="A39" t="inlineStr">
        <is>
          <t>P3CONOTHR</t>
        </is>
      </c>
      <c r="B39" t="n">
        <v>3</v>
      </c>
      <c r="C39" t="n">
        <v>5</v>
      </c>
      <c r="D39" t="inlineStr">
        <is>
          <t>above</t>
        </is>
      </c>
      <c r="E39" t="inlineStr">
        <is>
          <t>other consumer early DQ</t>
        </is>
      </c>
    </row>
    <row r="40">
      <c r="A40" t="inlineStr">
        <is>
          <t>P9CONOTHR</t>
        </is>
      </c>
      <c r="B40" t="n">
        <v>1.5</v>
      </c>
      <c r="C40" t="n">
        <v>3</v>
      </c>
      <c r="D40" t="inlineStr">
        <is>
          <t>above</t>
        </is>
      </c>
      <c r="E40" t="inlineStr">
        <is>
          <t>other consumer 90+</t>
        </is>
      </c>
    </row>
    <row r="41">
      <c r="A41" t="inlineStr">
        <is>
          <t>NACONOTHR</t>
        </is>
      </c>
      <c r="B41" t="n">
        <v>2.5</v>
      </c>
      <c r="C41" t="n">
        <v>4</v>
      </c>
      <c r="D41" t="inlineStr">
        <is>
          <t>above</t>
        </is>
      </c>
      <c r="E41" t="inlineStr">
        <is>
          <t>other consumer nonaccrual</t>
        </is>
      </c>
    </row>
    <row r="42">
      <c r="A42" t="inlineStr">
        <is>
          <t>NTCONOTQR</t>
        </is>
      </c>
      <c r="B42" t="n">
        <v>2</v>
      </c>
      <c r="C42" t="n">
        <v>4</v>
      </c>
      <c r="D42" t="inlineStr">
        <is>
          <t>above</t>
        </is>
      </c>
      <c r="E42" t="inlineStr">
        <is>
          <t>other consumer NCO</t>
        </is>
      </c>
    </row>
    <row r="43">
      <c r="A43" t="inlineStr">
        <is>
          <t>P3RERESR</t>
        </is>
      </c>
      <c r="B43" t="n">
        <v>2</v>
      </c>
      <c r="C43" t="n">
        <v>4</v>
      </c>
      <c r="D43" t="inlineStr">
        <is>
          <t>above</t>
        </is>
      </c>
      <c r="E43" t="inlineStr">
        <is>
          <t>resi 1-4 early DQ</t>
        </is>
      </c>
    </row>
    <row r="44">
      <c r="A44" t="inlineStr">
        <is>
          <t>P9RERESR</t>
        </is>
      </c>
      <c r="B44" t="n">
        <v>1.5</v>
      </c>
      <c r="C44" t="n">
        <v>3</v>
      </c>
      <c r="D44" t="inlineStr">
        <is>
          <t>above</t>
        </is>
      </c>
      <c r="E44" t="inlineStr">
        <is>
          <t>resi 90+</t>
        </is>
      </c>
    </row>
    <row r="45">
      <c r="A45" t="inlineStr">
        <is>
          <t>NARERESR</t>
        </is>
      </c>
      <c r="B45" t="n">
        <v>1.5</v>
      </c>
      <c r="C45" t="n">
        <v>3</v>
      </c>
      <c r="D45" t="inlineStr">
        <is>
          <t>above</t>
        </is>
      </c>
      <c r="E45" t="inlineStr">
        <is>
          <t>resi nonaccrual</t>
        </is>
      </c>
    </row>
    <row r="46">
      <c r="A46" t="inlineStr">
        <is>
          <t>NTRERESQR</t>
        </is>
      </c>
      <c r="B46" t="n">
        <v>0.75</v>
      </c>
      <c r="C46" t="n">
        <v>1.5</v>
      </c>
      <c r="D46" t="inlineStr">
        <is>
          <t>above</t>
        </is>
      </c>
      <c r="E46" t="inlineStr">
        <is>
          <t>resi NCO runs near zero</t>
        </is>
      </c>
    </row>
    <row r="47">
      <c r="A47" t="inlineStr">
        <is>
          <t>P3RELOCR</t>
        </is>
      </c>
      <c r="B47" t="n">
        <v>2</v>
      </c>
      <c r="C47" t="n">
        <v>4</v>
      </c>
      <c r="D47" t="inlineStr">
        <is>
          <t>above</t>
        </is>
      </c>
      <c r="E47" t="inlineStr">
        <is>
          <t>HELOC early DQ</t>
        </is>
      </c>
    </row>
    <row r="48">
      <c r="A48" t="inlineStr">
        <is>
          <t>P9RELOCR</t>
        </is>
      </c>
      <c r="B48" t="n">
        <v>1.5</v>
      </c>
      <c r="C48" t="n">
        <v>3</v>
      </c>
      <c r="D48" t="inlineStr">
        <is>
          <t>above</t>
        </is>
      </c>
      <c r="E48" t="inlineStr">
        <is>
          <t>HELOC 90+</t>
        </is>
      </c>
    </row>
    <row r="49">
      <c r="A49" t="inlineStr">
        <is>
          <t>NARELOCR</t>
        </is>
      </c>
      <c r="B49" t="n">
        <v>1.5</v>
      </c>
      <c r="C49" t="n">
        <v>3</v>
      </c>
      <c r="D49" t="inlineStr">
        <is>
          <t>above</t>
        </is>
      </c>
      <c r="E49" t="inlineStr">
        <is>
          <t>HELOC nonaccrual</t>
        </is>
      </c>
    </row>
    <row r="50">
      <c r="A50" t="inlineStr">
        <is>
          <t>P3RECONSR</t>
        </is>
      </c>
      <c r="B50" t="n">
        <v>2</v>
      </c>
      <c r="C50" t="n">
        <v>4</v>
      </c>
      <c r="D50" t="inlineStr">
        <is>
          <t>above</t>
        </is>
      </c>
      <c r="E50" t="inlineStr">
        <is>
          <t>construction 30-89</t>
        </is>
      </c>
    </row>
    <row r="51">
      <c r="A51" t="inlineStr">
        <is>
          <t>P9RECONSR</t>
        </is>
      </c>
      <c r="B51" t="n">
        <v>1.5</v>
      </c>
      <c r="C51" t="n">
        <v>3</v>
      </c>
      <c r="D51" t="inlineStr">
        <is>
          <t>above</t>
        </is>
      </c>
      <c r="E51" t="inlineStr">
        <is>
          <t>construction 90+</t>
        </is>
      </c>
    </row>
    <row r="52">
      <c r="A52" t="inlineStr">
        <is>
          <t>NARECONSR</t>
        </is>
      </c>
      <c r="B52" t="n">
        <v>4</v>
      </c>
      <c r="C52" t="n">
        <v>7</v>
      </c>
      <c r="D52" t="inlineStr">
        <is>
          <t>above</t>
        </is>
      </c>
      <c r="E52" t="inlineStr">
        <is>
          <t>constr NA runs above CRE (JPM 2.55)</t>
        </is>
      </c>
    </row>
    <row r="53">
      <c r="A53" t="inlineStr">
        <is>
          <t>NTRECONQR</t>
        </is>
      </c>
      <c r="B53" t="n">
        <v>1.5</v>
      </c>
      <c r="C53" t="n">
        <v>3</v>
      </c>
      <c r="D53" t="inlineStr">
        <is>
          <t>above</t>
        </is>
      </c>
      <c r="E53" t="inlineStr">
        <is>
          <t>construction NCO</t>
        </is>
      </c>
    </row>
    <row r="54">
      <c r="A54" t="inlineStr">
        <is>
          <t>P3RENRESR</t>
        </is>
      </c>
      <c r="B54" t="n">
        <v>2</v>
      </c>
      <c r="C54" t="n">
        <v>4</v>
      </c>
      <c r="D54" t="inlineStr">
        <is>
          <t>above</t>
        </is>
      </c>
      <c r="E54" t="inlineStr">
        <is>
          <t>CRE nonfarm early DQ</t>
        </is>
      </c>
    </row>
    <row r="55">
      <c r="A55" t="inlineStr">
        <is>
          <t>P9RENRESR</t>
        </is>
      </c>
      <c r="B55" t="n">
        <v>1.5</v>
      </c>
      <c r="C55" t="n">
        <v>3</v>
      </c>
      <c r="D55" t="inlineStr">
        <is>
          <t>above</t>
        </is>
      </c>
      <c r="E55" t="inlineStr">
        <is>
          <t>CRE nonfarm 90+</t>
        </is>
      </c>
    </row>
    <row r="56">
      <c r="A56" t="inlineStr">
        <is>
          <t>NARENRESR</t>
        </is>
      </c>
      <c r="B56" t="n">
        <v>4</v>
      </c>
      <c r="C56" t="n">
        <v>7</v>
      </c>
      <c r="D56" t="inlineStr">
        <is>
          <t>above</t>
        </is>
      </c>
      <c r="E56" t="inlineStr">
        <is>
          <t>CRE nonaccrual elevated in 2026 (JPM 2.10)</t>
        </is>
      </c>
    </row>
    <row r="57">
      <c r="A57" t="inlineStr">
        <is>
          <t>NTRENREQR</t>
        </is>
      </c>
      <c r="B57" t="n">
        <v>1.5</v>
      </c>
      <c r="C57" t="n">
        <v>3</v>
      </c>
      <c r="D57" t="inlineStr">
        <is>
          <t>above</t>
        </is>
      </c>
      <c r="E57" t="inlineStr">
        <is>
          <t>CRE nonfarm NCO</t>
        </is>
      </c>
    </row>
    <row r="58">
      <c r="A58" t="inlineStr">
        <is>
          <t>P3REMULTR</t>
        </is>
      </c>
      <c r="B58" t="n">
        <v>2</v>
      </c>
      <c r="C58" t="n">
        <v>4</v>
      </c>
      <c r="D58" t="inlineStr">
        <is>
          <t>above</t>
        </is>
      </c>
      <c r="E58" t="inlineStr">
        <is>
          <t>multifamily early DQ</t>
        </is>
      </c>
    </row>
    <row r="59">
      <c r="A59" t="inlineStr">
        <is>
          <t>P9REMULTR</t>
        </is>
      </c>
      <c r="B59" t="n">
        <v>1.5</v>
      </c>
      <c r="C59" t="n">
        <v>3</v>
      </c>
      <c r="D59" t="inlineStr">
        <is>
          <t>above</t>
        </is>
      </c>
      <c r="E59" t="inlineStr">
        <is>
          <t>multifamily 90+</t>
        </is>
      </c>
    </row>
    <row r="60">
      <c r="A60" t="inlineStr">
        <is>
          <t>NAREMULTR</t>
        </is>
      </c>
      <c r="B60" t="n">
        <v>3</v>
      </c>
      <c r="C60" t="n">
        <v>5</v>
      </c>
      <c r="D60" t="inlineStr">
        <is>
          <t>above</t>
        </is>
      </c>
      <c r="E60" t="inlineStr">
        <is>
          <t>multifamily nonaccrual</t>
        </is>
      </c>
    </row>
    <row r="61">
      <c r="A61" t="inlineStr">
        <is>
          <t>NTREMULQR</t>
        </is>
      </c>
      <c r="B61" t="n">
        <v>1.5</v>
      </c>
      <c r="C61" t="n">
        <v>3</v>
      </c>
      <c r="D61" t="inlineStr">
        <is>
          <t>above</t>
        </is>
      </c>
      <c r="E61" t="inlineStr">
        <is>
          <t>multifamily NCO</t>
        </is>
      </c>
    </row>
    <row r="62">
      <c r="A62" t="inlineStr">
        <is>
          <t>P3CIR</t>
        </is>
      </c>
      <c r="B62" t="n">
        <v>1.5</v>
      </c>
      <c r="C62" t="n">
        <v>3</v>
      </c>
      <c r="D62" t="inlineStr">
        <is>
          <t>above</t>
        </is>
      </c>
      <c r="E62" t="inlineStr">
        <is>
          <t>C&amp;I early DQ</t>
        </is>
      </c>
    </row>
    <row r="63">
      <c r="A63" t="inlineStr">
        <is>
          <t>P9CIR</t>
        </is>
      </c>
      <c r="B63" t="n">
        <v>1</v>
      </c>
      <c r="C63" t="n">
        <v>2</v>
      </c>
      <c r="D63" t="inlineStr">
        <is>
          <t>above</t>
        </is>
      </c>
      <c r="E63" t="inlineStr">
        <is>
          <t>C&amp;I 90+</t>
        </is>
      </c>
    </row>
    <row r="64">
      <c r="A64" t="inlineStr">
        <is>
          <t>NACIR</t>
        </is>
      </c>
      <c r="B64" t="n">
        <v>1.5</v>
      </c>
      <c r="C64" t="n">
        <v>3</v>
      </c>
      <c r="D64" t="inlineStr">
        <is>
          <t>above</t>
        </is>
      </c>
      <c r="E64" t="inlineStr">
        <is>
          <t>C&amp;I nonaccrual</t>
        </is>
      </c>
    </row>
    <row r="65">
      <c r="A65" t="inlineStr">
        <is>
          <t>NTCIQR</t>
        </is>
      </c>
      <c r="B65" t="n">
        <v>1.5</v>
      </c>
      <c r="C65" t="n">
        <v>3</v>
      </c>
      <c r="D65" t="inlineStr">
        <is>
          <t>above</t>
        </is>
      </c>
      <c r="E65" t="inlineStr">
        <is>
          <t>C&amp;I quarterly NCO; normal 0.2-1% (JPM 0.78)</t>
        </is>
      </c>
    </row>
    <row r="66">
      <c r="A66" t="inlineStr">
        <is>
          <t>UNINSDEPR</t>
        </is>
      </c>
      <c r="B66" t="n">
        <v>60</v>
      </c>
      <c r="C66" t="n">
        <v>75</v>
      </c>
      <c r="D66" t="inlineStr">
        <is>
          <t>above</t>
        </is>
      </c>
      <c r="E66" t="inlineStr">
        <is>
          <t>uninsured share; megabanks normally 40-55 (JPM 46), SVB was 94; null DEPUNINS renders blank, never 0</t>
        </is>
      </c>
    </row>
    <row r="67">
      <c r="A67" t="inlineStr">
        <is>
          <t>UNRLZCAPR</t>
        </is>
      </c>
      <c r="B67" t="n">
        <v>25</v>
      </c>
      <c r="C67" t="n">
        <v>50</v>
      </c>
      <c r="D67" t="inlineStr">
        <is>
          <t>above</t>
        </is>
      </c>
      <c r="E67" t="inlineStr">
        <is>
          <t>unrealized loss / capital cushion; SVB ran &gt;100 (JPM 5.76)</t>
        </is>
      </c>
    </row>
    <row r="68">
      <c r="A68" t="inlineStr">
        <is>
          <t>FHLBASSR</t>
        </is>
      </c>
      <c r="B68" t="n">
        <v>10</v>
      </c>
      <c r="C68" t="n">
        <v>20</v>
      </c>
      <c r="D68" t="inlineStr">
        <is>
          <t>above</t>
        </is>
      </c>
      <c r="E68" t="inlineStr">
        <is>
          <t>wholesale FHLB reliance screen</t>
        </is>
      </c>
    </row>
    <row r="70">
      <c r="A70" s="30" t="inlineStr">
        <is>
          <t>[PEERS]</t>
        </is>
      </c>
    </row>
    <row r="71">
      <c r="A71" t="inlineStr">
        <is>
          <t>slot</t>
        </is>
      </c>
      <c r="B71" t="inlineStr">
        <is>
          <t>cert</t>
        </is>
      </c>
      <c r="C71" t="inlineStr">
        <is>
          <t>name</t>
        </is>
      </c>
      <c r="D71" t="inlineStr">
        <is>
          <t>group</t>
        </is>
      </c>
      <c r="E71" t="inlineStr">
        <is>
          <t>active</t>
        </is>
      </c>
    </row>
    <row r="72">
      <c r="A72" t="n">
        <v>1</v>
      </c>
      <c r="B72" t="n">
        <v>628</v>
      </c>
      <c r="C72" t="inlineStr">
        <is>
          <t>JPMorgan Chase Bank NA</t>
        </is>
      </c>
      <c r="D72" t="inlineStr">
        <is>
          <t>peer</t>
        </is>
      </c>
      <c r="E72" t="inlineStr">
        <is>
          <t>TRUE</t>
        </is>
      </c>
    </row>
    <row r="73">
      <c r="A73" t="n">
        <v>2</v>
      </c>
      <c r="B73" t="n">
        <v>3511</v>
      </c>
      <c r="C73" t="inlineStr">
        <is>
          <t>Wells Fargo Bank NA</t>
        </is>
      </c>
      <c r="D73" t="inlineStr">
        <is>
          <t>peer</t>
        </is>
      </c>
      <c r="E73" t="inlineStr">
        <is>
          <t>TRUE</t>
        </is>
      </c>
    </row>
    <row r="74">
      <c r="A74" t="n">
        <v>3</v>
      </c>
      <c r="B74" t="n">
        <v>3510</v>
      </c>
      <c r="C74" t="inlineStr">
        <is>
          <t>Bank of America NA</t>
        </is>
      </c>
      <c r="D74" t="inlineStr">
        <is>
          <t>peer</t>
        </is>
      </c>
      <c r="E74" t="inlineStr">
        <is>
          <t>TRUE</t>
        </is>
      </c>
    </row>
    <row r="75">
      <c r="A75" t="n">
        <v>4</v>
      </c>
      <c r="B75" t="n">
        <v>7213</v>
      </c>
      <c r="C75" t="inlineStr">
        <is>
          <t>Citibank NA</t>
        </is>
      </c>
      <c r="D75" t="inlineStr">
        <is>
          <t>peer</t>
        </is>
      </c>
      <c r="E75" t="inlineStr">
        <is>
          <t>TRUE</t>
        </is>
      </c>
    </row>
    <row r="76">
      <c r="A76" t="n">
        <v>5</v>
      </c>
      <c r="B76" t="n">
        <v>6548</v>
      </c>
      <c r="C76" t="inlineStr">
        <is>
          <t>US Bank NA</t>
        </is>
      </c>
      <c r="D76" t="inlineStr">
        <is>
          <t>peer</t>
        </is>
      </c>
      <c r="E76" t="inlineStr">
        <is>
          <t>TRUE</t>
        </is>
      </c>
    </row>
    <row r="77">
      <c r="A77" t="n">
        <v>6</v>
      </c>
      <c r="B77" t="n">
        <v>6384</v>
      </c>
      <c r="C77" t="inlineStr">
        <is>
          <t>PNC Bank NA</t>
        </is>
      </c>
      <c r="D77" t="inlineStr">
        <is>
          <t>peer</t>
        </is>
      </c>
      <c r="E77" t="inlineStr">
        <is>
          <t>TRUE</t>
        </is>
      </c>
    </row>
    <row r="78">
      <c r="A78" t="n">
        <v>7</v>
      </c>
      <c r="B78" t="n">
        <v>9846</v>
      </c>
      <c r="C78" t="inlineStr">
        <is>
          <t>Truist Bank</t>
        </is>
      </c>
      <c r="D78" t="inlineStr">
        <is>
          <t>peer</t>
        </is>
      </c>
      <c r="E78" t="inlineStr">
        <is>
          <t>TRUE</t>
        </is>
      </c>
    </row>
    <row r="79">
      <c r="A79" t="n">
        <v>8</v>
      </c>
      <c r="B79" t="n">
        <v>4297</v>
      </c>
      <c r="C79" t="inlineStr">
        <is>
          <t>Capital One NA</t>
        </is>
      </c>
      <c r="D79" t="inlineStr">
        <is>
          <t>peer</t>
        </is>
      </c>
      <c r="E79" t="inlineStr">
        <is>
          <t>TRUE</t>
        </is>
      </c>
    </row>
    <row r="80">
      <c r="A80" t="n">
        <v>9</v>
      </c>
      <c r="B80" t="n">
        <v>17534</v>
      </c>
      <c r="C80" t="inlineStr">
        <is>
          <t>KeyBank NA</t>
        </is>
      </c>
      <c r="D80" t="inlineStr">
        <is>
          <t>self</t>
        </is>
      </c>
      <c r="E80" t="inlineStr">
        <is>
          <t>TRUE</t>
        </is>
      </c>
    </row>
    <row r="81">
      <c r="A81" t="n">
        <v>10</v>
      </c>
      <c r="B81" t="n">
        <v>639</v>
      </c>
      <c r="C81" t="inlineStr">
        <is>
          <t>Bank of New York Mellon</t>
        </is>
      </c>
      <c r="D81" t="inlineStr">
        <is>
          <t>counterparty</t>
        </is>
      </c>
      <c r="E81" t="inlineStr">
        <is>
          <t>TRUE</t>
        </is>
      </c>
    </row>
    <row r="82">
      <c r="A82" t="n">
        <v>11</v>
      </c>
      <c r="B82" t="n">
        <v>33124</v>
      </c>
      <c r="C82" t="inlineStr">
        <is>
          <t>Goldman Sachs Bank USA</t>
        </is>
      </c>
      <c r="D82" t="inlineStr">
        <is>
          <t>counterparty</t>
        </is>
      </c>
      <c r="E82" t="inlineStr">
        <is>
          <t>TRUE</t>
        </is>
      </c>
    </row>
    <row r="83">
      <c r="A83" t="n">
        <v>12</v>
      </c>
      <c r="B83" t="n">
        <v>32992</v>
      </c>
      <c r="C83" t="inlineStr">
        <is>
          <t>Morgan Stanley Bank NA</t>
        </is>
      </c>
      <c r="D83" t="inlineStr">
        <is>
          <t>counterparty</t>
        </is>
      </c>
      <c r="E83" t="inlineStr">
        <is>
          <t>TRUE</t>
        </is>
      </c>
    </row>
    <row r="84">
      <c r="A84" t="n">
        <v>13</v>
      </c>
      <c r="B84" t="inlineStr"/>
      <c r="C84" t="inlineStr"/>
      <c r="D84" t="inlineStr"/>
      <c r="E84" t="inlineStr"/>
    </row>
    <row r="85">
      <c r="A85" t="n">
        <v>14</v>
      </c>
      <c r="B85" t="inlineStr"/>
      <c r="C85" t="inlineStr"/>
      <c r="D85" t="inlineStr"/>
      <c r="E85" t="inlineStr"/>
    </row>
    <row r="86">
      <c r="A86" t="n">
        <v>15</v>
      </c>
      <c r="B86" t="inlineStr"/>
      <c r="C86" t="inlineStr"/>
      <c r="D86" t="inlineStr"/>
      <c r="E86" t="inlineStr"/>
    </row>
    <row r="87">
      <c r="A87" t="n">
        <v>16</v>
      </c>
      <c r="B87" t="inlineStr"/>
      <c r="C87" t="inlineStr"/>
      <c r="D87" t="inlineStr"/>
      <c r="E87" t="inlineStr"/>
    </row>
    <row r="88">
      <c r="A88" t="n">
        <v>17</v>
      </c>
      <c r="B88" t="inlineStr"/>
      <c r="C88" t="inlineStr"/>
      <c r="D88" t="inlineStr"/>
      <c r="E88" t="inlineStr"/>
    </row>
    <row r="89">
      <c r="A89" t="n">
        <v>18</v>
      </c>
      <c r="B89" t="inlineStr"/>
      <c r="C89" t="inlineStr"/>
      <c r="D89" t="inlineStr"/>
      <c r="E89" t="inlineStr"/>
    </row>
    <row r="90">
      <c r="A90" t="n">
        <v>19</v>
      </c>
      <c r="B90" t="inlineStr"/>
      <c r="C90" t="inlineStr"/>
      <c r="D90" t="inlineStr"/>
      <c r="E90" t="inlineStr"/>
    </row>
    <row r="91">
      <c r="A91" t="n">
        <v>20</v>
      </c>
      <c r="B91" t="inlineStr"/>
      <c r="C91" t="inlineStr"/>
      <c r="D91" t="inlineStr"/>
      <c r="E91" t="inlineStr"/>
    </row>
    <row r="92">
      <c r="A92" t="n">
        <v>21</v>
      </c>
      <c r="B92" t="inlineStr"/>
      <c r="C92" t="inlineStr"/>
      <c r="D92" t="inlineStr"/>
      <c r="E92" t="inlineStr"/>
    </row>
    <row r="93">
      <c r="A93" t="n">
        <v>22</v>
      </c>
      <c r="B93" t="inlineStr"/>
      <c r="C93" t="inlineStr"/>
      <c r="D93" t="inlineStr"/>
      <c r="E93" t="inlineStr"/>
    </row>
    <row r="94">
      <c r="A94" t="n">
        <v>23</v>
      </c>
      <c r="B94" t="inlineStr"/>
      <c r="C94" t="inlineStr"/>
      <c r="D94" t="inlineStr"/>
      <c r="E94" t="inlineStr"/>
    </row>
    <row r="95">
      <c r="A95" t="n">
        <v>24</v>
      </c>
      <c r="B95" t="inlineStr"/>
      <c r="C95" t="inlineStr"/>
      <c r="D95" t="inlineStr"/>
      <c r="E95" t="inlineStr"/>
    </row>
    <row r="96">
      <c r="A96" t="n">
        <v>25</v>
      </c>
      <c r="B96" t="inlineStr"/>
      <c r="C96" t="inlineStr"/>
      <c r="D96" t="inlineStr"/>
      <c r="E96" t="inlineStr"/>
    </row>
    <row r="97">
      <c r="A97" t="n">
        <v>26</v>
      </c>
      <c r="B97" t="inlineStr"/>
      <c r="C97" t="inlineStr"/>
      <c r="D97" t="inlineStr"/>
      <c r="E97" t="inlineStr"/>
    </row>
    <row r="98">
      <c r="A98" t="n">
        <v>27</v>
      </c>
      <c r="B98" t="inlineStr"/>
      <c r="C98" t="inlineStr"/>
      <c r="D98" t="inlineStr"/>
      <c r="E98" t="inlineStr"/>
    </row>
    <row r="99">
      <c r="A99" t="n">
        <v>28</v>
      </c>
      <c r="B99" t="inlineStr"/>
      <c r="C99" t="inlineStr"/>
      <c r="D99" t="inlineStr"/>
      <c r="E99" t="inlineStr"/>
    </row>
    <row r="100">
      <c r="A100" t="n">
        <v>29</v>
      </c>
      <c r="B100" t="inlineStr"/>
      <c r="C100" t="inlineStr"/>
      <c r="D100" t="inlineStr"/>
      <c r="E100" t="inlineStr"/>
    </row>
    <row r="101">
      <c r="A101" t="n">
        <v>30</v>
      </c>
      <c r="B101" t="inlineStr"/>
      <c r="C101" t="inlineStr"/>
      <c r="D101" t="inlineStr"/>
      <c r="E101" t="inlineStr"/>
    </row>
    <row r="102">
      <c r="A102" t="n">
        <v>31</v>
      </c>
      <c r="B102" t="inlineStr"/>
      <c r="C102" t="inlineStr"/>
      <c r="D102" t="inlineStr"/>
      <c r="E102" t="inlineStr"/>
    </row>
    <row r="103">
      <c r="A103" t="n">
        <v>32</v>
      </c>
      <c r="B103" t="inlineStr"/>
      <c r="C103" t="inlineStr"/>
      <c r="D103" t="inlineStr"/>
      <c r="E103" t="inlineStr"/>
    </row>
    <row r="104">
      <c r="A104" t="n">
        <v>33</v>
      </c>
      <c r="B104" t="inlineStr"/>
      <c r="C104" t="inlineStr"/>
      <c r="D104" t="inlineStr"/>
      <c r="E104" t="inlineStr"/>
    </row>
    <row r="105">
      <c r="A105" t="n">
        <v>34</v>
      </c>
      <c r="B105" t="inlineStr"/>
      <c r="C105" t="inlineStr"/>
      <c r="D105" t="inlineStr"/>
      <c r="E105" t="inlineStr"/>
    </row>
    <row r="106">
      <c r="A106" t="n">
        <v>35</v>
      </c>
      <c r="B106" t="inlineStr"/>
      <c r="C106" t="inlineStr"/>
      <c r="D106" t="inlineStr"/>
      <c r="E106" t="inlineStr"/>
    </row>
    <row r="107">
      <c r="A107" t="n">
        <v>36</v>
      </c>
      <c r="B107" t="inlineStr"/>
      <c r="C107" t="inlineStr"/>
      <c r="D107" t="inlineStr"/>
      <c r="E107" t="inlineStr"/>
    </row>
    <row r="108">
      <c r="A108" t="n">
        <v>37</v>
      </c>
      <c r="B108" t="inlineStr"/>
      <c r="C108" t="inlineStr"/>
      <c r="D108" t="inlineStr"/>
      <c r="E108" t="inlineStr"/>
    </row>
    <row r="109">
      <c r="A109" t="n">
        <v>38</v>
      </c>
      <c r="B109" t="inlineStr"/>
      <c r="C109" t="inlineStr"/>
      <c r="D109" t="inlineStr"/>
      <c r="E109" t="inlineStr"/>
    </row>
    <row r="110">
      <c r="A110" t="n">
        <v>39</v>
      </c>
      <c r="B110" t="inlineStr"/>
      <c r="C110" t="inlineStr"/>
      <c r="D110" t="inlineStr"/>
      <c r="E110" t="inlineStr"/>
    </row>
    <row r="111">
      <c r="A111" t="n">
        <v>40</v>
      </c>
      <c r="B111" t="inlineStr"/>
      <c r="C111" t="inlineStr"/>
      <c r="D111" t="inlineStr"/>
      <c r="E111" t="inlineStr"/>
    </row>
    <row r="112">
      <c r="A112" t="inlineStr">
        <is>
          <t># One bank per row: slot | cert | name | group | active. Add a bank = fill a free slot row + re-run the runner (no rebuild). Remove = active FALSE or clear the row (the slot blanks on the next run).</t>
        </is>
      </c>
    </row>
    <row r="113">
      <c r="A113" t="inlineStr">
        <is>
          <t># CERT provenance: 628, 3511 and 639 are verified against the FDIC's own spec/captured response; ALL OTHER seeded CERTs are illustrative -- verify each with: python runner.py --lookup "&lt;bank name&gt;" before a live run.</t>
        </is>
      </c>
    </row>
    <row r="115">
      <c r="A115" s="30" t="inlineStr">
        <is>
          <t>[SERIES]</t>
        </is>
      </c>
    </row>
    <row r="116">
      <c r="A116" t="inlineStr">
        <is>
          <t>id</t>
        </is>
      </c>
      <c r="B116" t="inlineStr">
        <is>
          <t>title</t>
        </is>
      </c>
      <c r="C116" t="inlineStr">
        <is>
          <t>category</t>
        </is>
      </c>
      <c r="D116" t="inlineStr">
        <is>
          <t>lane</t>
        </is>
      </c>
      <c r="E116" t="inlineStr">
        <is>
          <t>metric_type</t>
        </is>
      </c>
      <c r="F116" t="inlineStr">
        <is>
          <t>frequency</t>
        </is>
      </c>
      <c r="G116" t="inlineStr">
        <is>
          <t>sa_nsa</t>
        </is>
      </c>
      <c r="H116" t="inlineStr">
        <is>
          <t>units</t>
        </is>
      </c>
      <c r="I116" t="inlineStr">
        <is>
          <t>level_rate_index</t>
        </is>
      </c>
      <c r="J116" t="inlineStr">
        <is>
          <t>geo_segment</t>
        </is>
      </c>
      <c r="K116" t="inlineStr">
        <is>
          <t>source_class</t>
        </is>
      </c>
      <c r="L116" t="inlineStr">
        <is>
          <t>dashboard_capable</t>
        </is>
      </c>
      <c r="M116" t="inlineStr">
        <is>
          <t>watchlist_capable</t>
        </is>
      </c>
      <c r="N116" t="inlineStr">
        <is>
          <t>source_url</t>
        </is>
      </c>
      <c r="O116" t="inlineStr">
        <is>
          <t>table_id</t>
        </is>
      </c>
      <c r="P116" t="inlineStr">
        <is>
          <t>sheet</t>
        </is>
      </c>
      <c r="Q116" t="inlineStr">
        <is>
          <t>series_label</t>
        </is>
      </c>
      <c r="R116" t="inlineStr">
        <is>
          <t>transform</t>
        </is>
      </c>
      <c r="S116" t="inlineStr">
        <is>
          <t>notes</t>
        </is>
      </c>
    </row>
    <row r="117">
      <c r="A117" t="inlineStr">
        <is>
          <t>NCLNLSR</t>
        </is>
      </c>
      <c r="B117" t="inlineStr">
        <is>
          <t>Noncurrent loans / loans</t>
        </is>
      </c>
      <c r="C117" t="inlineStr">
        <is>
          <t>asset_quality</t>
        </is>
      </c>
      <c r="D117" t="inlineStr">
        <is>
          <t>dashboard</t>
        </is>
      </c>
      <c r="E117" t="inlineStr">
        <is>
          <t>asset_quality</t>
        </is>
      </c>
      <c r="F117" t="inlineStr">
        <is>
          <t>quarterly</t>
        </is>
      </c>
      <c r="G117" t="inlineStr">
        <is>
          <t>NSA</t>
        </is>
      </c>
      <c r="H117" t="inlineStr">
        <is>
          <t>pct</t>
        </is>
      </c>
      <c r="I117" t="inlineStr">
        <is>
          <t>rate</t>
        </is>
      </c>
      <c r="J117" t="inlineStr">
        <is>
          <t>entity</t>
        </is>
      </c>
      <c r="K117" t="inlineStr">
        <is>
          <t>A</t>
        </is>
      </c>
      <c r="L117" t="inlineStr">
        <is>
          <t>TRUE</t>
        </is>
      </c>
      <c r="M117" t="inlineStr">
        <is>
          <t>TRUE</t>
        </is>
      </c>
      <c r="N117" t="inlineStr">
        <is>
          <t>https://api.fdic.gov/banks/docs</t>
        </is>
      </c>
      <c r="O117" t="inlineStr">
        <is>
          <t>risview</t>
        </is>
      </c>
      <c r="P117" t="inlineStr"/>
      <c r="Q117" t="inlineStr">
        <is>
          <t>NCLNLSR</t>
        </is>
      </c>
      <c r="R117" t="inlineStr">
        <is>
          <t>direct</t>
        </is>
      </c>
      <c r="S117" t="inlineStr">
        <is>
          <t>Direct API ratio (pct). Heuristic bands vs QBP context.</t>
        </is>
      </c>
    </row>
    <row r="118">
      <c r="A118" t="inlineStr">
        <is>
          <t>NTLNLSQR</t>
        </is>
      </c>
      <c r="B118" t="inlineStr">
        <is>
          <t>Net charge-offs / loans (quarterly)</t>
        </is>
      </c>
      <c r="C118" t="inlineStr">
        <is>
          <t>asset_quality</t>
        </is>
      </c>
      <c r="D118" t="inlineStr">
        <is>
          <t>dashboard</t>
        </is>
      </c>
      <c r="E118" t="inlineStr">
        <is>
          <t>asset_quality</t>
        </is>
      </c>
      <c r="F118" t="inlineStr">
        <is>
          <t>quarterly</t>
        </is>
      </c>
      <c r="G118" t="inlineStr">
        <is>
          <t>NSA</t>
        </is>
      </c>
      <c r="H118" t="inlineStr">
        <is>
          <t>pct</t>
        </is>
      </c>
      <c r="I118" t="inlineStr">
        <is>
          <t>rate</t>
        </is>
      </c>
      <c r="J118" t="inlineStr">
        <is>
          <t>entity</t>
        </is>
      </c>
      <c r="K118" t="inlineStr">
        <is>
          <t>A</t>
        </is>
      </c>
      <c r="L118" t="inlineStr">
        <is>
          <t>TRUE</t>
        </is>
      </c>
      <c r="M118" t="inlineStr">
        <is>
          <t>TRUE</t>
        </is>
      </c>
      <c r="N118" t="inlineStr">
        <is>
          <t>https://api.fdic.gov/banks/docs</t>
        </is>
      </c>
      <c r="O118" t="inlineStr">
        <is>
          <t>risview</t>
        </is>
      </c>
      <c r="P118" t="inlineStr"/>
      <c r="Q118" t="inlineStr">
        <is>
          <t>NTLNLSQR</t>
        </is>
      </c>
      <c r="R118" t="inlineStr">
        <is>
          <t>direct</t>
        </is>
      </c>
      <c r="S118" t="inlineStr">
        <is>
          <t>QUARTERLY variant (trap F1: NTLNLSR is YTD-annualized). Q4 is seasonally heavy (cleanup) -- compare YoY, not just QoQ (F7). QBP Q1'26 industry NCO 0.59pct.</t>
        </is>
      </c>
    </row>
    <row r="119">
      <c r="A119" t="inlineStr">
        <is>
          <t>PD3089R</t>
        </is>
      </c>
      <c r="B119" t="inlineStr">
        <is>
          <t>30-89 day past due / loans</t>
        </is>
      </c>
      <c r="C119" t="inlineStr">
        <is>
          <t>asset_quality</t>
        </is>
      </c>
      <c r="D119" t="inlineStr">
        <is>
          <t>dashboard</t>
        </is>
      </c>
      <c r="E119" t="inlineStr">
        <is>
          <t>asset_quality</t>
        </is>
      </c>
      <c r="F119" t="inlineStr">
        <is>
          <t>quarterly</t>
        </is>
      </c>
      <c r="G119" t="inlineStr">
        <is>
          <t>NSA</t>
        </is>
      </c>
      <c r="H119" t="inlineStr">
        <is>
          <t>pct</t>
        </is>
      </c>
      <c r="I119" t="inlineStr">
        <is>
          <t>rate</t>
        </is>
      </c>
      <c r="J119" t="inlineStr">
        <is>
          <t>entity</t>
        </is>
      </c>
      <c r="K119" t="inlineStr">
        <is>
          <t>A</t>
        </is>
      </c>
      <c r="L119" t="inlineStr">
        <is>
          <t>TRUE</t>
        </is>
      </c>
      <c r="M119" t="inlineStr">
        <is>
          <t>TRUE</t>
        </is>
      </c>
      <c r="N119" t="inlineStr">
        <is>
          <t>https://api.fdic.gov/banks/docs</t>
        </is>
      </c>
      <c r="O119" t="inlineStr">
        <is>
          <t>risview</t>
        </is>
      </c>
      <c r="P119" t="inlineStr"/>
      <c r="Q119" t="inlineStr">
        <is>
          <t>P3LNLS/LNLSGR</t>
        </is>
      </c>
      <c r="R119" t="inlineStr">
        <is>
          <t>derived</t>
        </is>
      </c>
      <c r="S119" t="inlineStr">
        <is>
          <t>No API ratio field exists -- computed P3LNLS/LNLSGR*100 (both $000). The early-delinquency pipeline ahead of noncurrent.</t>
        </is>
      </c>
    </row>
    <row r="120">
      <c r="A120" t="inlineStr">
        <is>
          <t>LNATRESR</t>
        </is>
      </c>
      <c r="B120" t="inlineStr">
        <is>
          <t>Loss allowance / loans</t>
        </is>
      </c>
      <c r="C120" t="inlineStr">
        <is>
          <t>asset_quality</t>
        </is>
      </c>
      <c r="D120" t="inlineStr">
        <is>
          <t>dashboard</t>
        </is>
      </c>
      <c r="E120" t="inlineStr">
        <is>
          <t>asset_quality</t>
        </is>
      </c>
      <c r="F120" t="inlineStr">
        <is>
          <t>quarterly</t>
        </is>
      </c>
      <c r="G120" t="inlineStr">
        <is>
          <t>NSA</t>
        </is>
      </c>
      <c r="H120" t="inlineStr">
        <is>
          <t>pct</t>
        </is>
      </c>
      <c r="I120" t="inlineStr">
        <is>
          <t>rate</t>
        </is>
      </c>
      <c r="J120" t="inlineStr">
        <is>
          <t>entity</t>
        </is>
      </c>
      <c r="K120" t="inlineStr">
        <is>
          <t>A</t>
        </is>
      </c>
      <c r="L120" t="inlineStr">
        <is>
          <t>TRUE</t>
        </is>
      </c>
      <c r="M120" t="inlineStr">
        <is>
          <t>TRUE</t>
        </is>
      </c>
      <c r="N120" t="inlineStr">
        <is>
          <t>https://api.fdic.gov/banks/docs</t>
        </is>
      </c>
      <c r="O120" t="inlineStr">
        <is>
          <t>risview</t>
        </is>
      </c>
      <c r="P120" t="inlineStr"/>
      <c r="Q120" t="inlineStr">
        <is>
          <t>LNATRESR</t>
        </is>
      </c>
      <c r="R120" t="inlineStr">
        <is>
          <t>direct</t>
        </is>
      </c>
      <c r="S120" t="inlineStr">
        <is>
          <t>Direct API ratio (pct); ALLL/ACL coverage of the book.</t>
        </is>
      </c>
    </row>
    <row r="121">
      <c r="A121" t="inlineStr">
        <is>
          <t>LNRESNCR</t>
        </is>
      </c>
      <c r="B121" t="inlineStr">
        <is>
          <t>Allowance / noncurrent (coverage)</t>
        </is>
      </c>
      <c r="C121" t="inlineStr">
        <is>
          <t>asset_quality</t>
        </is>
      </c>
      <c r="D121" t="inlineStr">
        <is>
          <t>dashboard</t>
        </is>
      </c>
      <c r="E121" t="inlineStr">
        <is>
          <t>asset_quality</t>
        </is>
      </c>
      <c r="F121" t="inlineStr">
        <is>
          <t>quarterly</t>
        </is>
      </c>
      <c r="G121" t="inlineStr">
        <is>
          <t>NSA</t>
        </is>
      </c>
      <c r="H121" t="inlineStr">
        <is>
          <t>pct</t>
        </is>
      </c>
      <c r="I121" t="inlineStr">
        <is>
          <t>rate</t>
        </is>
      </c>
      <c r="J121" t="inlineStr">
        <is>
          <t>entity</t>
        </is>
      </c>
      <c r="K121" t="inlineStr">
        <is>
          <t>A</t>
        </is>
      </c>
      <c r="L121" t="inlineStr">
        <is>
          <t>TRUE</t>
        </is>
      </c>
      <c r="M121" t="inlineStr">
        <is>
          <t>TRUE</t>
        </is>
      </c>
      <c r="N121" t="inlineStr">
        <is>
          <t>https://api.fdic.gov/banks/docs</t>
        </is>
      </c>
      <c r="O121" t="inlineStr">
        <is>
          <t>risview</t>
        </is>
      </c>
      <c r="P121" t="inlineStr"/>
      <c r="Q121" t="inlineStr">
        <is>
          <t>LNRESNCR</t>
        </is>
      </c>
      <c r="R121" t="inlineStr">
        <is>
          <t>direct</t>
        </is>
      </c>
      <c r="S121" t="inlineStr">
        <is>
          <t>Direct API ratio (pct); below-is-bad -- thin coverage of noncurrents is the stress signal.</t>
        </is>
      </c>
    </row>
    <row r="122">
      <c r="A122" t="inlineStr">
        <is>
          <t>TEXAS</t>
        </is>
      </c>
      <c r="B122" t="inlineStr">
        <is>
          <t>Texas ratio (VARIANT)</t>
        </is>
      </c>
      <c r="C122" t="inlineStr">
        <is>
          <t>composite</t>
        </is>
      </c>
      <c r="D122" t="inlineStr">
        <is>
          <t>dashboard</t>
        </is>
      </c>
      <c r="E122" t="inlineStr">
        <is>
          <t>composite</t>
        </is>
      </c>
      <c r="F122" t="inlineStr">
        <is>
          <t>quarterly</t>
        </is>
      </c>
      <c r="G122" t="inlineStr">
        <is>
          <t>NSA</t>
        </is>
      </c>
      <c r="H122" t="inlineStr">
        <is>
          <t>pct</t>
        </is>
      </c>
      <c r="I122" t="inlineStr">
        <is>
          <t>rate</t>
        </is>
      </c>
      <c r="J122" t="inlineStr">
        <is>
          <t>entity</t>
        </is>
      </c>
      <c r="K122" t="inlineStr">
        <is>
          <t>A</t>
        </is>
      </c>
      <c r="L122" t="inlineStr">
        <is>
          <t>TRUE</t>
        </is>
      </c>
      <c r="M122" t="inlineStr">
        <is>
          <t>TRUE</t>
        </is>
      </c>
      <c r="N122" t="inlineStr">
        <is>
          <t>https://api.fdic.gov/banks/docs</t>
        </is>
      </c>
      <c r="O122" t="inlineStr">
        <is>
          <t>risview</t>
        </is>
      </c>
      <c r="P122" t="inlineStr"/>
      <c r="Q122" t="inlineStr">
        <is>
          <t>NCLNLS/(EQ+LNATRES)</t>
        </is>
      </c>
      <c r="R122" t="inlineStr">
        <is>
          <t>derived</t>
        </is>
      </c>
      <c r="S122" t="inlineStr">
        <is>
          <t>Documented VARIANT: NCLNLS/(EQ+LNATRES)*100 from verified fields only. Canonical adds OREO to the numerator and nets intangibles from equity -- ORE/INTAN field ids UNVERIFIED, pending first live run (Open Q). Authority: Cassidy/RBC; StL Fed 2025.</t>
        </is>
      </c>
    </row>
    <row r="123">
      <c r="A123" t="inlineStr">
        <is>
          <t>RBC1AAJ</t>
        </is>
      </c>
      <c r="B123" t="inlineStr">
        <is>
          <t>Tier 1 leverage ratio</t>
        </is>
      </c>
      <c r="C123" t="inlineStr">
        <is>
          <t>capital</t>
        </is>
      </c>
      <c r="D123" t="inlineStr">
        <is>
          <t>dashboard</t>
        </is>
      </c>
      <c r="E123" t="inlineStr">
        <is>
          <t>capital</t>
        </is>
      </c>
      <c r="F123" t="inlineStr">
        <is>
          <t>quarterly</t>
        </is>
      </c>
      <c r="G123" t="inlineStr">
        <is>
          <t>NSA</t>
        </is>
      </c>
      <c r="H123" t="inlineStr">
        <is>
          <t>pct</t>
        </is>
      </c>
      <c r="I123" t="inlineStr">
        <is>
          <t>rate</t>
        </is>
      </c>
      <c r="J123" t="inlineStr">
        <is>
          <t>entity</t>
        </is>
      </c>
      <c r="K123" t="inlineStr">
        <is>
          <t>A</t>
        </is>
      </c>
      <c r="L123" t="inlineStr">
        <is>
          <t>TRUE</t>
        </is>
      </c>
      <c r="M123" t="inlineStr">
        <is>
          <t>TRUE</t>
        </is>
      </c>
      <c r="N123" t="inlineStr">
        <is>
          <t>https://api.fdic.gov/banks/docs</t>
        </is>
      </c>
      <c r="O123" t="inlineStr">
        <is>
          <t>risview</t>
        </is>
      </c>
      <c r="P123" t="inlineStr"/>
      <c r="Q123" t="inlineStr">
        <is>
          <t>RBC1AAJ</t>
        </is>
      </c>
      <c r="R123" t="inlineStr">
        <is>
          <t>direct</t>
        </is>
      </c>
      <c r="S123" t="inlineStr">
        <is>
          <t>Universal (CBLR electors included). CBLR floor 9pct -&gt; 8pct effective 7/1/2026 (F8); PCA well-cap leverage 5pct.</t>
        </is>
      </c>
    </row>
    <row r="124">
      <c r="A124" t="inlineStr">
        <is>
          <t>RBCRWAJ</t>
        </is>
      </c>
      <c r="B124" t="inlineStr">
        <is>
          <t>Total risk-based capital ratio</t>
        </is>
      </c>
      <c r="C124" t="inlineStr">
        <is>
          <t>capital</t>
        </is>
      </c>
      <c r="D124" t="inlineStr">
        <is>
          <t>dashboard</t>
        </is>
      </c>
      <c r="E124" t="inlineStr">
        <is>
          <t>capital</t>
        </is>
      </c>
      <c r="F124" t="inlineStr">
        <is>
          <t>quarterly</t>
        </is>
      </c>
      <c r="G124" t="inlineStr">
        <is>
          <t>NSA</t>
        </is>
      </c>
      <c r="H124" t="inlineStr">
        <is>
          <t>pct</t>
        </is>
      </c>
      <c r="I124" t="inlineStr">
        <is>
          <t>rate</t>
        </is>
      </c>
      <c r="J124" t="inlineStr">
        <is>
          <t>entity</t>
        </is>
      </c>
      <c r="K124" t="inlineStr">
        <is>
          <t>A</t>
        </is>
      </c>
      <c r="L124" t="inlineStr">
        <is>
          <t>TRUE</t>
        </is>
      </c>
      <c r="M124" t="inlineStr">
        <is>
          <t>TRUE</t>
        </is>
      </c>
      <c r="N124" t="inlineStr">
        <is>
          <t>https://api.fdic.gov/banks/docs</t>
        </is>
      </c>
      <c r="O124" t="inlineStr">
        <is>
          <t>risview</t>
        </is>
      </c>
      <c r="P124" t="inlineStr"/>
      <c r="Q124" t="inlineStr">
        <is>
          <t>RBCRWAJ</t>
        </is>
      </c>
      <c r="R124" t="inlineStr">
        <is>
          <t>direct</t>
        </is>
      </c>
      <c r="S124" t="inlineStr">
        <is>
          <t>JSON null for CBLR electors (trap F3: null is NOT zero) -- cell renders blank, never 0. PCA well-cap 10pct.</t>
        </is>
      </c>
    </row>
    <row r="125">
      <c r="A125" t="inlineStr">
        <is>
          <t>EQV</t>
        </is>
      </c>
      <c r="B125" t="inlineStr">
        <is>
          <t>Equity / assets</t>
        </is>
      </c>
      <c r="C125" t="inlineStr">
        <is>
          <t>capital</t>
        </is>
      </c>
      <c r="D125" t="inlineStr">
        <is>
          <t>dashboard</t>
        </is>
      </c>
      <c r="E125" t="inlineStr">
        <is>
          <t>capital</t>
        </is>
      </c>
      <c r="F125" t="inlineStr">
        <is>
          <t>quarterly</t>
        </is>
      </c>
      <c r="G125" t="inlineStr">
        <is>
          <t>NSA</t>
        </is>
      </c>
      <c r="H125" t="inlineStr">
        <is>
          <t>pct</t>
        </is>
      </c>
      <c r="I125" t="inlineStr">
        <is>
          <t>rate</t>
        </is>
      </c>
      <c r="J125" t="inlineStr">
        <is>
          <t>entity</t>
        </is>
      </c>
      <c r="K125" t="inlineStr">
        <is>
          <t>A</t>
        </is>
      </c>
      <c r="L125" t="inlineStr">
        <is>
          <t>TRUE</t>
        </is>
      </c>
      <c r="M125" t="inlineStr">
        <is>
          <t>TRUE</t>
        </is>
      </c>
      <c r="N125" t="inlineStr">
        <is>
          <t>https://api.fdic.gov/banks/docs</t>
        </is>
      </c>
      <c r="O125" t="inlineStr">
        <is>
          <t>risview</t>
        </is>
      </c>
      <c r="P125" t="inlineStr"/>
      <c r="Q125" t="inlineStr">
        <is>
          <t>EQV</t>
        </is>
      </c>
      <c r="R125" t="inlineStr">
        <is>
          <t>direct</t>
        </is>
      </c>
      <c r="S125" t="inlineStr">
        <is>
          <t>Direct API ratio (pct); GAAP equity, includes AOCI where applicable.</t>
        </is>
      </c>
    </row>
    <row r="126">
      <c r="A126" t="inlineStr">
        <is>
          <t>ROAQ</t>
        </is>
      </c>
      <c r="B126" t="inlineStr">
        <is>
          <t>Return on assets (quarterly)</t>
        </is>
      </c>
      <c r="C126" t="inlineStr">
        <is>
          <t>earnings</t>
        </is>
      </c>
      <c r="D126" t="inlineStr">
        <is>
          <t>dashboard</t>
        </is>
      </c>
      <c r="E126" t="inlineStr">
        <is>
          <t>earnings</t>
        </is>
      </c>
      <c r="F126" t="inlineStr">
        <is>
          <t>quarterly</t>
        </is>
      </c>
      <c r="G126" t="inlineStr">
        <is>
          <t>NSA</t>
        </is>
      </c>
      <c r="H126" t="inlineStr">
        <is>
          <t>pct</t>
        </is>
      </c>
      <c r="I126" t="inlineStr">
        <is>
          <t>rate</t>
        </is>
      </c>
      <c r="J126" t="inlineStr">
        <is>
          <t>entity</t>
        </is>
      </c>
      <c r="K126" t="inlineStr">
        <is>
          <t>A</t>
        </is>
      </c>
      <c r="L126" t="inlineStr">
        <is>
          <t>TRUE</t>
        </is>
      </c>
      <c r="M126" t="inlineStr">
        <is>
          <t>TRUE</t>
        </is>
      </c>
      <c r="N126" t="inlineStr">
        <is>
          <t>https://api.fdic.gov/banks/docs</t>
        </is>
      </c>
      <c r="O126" t="inlineStr">
        <is>
          <t>risview</t>
        </is>
      </c>
      <c r="P126" t="inlineStr"/>
      <c r="Q126" t="inlineStr">
        <is>
          <t>ROAQ</t>
        </is>
      </c>
      <c r="R126" t="inlineStr">
        <is>
          <t>direct</t>
        </is>
      </c>
      <c r="S126" t="inlineStr">
        <is>
          <t>QUARTERLY variant (trap F1: ROA is YTD-annualized). QBP Q1'26 industry ROA 1.26pct.</t>
        </is>
      </c>
    </row>
    <row r="127">
      <c r="A127" t="inlineStr">
        <is>
          <t>NIMY</t>
        </is>
      </c>
      <c r="B127" t="inlineStr">
        <is>
          <t>Net interest margin</t>
        </is>
      </c>
      <c r="C127" t="inlineStr">
        <is>
          <t>earnings</t>
        </is>
      </c>
      <c r="D127" t="inlineStr">
        <is>
          <t>dashboard</t>
        </is>
      </c>
      <c r="E127" t="inlineStr">
        <is>
          <t>earnings</t>
        </is>
      </c>
      <c r="F127" t="inlineStr">
        <is>
          <t>quarterly</t>
        </is>
      </c>
      <c r="G127" t="inlineStr">
        <is>
          <t>NSA</t>
        </is>
      </c>
      <c r="H127" t="inlineStr">
        <is>
          <t>pct</t>
        </is>
      </c>
      <c r="I127" t="inlineStr">
        <is>
          <t>rate</t>
        </is>
      </c>
      <c r="J127" t="inlineStr">
        <is>
          <t>entity</t>
        </is>
      </c>
      <c r="K127" t="inlineStr">
        <is>
          <t>A</t>
        </is>
      </c>
      <c r="L127" t="inlineStr">
        <is>
          <t>TRUE</t>
        </is>
      </c>
      <c r="M127" t="inlineStr">
        <is>
          <t>TRUE</t>
        </is>
      </c>
      <c r="N127" t="inlineStr">
        <is>
          <t>https://api.fdic.gov/banks/docs</t>
        </is>
      </c>
      <c r="O127" t="inlineStr">
        <is>
          <t>risview</t>
        </is>
      </c>
      <c r="P127" t="inlineStr"/>
      <c r="Q127" t="inlineStr">
        <is>
          <t>NIMY</t>
        </is>
      </c>
      <c r="R127" t="inlineStr">
        <is>
          <t>direct</t>
        </is>
      </c>
      <c r="S127" t="inlineStr">
        <is>
          <t>QBP Q1'26 industry NIM 3.31pct.</t>
        </is>
      </c>
    </row>
    <row r="128">
      <c r="A128" t="inlineStr">
        <is>
          <t>EEFFR</t>
        </is>
      </c>
      <c r="B128" t="inlineStr">
        <is>
          <t>Efficiency ratio</t>
        </is>
      </c>
      <c r="C128" t="inlineStr">
        <is>
          <t>earnings</t>
        </is>
      </c>
      <c r="D128" t="inlineStr">
        <is>
          <t>dashboard</t>
        </is>
      </c>
      <c r="E128" t="inlineStr">
        <is>
          <t>earnings</t>
        </is>
      </c>
      <c r="F128" t="inlineStr">
        <is>
          <t>quarterly</t>
        </is>
      </c>
      <c r="G128" t="inlineStr">
        <is>
          <t>NSA</t>
        </is>
      </c>
      <c r="H128" t="inlineStr">
        <is>
          <t>pct</t>
        </is>
      </c>
      <c r="I128" t="inlineStr">
        <is>
          <t>rate</t>
        </is>
      </c>
      <c r="J128" t="inlineStr">
        <is>
          <t>entity</t>
        </is>
      </c>
      <c r="K128" t="inlineStr">
        <is>
          <t>A</t>
        </is>
      </c>
      <c r="L128" t="inlineStr">
        <is>
          <t>TRUE</t>
        </is>
      </c>
      <c r="M128" t="inlineStr">
        <is>
          <t>TRUE</t>
        </is>
      </c>
      <c r="N128" t="inlineStr">
        <is>
          <t>https://api.fdic.gov/banks/docs</t>
        </is>
      </c>
      <c r="O128" t="inlineStr">
        <is>
          <t>risview</t>
        </is>
      </c>
      <c r="P128" t="inlineStr"/>
      <c r="Q128" t="inlineStr">
        <is>
          <t>EEFFR</t>
        </is>
      </c>
      <c r="R128" t="inlineStr">
        <is>
          <t>direct</t>
        </is>
      </c>
      <c r="S128" t="inlineStr">
        <is>
          <t>Above-is-bad: expense per dollar of revenue.</t>
        </is>
      </c>
    </row>
    <row r="129">
      <c r="A129" t="inlineStr">
        <is>
          <t>LNDEPR</t>
        </is>
      </c>
      <c r="B129" t="inlineStr">
        <is>
          <t>Loans / deposits</t>
        </is>
      </c>
      <c r="C129" t="inlineStr">
        <is>
          <t>funding</t>
        </is>
      </c>
      <c r="D129" t="inlineStr">
        <is>
          <t>dashboard</t>
        </is>
      </c>
      <c r="E129" t="inlineStr">
        <is>
          <t>funding</t>
        </is>
      </c>
      <c r="F129" t="inlineStr">
        <is>
          <t>quarterly</t>
        </is>
      </c>
      <c r="G129" t="inlineStr">
        <is>
          <t>NSA</t>
        </is>
      </c>
      <c r="H129" t="inlineStr">
        <is>
          <t>pct</t>
        </is>
      </c>
      <c r="I129" t="inlineStr">
        <is>
          <t>rate</t>
        </is>
      </c>
      <c r="J129" t="inlineStr">
        <is>
          <t>entity</t>
        </is>
      </c>
      <c r="K129" t="inlineStr">
        <is>
          <t>A</t>
        </is>
      </c>
      <c r="L129" t="inlineStr">
        <is>
          <t>TRUE</t>
        </is>
      </c>
      <c r="M129" t="inlineStr">
        <is>
          <t>TRUE</t>
        </is>
      </c>
      <c r="N129" t="inlineStr">
        <is>
          <t>https://api.fdic.gov/banks/docs</t>
        </is>
      </c>
      <c r="O129" t="inlineStr">
        <is>
          <t>risview</t>
        </is>
      </c>
      <c r="P129" t="inlineStr"/>
      <c r="Q129" t="inlineStr">
        <is>
          <t>LNLSNET/DEP</t>
        </is>
      </c>
      <c r="R129" t="inlineStr">
        <is>
          <t>derived</t>
        </is>
      </c>
      <c r="S129" t="inlineStr">
        <is>
          <t>Computed LNLSNET/DEP*100 (both $000). Heuristic bands.</t>
        </is>
      </c>
    </row>
    <row r="130">
      <c r="A130" t="inlineStr">
        <is>
          <t>BRODEPR</t>
        </is>
      </c>
      <c r="B130" t="inlineStr">
        <is>
          <t>Brokered deposits / deposits</t>
        </is>
      </c>
      <c r="C130" t="inlineStr">
        <is>
          <t>funding</t>
        </is>
      </c>
      <c r="D130" t="inlineStr">
        <is>
          <t>dashboard</t>
        </is>
      </c>
      <c r="E130" t="inlineStr">
        <is>
          <t>funding</t>
        </is>
      </c>
      <c r="F130" t="inlineStr">
        <is>
          <t>quarterly</t>
        </is>
      </c>
      <c r="G130" t="inlineStr">
        <is>
          <t>NSA</t>
        </is>
      </c>
      <c r="H130" t="inlineStr">
        <is>
          <t>pct</t>
        </is>
      </c>
      <c r="I130" t="inlineStr">
        <is>
          <t>rate</t>
        </is>
      </c>
      <c r="J130" t="inlineStr">
        <is>
          <t>entity</t>
        </is>
      </c>
      <c r="K130" t="inlineStr">
        <is>
          <t>A</t>
        </is>
      </c>
      <c r="L130" t="inlineStr">
        <is>
          <t>TRUE</t>
        </is>
      </c>
      <c r="M130" t="inlineStr">
        <is>
          <t>TRUE</t>
        </is>
      </c>
      <c r="N130" t="inlineStr">
        <is>
          <t>https://api.fdic.gov/banks/docs</t>
        </is>
      </c>
      <c r="O130" t="inlineStr">
        <is>
          <t>risview</t>
        </is>
      </c>
      <c r="P130" t="inlineStr"/>
      <c r="Q130" t="inlineStr">
        <is>
          <t>BRO/DEP</t>
        </is>
      </c>
      <c r="R130" t="inlineStr">
        <is>
          <t>derived</t>
        </is>
      </c>
      <c r="S130" t="inlineStr">
        <is>
          <t>Computed BRO/DEP*100 (both $000; BRO may be null -- blank, never 0). Regulatory salience: FDI Act s29 / 12 CFR 337.6 restricts brokered deposits below well-capitalized; healthy-bank bands are heuristic.</t>
        </is>
      </c>
    </row>
    <row r="131">
      <c r="A131" t="inlineStr">
        <is>
          <t>CRECONR</t>
        </is>
      </c>
      <c r="B131" t="inlineStr">
        <is>
          <t>CRE concentration (PROXY)</t>
        </is>
      </c>
      <c r="C131" t="inlineStr">
        <is>
          <t>concentration</t>
        </is>
      </c>
      <c r="D131" t="inlineStr">
        <is>
          <t>dashboard</t>
        </is>
      </c>
      <c r="E131" t="inlineStr">
        <is>
          <t>concentration</t>
        </is>
      </c>
      <c r="F131" t="inlineStr">
        <is>
          <t>quarterly</t>
        </is>
      </c>
      <c r="G131" t="inlineStr">
        <is>
          <t>NSA</t>
        </is>
      </c>
      <c r="H131" t="inlineStr">
        <is>
          <t>pct</t>
        </is>
      </c>
      <c r="I131" t="inlineStr">
        <is>
          <t>rate</t>
        </is>
      </c>
      <c r="J131" t="inlineStr">
        <is>
          <t>entity</t>
        </is>
      </c>
      <c r="K131" t="inlineStr">
        <is>
          <t>A</t>
        </is>
      </c>
      <c r="L131" t="inlineStr">
        <is>
          <t>TRUE</t>
        </is>
      </c>
      <c r="M131" t="inlineStr">
        <is>
          <t>TRUE</t>
        </is>
      </c>
      <c r="N131" t="inlineStr">
        <is>
          <t>https://api.fdic.gov/banks/docs</t>
        </is>
      </c>
      <c r="O131" t="inlineStr">
        <is>
          <t>risview</t>
        </is>
      </c>
      <c r="P131" t="inlineStr"/>
      <c r="Q131" t="inlineStr">
        <is>
          <t>(LNRECONS+LNRENRES+LNREMULT)/(EQ+LNATRES)</t>
        </is>
      </c>
      <c r="R131" t="inlineStr">
        <is>
          <t>derived</t>
        </is>
      </c>
      <c r="S131" t="inlineStr">
        <is>
          <t>2006 interagency guidance screens total CRE vs total RBC (300pct); CBLR electors report no risk-based capital, so v1 uses the documented PROXY denominator EQ+LNATRES until the tier-1 dollar field is verified. 36-month growth leg omitted (merger-distorted, F6).</t>
        </is>
      </c>
    </row>
    <row r="132">
      <c r="A132" t="inlineStr">
        <is>
          <t>P3CRCDR</t>
        </is>
      </c>
      <c r="B132" t="inlineStr">
        <is>
          <t>Card 30-89 PD %</t>
        </is>
      </c>
      <c r="C132" t="inlineStr">
        <is>
          <t>consumer_credit</t>
        </is>
      </c>
      <c r="D132" t="inlineStr">
        <is>
          <t>dashboard</t>
        </is>
      </c>
      <c r="E132" t="inlineStr">
        <is>
          <t>consumer_credit</t>
        </is>
      </c>
      <c r="F132" t="inlineStr">
        <is>
          <t>quarterly</t>
        </is>
      </c>
      <c r="G132" t="inlineStr">
        <is>
          <t>NSA</t>
        </is>
      </c>
      <c r="H132" t="inlineStr">
        <is>
          <t>pct</t>
        </is>
      </c>
      <c r="I132" t="inlineStr">
        <is>
          <t>rate</t>
        </is>
      </c>
      <c r="J132" t="inlineStr">
        <is>
          <t>entity</t>
        </is>
      </c>
      <c r="K132" t="inlineStr">
        <is>
          <t>A</t>
        </is>
      </c>
      <c r="L132" t="inlineStr">
        <is>
          <t>TRUE</t>
        </is>
      </c>
      <c r="M132" t="inlineStr">
        <is>
          <t>TRUE</t>
        </is>
      </c>
      <c r="N132" t="inlineStr">
        <is>
          <t>https://api.fdic.gov/banks/docs</t>
        </is>
      </c>
      <c r="O132" t="inlineStr">
        <is>
          <t>risview</t>
        </is>
      </c>
      <c r="P132" t="inlineStr"/>
      <c r="Q132" t="inlineStr">
        <is>
          <t>P3CRCDR</t>
        </is>
      </c>
      <c r="R132" t="inlineStr">
        <is>
          <t>direct</t>
        </is>
      </c>
      <c r="S132" t="inlineStr">
        <is>
          <t>Verified ratio twin (RC-N 5.a col A / cards).</t>
        </is>
      </c>
    </row>
    <row r="133">
      <c r="A133" t="inlineStr">
        <is>
          <t>P9CRCDR</t>
        </is>
      </c>
      <c r="B133" t="inlineStr">
        <is>
          <t>Card 90+ PD %</t>
        </is>
      </c>
      <c r="C133" t="inlineStr">
        <is>
          <t>consumer_credit</t>
        </is>
      </c>
      <c r="D133" t="inlineStr">
        <is>
          <t>dashboard</t>
        </is>
      </c>
      <c r="E133" t="inlineStr">
        <is>
          <t>consumer_credit</t>
        </is>
      </c>
      <c r="F133" t="inlineStr">
        <is>
          <t>quarterly</t>
        </is>
      </c>
      <c r="G133" t="inlineStr">
        <is>
          <t>NSA</t>
        </is>
      </c>
      <c r="H133" t="inlineStr">
        <is>
          <t>pct</t>
        </is>
      </c>
      <c r="I133" t="inlineStr">
        <is>
          <t>rate</t>
        </is>
      </c>
      <c r="J133" t="inlineStr">
        <is>
          <t>entity</t>
        </is>
      </c>
      <c r="K133" t="inlineStr">
        <is>
          <t>A</t>
        </is>
      </c>
      <c r="L133" t="inlineStr">
        <is>
          <t>TRUE</t>
        </is>
      </c>
      <c r="M133" t="inlineStr">
        <is>
          <t>TRUE</t>
        </is>
      </c>
      <c r="N133" t="inlineStr">
        <is>
          <t>https://api.fdic.gov/banks/docs</t>
        </is>
      </c>
      <c r="O133" t="inlineStr">
        <is>
          <t>risview</t>
        </is>
      </c>
      <c r="P133" t="inlineStr"/>
      <c r="Q133" t="inlineStr">
        <is>
          <t>P9CRCDR</t>
        </is>
      </c>
      <c r="R133" t="inlineStr">
        <is>
          <t>direct</t>
        </is>
      </c>
      <c r="S133" t="inlineStr">
        <is>
          <t>Verified ratio twin; 90+ still ACCRUING (RC-N col B is disjoint from nonaccrual col C).</t>
        </is>
      </c>
    </row>
    <row r="134">
      <c r="A134" t="inlineStr">
        <is>
          <t>NACRCDR</t>
        </is>
      </c>
      <c r="B134" t="inlineStr">
        <is>
          <t>Card nonaccrual %</t>
        </is>
      </c>
      <c r="C134" t="inlineStr">
        <is>
          <t>consumer_credit</t>
        </is>
      </c>
      <c r="D134" t="inlineStr">
        <is>
          <t>dashboard</t>
        </is>
      </c>
      <c r="E134" t="inlineStr">
        <is>
          <t>consumer_credit</t>
        </is>
      </c>
      <c r="F134" t="inlineStr">
        <is>
          <t>quarterly</t>
        </is>
      </c>
      <c r="G134" t="inlineStr">
        <is>
          <t>NSA</t>
        </is>
      </c>
      <c r="H134" t="inlineStr">
        <is>
          <t>pct</t>
        </is>
      </c>
      <c r="I134" t="inlineStr">
        <is>
          <t>rate</t>
        </is>
      </c>
      <c r="J134" t="inlineStr">
        <is>
          <t>entity</t>
        </is>
      </c>
      <c r="K134" t="inlineStr">
        <is>
          <t>A</t>
        </is>
      </c>
      <c r="L134" t="inlineStr">
        <is>
          <t>TRUE</t>
        </is>
      </c>
      <c r="M134" t="inlineStr">
        <is>
          <t>TRUE</t>
        </is>
      </c>
      <c r="N134" t="inlineStr">
        <is>
          <t>https://api.fdic.gov/banks/docs</t>
        </is>
      </c>
      <c r="O134" t="inlineStr">
        <is>
          <t>risview</t>
        </is>
      </c>
      <c r="P134" t="inlineStr"/>
      <c r="Q134" t="inlineStr">
        <is>
          <t>NACRCDR</t>
        </is>
      </c>
      <c r="R134" t="inlineStr">
        <is>
          <t>direct</t>
        </is>
      </c>
      <c r="S134" t="inlineStr">
        <is>
          <t>Verified ratio twin; card books mostly charge off at 180dpd rather than sit in nonaccrual.</t>
        </is>
      </c>
    </row>
    <row r="135">
      <c r="A135" t="inlineStr">
        <is>
          <t>NTCRCDQR</t>
        </is>
      </c>
      <c r="B135" t="inlineStr">
        <is>
          <t>Card NCO % (q, ann.)</t>
        </is>
      </c>
      <c r="C135" t="inlineStr">
        <is>
          <t>consumer_credit</t>
        </is>
      </c>
      <c r="D135" t="inlineStr">
        <is>
          <t>dashboard</t>
        </is>
      </c>
      <c r="E135" t="inlineStr">
        <is>
          <t>consumer_credit</t>
        </is>
      </c>
      <c r="F135" t="inlineStr">
        <is>
          <t>quarterly</t>
        </is>
      </c>
      <c r="G135" t="inlineStr">
        <is>
          <t>NSA</t>
        </is>
      </c>
      <c r="H135" t="inlineStr">
        <is>
          <t>pct</t>
        </is>
      </c>
      <c r="I135" t="inlineStr">
        <is>
          <t>rate</t>
        </is>
      </c>
      <c r="J135" t="inlineStr">
        <is>
          <t>entity</t>
        </is>
      </c>
      <c r="K135" t="inlineStr">
        <is>
          <t>A</t>
        </is>
      </c>
      <c r="L135" t="inlineStr">
        <is>
          <t>TRUE</t>
        </is>
      </c>
      <c r="M135" t="inlineStr">
        <is>
          <t>TRUE</t>
        </is>
      </c>
      <c r="N135" t="inlineStr">
        <is>
          <t>https://api.fdic.gov/banks/docs</t>
        </is>
      </c>
      <c r="O135" t="inlineStr">
        <is>
          <t>risview</t>
        </is>
      </c>
      <c r="P135" t="inlineStr"/>
      <c r="Q135" t="inlineStr">
        <is>
          <t>NTCRCDQ/LNCRCD*400</t>
        </is>
      </c>
      <c r="R135" t="inlineStr">
        <is>
          <t>derived</t>
        </is>
      </c>
      <c r="S135" t="inlineStr">
        <is>
          <t>QUARTERLY flow (F1; 8-char name NTCRCDQ), annualized x4 like NTLNLSQR. Card runs structurally high -- QBP context in the subtitle.</t>
        </is>
      </c>
    </row>
    <row r="136">
      <c r="A136" t="inlineStr">
        <is>
          <t>P3AUTOR</t>
        </is>
      </c>
      <c r="B136" t="inlineStr">
        <is>
          <t>Auto 30-89 PD %</t>
        </is>
      </c>
      <c r="C136" t="inlineStr">
        <is>
          <t>consumer_credit</t>
        </is>
      </c>
      <c r="D136" t="inlineStr">
        <is>
          <t>dashboard</t>
        </is>
      </c>
      <c r="E136" t="inlineStr">
        <is>
          <t>consumer_credit</t>
        </is>
      </c>
      <c r="F136" t="inlineStr">
        <is>
          <t>quarterly</t>
        </is>
      </c>
      <c r="G136" t="inlineStr">
        <is>
          <t>NSA</t>
        </is>
      </c>
      <c r="H136" t="inlineStr">
        <is>
          <t>pct</t>
        </is>
      </c>
      <c r="I136" t="inlineStr">
        <is>
          <t>rate</t>
        </is>
      </c>
      <c r="J136" t="inlineStr">
        <is>
          <t>entity</t>
        </is>
      </c>
      <c r="K136" t="inlineStr">
        <is>
          <t>A</t>
        </is>
      </c>
      <c r="L136" t="inlineStr">
        <is>
          <t>TRUE</t>
        </is>
      </c>
      <c r="M136" t="inlineStr">
        <is>
          <t>TRUE</t>
        </is>
      </c>
      <c r="N136" t="inlineStr">
        <is>
          <t>https://api.fdic.gov/banks/docs</t>
        </is>
      </c>
      <c r="O136" t="inlineStr">
        <is>
          <t>risview</t>
        </is>
      </c>
      <c r="P136" t="inlineStr"/>
      <c r="Q136" t="inlineStr">
        <is>
          <t>P3AUTOR</t>
        </is>
      </c>
      <c r="R136" t="inlineStr">
        <is>
          <t>direct</t>
        </is>
      </c>
      <c r="S136" t="inlineStr">
        <is>
          <t>Verified ratio twin. *AUTO fields exist from 2011 only (null-tolerant; irrelevant at raw_slots=16).</t>
        </is>
      </c>
    </row>
    <row r="137">
      <c r="A137" t="inlineStr">
        <is>
          <t>P9AUTOR</t>
        </is>
      </c>
      <c r="B137" t="inlineStr">
        <is>
          <t>Auto 90+ PD %</t>
        </is>
      </c>
      <c r="C137" t="inlineStr">
        <is>
          <t>consumer_credit</t>
        </is>
      </c>
      <c r="D137" t="inlineStr">
        <is>
          <t>dashboard</t>
        </is>
      </c>
      <c r="E137" t="inlineStr">
        <is>
          <t>consumer_credit</t>
        </is>
      </c>
      <c r="F137" t="inlineStr">
        <is>
          <t>quarterly</t>
        </is>
      </c>
      <c r="G137" t="inlineStr">
        <is>
          <t>NSA</t>
        </is>
      </c>
      <c r="H137" t="inlineStr">
        <is>
          <t>pct</t>
        </is>
      </c>
      <c r="I137" t="inlineStr">
        <is>
          <t>rate</t>
        </is>
      </c>
      <c r="J137" t="inlineStr">
        <is>
          <t>entity</t>
        </is>
      </c>
      <c r="K137" t="inlineStr">
        <is>
          <t>A</t>
        </is>
      </c>
      <c r="L137" t="inlineStr">
        <is>
          <t>TRUE</t>
        </is>
      </c>
      <c r="M137" t="inlineStr">
        <is>
          <t>TRUE</t>
        </is>
      </c>
      <c r="N137" t="inlineStr">
        <is>
          <t>https://api.fdic.gov/banks/docs</t>
        </is>
      </c>
      <c r="O137" t="inlineStr">
        <is>
          <t>risview</t>
        </is>
      </c>
      <c r="P137" t="inlineStr"/>
      <c r="Q137" t="inlineStr">
        <is>
          <t>P9AUTOR</t>
        </is>
      </c>
      <c r="R137" t="inlineStr">
        <is>
          <t>direct</t>
        </is>
      </c>
      <c r="S137" t="inlineStr">
        <is>
          <t>Verified ratio twin; still accruing.</t>
        </is>
      </c>
    </row>
    <row r="138">
      <c r="A138" t="inlineStr">
        <is>
          <t>NAAUTOR</t>
        </is>
      </c>
      <c r="B138" t="inlineStr">
        <is>
          <t>Auto nonaccrual %</t>
        </is>
      </c>
      <c r="C138" t="inlineStr">
        <is>
          <t>consumer_credit</t>
        </is>
      </c>
      <c r="D138" t="inlineStr">
        <is>
          <t>dashboard</t>
        </is>
      </c>
      <c r="E138" t="inlineStr">
        <is>
          <t>consumer_credit</t>
        </is>
      </c>
      <c r="F138" t="inlineStr">
        <is>
          <t>quarterly</t>
        </is>
      </c>
      <c r="G138" t="inlineStr">
        <is>
          <t>NSA</t>
        </is>
      </c>
      <c r="H138" t="inlineStr">
        <is>
          <t>pct</t>
        </is>
      </c>
      <c r="I138" t="inlineStr">
        <is>
          <t>rate</t>
        </is>
      </c>
      <c r="J138" t="inlineStr">
        <is>
          <t>entity</t>
        </is>
      </c>
      <c r="K138" t="inlineStr">
        <is>
          <t>A</t>
        </is>
      </c>
      <c r="L138" t="inlineStr">
        <is>
          <t>TRUE</t>
        </is>
      </c>
      <c r="M138" t="inlineStr">
        <is>
          <t>TRUE</t>
        </is>
      </c>
      <c r="N138" t="inlineStr">
        <is>
          <t>https://api.fdic.gov/banks/docs</t>
        </is>
      </c>
      <c r="O138" t="inlineStr">
        <is>
          <t>risview</t>
        </is>
      </c>
      <c r="P138" t="inlineStr"/>
      <c r="Q138" t="inlineStr">
        <is>
          <t>NAAUTOR</t>
        </is>
      </c>
      <c r="R138" t="inlineStr">
        <is>
          <t>direct</t>
        </is>
      </c>
      <c r="S138" t="inlineStr">
        <is>
          <t>Verified ratio twin.</t>
        </is>
      </c>
    </row>
    <row r="139">
      <c r="A139" t="inlineStr">
        <is>
          <t>NTAUTOQR</t>
        </is>
      </c>
      <c r="B139" t="inlineStr">
        <is>
          <t>Auto NCO % (q, ann.)</t>
        </is>
      </c>
      <c r="C139" t="inlineStr">
        <is>
          <t>consumer_credit</t>
        </is>
      </c>
      <c r="D139" t="inlineStr">
        <is>
          <t>dashboard</t>
        </is>
      </c>
      <c r="E139" t="inlineStr">
        <is>
          <t>consumer_credit</t>
        </is>
      </c>
      <c r="F139" t="inlineStr">
        <is>
          <t>quarterly</t>
        </is>
      </c>
      <c r="G139" t="inlineStr">
        <is>
          <t>NSA</t>
        </is>
      </c>
      <c r="H139" t="inlineStr">
        <is>
          <t>pct</t>
        </is>
      </c>
      <c r="I139" t="inlineStr">
        <is>
          <t>rate</t>
        </is>
      </c>
      <c r="J139" t="inlineStr">
        <is>
          <t>entity</t>
        </is>
      </c>
      <c r="K139" t="inlineStr">
        <is>
          <t>A</t>
        </is>
      </c>
      <c r="L139" t="inlineStr">
        <is>
          <t>TRUE</t>
        </is>
      </c>
      <c r="M139" t="inlineStr">
        <is>
          <t>TRUE</t>
        </is>
      </c>
      <c r="N139" t="inlineStr">
        <is>
          <t>https://api.fdic.gov/banks/docs</t>
        </is>
      </c>
      <c r="O139" t="inlineStr">
        <is>
          <t>risview</t>
        </is>
      </c>
      <c r="P139" t="inlineStr"/>
      <c r="Q139" t="inlineStr">
        <is>
          <t>NTAUTOQ/LNAUTO*400</t>
        </is>
      </c>
      <c r="R139" t="inlineStr">
        <is>
          <t>derived</t>
        </is>
      </c>
      <c r="S139" t="inlineStr">
        <is>
          <t>Quarterly flow annualized x4; NEVER the YTD NTAUTO (F1).</t>
        </is>
      </c>
    </row>
    <row r="140">
      <c r="A140" t="inlineStr">
        <is>
          <t>P3CONOTHR</t>
        </is>
      </c>
      <c r="B140" t="inlineStr">
        <is>
          <t>Other-cons 30-89 PD %</t>
        </is>
      </c>
      <c r="C140" t="inlineStr">
        <is>
          <t>consumer_credit</t>
        </is>
      </c>
      <c r="D140" t="inlineStr">
        <is>
          <t>dashboard</t>
        </is>
      </c>
      <c r="E140" t="inlineStr">
        <is>
          <t>consumer_credit</t>
        </is>
      </c>
      <c r="F140" t="inlineStr">
        <is>
          <t>quarterly</t>
        </is>
      </c>
      <c r="G140" t="inlineStr">
        <is>
          <t>NSA</t>
        </is>
      </c>
      <c r="H140" t="inlineStr">
        <is>
          <t>pct</t>
        </is>
      </c>
      <c r="I140" t="inlineStr">
        <is>
          <t>rate</t>
        </is>
      </c>
      <c r="J140" t="inlineStr">
        <is>
          <t>entity</t>
        </is>
      </c>
      <c r="K140" t="inlineStr">
        <is>
          <t>A</t>
        </is>
      </c>
      <c r="L140" t="inlineStr">
        <is>
          <t>TRUE</t>
        </is>
      </c>
      <c r="M140" t="inlineStr">
        <is>
          <t>TRUE</t>
        </is>
      </c>
      <c r="N140" t="inlineStr">
        <is>
          <t>https://api.fdic.gov/banks/docs</t>
        </is>
      </c>
      <c r="O140" t="inlineStr">
        <is>
          <t>risview</t>
        </is>
      </c>
      <c r="P140" t="inlineStr"/>
      <c r="Q140" t="inlineStr">
        <is>
          <t>P3CONOTH/LNCONOTH*100</t>
        </is>
      </c>
      <c r="R140" t="inlineStr">
        <is>
          <t>derived</t>
        </is>
      </c>
      <c r="S140" t="inlineStr">
        <is>
          <t>Computed: the R-twin name would exceed the 8-char field limit (unverified) -- verified dollar triple + balance instead.</t>
        </is>
      </c>
    </row>
    <row r="141">
      <c r="A141" t="inlineStr">
        <is>
          <t>P9CONOTHR</t>
        </is>
      </c>
      <c r="B141" t="inlineStr">
        <is>
          <t>Other-cons 90+ PD %</t>
        </is>
      </c>
      <c r="C141" t="inlineStr">
        <is>
          <t>consumer_credit</t>
        </is>
      </c>
      <c r="D141" t="inlineStr">
        <is>
          <t>dashboard</t>
        </is>
      </c>
      <c r="E141" t="inlineStr">
        <is>
          <t>consumer_credit</t>
        </is>
      </c>
      <c r="F141" t="inlineStr">
        <is>
          <t>quarterly</t>
        </is>
      </c>
      <c r="G141" t="inlineStr">
        <is>
          <t>NSA</t>
        </is>
      </c>
      <c r="H141" t="inlineStr">
        <is>
          <t>pct</t>
        </is>
      </c>
      <c r="I141" t="inlineStr">
        <is>
          <t>rate</t>
        </is>
      </c>
      <c r="J141" t="inlineStr">
        <is>
          <t>entity</t>
        </is>
      </c>
      <c r="K141" t="inlineStr">
        <is>
          <t>A</t>
        </is>
      </c>
      <c r="L141" t="inlineStr">
        <is>
          <t>TRUE</t>
        </is>
      </c>
      <c r="M141" t="inlineStr">
        <is>
          <t>TRUE</t>
        </is>
      </c>
      <c r="N141" t="inlineStr">
        <is>
          <t>https://api.fdic.gov/banks/docs</t>
        </is>
      </c>
      <c r="O141" t="inlineStr">
        <is>
          <t>risview</t>
        </is>
      </c>
      <c r="P141" t="inlineStr"/>
      <c r="Q141" t="inlineStr">
        <is>
          <t>P9CONOTH/LNCONOTH*100</t>
        </is>
      </c>
      <c r="R141" t="inlineStr">
        <is>
          <t>derived</t>
        </is>
      </c>
      <c r="S141" t="inlineStr">
        <is>
          <t>Computed; still accruing.</t>
        </is>
      </c>
    </row>
    <row r="142">
      <c r="A142" t="inlineStr">
        <is>
          <t>NACONOTHR</t>
        </is>
      </c>
      <c r="B142" t="inlineStr">
        <is>
          <t>Other-cons nonaccrual %</t>
        </is>
      </c>
      <c r="C142" t="inlineStr">
        <is>
          <t>consumer_credit</t>
        </is>
      </c>
      <c r="D142" t="inlineStr">
        <is>
          <t>dashboard</t>
        </is>
      </c>
      <c r="E142" t="inlineStr">
        <is>
          <t>consumer_credit</t>
        </is>
      </c>
      <c r="F142" t="inlineStr">
        <is>
          <t>quarterly</t>
        </is>
      </c>
      <c r="G142" t="inlineStr">
        <is>
          <t>NSA</t>
        </is>
      </c>
      <c r="H142" t="inlineStr">
        <is>
          <t>pct</t>
        </is>
      </c>
      <c r="I142" t="inlineStr">
        <is>
          <t>rate</t>
        </is>
      </c>
      <c r="J142" t="inlineStr">
        <is>
          <t>entity</t>
        </is>
      </c>
      <c r="K142" t="inlineStr">
        <is>
          <t>A</t>
        </is>
      </c>
      <c r="L142" t="inlineStr">
        <is>
          <t>TRUE</t>
        </is>
      </c>
      <c r="M142" t="inlineStr">
        <is>
          <t>TRUE</t>
        </is>
      </c>
      <c r="N142" t="inlineStr">
        <is>
          <t>https://api.fdic.gov/banks/docs</t>
        </is>
      </c>
      <c r="O142" t="inlineStr">
        <is>
          <t>risview</t>
        </is>
      </c>
      <c r="P142" t="inlineStr"/>
      <c r="Q142" t="inlineStr">
        <is>
          <t>NACONOTH/LNCONOTH*100</t>
        </is>
      </c>
      <c r="R142" t="inlineStr">
        <is>
          <t>derived</t>
        </is>
      </c>
      <c r="S142" t="inlineStr">
        <is>
          <t>Computed.</t>
        </is>
      </c>
    </row>
    <row r="143">
      <c r="A143" t="inlineStr">
        <is>
          <t>NTCONOTQR</t>
        </is>
      </c>
      <c r="B143" t="inlineStr">
        <is>
          <t>Other-cons NCO % (q, ann.)</t>
        </is>
      </c>
      <c r="C143" t="inlineStr">
        <is>
          <t>consumer_credit</t>
        </is>
      </c>
      <c r="D143" t="inlineStr">
        <is>
          <t>dashboard</t>
        </is>
      </c>
      <c r="E143" t="inlineStr">
        <is>
          <t>consumer_credit</t>
        </is>
      </c>
      <c r="F143" t="inlineStr">
        <is>
          <t>quarterly</t>
        </is>
      </c>
      <c r="G143" t="inlineStr">
        <is>
          <t>NSA</t>
        </is>
      </c>
      <c r="H143" t="inlineStr">
        <is>
          <t>pct</t>
        </is>
      </c>
      <c r="I143" t="inlineStr">
        <is>
          <t>rate</t>
        </is>
      </c>
      <c r="J143" t="inlineStr">
        <is>
          <t>entity</t>
        </is>
      </c>
      <c r="K143" t="inlineStr">
        <is>
          <t>A</t>
        </is>
      </c>
      <c r="L143" t="inlineStr">
        <is>
          <t>TRUE</t>
        </is>
      </c>
      <c r="M143" t="inlineStr">
        <is>
          <t>TRUE</t>
        </is>
      </c>
      <c r="N143" t="inlineStr">
        <is>
          <t>https://api.fdic.gov/banks/docs</t>
        </is>
      </c>
      <c r="O143" t="inlineStr">
        <is>
          <t>risview</t>
        </is>
      </c>
      <c r="P143" t="inlineStr"/>
      <c r="Q143" t="inlineStr">
        <is>
          <t>NTCONOTQ/LNCONOTH*400</t>
        </is>
      </c>
      <c r="R143" t="inlineStr">
        <is>
          <t>derived</t>
        </is>
      </c>
      <c r="S143" t="inlineStr">
        <is>
          <t>Quarterly flow annualized x4 (8-char truncated NTCONOTQ).</t>
        </is>
      </c>
    </row>
    <row r="144">
      <c r="A144" t="inlineStr">
        <is>
          <t>P3RERESR</t>
        </is>
      </c>
      <c r="B144" t="inlineStr">
        <is>
          <t>Resi 30-89 PD %</t>
        </is>
      </c>
      <c r="C144" t="inlineStr">
        <is>
          <t>consumer_credit</t>
        </is>
      </c>
      <c r="D144" t="inlineStr">
        <is>
          <t>dashboard</t>
        </is>
      </c>
      <c r="E144" t="inlineStr">
        <is>
          <t>consumer_credit</t>
        </is>
      </c>
      <c r="F144" t="inlineStr">
        <is>
          <t>quarterly</t>
        </is>
      </c>
      <c r="G144" t="inlineStr">
        <is>
          <t>NSA</t>
        </is>
      </c>
      <c r="H144" t="inlineStr">
        <is>
          <t>pct</t>
        </is>
      </c>
      <c r="I144" t="inlineStr">
        <is>
          <t>rate</t>
        </is>
      </c>
      <c r="J144" t="inlineStr">
        <is>
          <t>entity</t>
        </is>
      </c>
      <c r="K144" t="inlineStr">
        <is>
          <t>A</t>
        </is>
      </c>
      <c r="L144" t="inlineStr">
        <is>
          <t>TRUE</t>
        </is>
      </c>
      <c r="M144" t="inlineStr">
        <is>
          <t>TRUE</t>
        </is>
      </c>
      <c r="N144" t="inlineStr">
        <is>
          <t>https://api.fdic.gov/banks/docs</t>
        </is>
      </c>
      <c r="O144" t="inlineStr">
        <is>
          <t>risview</t>
        </is>
      </c>
      <c r="P144" t="inlineStr"/>
      <c r="Q144" t="inlineStr">
        <is>
          <t>P3RERESR</t>
        </is>
      </c>
      <c r="R144" t="inlineStr">
        <is>
          <t>direct</t>
        </is>
      </c>
      <c r="S144" t="inlineStr">
        <is>
          <t>Verified ratio twin (incl. HELOC + both liens).</t>
        </is>
      </c>
    </row>
    <row r="145">
      <c r="A145" t="inlineStr">
        <is>
          <t>P9RERESR</t>
        </is>
      </c>
      <c r="B145" t="inlineStr">
        <is>
          <t>Resi 90+ PD %</t>
        </is>
      </c>
      <c r="C145" t="inlineStr">
        <is>
          <t>consumer_credit</t>
        </is>
      </c>
      <c r="D145" t="inlineStr">
        <is>
          <t>dashboard</t>
        </is>
      </c>
      <c r="E145" t="inlineStr">
        <is>
          <t>consumer_credit</t>
        </is>
      </c>
      <c r="F145" t="inlineStr">
        <is>
          <t>quarterly</t>
        </is>
      </c>
      <c r="G145" t="inlineStr">
        <is>
          <t>NSA</t>
        </is>
      </c>
      <c r="H145" t="inlineStr">
        <is>
          <t>pct</t>
        </is>
      </c>
      <c r="I145" t="inlineStr">
        <is>
          <t>rate</t>
        </is>
      </c>
      <c r="J145" t="inlineStr">
        <is>
          <t>entity</t>
        </is>
      </c>
      <c r="K145" t="inlineStr">
        <is>
          <t>A</t>
        </is>
      </c>
      <c r="L145" t="inlineStr">
        <is>
          <t>TRUE</t>
        </is>
      </c>
      <c r="M145" t="inlineStr">
        <is>
          <t>TRUE</t>
        </is>
      </c>
      <c r="N145" t="inlineStr">
        <is>
          <t>https://api.fdic.gov/banks/docs</t>
        </is>
      </c>
      <c r="O145" t="inlineStr">
        <is>
          <t>risview</t>
        </is>
      </c>
      <c r="P145" t="inlineStr"/>
      <c r="Q145" t="inlineStr">
        <is>
          <t>P9RERESR</t>
        </is>
      </c>
      <c r="R145" t="inlineStr">
        <is>
          <t>direct</t>
        </is>
      </c>
      <c r="S145" t="inlineStr">
        <is>
          <t>Verified ratio twin; still accruing.</t>
        </is>
      </c>
    </row>
    <row r="146">
      <c r="A146" t="inlineStr">
        <is>
          <t>NARERESR</t>
        </is>
      </c>
      <c r="B146" t="inlineStr">
        <is>
          <t>Resi nonaccrual %</t>
        </is>
      </c>
      <c r="C146" t="inlineStr">
        <is>
          <t>consumer_credit</t>
        </is>
      </c>
      <c r="D146" t="inlineStr">
        <is>
          <t>dashboard</t>
        </is>
      </c>
      <c r="E146" t="inlineStr">
        <is>
          <t>consumer_credit</t>
        </is>
      </c>
      <c r="F146" t="inlineStr">
        <is>
          <t>quarterly</t>
        </is>
      </c>
      <c r="G146" t="inlineStr">
        <is>
          <t>NSA</t>
        </is>
      </c>
      <c r="H146" t="inlineStr">
        <is>
          <t>pct</t>
        </is>
      </c>
      <c r="I146" t="inlineStr">
        <is>
          <t>rate</t>
        </is>
      </c>
      <c r="J146" t="inlineStr">
        <is>
          <t>entity</t>
        </is>
      </c>
      <c r="K146" t="inlineStr">
        <is>
          <t>A</t>
        </is>
      </c>
      <c r="L146" t="inlineStr">
        <is>
          <t>TRUE</t>
        </is>
      </c>
      <c r="M146" t="inlineStr">
        <is>
          <t>TRUE</t>
        </is>
      </c>
      <c r="N146" t="inlineStr">
        <is>
          <t>https://api.fdic.gov/banks/docs</t>
        </is>
      </c>
      <c r="O146" t="inlineStr">
        <is>
          <t>risview</t>
        </is>
      </c>
      <c r="P146" t="inlineStr"/>
      <c r="Q146" t="inlineStr">
        <is>
          <t>NARERESR</t>
        </is>
      </c>
      <c r="R146" t="inlineStr">
        <is>
          <t>direct</t>
        </is>
      </c>
      <c r="S146" t="inlineStr">
        <is>
          <t>Verified ratio twin.</t>
        </is>
      </c>
    </row>
    <row r="147">
      <c r="A147" t="inlineStr">
        <is>
          <t>NTRERESQR</t>
        </is>
      </c>
      <c r="B147" t="inlineStr">
        <is>
          <t>Resi NCO % (q, ann.)</t>
        </is>
      </c>
      <c r="C147" t="inlineStr">
        <is>
          <t>consumer_credit</t>
        </is>
      </c>
      <c r="D147" t="inlineStr">
        <is>
          <t>dashboard</t>
        </is>
      </c>
      <c r="E147" t="inlineStr">
        <is>
          <t>consumer_credit</t>
        </is>
      </c>
      <c r="F147" t="inlineStr">
        <is>
          <t>quarterly</t>
        </is>
      </c>
      <c r="G147" t="inlineStr">
        <is>
          <t>NSA</t>
        </is>
      </c>
      <c r="H147" t="inlineStr">
        <is>
          <t>pct</t>
        </is>
      </c>
      <c r="I147" t="inlineStr">
        <is>
          <t>rate</t>
        </is>
      </c>
      <c r="J147" t="inlineStr">
        <is>
          <t>entity</t>
        </is>
      </c>
      <c r="K147" t="inlineStr">
        <is>
          <t>A</t>
        </is>
      </c>
      <c r="L147" t="inlineStr">
        <is>
          <t>TRUE</t>
        </is>
      </c>
      <c r="M147" t="inlineStr">
        <is>
          <t>TRUE</t>
        </is>
      </c>
      <c r="N147" t="inlineStr">
        <is>
          <t>https://api.fdic.gov/banks/docs</t>
        </is>
      </c>
      <c r="O147" t="inlineStr">
        <is>
          <t>risview</t>
        </is>
      </c>
      <c r="P147" t="inlineStr"/>
      <c r="Q147" t="inlineStr">
        <is>
          <t>NTRERESQ/LNRERES*400</t>
        </is>
      </c>
      <c r="R147" t="inlineStr">
        <is>
          <t>derived</t>
        </is>
      </c>
      <c r="S147" t="inlineStr">
        <is>
          <t>Quarterly flow annualized x4.</t>
        </is>
      </c>
    </row>
    <row r="148">
      <c r="A148" t="inlineStr">
        <is>
          <t>P3RELOCR</t>
        </is>
      </c>
      <c r="B148" t="inlineStr">
        <is>
          <t>HELOC 30-89 PD %</t>
        </is>
      </c>
      <c r="C148" t="inlineStr">
        <is>
          <t>consumer_credit</t>
        </is>
      </c>
      <c r="D148" t="inlineStr">
        <is>
          <t>dashboard</t>
        </is>
      </c>
      <c r="E148" t="inlineStr">
        <is>
          <t>consumer_credit</t>
        </is>
      </c>
      <c r="F148" t="inlineStr">
        <is>
          <t>quarterly</t>
        </is>
      </c>
      <c r="G148" t="inlineStr">
        <is>
          <t>NSA</t>
        </is>
      </c>
      <c r="H148" t="inlineStr">
        <is>
          <t>pct</t>
        </is>
      </c>
      <c r="I148" t="inlineStr">
        <is>
          <t>rate</t>
        </is>
      </c>
      <c r="J148" t="inlineStr">
        <is>
          <t>entity</t>
        </is>
      </c>
      <c r="K148" t="inlineStr">
        <is>
          <t>A</t>
        </is>
      </c>
      <c r="L148" t="inlineStr">
        <is>
          <t>TRUE</t>
        </is>
      </c>
      <c r="M148" t="inlineStr">
        <is>
          <t>TRUE</t>
        </is>
      </c>
      <c r="N148" t="inlineStr">
        <is>
          <t>https://api.fdic.gov/banks/docs</t>
        </is>
      </c>
      <c r="O148" t="inlineStr">
        <is>
          <t>risview</t>
        </is>
      </c>
      <c r="P148" t="inlineStr"/>
      <c r="Q148" t="inlineStr">
        <is>
          <t>P3RELOCR</t>
        </is>
      </c>
      <c r="R148" t="inlineStr">
        <is>
          <t>direct</t>
        </is>
      </c>
      <c r="S148" t="inlineStr">
        <is>
          <t>Verified ratio twin (RC-N 1.c.(1) drill-in of resi).</t>
        </is>
      </c>
    </row>
    <row r="149">
      <c r="A149" t="inlineStr">
        <is>
          <t>P9RELOCR</t>
        </is>
      </c>
      <c r="B149" t="inlineStr">
        <is>
          <t>HELOC 90+ PD %</t>
        </is>
      </c>
      <c r="C149" t="inlineStr">
        <is>
          <t>consumer_credit</t>
        </is>
      </c>
      <c r="D149" t="inlineStr">
        <is>
          <t>dashboard</t>
        </is>
      </c>
      <c r="E149" t="inlineStr">
        <is>
          <t>consumer_credit</t>
        </is>
      </c>
      <c r="F149" t="inlineStr">
        <is>
          <t>quarterly</t>
        </is>
      </c>
      <c r="G149" t="inlineStr">
        <is>
          <t>NSA</t>
        </is>
      </c>
      <c r="H149" t="inlineStr">
        <is>
          <t>pct</t>
        </is>
      </c>
      <c r="I149" t="inlineStr">
        <is>
          <t>rate</t>
        </is>
      </c>
      <c r="J149" t="inlineStr">
        <is>
          <t>entity</t>
        </is>
      </c>
      <c r="K149" t="inlineStr">
        <is>
          <t>A</t>
        </is>
      </c>
      <c r="L149" t="inlineStr">
        <is>
          <t>TRUE</t>
        </is>
      </c>
      <c r="M149" t="inlineStr">
        <is>
          <t>TRUE</t>
        </is>
      </c>
      <c r="N149" t="inlineStr">
        <is>
          <t>https://api.fdic.gov/banks/docs</t>
        </is>
      </c>
      <c r="O149" t="inlineStr">
        <is>
          <t>risview</t>
        </is>
      </c>
      <c r="P149" t="inlineStr"/>
      <c r="Q149" t="inlineStr">
        <is>
          <t>P9RELOCR</t>
        </is>
      </c>
      <c r="R149" t="inlineStr">
        <is>
          <t>direct</t>
        </is>
      </c>
      <c r="S149" t="inlineStr">
        <is>
          <t>Verified ratio twin; still accruing.</t>
        </is>
      </c>
    </row>
    <row r="150">
      <c r="A150" t="inlineStr">
        <is>
          <t>NARELOCR</t>
        </is>
      </c>
      <c r="B150" t="inlineStr">
        <is>
          <t>HELOC nonaccrual %</t>
        </is>
      </c>
      <c r="C150" t="inlineStr">
        <is>
          <t>consumer_credit</t>
        </is>
      </c>
      <c r="D150" t="inlineStr">
        <is>
          <t>dashboard</t>
        </is>
      </c>
      <c r="E150" t="inlineStr">
        <is>
          <t>consumer_credit</t>
        </is>
      </c>
      <c r="F150" t="inlineStr">
        <is>
          <t>quarterly</t>
        </is>
      </c>
      <c r="G150" t="inlineStr">
        <is>
          <t>NSA</t>
        </is>
      </c>
      <c r="H150" t="inlineStr">
        <is>
          <t>pct</t>
        </is>
      </c>
      <c r="I150" t="inlineStr">
        <is>
          <t>rate</t>
        </is>
      </c>
      <c r="J150" t="inlineStr">
        <is>
          <t>entity</t>
        </is>
      </c>
      <c r="K150" t="inlineStr">
        <is>
          <t>A</t>
        </is>
      </c>
      <c r="L150" t="inlineStr">
        <is>
          <t>TRUE</t>
        </is>
      </c>
      <c r="M150" t="inlineStr">
        <is>
          <t>TRUE</t>
        </is>
      </c>
      <c r="N150" t="inlineStr">
        <is>
          <t>https://api.fdic.gov/banks/docs</t>
        </is>
      </c>
      <c r="O150" t="inlineStr">
        <is>
          <t>risview</t>
        </is>
      </c>
      <c r="P150" t="inlineStr"/>
      <c r="Q150" t="inlineStr">
        <is>
          <t>NARELOCR</t>
        </is>
      </c>
      <c r="R150" t="inlineStr">
        <is>
          <t>direct</t>
        </is>
      </c>
      <c r="S150" t="inlineStr">
        <is>
          <t>Verified ratio twin. No HELOC NCO column: LNRELOC is not in the verified balance list -- never approximated.</t>
        </is>
      </c>
    </row>
    <row r="151">
      <c r="A151" t="inlineStr">
        <is>
          <t>P3RECONSR</t>
        </is>
      </c>
      <c r="B151" t="inlineStr">
        <is>
          <t>Constr 30-89 PD %</t>
        </is>
      </c>
      <c r="C151" t="inlineStr">
        <is>
          <t>commercial_credit</t>
        </is>
      </c>
      <c r="D151" t="inlineStr">
        <is>
          <t>dashboard</t>
        </is>
      </c>
      <c r="E151" t="inlineStr">
        <is>
          <t>commercial_credit</t>
        </is>
      </c>
      <c r="F151" t="inlineStr">
        <is>
          <t>quarterly</t>
        </is>
      </c>
      <c r="G151" t="inlineStr">
        <is>
          <t>NSA</t>
        </is>
      </c>
      <c r="H151" t="inlineStr">
        <is>
          <t>pct</t>
        </is>
      </c>
      <c r="I151" t="inlineStr">
        <is>
          <t>rate</t>
        </is>
      </c>
      <c r="J151" t="inlineStr">
        <is>
          <t>entity</t>
        </is>
      </c>
      <c r="K151" t="inlineStr">
        <is>
          <t>A</t>
        </is>
      </c>
      <c r="L151" t="inlineStr">
        <is>
          <t>TRUE</t>
        </is>
      </c>
      <c r="M151" t="inlineStr">
        <is>
          <t>TRUE</t>
        </is>
      </c>
      <c r="N151" t="inlineStr">
        <is>
          <t>https://api.fdic.gov/banks/docs</t>
        </is>
      </c>
      <c r="O151" t="inlineStr">
        <is>
          <t>risview</t>
        </is>
      </c>
      <c r="P151" t="inlineStr"/>
      <c r="Q151" t="inlineStr">
        <is>
          <t>P3RECONS/LNRECONS*100</t>
        </is>
      </c>
      <c r="R151" t="inlineStr">
        <is>
          <t>derived</t>
        </is>
      </c>
      <c r="S151" t="inlineStr">
        <is>
          <t>Computed (twin name exceeds 8 chars). PUBLIC FLOOR: commercial risk ratings lead delinquency; criticized/classified via EDGAR template. Splits exist from ~2007-08 (null-tolerant).</t>
        </is>
      </c>
    </row>
    <row r="152">
      <c r="A152" t="inlineStr">
        <is>
          <t>P9RECONSR</t>
        </is>
      </c>
      <c r="B152" t="inlineStr">
        <is>
          <t>Constr 90+ PD %</t>
        </is>
      </c>
      <c r="C152" t="inlineStr">
        <is>
          <t>commercial_credit</t>
        </is>
      </c>
      <c r="D152" t="inlineStr">
        <is>
          <t>dashboard</t>
        </is>
      </c>
      <c r="E152" t="inlineStr">
        <is>
          <t>commercial_credit</t>
        </is>
      </c>
      <c r="F152" t="inlineStr">
        <is>
          <t>quarterly</t>
        </is>
      </c>
      <c r="G152" t="inlineStr">
        <is>
          <t>NSA</t>
        </is>
      </c>
      <c r="H152" t="inlineStr">
        <is>
          <t>pct</t>
        </is>
      </c>
      <c r="I152" t="inlineStr">
        <is>
          <t>rate</t>
        </is>
      </c>
      <c r="J152" t="inlineStr">
        <is>
          <t>entity</t>
        </is>
      </c>
      <c r="K152" t="inlineStr">
        <is>
          <t>A</t>
        </is>
      </c>
      <c r="L152" t="inlineStr">
        <is>
          <t>TRUE</t>
        </is>
      </c>
      <c r="M152" t="inlineStr">
        <is>
          <t>TRUE</t>
        </is>
      </c>
      <c r="N152" t="inlineStr">
        <is>
          <t>https://api.fdic.gov/banks/docs</t>
        </is>
      </c>
      <c r="O152" t="inlineStr">
        <is>
          <t>risview</t>
        </is>
      </c>
      <c r="P152" t="inlineStr"/>
      <c r="Q152" t="inlineStr">
        <is>
          <t>P9RECONS/LNRECONS*100</t>
        </is>
      </c>
      <c r="R152" t="inlineStr">
        <is>
          <t>derived</t>
        </is>
      </c>
      <c r="S152" t="inlineStr">
        <is>
          <t>Computed; still accruing.</t>
        </is>
      </c>
    </row>
    <row r="153">
      <c r="A153" t="inlineStr">
        <is>
          <t>NARECONSR</t>
        </is>
      </c>
      <c r="B153" t="inlineStr">
        <is>
          <t>Constr nonaccrual %</t>
        </is>
      </c>
      <c r="C153" t="inlineStr">
        <is>
          <t>commercial_credit</t>
        </is>
      </c>
      <c r="D153" t="inlineStr">
        <is>
          <t>dashboard</t>
        </is>
      </c>
      <c r="E153" t="inlineStr">
        <is>
          <t>commercial_credit</t>
        </is>
      </c>
      <c r="F153" t="inlineStr">
        <is>
          <t>quarterly</t>
        </is>
      </c>
      <c r="G153" t="inlineStr">
        <is>
          <t>NSA</t>
        </is>
      </c>
      <c r="H153" t="inlineStr">
        <is>
          <t>pct</t>
        </is>
      </c>
      <c r="I153" t="inlineStr">
        <is>
          <t>rate</t>
        </is>
      </c>
      <c r="J153" t="inlineStr">
        <is>
          <t>entity</t>
        </is>
      </c>
      <c r="K153" t="inlineStr">
        <is>
          <t>A</t>
        </is>
      </c>
      <c r="L153" t="inlineStr">
        <is>
          <t>TRUE</t>
        </is>
      </c>
      <c r="M153" t="inlineStr">
        <is>
          <t>TRUE</t>
        </is>
      </c>
      <c r="N153" t="inlineStr">
        <is>
          <t>https://api.fdic.gov/banks/docs</t>
        </is>
      </c>
      <c r="O153" t="inlineStr">
        <is>
          <t>risview</t>
        </is>
      </c>
      <c r="P153" t="inlineStr"/>
      <c r="Q153" t="inlineStr">
        <is>
          <t>NARECONS/LNRECONS*100</t>
        </is>
      </c>
      <c r="R153" t="inlineStr">
        <is>
          <t>derived</t>
        </is>
      </c>
      <c r="S153" t="inlineStr">
        <is>
          <t>Computed.</t>
        </is>
      </c>
    </row>
    <row r="154">
      <c r="A154" t="inlineStr">
        <is>
          <t>NTRECONQR</t>
        </is>
      </c>
      <c r="B154" t="inlineStr">
        <is>
          <t>Constr NCO % (q, ann.)</t>
        </is>
      </c>
      <c r="C154" t="inlineStr">
        <is>
          <t>commercial_credit</t>
        </is>
      </c>
      <c r="D154" t="inlineStr">
        <is>
          <t>dashboard</t>
        </is>
      </c>
      <c r="E154" t="inlineStr">
        <is>
          <t>commercial_credit</t>
        </is>
      </c>
      <c r="F154" t="inlineStr">
        <is>
          <t>quarterly</t>
        </is>
      </c>
      <c r="G154" t="inlineStr">
        <is>
          <t>NSA</t>
        </is>
      </c>
      <c r="H154" t="inlineStr">
        <is>
          <t>pct</t>
        </is>
      </c>
      <c r="I154" t="inlineStr">
        <is>
          <t>rate</t>
        </is>
      </c>
      <c r="J154" t="inlineStr">
        <is>
          <t>entity</t>
        </is>
      </c>
      <c r="K154" t="inlineStr">
        <is>
          <t>A</t>
        </is>
      </c>
      <c r="L154" t="inlineStr">
        <is>
          <t>TRUE</t>
        </is>
      </c>
      <c r="M154" t="inlineStr">
        <is>
          <t>TRUE</t>
        </is>
      </c>
      <c r="N154" t="inlineStr">
        <is>
          <t>https://api.fdic.gov/banks/docs</t>
        </is>
      </c>
      <c r="O154" t="inlineStr">
        <is>
          <t>risview</t>
        </is>
      </c>
      <c r="P154" t="inlineStr"/>
      <c r="Q154" t="inlineStr">
        <is>
          <t>NTRECONQ/LNRECONS*400</t>
        </is>
      </c>
      <c r="R154" t="inlineStr">
        <is>
          <t>derived</t>
        </is>
      </c>
      <c r="S154" t="inlineStr">
        <is>
          <t>Quarterly flow annualized x4; 8-char truncation is VERIFIED here (NTRECONQ, never NTRECONSQ).</t>
        </is>
      </c>
    </row>
    <row r="155">
      <c r="A155" t="inlineStr">
        <is>
          <t>P3RENRESR</t>
        </is>
      </c>
      <c r="B155" t="inlineStr">
        <is>
          <t>CRE-NFN 30-89 PD %</t>
        </is>
      </c>
      <c r="C155" t="inlineStr">
        <is>
          <t>commercial_credit</t>
        </is>
      </c>
      <c r="D155" t="inlineStr">
        <is>
          <t>dashboard</t>
        </is>
      </c>
      <c r="E155" t="inlineStr">
        <is>
          <t>commercial_credit</t>
        </is>
      </c>
      <c r="F155" t="inlineStr">
        <is>
          <t>quarterly</t>
        </is>
      </c>
      <c r="G155" t="inlineStr">
        <is>
          <t>NSA</t>
        </is>
      </c>
      <c r="H155" t="inlineStr">
        <is>
          <t>pct</t>
        </is>
      </c>
      <c r="I155" t="inlineStr">
        <is>
          <t>rate</t>
        </is>
      </c>
      <c r="J155" t="inlineStr">
        <is>
          <t>entity</t>
        </is>
      </c>
      <c r="K155" t="inlineStr">
        <is>
          <t>A</t>
        </is>
      </c>
      <c r="L155" t="inlineStr">
        <is>
          <t>TRUE</t>
        </is>
      </c>
      <c r="M155" t="inlineStr">
        <is>
          <t>TRUE</t>
        </is>
      </c>
      <c r="N155" t="inlineStr">
        <is>
          <t>https://api.fdic.gov/banks/docs</t>
        </is>
      </c>
      <c r="O155" t="inlineStr">
        <is>
          <t>risview</t>
        </is>
      </c>
      <c r="P155" t="inlineStr"/>
      <c r="Q155" t="inlineStr">
        <is>
          <t>P3RENRES/LNRENRES*100</t>
        </is>
      </c>
      <c r="R155" t="inlineStr">
        <is>
          <t>derived</t>
        </is>
      </c>
      <c r="S155" t="inlineStr">
        <is>
          <t>Computed (twin &gt;8 chars).</t>
        </is>
      </c>
    </row>
    <row r="156">
      <c r="A156" t="inlineStr">
        <is>
          <t>P9RENRESR</t>
        </is>
      </c>
      <c r="B156" t="inlineStr">
        <is>
          <t>CRE-NFN 90+ PD %</t>
        </is>
      </c>
      <c r="C156" t="inlineStr">
        <is>
          <t>commercial_credit</t>
        </is>
      </c>
      <c r="D156" t="inlineStr">
        <is>
          <t>dashboard</t>
        </is>
      </c>
      <c r="E156" t="inlineStr">
        <is>
          <t>commercial_credit</t>
        </is>
      </c>
      <c r="F156" t="inlineStr">
        <is>
          <t>quarterly</t>
        </is>
      </c>
      <c r="G156" t="inlineStr">
        <is>
          <t>NSA</t>
        </is>
      </c>
      <c r="H156" t="inlineStr">
        <is>
          <t>pct</t>
        </is>
      </c>
      <c r="I156" t="inlineStr">
        <is>
          <t>rate</t>
        </is>
      </c>
      <c r="J156" t="inlineStr">
        <is>
          <t>entity</t>
        </is>
      </c>
      <c r="K156" t="inlineStr">
        <is>
          <t>A</t>
        </is>
      </c>
      <c r="L156" t="inlineStr">
        <is>
          <t>TRUE</t>
        </is>
      </c>
      <c r="M156" t="inlineStr">
        <is>
          <t>TRUE</t>
        </is>
      </c>
      <c r="N156" t="inlineStr">
        <is>
          <t>https://api.fdic.gov/banks/docs</t>
        </is>
      </c>
      <c r="O156" t="inlineStr">
        <is>
          <t>risview</t>
        </is>
      </c>
      <c r="P156" t="inlineStr"/>
      <c r="Q156" t="inlineStr">
        <is>
          <t>P9RENRES/LNRENRES*100</t>
        </is>
      </c>
      <c r="R156" t="inlineStr">
        <is>
          <t>derived</t>
        </is>
      </c>
      <c r="S156" t="inlineStr">
        <is>
          <t>Computed; still accruing.</t>
        </is>
      </c>
    </row>
    <row r="157">
      <c r="A157" t="inlineStr">
        <is>
          <t>NARENRESR</t>
        </is>
      </c>
      <c r="B157" t="inlineStr">
        <is>
          <t>CRE-NFN nonaccrual %</t>
        </is>
      </c>
      <c r="C157" t="inlineStr">
        <is>
          <t>commercial_credit</t>
        </is>
      </c>
      <c r="D157" t="inlineStr">
        <is>
          <t>dashboard</t>
        </is>
      </c>
      <c r="E157" t="inlineStr">
        <is>
          <t>commercial_credit</t>
        </is>
      </c>
      <c r="F157" t="inlineStr">
        <is>
          <t>quarterly</t>
        </is>
      </c>
      <c r="G157" t="inlineStr">
        <is>
          <t>NSA</t>
        </is>
      </c>
      <c r="H157" t="inlineStr">
        <is>
          <t>pct</t>
        </is>
      </c>
      <c r="I157" t="inlineStr">
        <is>
          <t>rate</t>
        </is>
      </c>
      <c r="J157" t="inlineStr">
        <is>
          <t>entity</t>
        </is>
      </c>
      <c r="K157" t="inlineStr">
        <is>
          <t>A</t>
        </is>
      </c>
      <c r="L157" t="inlineStr">
        <is>
          <t>TRUE</t>
        </is>
      </c>
      <c r="M157" t="inlineStr">
        <is>
          <t>TRUE</t>
        </is>
      </c>
      <c r="N157" t="inlineStr">
        <is>
          <t>https://api.fdic.gov/banks/docs</t>
        </is>
      </c>
      <c r="O157" t="inlineStr">
        <is>
          <t>risview</t>
        </is>
      </c>
      <c r="P157" t="inlineStr"/>
      <c r="Q157" t="inlineStr">
        <is>
          <t>NARENRES/LNRENRES*100</t>
        </is>
      </c>
      <c r="R157" t="inlineStr">
        <is>
          <t>derived</t>
        </is>
      </c>
      <c r="S157" t="inlineStr">
        <is>
          <t>Computed. The office-stress headline metric.</t>
        </is>
      </c>
    </row>
    <row r="158">
      <c r="A158" t="inlineStr">
        <is>
          <t>NTRENREQR</t>
        </is>
      </c>
      <c r="B158" t="inlineStr">
        <is>
          <t>CRE-NFN NCO % (q, ann.)</t>
        </is>
      </c>
      <c r="C158" t="inlineStr">
        <is>
          <t>commercial_credit</t>
        </is>
      </c>
      <c r="D158" t="inlineStr">
        <is>
          <t>dashboard</t>
        </is>
      </c>
      <c r="E158" t="inlineStr">
        <is>
          <t>commercial_credit</t>
        </is>
      </c>
      <c r="F158" t="inlineStr">
        <is>
          <t>quarterly</t>
        </is>
      </c>
      <c r="G158" t="inlineStr">
        <is>
          <t>NSA</t>
        </is>
      </c>
      <c r="H158" t="inlineStr">
        <is>
          <t>pct</t>
        </is>
      </c>
      <c r="I158" t="inlineStr">
        <is>
          <t>rate</t>
        </is>
      </c>
      <c r="J158" t="inlineStr">
        <is>
          <t>entity</t>
        </is>
      </c>
      <c r="K158" t="inlineStr">
        <is>
          <t>A</t>
        </is>
      </c>
      <c r="L158" t="inlineStr">
        <is>
          <t>TRUE</t>
        </is>
      </c>
      <c r="M158" t="inlineStr">
        <is>
          <t>TRUE</t>
        </is>
      </c>
      <c r="N158" t="inlineStr">
        <is>
          <t>https://api.fdic.gov/banks/docs</t>
        </is>
      </c>
      <c r="O158" t="inlineStr">
        <is>
          <t>risview</t>
        </is>
      </c>
      <c r="P158" t="inlineStr"/>
      <c r="Q158" t="inlineStr">
        <is>
          <t>NTRENREQ/LNRENRES*400</t>
        </is>
      </c>
      <c r="R158" t="inlineStr">
        <is>
          <t>derived</t>
        </is>
      </c>
      <c r="S158" t="inlineStr">
        <is>
          <t>Quarterly flow annualized x4 (8-char truncated NTRENREQ).</t>
        </is>
      </c>
    </row>
    <row r="159">
      <c r="A159" t="inlineStr">
        <is>
          <t>P3REMULTR</t>
        </is>
      </c>
      <c r="B159" t="inlineStr">
        <is>
          <t>Multifam 30-89 PD %</t>
        </is>
      </c>
      <c r="C159" t="inlineStr">
        <is>
          <t>commercial_credit</t>
        </is>
      </c>
      <c r="D159" t="inlineStr">
        <is>
          <t>dashboard</t>
        </is>
      </c>
      <c r="E159" t="inlineStr">
        <is>
          <t>commercial_credit</t>
        </is>
      </c>
      <c r="F159" t="inlineStr">
        <is>
          <t>quarterly</t>
        </is>
      </c>
      <c r="G159" t="inlineStr">
        <is>
          <t>NSA</t>
        </is>
      </c>
      <c r="H159" t="inlineStr">
        <is>
          <t>pct</t>
        </is>
      </c>
      <c r="I159" t="inlineStr">
        <is>
          <t>rate</t>
        </is>
      </c>
      <c r="J159" t="inlineStr">
        <is>
          <t>entity</t>
        </is>
      </c>
      <c r="K159" t="inlineStr">
        <is>
          <t>A</t>
        </is>
      </c>
      <c r="L159" t="inlineStr">
        <is>
          <t>TRUE</t>
        </is>
      </c>
      <c r="M159" t="inlineStr">
        <is>
          <t>TRUE</t>
        </is>
      </c>
      <c r="N159" t="inlineStr">
        <is>
          <t>https://api.fdic.gov/banks/docs</t>
        </is>
      </c>
      <c r="O159" t="inlineStr">
        <is>
          <t>risview</t>
        </is>
      </c>
      <c r="P159" t="inlineStr"/>
      <c r="Q159" t="inlineStr">
        <is>
          <t>P3REMULT/LNREMULT*100</t>
        </is>
      </c>
      <c r="R159" t="inlineStr">
        <is>
          <t>derived</t>
        </is>
      </c>
      <c r="S159" t="inlineStr">
        <is>
          <t>Computed (twin &gt;8 chars).</t>
        </is>
      </c>
    </row>
    <row r="160">
      <c r="A160" t="inlineStr">
        <is>
          <t>P9REMULTR</t>
        </is>
      </c>
      <c r="B160" t="inlineStr">
        <is>
          <t>Multifam 90+ PD %</t>
        </is>
      </c>
      <c r="C160" t="inlineStr">
        <is>
          <t>commercial_credit</t>
        </is>
      </c>
      <c r="D160" t="inlineStr">
        <is>
          <t>dashboard</t>
        </is>
      </c>
      <c r="E160" t="inlineStr">
        <is>
          <t>commercial_credit</t>
        </is>
      </c>
      <c r="F160" t="inlineStr">
        <is>
          <t>quarterly</t>
        </is>
      </c>
      <c r="G160" t="inlineStr">
        <is>
          <t>NSA</t>
        </is>
      </c>
      <c r="H160" t="inlineStr">
        <is>
          <t>pct</t>
        </is>
      </c>
      <c r="I160" t="inlineStr">
        <is>
          <t>rate</t>
        </is>
      </c>
      <c r="J160" t="inlineStr">
        <is>
          <t>entity</t>
        </is>
      </c>
      <c r="K160" t="inlineStr">
        <is>
          <t>A</t>
        </is>
      </c>
      <c r="L160" t="inlineStr">
        <is>
          <t>TRUE</t>
        </is>
      </c>
      <c r="M160" t="inlineStr">
        <is>
          <t>TRUE</t>
        </is>
      </c>
      <c r="N160" t="inlineStr">
        <is>
          <t>https://api.fdic.gov/banks/docs</t>
        </is>
      </c>
      <c r="O160" t="inlineStr">
        <is>
          <t>risview</t>
        </is>
      </c>
      <c r="P160" t="inlineStr"/>
      <c r="Q160" t="inlineStr">
        <is>
          <t>P9REMULT/LNREMULT*100</t>
        </is>
      </c>
      <c r="R160" t="inlineStr">
        <is>
          <t>derived</t>
        </is>
      </c>
      <c r="S160" t="inlineStr">
        <is>
          <t>Computed; still accruing.</t>
        </is>
      </c>
    </row>
    <row r="161">
      <c r="A161" t="inlineStr">
        <is>
          <t>NAREMULTR</t>
        </is>
      </c>
      <c r="B161" t="inlineStr">
        <is>
          <t>Multifam nonaccrual %</t>
        </is>
      </c>
      <c r="C161" t="inlineStr">
        <is>
          <t>commercial_credit</t>
        </is>
      </c>
      <c r="D161" t="inlineStr">
        <is>
          <t>dashboard</t>
        </is>
      </c>
      <c r="E161" t="inlineStr">
        <is>
          <t>commercial_credit</t>
        </is>
      </c>
      <c r="F161" t="inlineStr">
        <is>
          <t>quarterly</t>
        </is>
      </c>
      <c r="G161" t="inlineStr">
        <is>
          <t>NSA</t>
        </is>
      </c>
      <c r="H161" t="inlineStr">
        <is>
          <t>pct</t>
        </is>
      </c>
      <c r="I161" t="inlineStr">
        <is>
          <t>rate</t>
        </is>
      </c>
      <c r="J161" t="inlineStr">
        <is>
          <t>entity</t>
        </is>
      </c>
      <c r="K161" t="inlineStr">
        <is>
          <t>A</t>
        </is>
      </c>
      <c r="L161" t="inlineStr">
        <is>
          <t>TRUE</t>
        </is>
      </c>
      <c r="M161" t="inlineStr">
        <is>
          <t>TRUE</t>
        </is>
      </c>
      <c r="N161" t="inlineStr">
        <is>
          <t>https://api.fdic.gov/banks/docs</t>
        </is>
      </c>
      <c r="O161" t="inlineStr">
        <is>
          <t>risview</t>
        </is>
      </c>
      <c r="P161" t="inlineStr"/>
      <c r="Q161" t="inlineStr">
        <is>
          <t>NAREMULT/LNREMULT*100</t>
        </is>
      </c>
      <c r="R161" t="inlineStr">
        <is>
          <t>derived</t>
        </is>
      </c>
      <c r="S161" t="inlineStr">
        <is>
          <t>Computed.</t>
        </is>
      </c>
    </row>
    <row r="162">
      <c r="A162" t="inlineStr">
        <is>
          <t>NTREMULQR</t>
        </is>
      </c>
      <c r="B162" t="inlineStr">
        <is>
          <t>Multifam NCO % (q, ann.)</t>
        </is>
      </c>
      <c r="C162" t="inlineStr">
        <is>
          <t>commercial_credit</t>
        </is>
      </c>
      <c r="D162" t="inlineStr">
        <is>
          <t>dashboard</t>
        </is>
      </c>
      <c r="E162" t="inlineStr">
        <is>
          <t>commercial_credit</t>
        </is>
      </c>
      <c r="F162" t="inlineStr">
        <is>
          <t>quarterly</t>
        </is>
      </c>
      <c r="G162" t="inlineStr">
        <is>
          <t>NSA</t>
        </is>
      </c>
      <c r="H162" t="inlineStr">
        <is>
          <t>pct</t>
        </is>
      </c>
      <c r="I162" t="inlineStr">
        <is>
          <t>rate</t>
        </is>
      </c>
      <c r="J162" t="inlineStr">
        <is>
          <t>entity</t>
        </is>
      </c>
      <c r="K162" t="inlineStr">
        <is>
          <t>A</t>
        </is>
      </c>
      <c r="L162" t="inlineStr">
        <is>
          <t>TRUE</t>
        </is>
      </c>
      <c r="M162" t="inlineStr">
        <is>
          <t>TRUE</t>
        </is>
      </c>
      <c r="N162" t="inlineStr">
        <is>
          <t>https://api.fdic.gov/banks/docs</t>
        </is>
      </c>
      <c r="O162" t="inlineStr">
        <is>
          <t>risview</t>
        </is>
      </c>
      <c r="P162" t="inlineStr"/>
      <c r="Q162" t="inlineStr">
        <is>
          <t>NTREMULQ/LNREMULT*400</t>
        </is>
      </c>
      <c r="R162" t="inlineStr">
        <is>
          <t>derived</t>
        </is>
      </c>
      <c r="S162" t="inlineStr">
        <is>
          <t>Quarterly flow annualized x4 (8-char truncated NTREMULQ).</t>
        </is>
      </c>
    </row>
    <row r="163">
      <c r="A163" t="inlineStr">
        <is>
          <t>P3CIR</t>
        </is>
      </c>
      <c r="B163" t="inlineStr">
        <is>
          <t>C&amp;I 30-89 PD %</t>
        </is>
      </c>
      <c r="C163" t="inlineStr">
        <is>
          <t>commercial_credit</t>
        </is>
      </c>
      <c r="D163" t="inlineStr">
        <is>
          <t>dashboard</t>
        </is>
      </c>
      <c r="E163" t="inlineStr">
        <is>
          <t>commercial_credit</t>
        </is>
      </c>
      <c r="F163" t="inlineStr">
        <is>
          <t>quarterly</t>
        </is>
      </c>
      <c r="G163" t="inlineStr">
        <is>
          <t>NSA</t>
        </is>
      </c>
      <c r="H163" t="inlineStr">
        <is>
          <t>pct</t>
        </is>
      </c>
      <c r="I163" t="inlineStr">
        <is>
          <t>rate</t>
        </is>
      </c>
      <c r="J163" t="inlineStr">
        <is>
          <t>entity</t>
        </is>
      </c>
      <c r="K163" t="inlineStr">
        <is>
          <t>A</t>
        </is>
      </c>
      <c r="L163" t="inlineStr">
        <is>
          <t>TRUE</t>
        </is>
      </c>
      <c r="M163" t="inlineStr">
        <is>
          <t>TRUE</t>
        </is>
      </c>
      <c r="N163" t="inlineStr">
        <is>
          <t>https://api.fdic.gov/banks/docs</t>
        </is>
      </c>
      <c r="O163" t="inlineStr">
        <is>
          <t>risview</t>
        </is>
      </c>
      <c r="P163" t="inlineStr"/>
      <c r="Q163" t="inlineStr">
        <is>
          <t>P3CIR</t>
        </is>
      </c>
      <c r="R163" t="inlineStr">
        <is>
          <t>direct</t>
        </is>
      </c>
      <c r="S163" t="inlineStr">
        <is>
          <t>Verified ratio twin.</t>
        </is>
      </c>
    </row>
    <row r="164">
      <c r="A164" t="inlineStr">
        <is>
          <t>P9CIR</t>
        </is>
      </c>
      <c r="B164" t="inlineStr">
        <is>
          <t>C&amp;I 90+ PD %</t>
        </is>
      </c>
      <c r="C164" t="inlineStr">
        <is>
          <t>commercial_credit</t>
        </is>
      </c>
      <c r="D164" t="inlineStr">
        <is>
          <t>dashboard</t>
        </is>
      </c>
      <c r="E164" t="inlineStr">
        <is>
          <t>commercial_credit</t>
        </is>
      </c>
      <c r="F164" t="inlineStr">
        <is>
          <t>quarterly</t>
        </is>
      </c>
      <c r="G164" t="inlineStr">
        <is>
          <t>NSA</t>
        </is>
      </c>
      <c r="H164" t="inlineStr">
        <is>
          <t>pct</t>
        </is>
      </c>
      <c r="I164" t="inlineStr">
        <is>
          <t>rate</t>
        </is>
      </c>
      <c r="J164" t="inlineStr">
        <is>
          <t>entity</t>
        </is>
      </c>
      <c r="K164" t="inlineStr">
        <is>
          <t>A</t>
        </is>
      </c>
      <c r="L164" t="inlineStr">
        <is>
          <t>TRUE</t>
        </is>
      </c>
      <c r="M164" t="inlineStr">
        <is>
          <t>TRUE</t>
        </is>
      </c>
      <c r="N164" t="inlineStr">
        <is>
          <t>https://api.fdic.gov/banks/docs</t>
        </is>
      </c>
      <c r="O164" t="inlineStr">
        <is>
          <t>risview</t>
        </is>
      </c>
      <c r="P164" t="inlineStr"/>
      <c r="Q164" t="inlineStr">
        <is>
          <t>P9CIR</t>
        </is>
      </c>
      <c r="R164" t="inlineStr">
        <is>
          <t>direct</t>
        </is>
      </c>
      <c r="S164" t="inlineStr">
        <is>
          <t>Verified ratio twin; still accruing.</t>
        </is>
      </c>
    </row>
    <row r="165">
      <c r="A165" t="inlineStr">
        <is>
          <t>NACIR</t>
        </is>
      </c>
      <c r="B165" t="inlineStr">
        <is>
          <t>C&amp;I nonaccrual %</t>
        </is>
      </c>
      <c r="C165" t="inlineStr">
        <is>
          <t>commercial_credit</t>
        </is>
      </c>
      <c r="D165" t="inlineStr">
        <is>
          <t>dashboard</t>
        </is>
      </c>
      <c r="E165" t="inlineStr">
        <is>
          <t>commercial_credit</t>
        </is>
      </c>
      <c r="F165" t="inlineStr">
        <is>
          <t>quarterly</t>
        </is>
      </c>
      <c r="G165" t="inlineStr">
        <is>
          <t>NSA</t>
        </is>
      </c>
      <c r="H165" t="inlineStr">
        <is>
          <t>pct</t>
        </is>
      </c>
      <c r="I165" t="inlineStr">
        <is>
          <t>rate</t>
        </is>
      </c>
      <c r="J165" t="inlineStr">
        <is>
          <t>entity</t>
        </is>
      </c>
      <c r="K165" t="inlineStr">
        <is>
          <t>A</t>
        </is>
      </c>
      <c r="L165" t="inlineStr">
        <is>
          <t>TRUE</t>
        </is>
      </c>
      <c r="M165" t="inlineStr">
        <is>
          <t>TRUE</t>
        </is>
      </c>
      <c r="N165" t="inlineStr">
        <is>
          <t>https://api.fdic.gov/banks/docs</t>
        </is>
      </c>
      <c r="O165" t="inlineStr">
        <is>
          <t>risview</t>
        </is>
      </c>
      <c r="P165" t="inlineStr"/>
      <c r="Q165" t="inlineStr">
        <is>
          <t>NACIR</t>
        </is>
      </c>
      <c r="R165" t="inlineStr">
        <is>
          <t>direct</t>
        </is>
      </c>
      <c r="S165" t="inlineStr">
        <is>
          <t>Verified ratio twin.</t>
        </is>
      </c>
    </row>
    <row r="166">
      <c r="A166" t="inlineStr">
        <is>
          <t>NTCIQR</t>
        </is>
      </c>
      <c r="B166" t="inlineStr">
        <is>
          <t>C&amp;I NCO % (q, ann.)</t>
        </is>
      </c>
      <c r="C166" t="inlineStr">
        <is>
          <t>commercial_credit</t>
        </is>
      </c>
      <c r="D166" t="inlineStr">
        <is>
          <t>dashboard</t>
        </is>
      </c>
      <c r="E166" t="inlineStr">
        <is>
          <t>commercial_credit</t>
        </is>
      </c>
      <c r="F166" t="inlineStr">
        <is>
          <t>quarterly</t>
        </is>
      </c>
      <c r="G166" t="inlineStr">
        <is>
          <t>NSA</t>
        </is>
      </c>
      <c r="H166" t="inlineStr">
        <is>
          <t>pct</t>
        </is>
      </c>
      <c r="I166" t="inlineStr">
        <is>
          <t>rate</t>
        </is>
      </c>
      <c r="J166" t="inlineStr">
        <is>
          <t>entity</t>
        </is>
      </c>
      <c r="K166" t="inlineStr">
        <is>
          <t>A</t>
        </is>
      </c>
      <c r="L166" t="inlineStr">
        <is>
          <t>TRUE</t>
        </is>
      </c>
      <c r="M166" t="inlineStr">
        <is>
          <t>TRUE</t>
        </is>
      </c>
      <c r="N166" t="inlineStr">
        <is>
          <t>https://api.fdic.gov/banks/docs</t>
        </is>
      </c>
      <c r="O166" t="inlineStr">
        <is>
          <t>risview</t>
        </is>
      </c>
      <c r="P166" t="inlineStr"/>
      <c r="Q166" t="inlineStr">
        <is>
          <t>NTCIQ/LNCI*400</t>
        </is>
      </c>
      <c r="R166" t="inlineStr">
        <is>
          <t>derived</t>
        </is>
      </c>
      <c r="S166" t="inlineStr">
        <is>
          <t>Quarterly flow annualized x4.</t>
        </is>
      </c>
    </row>
    <row r="167">
      <c r="A167" t="inlineStr">
        <is>
          <t>UNINSDEPR</t>
        </is>
      </c>
      <c r="B167" t="inlineStr">
        <is>
          <t>Uninsured deposit share %</t>
        </is>
      </c>
      <c r="C167" t="inlineStr">
        <is>
          <t>funding_stress</t>
        </is>
      </c>
      <c r="D167" t="inlineStr">
        <is>
          <t>dashboard</t>
        </is>
      </c>
      <c r="E167" t="inlineStr">
        <is>
          <t>funding_stress</t>
        </is>
      </c>
      <c r="F167" t="inlineStr">
        <is>
          <t>quarterly</t>
        </is>
      </c>
      <c r="G167" t="inlineStr">
        <is>
          <t>NSA</t>
        </is>
      </c>
      <c r="H167" t="inlineStr">
        <is>
          <t>pct</t>
        </is>
      </c>
      <c r="I167" t="inlineStr">
        <is>
          <t>rate</t>
        </is>
      </c>
      <c r="J167" t="inlineStr">
        <is>
          <t>entity</t>
        </is>
      </c>
      <c r="K167" t="inlineStr">
        <is>
          <t>A</t>
        </is>
      </c>
      <c r="L167" t="inlineStr">
        <is>
          <t>TRUE</t>
        </is>
      </c>
      <c r="M167" t="inlineStr">
        <is>
          <t>TRUE</t>
        </is>
      </c>
      <c r="N167" t="inlineStr">
        <is>
          <t>https://api.fdic.gov/banks/docs</t>
        </is>
      </c>
      <c r="O167" t="inlineStr">
        <is>
          <t>risview</t>
        </is>
      </c>
      <c r="P167" t="inlineStr"/>
      <c r="Q167" t="inlineStr">
        <is>
          <t>DEPUNINS/DEP*100</t>
        </is>
      </c>
      <c r="R167" t="inlineStr">
        <is>
          <t>derived</t>
        </is>
      </c>
      <c r="S167" t="inlineStr">
        <is>
          <t>SVB metric. DEPUNINS (RC-O Mem 2) is FILED by $1B+ reporters only -- null renders BLANK + a digest note, NEVER 0 (F3). 2023 failures context: SVB ~94 pct uninsured.</t>
        </is>
      </c>
    </row>
    <row r="168">
      <c r="A168" t="inlineStr">
        <is>
          <t>UNRLZCAPR</t>
        </is>
      </c>
      <c r="B168" t="inlineStr">
        <is>
          <t>Unrealized sec loss / capital %</t>
        </is>
      </c>
      <c r="C168" t="inlineStr">
        <is>
          <t>funding_stress</t>
        </is>
      </c>
      <c r="D168" t="inlineStr">
        <is>
          <t>dashboard</t>
        </is>
      </c>
      <c r="E168" t="inlineStr">
        <is>
          <t>funding_stress</t>
        </is>
      </c>
      <c r="F168" t="inlineStr">
        <is>
          <t>quarterly</t>
        </is>
      </c>
      <c r="G168" t="inlineStr">
        <is>
          <t>NSA</t>
        </is>
      </c>
      <c r="H168" t="inlineStr">
        <is>
          <t>pct</t>
        </is>
      </c>
      <c r="I168" t="inlineStr">
        <is>
          <t>rate</t>
        </is>
      </c>
      <c r="J168" t="inlineStr">
        <is>
          <t>entity</t>
        </is>
      </c>
      <c r="K168" t="inlineStr">
        <is>
          <t>A</t>
        </is>
      </c>
      <c r="L168" t="inlineStr">
        <is>
          <t>TRUE</t>
        </is>
      </c>
      <c r="M168" t="inlineStr">
        <is>
          <t>TRUE</t>
        </is>
      </c>
      <c r="N168" t="inlineStr">
        <is>
          <t>https://api.fdic.gov/banks/docs</t>
        </is>
      </c>
      <c r="O168" t="inlineStr">
        <is>
          <t>risview</t>
        </is>
      </c>
      <c r="P168" t="inlineStr"/>
      <c r="Q168" t="inlineStr">
        <is>
          <t>((SCHA-SCHF)+(SCAA-SCAF))/(EQ+LNATRES)*100</t>
        </is>
      </c>
      <c r="R168" t="inlineStr">
        <is>
          <t>derived</t>
        </is>
      </c>
      <c r="S168" t="inlineStr">
        <is>
          <t>SVB metric, BOTH legs COMPUTED (no named unrealized field exists): HTM (SCHA-SCHF) + AFS (SCAA-SCAF) over the EQ+LNATRES cushion. Positive = unrealized LOSS. EQCCOMPI is the YTD OCI FLOW, not the AOCI stock -- deliberately NOT used. SVB ran &gt;100 pct.</t>
        </is>
      </c>
    </row>
    <row r="169">
      <c r="A169" t="inlineStr">
        <is>
          <t>FHLBASSR</t>
        </is>
      </c>
      <c r="B169" t="inlineStr">
        <is>
          <t>FHLB advances / assets %</t>
        </is>
      </c>
      <c r="C169" t="inlineStr">
        <is>
          <t>funding_stress</t>
        </is>
      </c>
      <c r="D169" t="inlineStr">
        <is>
          <t>dashboard</t>
        </is>
      </c>
      <c r="E169" t="inlineStr">
        <is>
          <t>funding_stress</t>
        </is>
      </c>
      <c r="F169" t="inlineStr">
        <is>
          <t>quarterly</t>
        </is>
      </c>
      <c r="G169" t="inlineStr">
        <is>
          <t>NSA</t>
        </is>
      </c>
      <c r="H169" t="inlineStr">
        <is>
          <t>pct</t>
        </is>
      </c>
      <c r="I169" t="inlineStr">
        <is>
          <t>rate</t>
        </is>
      </c>
      <c r="J169" t="inlineStr">
        <is>
          <t>entity</t>
        </is>
      </c>
      <c r="K169" t="inlineStr">
        <is>
          <t>A</t>
        </is>
      </c>
      <c r="L169" t="inlineStr">
        <is>
          <t>TRUE</t>
        </is>
      </c>
      <c r="M169" t="inlineStr">
        <is>
          <t>TRUE</t>
        </is>
      </c>
      <c r="N169" t="inlineStr">
        <is>
          <t>https://api.fdic.gov/banks/docs</t>
        </is>
      </c>
      <c r="O169" t="inlineStr">
        <is>
          <t>risview</t>
        </is>
      </c>
      <c r="P169" t="inlineStr"/>
      <c r="Q169" t="inlineStr">
        <is>
          <t>OTHBFHLB/ASSET*100</t>
        </is>
      </c>
      <c r="R169" t="inlineStr">
        <is>
          <t>derived</t>
        </is>
      </c>
      <c r="S169" t="inlineStr">
        <is>
          <t>SVB metric: wholesale-funding reliance; FHLB advances are the classic stressed-liquidity backfill.</t>
        </is>
      </c>
    </row>
    <row r="171">
      <c r="A171" t="inlineStr">
        <is>
          <t># [SERIES] is the bank-agnostic METRIC dictionary (geo_segment=entity, expanded at run time to cert:NNN per active peer). The gates admit only Class A CERT-keyed rows; aggregates/name-only rows are refused by name.</t>
        </is>
      </c>
    </row>
    <row r="172">
      <c r="A172" t="inlineStr">
        <is>
          <t># v1.1 pack IN (fields verified, RESEARCH_COMPETITOR_PACK.md 93/93): per-class consumer DQ/NCO track + commercial floor (Dashboard_LoanBook), uninsured-deposit share, COMPUTED HTM+AFS unrealized loss / capital cushion, FHLB reliance.</t>
        </is>
      </c>
    </row>
    <row r="173">
      <c r="A173" t="inlineStr">
        <is>
          <t># STILL OUT (never silently approximated): OREO in the Texas numerator, intangibles netting, AOCI as a stock (EQCCOMPI is a FLOW), category loan yields + UBPR percentiles (FFIEC bulk-ZIP job only), criticized/classified (EDGAR template).</t>
        </is>
      </c>
    </row>
  </sheetData>
  <pageMargins left="0.75" right="0.75" top="1" bottom="1" header="0.5" footer="0.5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F116"/>
  <sheetViews>
    <sheetView showGridLines="0" workbookViewId="0">
      <pane ySplit="17" topLeftCell="A18" activePane="bottomLeft" state="frozen"/>
      <selection pane="bottomLeft" activeCell="A1" sqref="A1"/>
    </sheetView>
  </sheetViews>
  <sheetFormatPr baseColWidth="8" defaultRowHeight="15"/>
  <cols>
    <col width="12" customWidth="1" min="1" max="1"/>
    <col width="34" customWidth="1" min="2" max="2"/>
    <col width="46" customWidth="1" min="3" max="3"/>
    <col width="34" customWidth="1" min="4" max="4"/>
    <col width="10" customWidth="1" min="5" max="5"/>
    <col width="60" customWidth="1" min="6" max="6"/>
  </cols>
  <sheetData>
    <row r="1">
      <c r="A1" s="29" t="inlineStr">
        <is>
          <t>PROVENANCE / TIE-OUT MAP -- where every workbook value appears in the bank's actual filed Call Report.</t>
        </is>
      </c>
    </row>
    <row r="2">
      <c r="A2" s="28" t="inlineStr"/>
    </row>
    <row r="3">
      <c r="A3" s="28" t="inlineStr">
        <is>
          <t>CITATIONS OF RECORD: FFIEC 031/041/051 forms (schedule + item + MDRM printed per field) | Fed MDRM dictionary (federalreserve.gov/apps/mdrm/) | FFIEC UBPR User's Guide (ratio concepts) | FFIEC CDR bulk data files (2023Q1 captions) | PROVENANCE_MAP_FDIC.md (the assembled crosswalk -- no public FDIC field-&gt;MDRM crosswalk exists).</t>
        </is>
      </c>
    </row>
    <row r="4">
      <c r="A4" s="28" t="inlineStr"/>
    </row>
    <row r="5">
      <c r="A5" s="28" t="inlineStr">
        <is>
          <t>OPEN THE FILED DOCUMENT (keyed by CERT, which this template already uses):</t>
        </is>
      </c>
    </row>
    <row r="6">
      <c r="A6" s="28" t="inlineStr">
        <is>
          <t xml:space="preserve">  Call Report facsimile: https://cdr.ffiec.gov/Public/ViewFacsimileDirect.aspx?ds=call&amp;idType=fdiccert&amp;id={CERT}&amp;date={MMDDYYYY}</t>
        </is>
      </c>
    </row>
    <row r="7">
      <c r="A7" s="28" t="inlineStr">
        <is>
          <t xml:space="preserve">  UBPR cross-check:      https://cdr.ffiec.gov/Public/ViewFacsimileDirect.aspx?ds=ubpr&amp;reptype=1&amp;idType=fdiccert&amp;id={CERT}</t>
        </is>
      </c>
    </row>
    <row r="8">
      <c r="A8" s="28" t="inlineStr">
        <is>
          <t xml:space="preserve">  BankFind pull check:   https://banks.data.fdic.gov/bankfind-suite/bankfind/details/{CERT}</t>
        </is>
      </c>
    </row>
    <row r="9">
      <c r="A9" s="28" t="inlineStr">
        <is>
          <t xml:space="preserve">  Interactive fallback:  cdr.ffiec.gov/public/ManageFacsimiles.aspx</t>
        </is>
      </c>
    </row>
    <row r="10">
      <c r="A10" s="28" t="inlineStr"/>
    </row>
    <row r="11">
      <c r="A11" s="28" t="inlineStr">
        <is>
          <t>TWO-STEP TIE-OUT: API value &lt;-&gt; BankFind institution page (pull check) &lt;-&gt; CDR facsimile schedule/line (filing check). From PowerShell: python runner.py -w &lt;book&gt;.xlsm --tieout &lt;CERT&gt; [REPDTE] (--demo prints labeled demo values with the same provenance columns).</t>
        </is>
      </c>
    </row>
    <row r="12">
      <c r="A12" s="28" t="inlineStr">
        <is>
          <t>MDRM PREFIXES: RCON (domestic) / RCFD (consolidated, 031 filers) / RIAD (income) / RCOA-RCFA (RC-R). RIAD amounts are calendar-YTD: the FDIC's quarterly variants are DIFFERENCED -- Q2-Q4 values tie to (this quarter's YTD minus prior quarter's YTD).</t>
        </is>
      </c>
    </row>
    <row r="13">
      <c r="A13" s="28" t="inlineStr">
        <is>
          <t>RC-N STRUCTURE (verified): col A = 30-89 days still accruing (P3*), col B = 90+ still accruing (P9*), col C = nonaccrual (NA*); each API triple is one row read across; P9* EXCLUDES nonaccrual (disjoint). 051 printed item numbers are [~] -- match by caption.</t>
        </is>
      </c>
    </row>
    <row r="14">
      <c r="A14" s="28" t="inlineStr">
        <is>
          <t>FLAGS: [V] = MDRM verified against FFIEC captions | [~] = match by caption on the facsimile (041 line number / component not in the map) | UNVERIFIED = stated. Ratio recomputations tie to ~rounding (FDIC annualization/differencing).</t>
        </is>
      </c>
    </row>
    <row r="16">
      <c r="A16" s="30" t="inlineStr">
        <is>
          <t>[FIELDS + METRICS]</t>
        </is>
      </c>
    </row>
    <row r="17">
      <c r="A17" s="31" t="inlineStr">
        <is>
          <t>field</t>
        </is>
      </c>
      <c r="B17" s="31" t="inlineStr">
        <is>
          <t>schedule</t>
        </is>
      </c>
      <c r="C17" s="31" t="inlineStr">
        <is>
          <t>line / caption</t>
        </is>
      </c>
      <c r="D17" s="31" t="inlineStr">
        <is>
          <t>MDRM</t>
        </is>
      </c>
      <c r="E17" s="31" t="inlineStr">
        <is>
          <t>flag</t>
        </is>
      </c>
      <c r="F17" s="31" t="inlineStr">
        <is>
          <t>notes</t>
        </is>
      </c>
    </row>
    <row r="18">
      <c r="A18" s="32" t="inlineStr">
        <is>
          <t>ASSET</t>
        </is>
      </c>
      <c r="B18" s="28" t="inlineStr">
        <is>
          <t>RC 12</t>
        </is>
      </c>
      <c r="C18" s="28" t="inlineStr">
        <is>
          <t>Total assets</t>
        </is>
      </c>
      <c r="D18" s="32" t="inlineStr">
        <is>
          <t>RCON2170 (RCFD2170 031)</t>
        </is>
      </c>
      <c r="E18" s="28" t="inlineStr">
        <is>
          <t>[V]</t>
        </is>
      </c>
      <c r="F18" s="28" t="inlineStr"/>
    </row>
    <row r="19">
      <c r="A19" s="32" t="inlineStr">
        <is>
          <t>DEP</t>
        </is>
      </c>
      <c r="B19" s="28" t="inlineStr">
        <is>
          <t>RC 13.a (+13.b 031)</t>
        </is>
      </c>
      <c r="C19" s="28" t="inlineStr">
        <is>
          <t>Deposits in domestic (+foreign) offices</t>
        </is>
      </c>
      <c r="D19" s="32" t="inlineStr">
        <is>
          <t>RCON2200 (+RCFN2200 031)</t>
        </is>
      </c>
      <c r="E19" s="28" t="inlineStr">
        <is>
          <t>[V]</t>
        </is>
      </c>
      <c r="F19" s="28" t="inlineStr">
        <is>
          <t>FDIC DEP includes foreign for 031 filers</t>
        </is>
      </c>
    </row>
    <row r="20">
      <c r="A20" s="32" t="inlineStr">
        <is>
          <t>LNLSGR</t>
        </is>
      </c>
      <c r="B20" s="28" t="inlineStr">
        <is>
          <t>RC-C Pt I 12</t>
        </is>
      </c>
      <c r="C20" s="28" t="inlineStr">
        <is>
          <t>Total loans &amp; leases HFI+HFS, net of unearned</t>
        </is>
      </c>
      <c r="D20" s="32" t="inlineStr">
        <is>
          <t>RCON2122</t>
        </is>
      </c>
      <c r="E20" s="28" t="inlineStr">
        <is>
          <t>[V]</t>
        </is>
      </c>
      <c r="F20" s="28" t="inlineStr">
        <is>
          <t>= RC 4.a + 4.b</t>
        </is>
      </c>
    </row>
    <row r="21">
      <c r="A21" s="32" t="inlineStr">
        <is>
          <t>LNLSNET</t>
        </is>
      </c>
      <c r="B21" s="28" t="inlineStr">
        <is>
          <t>RC 4.a+4.b-4.c</t>
        </is>
      </c>
      <c r="C21" s="28" t="inlineStr">
        <is>
          <t>HFS (5369) + HFI (B528) - allowance (3123)</t>
        </is>
      </c>
      <c r="D21" s="32" t="inlineStr">
        <is>
          <t>5369+B528-3123</t>
        </is>
      </c>
      <c r="E21" s="28" t="inlineStr">
        <is>
          <t>[V]</t>
        </is>
      </c>
      <c r="F21" s="28" t="inlineStr">
        <is>
          <t>FDIC-computed; no single filed line</t>
        </is>
      </c>
    </row>
    <row r="22">
      <c r="A22" s="32" t="inlineStr">
        <is>
          <t>BRO</t>
        </is>
      </c>
      <c r="B22" s="28" t="inlineStr">
        <is>
          <t>RC-E Mem 1.b</t>
        </is>
      </c>
      <c r="C22" s="28" t="inlineStr">
        <is>
          <t>Total brokered deposits</t>
        </is>
      </c>
      <c r="D22" s="32" t="inlineStr">
        <is>
          <t>RCON2365</t>
        </is>
      </c>
      <c r="E22" s="28" t="inlineStr">
        <is>
          <t>[V]</t>
        </is>
      </c>
      <c r="F22" s="28" t="inlineStr"/>
    </row>
    <row r="23">
      <c r="A23" s="32" t="inlineStr">
        <is>
          <t>EQ</t>
        </is>
      </c>
      <c r="B23" s="28" t="inlineStr">
        <is>
          <t>RC 27.a</t>
        </is>
      </c>
      <c r="C23" s="28" t="inlineStr">
        <is>
          <t>Total bank equity capital</t>
        </is>
      </c>
      <c r="D23" s="32" t="inlineStr">
        <is>
          <t>RCON3210</t>
        </is>
      </c>
      <c r="E23" s="28" t="inlineStr">
        <is>
          <t>[V]</t>
        </is>
      </c>
      <c r="F23" s="28" t="inlineStr">
        <is>
          <t>excludes minority interest (RC 28 / G105)</t>
        </is>
      </c>
    </row>
    <row r="24">
      <c r="A24" s="32" t="inlineStr">
        <is>
          <t>NCLNLS</t>
        </is>
      </c>
      <c r="B24" s="28" t="inlineStr">
        <is>
          <t>RC-N 9 cols B+C</t>
        </is>
      </c>
      <c r="C24" s="28" t="inlineStr">
        <is>
          <t>Total loans 90+ still accruing + nonaccrual</t>
        </is>
      </c>
      <c r="D24" s="32" t="inlineStr">
        <is>
          <t>1407+1403</t>
        </is>
      </c>
      <c r="E24" s="28" t="inlineStr">
        <is>
          <t>[V]</t>
        </is>
      </c>
      <c r="F24" s="28" t="inlineStr">
        <is>
          <t>the NCLNLSR numerator</t>
        </is>
      </c>
    </row>
    <row r="25">
      <c r="A25" s="32" t="inlineStr">
        <is>
          <t>LNATRES</t>
        </is>
      </c>
      <c r="B25" s="28" t="inlineStr">
        <is>
          <t>RC 4.c</t>
        </is>
      </c>
      <c r="C25" s="28" t="inlineStr">
        <is>
          <t>Allowance for credit losses on loans &amp; leases</t>
        </is>
      </c>
      <c r="D25" s="32" t="inlineStr">
        <is>
          <t>RCON3123</t>
        </is>
      </c>
      <c r="E25" s="28" t="inlineStr">
        <is>
          <t>[V]</t>
        </is>
      </c>
      <c r="F25" s="28" t="inlineStr">
        <is>
          <t>legacy transfer-risk add-on UNVERIFIED; 3123 is the tie-out line</t>
        </is>
      </c>
    </row>
    <row r="26">
      <c r="A26" s="32" t="inlineStr">
        <is>
          <t>P3LNLS</t>
        </is>
      </c>
      <c r="B26" s="28" t="inlineStr">
        <is>
          <t>RC-N 9 col A</t>
        </is>
      </c>
      <c r="C26" s="28" t="inlineStr">
        <is>
          <t>Total loans 30-89 days, still accruing</t>
        </is>
      </c>
      <c r="D26" s="32" t="inlineStr">
        <is>
          <t>RCON1406</t>
        </is>
      </c>
      <c r="E26" s="28" t="inlineStr">
        <is>
          <t>[V]</t>
        </is>
      </c>
      <c r="F26" s="28" t="inlineStr"/>
    </row>
    <row r="27">
      <c r="A27" s="32" t="inlineStr">
        <is>
          <t>DEPUNINS</t>
        </is>
      </c>
      <c r="B27" s="28" t="inlineStr">
        <is>
          <t>RC-O Mem 2</t>
        </is>
      </c>
      <c r="C27" s="28" t="inlineStr">
        <is>
          <t>Estimated uninsured deposits</t>
        </is>
      </c>
      <c r="D27" s="32" t="inlineStr">
        <is>
          <t>RCON5597</t>
        </is>
      </c>
      <c r="E27" s="28" t="inlineStr">
        <is>
          <t>[V]</t>
        </is>
      </c>
      <c r="F27" s="28" t="inlineStr">
        <is>
          <t>FILED only by banks &gt;= $1B (961/4,724 in 2023Q1); below that the API value is an FDIC ESTIMATE -- not tie-able; null renders BLANK, never 0</t>
        </is>
      </c>
    </row>
    <row r="28">
      <c r="A28" s="32" t="inlineStr">
        <is>
          <t>DEPINS</t>
        </is>
      </c>
      <c r="B28" s="28" t="inlineStr">
        <is>
          <t>RC-O Mem 1</t>
        </is>
      </c>
      <c r="C28" s="28" t="inlineStr">
        <is>
          <t>Insured-deposit components</t>
        </is>
      </c>
      <c r="D28" s="32" t="inlineStr">
        <is>
          <t>F049,F045,F051/F052,F047/F048</t>
        </is>
      </c>
      <c r="E28" s="28" t="inlineStr">
        <is>
          <t>[V]</t>
        </is>
      </c>
      <c r="F28" s="28" t="inlineStr">
        <is>
          <t>FDIC-computed estimate; formula UNVERIFIED, components verified. NOT fetched by this workbook (informational row)</t>
        </is>
      </c>
    </row>
    <row r="29">
      <c r="A29" s="32" t="inlineStr">
        <is>
          <t>OTHBFHLB</t>
        </is>
      </c>
      <c r="B29" s="28" t="inlineStr">
        <is>
          <t>RC-M 5.a.(1)(a)-(d)</t>
        </is>
      </c>
      <c r="C29" s="28" t="inlineStr">
        <is>
          <t>FHLB advances by maturity</t>
        </is>
      </c>
      <c r="D29" s="32" t="inlineStr">
        <is>
          <t>F055+F056+F057+F058</t>
        </is>
      </c>
      <c r="E29" s="28" t="inlineStr">
        <is>
          <t>[V]</t>
        </is>
      </c>
      <c r="F29" s="28" t="inlineStr">
        <is>
          <t>sum of four maturity lines; F059 structured advances is an of-which -- do NOT add</t>
        </is>
      </c>
    </row>
    <row r="30">
      <c r="A30" s="32" t="inlineStr">
        <is>
          <t>LNRECONS</t>
        </is>
      </c>
      <c r="B30" s="28" t="inlineStr">
        <is>
          <t>RC-C Pt I 1.a.(1)+(2)</t>
        </is>
      </c>
      <c r="C30" s="28" t="inlineStr">
        <is>
          <t>1-4 fam construction + other construction/land</t>
        </is>
      </c>
      <c r="D30" s="32" t="inlineStr">
        <is>
          <t>F158+F159</t>
        </is>
      </c>
      <c r="E30" s="28" t="inlineStr">
        <is>
          <t>[V]</t>
        </is>
      </c>
      <c r="F30" s="28" t="inlineStr"/>
    </row>
    <row r="31">
      <c r="A31" s="32" t="inlineStr">
        <is>
          <t>LNRENRES</t>
        </is>
      </c>
      <c r="B31" s="28" t="inlineStr">
        <is>
          <t>RC-C Pt I 1.e.(1)+(2)</t>
        </is>
      </c>
      <c r="C31" s="28" t="inlineStr">
        <is>
          <t>Owner-occupied + other nonfarm nonresidential</t>
        </is>
      </c>
      <c r="D31" s="32" t="inlineStr">
        <is>
          <t>F160+F161</t>
        </is>
      </c>
      <c r="E31" s="28" t="inlineStr">
        <is>
          <t>[V]</t>
        </is>
      </c>
      <c r="F31" s="28" t="inlineStr"/>
    </row>
    <row r="32">
      <c r="A32" s="32" t="inlineStr">
        <is>
          <t>LNREMULT</t>
        </is>
      </c>
      <c r="B32" s="28" t="inlineStr">
        <is>
          <t>RC-C Pt I 1.d</t>
        </is>
      </c>
      <c r="C32" s="28" t="inlineStr">
        <is>
          <t>Multifamily (5+)</t>
        </is>
      </c>
      <c r="D32" s="32" t="inlineStr">
        <is>
          <t>RCON1460</t>
        </is>
      </c>
      <c r="E32" s="28" t="inlineStr">
        <is>
          <t>[V]</t>
        </is>
      </c>
      <c r="F32" s="28" t="inlineStr"/>
    </row>
    <row r="33">
      <c r="A33" s="32" t="inlineStr">
        <is>
          <t>LNRERES</t>
        </is>
      </c>
      <c r="B33" s="28" t="inlineStr">
        <is>
          <t>RC-C Pt I 1.c.(1)+(2)(a)+(2)(b)</t>
        </is>
      </c>
      <c r="C33" s="28" t="inlineStr">
        <is>
          <t>HELOC + 1st lien + junior lien</t>
        </is>
      </c>
      <c r="D33" s="32" t="inlineStr">
        <is>
          <t>1797+5367+5368</t>
        </is>
      </c>
      <c r="E33" s="28" t="inlineStr">
        <is>
          <t>[V]</t>
        </is>
      </c>
      <c r="F33" s="28" t="inlineStr"/>
    </row>
    <row r="34">
      <c r="A34" s="32" t="inlineStr">
        <is>
          <t>LNCI</t>
        </is>
      </c>
      <c r="B34" s="28" t="inlineStr">
        <is>
          <t>RC-C Pt I 4</t>
        </is>
      </c>
      <c r="C34" s="28" t="inlineStr">
        <is>
          <t>Commercial &amp; industrial</t>
        </is>
      </c>
      <c r="D34" s="32" t="inlineStr">
        <is>
          <t>RCON1766 (031: RCFD1763+1764)</t>
        </is>
      </c>
      <c r="E34" s="28" t="inlineStr">
        <is>
          <t>[V]</t>
        </is>
      </c>
      <c r="F34" s="28" t="inlineStr"/>
    </row>
    <row r="35">
      <c r="A35" s="32" t="inlineStr">
        <is>
          <t>LNCRCD</t>
        </is>
      </c>
      <c r="B35" s="28" t="inlineStr">
        <is>
          <t>RC-C Pt I 6.a</t>
        </is>
      </c>
      <c r="C35" s="28" t="inlineStr">
        <is>
          <t>Credit cards</t>
        </is>
      </c>
      <c r="D35" s="32" t="inlineStr">
        <is>
          <t>RCONB538</t>
        </is>
      </c>
      <c r="E35" s="28" t="inlineStr">
        <is>
          <t>[V]</t>
        </is>
      </c>
      <c r="F35" s="28" t="inlineStr"/>
    </row>
    <row r="36">
      <c r="A36" s="32" t="inlineStr">
        <is>
          <t>LNAUTO</t>
        </is>
      </c>
      <c r="B36" s="28" t="inlineStr">
        <is>
          <t>RC-C Pt I 6.c</t>
        </is>
      </c>
      <c r="C36" s="28" t="inlineStr">
        <is>
          <t>Automobile loans</t>
        </is>
      </c>
      <c r="D36" s="32" t="inlineStr">
        <is>
          <t>RCONK137</t>
        </is>
      </c>
      <c r="E36" s="28" t="inlineStr">
        <is>
          <t>[V]</t>
        </is>
      </c>
      <c r="F36" s="28" t="inlineStr">
        <is>
          <t>*AUTO fields exist from 2011 only</t>
        </is>
      </c>
    </row>
    <row r="37">
      <c r="A37" s="32" t="inlineStr">
        <is>
          <t>LNCONOTH</t>
        </is>
      </c>
      <c r="B37" s="28" t="inlineStr">
        <is>
          <t>RC-C Pt I 6.d</t>
        </is>
      </c>
      <c r="C37" s="28" t="inlineStr">
        <is>
          <t>Other consumer</t>
        </is>
      </c>
      <c r="D37" s="32" t="inlineStr">
        <is>
          <t>RCONK207</t>
        </is>
      </c>
      <c r="E37" s="28" t="inlineStr">
        <is>
          <t>[V]</t>
        </is>
      </c>
      <c r="F37" s="28" t="inlineStr">
        <is>
          <t>6.b B539 revolving credit plans is a SEPARATE line</t>
        </is>
      </c>
    </row>
    <row r="38">
      <c r="A38" s="32" t="inlineStr">
        <is>
          <t>P3CRCDR</t>
        </is>
      </c>
      <c r="B38" s="28" t="inlineStr">
        <is>
          <t>RC-N 5.a col A / RC-C 6.a</t>
        </is>
      </c>
      <c r="C38" s="28" t="inlineStr">
        <is>
          <t>Cards 30-89 still accruing / card balances</t>
        </is>
      </c>
      <c r="D38" s="32" t="inlineStr">
        <is>
          <t>B575 / B538</t>
        </is>
      </c>
      <c r="E38" s="28" t="inlineStr">
        <is>
          <t>[V]</t>
        </is>
      </c>
      <c r="F38" s="28" t="inlineStr">
        <is>
          <t>FDIC-computed ratio twin = 100 x P3CRCD/LNCRCD</t>
        </is>
      </c>
    </row>
    <row r="39">
      <c r="A39" s="32" t="inlineStr">
        <is>
          <t>P9CRCDR</t>
        </is>
      </c>
      <c r="B39" s="28" t="inlineStr">
        <is>
          <t>RC-N 5.a col B / RC-C 6.a</t>
        </is>
      </c>
      <c r="C39" s="28" t="inlineStr">
        <is>
          <t>Cards 90+ still accruing / card balances</t>
        </is>
      </c>
      <c r="D39" s="32" t="inlineStr">
        <is>
          <t>B576 / B538</t>
        </is>
      </c>
      <c r="E39" s="28" t="inlineStr">
        <is>
          <t>[V]</t>
        </is>
      </c>
      <c r="F39" s="28" t="inlineStr">
        <is>
          <t>ratio twin; col B excludes nonaccrual</t>
        </is>
      </c>
    </row>
    <row r="40">
      <c r="A40" s="32" t="inlineStr">
        <is>
          <t>NACRCDR</t>
        </is>
      </c>
      <c r="B40" s="28" t="inlineStr">
        <is>
          <t>RC-N 5.a col C / RC-C 6.a</t>
        </is>
      </c>
      <c r="C40" s="28" t="inlineStr">
        <is>
          <t>Cards nonaccrual / card balances</t>
        </is>
      </c>
      <c r="D40" s="32" t="inlineStr">
        <is>
          <t>B577 / B538</t>
        </is>
      </c>
      <c r="E40" s="28" t="inlineStr">
        <is>
          <t>[V]</t>
        </is>
      </c>
      <c r="F40" s="28" t="inlineStr">
        <is>
          <t>ratio twin</t>
        </is>
      </c>
    </row>
    <row r="41">
      <c r="A41" s="32" t="inlineStr">
        <is>
          <t>P3AUTOR</t>
        </is>
      </c>
      <c r="B41" s="28" t="inlineStr">
        <is>
          <t>RC-N 5.b col A / RC-C 6.c</t>
        </is>
      </c>
      <c r="C41" s="28" t="inlineStr">
        <is>
          <t>Auto 30-89 still accruing / auto balances</t>
        </is>
      </c>
      <c r="D41" s="32" t="inlineStr">
        <is>
          <t>K213 / K137</t>
        </is>
      </c>
      <c r="E41" s="28" t="inlineStr">
        <is>
          <t>[V]</t>
        </is>
      </c>
      <c r="F41" s="28" t="inlineStr">
        <is>
          <t>ratio twin; *AUTO from 2011</t>
        </is>
      </c>
    </row>
    <row r="42">
      <c r="A42" s="32" t="inlineStr">
        <is>
          <t>P9AUTOR</t>
        </is>
      </c>
      <c r="B42" s="28" t="inlineStr">
        <is>
          <t>RC-N 5.b col B / RC-C 6.c</t>
        </is>
      </c>
      <c r="C42" s="28" t="inlineStr">
        <is>
          <t>Auto 90+ still accruing / auto balances</t>
        </is>
      </c>
      <c r="D42" s="32" t="inlineStr">
        <is>
          <t>K214 / K137</t>
        </is>
      </c>
      <c r="E42" s="28" t="inlineStr">
        <is>
          <t>[V]</t>
        </is>
      </c>
      <c r="F42" s="28" t="inlineStr">
        <is>
          <t>ratio twin</t>
        </is>
      </c>
    </row>
    <row r="43">
      <c r="A43" s="32" t="inlineStr">
        <is>
          <t>NAAUTOR</t>
        </is>
      </c>
      <c r="B43" s="28" t="inlineStr">
        <is>
          <t>RC-N 5.b col C / RC-C 6.c</t>
        </is>
      </c>
      <c r="C43" s="28" t="inlineStr">
        <is>
          <t>Auto nonaccrual / auto balances</t>
        </is>
      </c>
      <c r="D43" s="32" t="inlineStr">
        <is>
          <t>K215 / K137</t>
        </is>
      </c>
      <c r="E43" s="28" t="inlineStr">
        <is>
          <t>[V]</t>
        </is>
      </c>
      <c r="F43" s="28" t="inlineStr">
        <is>
          <t>ratio twin</t>
        </is>
      </c>
    </row>
    <row r="44">
      <c r="A44" s="32" t="inlineStr">
        <is>
          <t>P3RERESR</t>
        </is>
      </c>
      <c r="B44" s="28" t="inlineStr">
        <is>
          <t>RC-N 1.c (3 rows) col A / RC-C 1.c</t>
        </is>
      </c>
      <c r="C44" s="28" t="inlineStr">
        <is>
          <t>Resi 30-89 still accruing / resi balances</t>
        </is>
      </c>
      <c r="D44" s="32" t="inlineStr">
        <is>
          <t>(5398+C236+C238) / (1797+5367+5368)</t>
        </is>
      </c>
      <c r="E44" s="28" t="inlineStr">
        <is>
          <t>[V]</t>
        </is>
      </c>
      <c r="F44" s="28" t="inlineStr">
        <is>
          <t>ratio twin</t>
        </is>
      </c>
    </row>
    <row r="45">
      <c r="A45" s="32" t="inlineStr">
        <is>
          <t>P9RERESR</t>
        </is>
      </c>
      <c r="B45" s="28" t="inlineStr">
        <is>
          <t>RC-N 1.c (3 rows) col B / RC-C 1.c</t>
        </is>
      </c>
      <c r="C45" s="28" t="inlineStr">
        <is>
          <t>Resi 90+ still accruing / resi balances</t>
        </is>
      </c>
      <c r="D45" s="32" t="inlineStr">
        <is>
          <t>(5399+C237+C239) / (1797+5367+5368)</t>
        </is>
      </c>
      <c r="E45" s="28" t="inlineStr">
        <is>
          <t>[V]</t>
        </is>
      </c>
      <c r="F45" s="28" t="inlineStr">
        <is>
          <t>ratio twin</t>
        </is>
      </c>
    </row>
    <row r="46">
      <c r="A46" s="32" t="inlineStr">
        <is>
          <t>NARERESR</t>
        </is>
      </c>
      <c r="B46" s="28" t="inlineStr">
        <is>
          <t>RC-N 1.c (3 rows) col C / RC-C 1.c</t>
        </is>
      </c>
      <c r="C46" s="28" t="inlineStr">
        <is>
          <t>Resi nonaccrual / resi balances</t>
        </is>
      </c>
      <c r="D46" s="32" t="inlineStr">
        <is>
          <t>(5400+C229+C230) / (1797+5367+5368)</t>
        </is>
      </c>
      <c r="E46" s="28" t="inlineStr">
        <is>
          <t>[V]</t>
        </is>
      </c>
      <c r="F46" s="28" t="inlineStr">
        <is>
          <t>ratio twin</t>
        </is>
      </c>
    </row>
    <row r="47">
      <c r="A47" s="32" t="inlineStr">
        <is>
          <t>P3RELOCR</t>
        </is>
      </c>
      <c r="B47" s="28" t="inlineStr">
        <is>
          <t>RC-N 1.c.(1) col A / RC-C 1.c.(1)</t>
        </is>
      </c>
      <c r="C47" s="28" t="inlineStr">
        <is>
          <t>HELOC 30-89 still accruing / HELOC balances</t>
        </is>
      </c>
      <c r="D47" s="32" t="inlineStr">
        <is>
          <t>5398 / 1797</t>
        </is>
      </c>
      <c r="E47" s="28" t="inlineStr">
        <is>
          <t>[V]</t>
        </is>
      </c>
      <c r="F47" s="28" t="inlineStr">
        <is>
          <t>ratio twin; the HELOC component row of the resi composite</t>
        </is>
      </c>
    </row>
    <row r="48">
      <c r="A48" s="32" t="inlineStr">
        <is>
          <t>P9RELOCR</t>
        </is>
      </c>
      <c r="B48" s="28" t="inlineStr">
        <is>
          <t>RC-N 1.c.(1) col B / RC-C 1.c.(1)</t>
        </is>
      </c>
      <c r="C48" s="28" t="inlineStr">
        <is>
          <t>HELOC 90+ still accruing / HELOC balances</t>
        </is>
      </c>
      <c r="D48" s="32" t="inlineStr">
        <is>
          <t>5399 / 1797</t>
        </is>
      </c>
      <c r="E48" s="28" t="inlineStr">
        <is>
          <t>[V]</t>
        </is>
      </c>
      <c r="F48" s="28" t="inlineStr">
        <is>
          <t>ratio twin</t>
        </is>
      </c>
    </row>
    <row r="49">
      <c r="A49" s="32" t="inlineStr">
        <is>
          <t>NARELOCR</t>
        </is>
      </c>
      <c r="B49" s="28" t="inlineStr">
        <is>
          <t>RC-N 1.c.(1) col C / RC-C 1.c.(1)</t>
        </is>
      </c>
      <c r="C49" s="28" t="inlineStr">
        <is>
          <t>HELOC nonaccrual / HELOC balances</t>
        </is>
      </c>
      <c r="D49" s="32" t="inlineStr">
        <is>
          <t>5400 / 1797</t>
        </is>
      </c>
      <c r="E49" s="28" t="inlineStr">
        <is>
          <t>[V]</t>
        </is>
      </c>
      <c r="F49" s="28" t="inlineStr">
        <is>
          <t>ratio twin</t>
        </is>
      </c>
    </row>
    <row r="50">
      <c r="A50" s="32" t="inlineStr">
        <is>
          <t>P3CIR</t>
        </is>
      </c>
      <c r="B50" s="28" t="inlineStr">
        <is>
          <t>RC-N 4 col A / RC-C 4</t>
        </is>
      </c>
      <c r="C50" s="28" t="inlineStr">
        <is>
          <t>C&amp;I 30-89 still accruing / C&amp;I</t>
        </is>
      </c>
      <c r="D50" s="32" t="inlineStr">
        <is>
          <t>1606 / 1766</t>
        </is>
      </c>
      <c r="E50" s="28" t="inlineStr">
        <is>
          <t>[V]</t>
        </is>
      </c>
      <c r="F50" s="28" t="inlineStr">
        <is>
          <t>ratio twin; 031 splits 4.a/4.b</t>
        </is>
      </c>
    </row>
    <row r="51">
      <c r="A51" s="32" t="inlineStr">
        <is>
          <t>P9CIR</t>
        </is>
      </c>
      <c r="B51" s="28" t="inlineStr">
        <is>
          <t>RC-N 4 col B / RC-C 4</t>
        </is>
      </c>
      <c r="C51" s="28" t="inlineStr">
        <is>
          <t>C&amp;I 90+ still accruing / C&amp;I</t>
        </is>
      </c>
      <c r="D51" s="32" t="inlineStr">
        <is>
          <t>1607 / 1766</t>
        </is>
      </c>
      <c r="E51" s="28" t="inlineStr">
        <is>
          <t>[V]</t>
        </is>
      </c>
      <c r="F51" s="28" t="inlineStr">
        <is>
          <t>ratio twin</t>
        </is>
      </c>
    </row>
    <row r="52">
      <c r="A52" s="32" t="inlineStr">
        <is>
          <t>NACIR</t>
        </is>
      </c>
      <c r="B52" s="28" t="inlineStr">
        <is>
          <t>RC-N 4 col C / RC-C 4</t>
        </is>
      </c>
      <c r="C52" s="28" t="inlineStr">
        <is>
          <t>C&amp;I nonaccrual / C&amp;I</t>
        </is>
      </c>
      <c r="D52" s="32" t="inlineStr">
        <is>
          <t>1608 / 1766</t>
        </is>
      </c>
      <c r="E52" s="28" t="inlineStr">
        <is>
          <t>[V]</t>
        </is>
      </c>
      <c r="F52" s="28" t="inlineStr">
        <is>
          <t>ratio twin</t>
        </is>
      </c>
    </row>
    <row r="53">
      <c r="A53" s="32" t="inlineStr">
        <is>
          <t>P3RECONS</t>
        </is>
      </c>
      <c r="B53" s="28" t="inlineStr">
        <is>
          <t>RC-N 1.a.(1)+(2) col A</t>
        </is>
      </c>
      <c r="C53" s="28" t="inlineStr">
        <is>
          <t>Construction 30-89 still accruing (2 rows)</t>
        </is>
      </c>
      <c r="D53" s="32" t="inlineStr">
        <is>
          <t>F172+F173</t>
        </is>
      </c>
      <c r="E53" s="28" t="inlineStr">
        <is>
          <t>[V]</t>
        </is>
      </c>
      <c r="F53" s="28" t="inlineStr"/>
    </row>
    <row r="54">
      <c r="A54" s="32" t="inlineStr">
        <is>
          <t>P9RECONS</t>
        </is>
      </c>
      <c r="B54" s="28" t="inlineStr">
        <is>
          <t>RC-N 1.a.(1)+(2) col B</t>
        </is>
      </c>
      <c r="C54" s="28" t="inlineStr">
        <is>
          <t>Construction 90+ still accruing (2 rows)</t>
        </is>
      </c>
      <c r="D54" s="32" t="inlineStr">
        <is>
          <t>F174+F175</t>
        </is>
      </c>
      <c r="E54" s="28" t="inlineStr">
        <is>
          <t>[V]</t>
        </is>
      </c>
      <c r="F54" s="28" t="inlineStr"/>
    </row>
    <row r="55">
      <c r="A55" s="32" t="inlineStr">
        <is>
          <t>NARECONS</t>
        </is>
      </c>
      <c r="B55" s="28" t="inlineStr">
        <is>
          <t>RC-N 1.a.(1)+(2) col C</t>
        </is>
      </c>
      <c r="C55" s="28" t="inlineStr">
        <is>
          <t>Construction nonaccrual (2 rows)</t>
        </is>
      </c>
      <c r="D55" s="32" t="inlineStr">
        <is>
          <t>F176+F177</t>
        </is>
      </c>
      <c r="E55" s="28" t="inlineStr">
        <is>
          <t>[V]</t>
        </is>
      </c>
      <c r="F55" s="28" t="inlineStr"/>
    </row>
    <row r="56">
      <c r="A56" s="32" t="inlineStr">
        <is>
          <t>P3RENRES</t>
        </is>
      </c>
      <c r="B56" s="28" t="inlineStr">
        <is>
          <t>RC-N 1.e.(1)+(2) col A</t>
        </is>
      </c>
      <c r="C56" s="28" t="inlineStr">
        <is>
          <t>Nonfarm nonres 30-89 still accruing (2 rows)</t>
        </is>
      </c>
      <c r="D56" s="32" t="inlineStr">
        <is>
          <t>F178+F179</t>
        </is>
      </c>
      <c r="E56" s="28" t="inlineStr">
        <is>
          <t>[V]</t>
        </is>
      </c>
      <c r="F56" s="28" t="inlineStr"/>
    </row>
    <row r="57">
      <c r="A57" s="32" t="inlineStr">
        <is>
          <t>P9RENRES</t>
        </is>
      </c>
      <c r="B57" s="28" t="inlineStr">
        <is>
          <t>RC-N 1.e.(1)+(2) col B</t>
        </is>
      </c>
      <c r="C57" s="28" t="inlineStr">
        <is>
          <t>Nonfarm nonres 90+ still accruing (2 rows)</t>
        </is>
      </c>
      <c r="D57" s="32" t="inlineStr">
        <is>
          <t>F180+F181</t>
        </is>
      </c>
      <c r="E57" s="28" t="inlineStr">
        <is>
          <t>[V]</t>
        </is>
      </c>
      <c r="F57" s="28" t="inlineStr"/>
    </row>
    <row r="58">
      <c r="A58" s="32" t="inlineStr">
        <is>
          <t>NARENRES</t>
        </is>
      </c>
      <c r="B58" s="28" t="inlineStr">
        <is>
          <t>RC-N 1.e.(1)+(2) col C</t>
        </is>
      </c>
      <c r="C58" s="28" t="inlineStr">
        <is>
          <t>Nonfarm nonres nonaccrual (2 rows)</t>
        </is>
      </c>
      <c r="D58" s="32" t="inlineStr">
        <is>
          <t>F182+F183</t>
        </is>
      </c>
      <c r="E58" s="28" t="inlineStr">
        <is>
          <t>[V]</t>
        </is>
      </c>
      <c r="F58" s="28" t="inlineStr"/>
    </row>
    <row r="59">
      <c r="A59" s="32" t="inlineStr">
        <is>
          <t>P3REMULT</t>
        </is>
      </c>
      <c r="B59" s="28" t="inlineStr">
        <is>
          <t>RC-N 1.d col A</t>
        </is>
      </c>
      <c r="C59" s="28" t="inlineStr">
        <is>
          <t>Multifamily 30-89 still accruing</t>
        </is>
      </c>
      <c r="D59" s="32" t="inlineStr">
        <is>
          <t>RCON3499</t>
        </is>
      </c>
      <c r="E59" s="28" t="inlineStr">
        <is>
          <t>[V]</t>
        </is>
      </c>
      <c r="F59" s="28" t="inlineStr"/>
    </row>
    <row r="60">
      <c r="A60" s="32" t="inlineStr">
        <is>
          <t>P9REMULT</t>
        </is>
      </c>
      <c r="B60" s="28" t="inlineStr">
        <is>
          <t>RC-N 1.d col B</t>
        </is>
      </c>
      <c r="C60" s="28" t="inlineStr">
        <is>
          <t>Multifamily 90+ still accruing</t>
        </is>
      </c>
      <c r="D60" s="32" t="inlineStr">
        <is>
          <t>RCON3500</t>
        </is>
      </c>
      <c r="E60" s="28" t="inlineStr">
        <is>
          <t>[V]</t>
        </is>
      </c>
      <c r="F60" s="28" t="inlineStr"/>
    </row>
    <row r="61">
      <c r="A61" s="32" t="inlineStr">
        <is>
          <t>NAREMULT</t>
        </is>
      </c>
      <c r="B61" s="28" t="inlineStr">
        <is>
          <t>RC-N 1.d col C</t>
        </is>
      </c>
      <c r="C61" s="28" t="inlineStr">
        <is>
          <t>Multifamily nonaccrual</t>
        </is>
      </c>
      <c r="D61" s="32" t="inlineStr">
        <is>
          <t>RCON3501</t>
        </is>
      </c>
      <c r="E61" s="28" t="inlineStr">
        <is>
          <t>[V]</t>
        </is>
      </c>
      <c r="F61" s="28" t="inlineStr"/>
    </row>
    <row r="62">
      <c r="A62" s="32" t="inlineStr">
        <is>
          <t>P3CONOTH</t>
        </is>
      </c>
      <c r="B62" s="28" t="inlineStr">
        <is>
          <t>RC-N 5.c col A</t>
        </is>
      </c>
      <c r="C62" s="28" t="inlineStr">
        <is>
          <t>Other consumer 30-89 still accruing</t>
        </is>
      </c>
      <c r="D62" s="32" t="inlineStr">
        <is>
          <t>(not in tie-out map)</t>
        </is>
      </c>
      <c r="E62" s="33" t="inlineStr">
        <is>
          <t>[~]</t>
        </is>
      </c>
      <c r="F62" s="28" t="inlineStr">
        <is>
          <t>match by caption on the facsimile; MDRM row not captured in PROVENANCE_MAP_FDIC.md</t>
        </is>
      </c>
    </row>
    <row r="63">
      <c r="A63" s="32" t="inlineStr">
        <is>
          <t>P9CONOTH</t>
        </is>
      </c>
      <c r="B63" s="28" t="inlineStr">
        <is>
          <t>RC-N 5.c col B</t>
        </is>
      </c>
      <c r="C63" s="28" t="inlineStr">
        <is>
          <t>Other consumer 90+ still accruing</t>
        </is>
      </c>
      <c r="D63" s="32" t="inlineStr">
        <is>
          <t>(not in tie-out map)</t>
        </is>
      </c>
      <c r="E63" s="33" t="inlineStr">
        <is>
          <t>[~]</t>
        </is>
      </c>
      <c r="F63" s="28" t="inlineStr">
        <is>
          <t>match by caption on the facsimile</t>
        </is>
      </c>
    </row>
    <row r="64">
      <c r="A64" s="32" t="inlineStr">
        <is>
          <t>NACONOTH</t>
        </is>
      </c>
      <c r="B64" s="28" t="inlineStr">
        <is>
          <t>RC-N 5.c col C</t>
        </is>
      </c>
      <c r="C64" s="28" t="inlineStr">
        <is>
          <t>Other consumer nonaccrual</t>
        </is>
      </c>
      <c r="D64" s="32" t="inlineStr">
        <is>
          <t>(not in tie-out map)</t>
        </is>
      </c>
      <c r="E64" s="33" t="inlineStr">
        <is>
          <t>[~]</t>
        </is>
      </c>
      <c r="F64" s="28" t="inlineStr">
        <is>
          <t>match by caption on the facsimile</t>
        </is>
      </c>
    </row>
    <row r="65">
      <c r="A65" s="32" t="inlineStr">
        <is>
          <t>NTCRCDQ</t>
        </is>
      </c>
      <c r="B65" s="28" t="inlineStr">
        <is>
          <t>RI-B Pt I 5.a cols A-B</t>
        </is>
      </c>
      <c r="C65" s="28" t="inlineStr">
        <is>
          <t>Credit card NCO (qtr differenced)</t>
        </is>
      </c>
      <c r="D65" s="32" t="inlineStr">
        <is>
          <t>B514 - B515</t>
        </is>
      </c>
      <c r="E65" s="28" t="inlineStr">
        <is>
          <t>[V]</t>
        </is>
      </c>
      <c r="F65" s="28" t="inlineStr">
        <is>
          <t>quarterly = YTD differenced (Q2-Q4)</t>
        </is>
      </c>
    </row>
    <row r="66">
      <c r="A66" s="32" t="inlineStr">
        <is>
          <t>NTAUTOQ</t>
        </is>
      </c>
      <c r="B66" s="28" t="inlineStr">
        <is>
          <t>RI-B Pt I 5.b cols A-B</t>
        </is>
      </c>
      <c r="C66" s="28" t="inlineStr">
        <is>
          <t>Automobile NCO (qtr differenced)</t>
        </is>
      </c>
      <c r="D66" s="32" t="inlineStr">
        <is>
          <t>K129 - K133</t>
        </is>
      </c>
      <c r="E66" s="28" t="inlineStr">
        <is>
          <t>[V]</t>
        </is>
      </c>
      <c r="F66" s="28" t="inlineStr"/>
    </row>
    <row r="67">
      <c r="A67" s="32" t="inlineStr">
        <is>
          <t>NTRECONQ</t>
        </is>
      </c>
      <c r="B67" s="28" t="inlineStr">
        <is>
          <t>RI-B Pt I 1.a.(1)+(2) cols A-B</t>
        </is>
      </c>
      <c r="C67" s="28" t="inlineStr">
        <is>
          <t>Construction NCO (qtr differenced)</t>
        </is>
      </c>
      <c r="D67" s="32" t="inlineStr">
        <is>
          <t>(C891+C893) - (C892+C894)</t>
        </is>
      </c>
      <c r="E67" s="28" t="inlineStr">
        <is>
          <t>[V]</t>
        </is>
      </c>
      <c r="F67" s="28" t="inlineStr">
        <is>
          <t>8-char truncated name (NTRECONQ, never NTRECONSQ)</t>
        </is>
      </c>
    </row>
    <row r="68">
      <c r="A68" s="32" t="inlineStr">
        <is>
          <t>NTCIQ</t>
        </is>
      </c>
      <c r="B68" s="28" t="inlineStr">
        <is>
          <t>RI-B Pt I 4 cols A-B</t>
        </is>
      </c>
      <c r="C68" s="28" t="inlineStr">
        <is>
          <t>C&amp;I NCO (qtr differenced)</t>
        </is>
      </c>
      <c r="D68" s="32" t="inlineStr">
        <is>
          <t>4638 - 4608</t>
        </is>
      </c>
      <c r="E68" s="28" t="inlineStr">
        <is>
          <t>[V]</t>
        </is>
      </c>
      <c r="F68" s="28" t="inlineStr">
        <is>
          <t>031: (4645+4646) - (4617+4618)</t>
        </is>
      </c>
    </row>
    <row r="69">
      <c r="A69" s="32" t="inlineStr">
        <is>
          <t>NTCONOTQ</t>
        </is>
      </c>
      <c r="B69" s="28" t="inlineStr">
        <is>
          <t>RI-B Pt I 5.c cols A-B</t>
        </is>
      </c>
      <c r="C69" s="28" t="inlineStr">
        <is>
          <t>Other consumer NCO (qtr differenced)</t>
        </is>
      </c>
      <c r="D69" s="32" t="inlineStr">
        <is>
          <t>(not in tie-out map)</t>
        </is>
      </c>
      <c r="E69" s="33" t="inlineStr">
        <is>
          <t>[~]</t>
        </is>
      </c>
      <c r="F69" s="28" t="inlineStr">
        <is>
          <t>match by caption; MDRM row not captured in the map</t>
        </is>
      </c>
    </row>
    <row r="70">
      <c r="A70" s="32" t="inlineStr">
        <is>
          <t>NTRERESQ</t>
        </is>
      </c>
      <c r="B70" s="28" t="inlineStr">
        <is>
          <t>RI-B Pt I 1.c cols A-B</t>
        </is>
      </c>
      <c r="C70" s="28" t="inlineStr">
        <is>
          <t>Resi NCO (qtr differenced)</t>
        </is>
      </c>
      <c r="D70" s="32" t="inlineStr">
        <is>
          <t>(not in tie-out map)</t>
        </is>
      </c>
      <c r="E70" s="33" t="inlineStr">
        <is>
          <t>[~]</t>
        </is>
      </c>
      <c r="F70" s="28" t="inlineStr">
        <is>
          <t>match by caption</t>
        </is>
      </c>
    </row>
    <row r="71">
      <c r="A71" s="32" t="inlineStr">
        <is>
          <t>NTRENREQ</t>
        </is>
      </c>
      <c r="B71" s="28" t="inlineStr">
        <is>
          <t>RI-B Pt I 1.e cols A-B</t>
        </is>
      </c>
      <c r="C71" s="28" t="inlineStr">
        <is>
          <t>Nonfarm nonres NCO (qtr differenced)</t>
        </is>
      </c>
      <c r="D71" s="32" t="inlineStr">
        <is>
          <t>(not in tie-out map)</t>
        </is>
      </c>
      <c r="E71" s="33" t="inlineStr">
        <is>
          <t>[~]</t>
        </is>
      </c>
      <c r="F71" s="28" t="inlineStr">
        <is>
          <t>match by caption; 8-char truncated name</t>
        </is>
      </c>
    </row>
    <row r="72">
      <c r="A72" s="32" t="inlineStr">
        <is>
          <t>NTREMULQ</t>
        </is>
      </c>
      <c r="B72" s="28" t="inlineStr">
        <is>
          <t>RI-B Pt I 1.d cols A-B</t>
        </is>
      </c>
      <c r="C72" s="28" t="inlineStr">
        <is>
          <t>Multifamily NCO (qtr differenced)</t>
        </is>
      </c>
      <c r="D72" s="32" t="inlineStr">
        <is>
          <t>(not in tie-out map)</t>
        </is>
      </c>
      <c r="E72" s="33" t="inlineStr">
        <is>
          <t>[~]</t>
        </is>
      </c>
      <c r="F72" s="28" t="inlineStr">
        <is>
          <t>match by caption; 8-char truncated name</t>
        </is>
      </c>
    </row>
    <row r="73">
      <c r="A73" s="32" t="inlineStr">
        <is>
          <t>SCHA</t>
        </is>
      </c>
      <c r="B73" s="28" t="inlineStr">
        <is>
          <t>RC-B 8 col A</t>
        </is>
      </c>
      <c r="C73" s="28" t="inlineStr">
        <is>
          <t>HTM securities, amortized cost</t>
        </is>
      </c>
      <c r="D73" s="32" t="inlineStr">
        <is>
          <t>RCON1754</t>
        </is>
      </c>
      <c r="E73" s="28" t="inlineStr">
        <is>
          <t>[V]</t>
        </is>
      </c>
      <c r="F73" s="28" t="inlineStr">
        <is>
          <t>tie to RC-B; RC 2.a JJ34 is net of ACL post-CECL and DIFFERS</t>
        </is>
      </c>
    </row>
    <row r="74">
      <c r="A74" s="32" t="inlineStr">
        <is>
          <t>SCHF</t>
        </is>
      </c>
      <c r="B74" s="28" t="inlineStr">
        <is>
          <t>RC-B 8 col B</t>
        </is>
      </c>
      <c r="C74" s="28" t="inlineStr">
        <is>
          <t>HTM securities, fair value</t>
        </is>
      </c>
      <c r="D74" s="32" t="inlineStr">
        <is>
          <t>RCON1771</t>
        </is>
      </c>
      <c r="E74" s="28" t="inlineStr">
        <is>
          <t>[V]</t>
        </is>
      </c>
      <c r="F74" s="28" t="inlineStr"/>
    </row>
    <row r="75">
      <c r="A75" s="32" t="inlineStr">
        <is>
          <t>SCAA</t>
        </is>
      </c>
      <c r="B75" s="28" t="inlineStr">
        <is>
          <t>RC-B 8 col C</t>
        </is>
      </c>
      <c r="C75" s="28" t="inlineStr">
        <is>
          <t>AFS securities, amortized cost</t>
        </is>
      </c>
      <c r="D75" s="32" t="inlineStr">
        <is>
          <t>RCON1772</t>
        </is>
      </c>
      <c r="E75" s="28" t="inlineStr">
        <is>
          <t>[V]</t>
        </is>
      </c>
      <c r="F75" s="28" t="inlineStr"/>
    </row>
    <row r="76">
      <c r="A76" s="32" t="inlineStr">
        <is>
          <t>SCAF</t>
        </is>
      </c>
      <c r="B76" s="28" t="inlineStr">
        <is>
          <t>RC-B 8 col D</t>
        </is>
      </c>
      <c r="C76" s="28" t="inlineStr">
        <is>
          <t>AFS securities, fair value</t>
        </is>
      </c>
      <c r="D76" s="32" t="inlineStr">
        <is>
          <t>RCON1773</t>
        </is>
      </c>
      <c r="E76" s="28" t="inlineStr">
        <is>
          <t>[V]</t>
        </is>
      </c>
      <c r="F76" s="28" t="inlineStr">
        <is>
          <t>= RC 2.b; equity securities excluded (RC 2.c JA22)</t>
        </is>
      </c>
    </row>
    <row r="77">
      <c r="A77" s="32" t="inlineStr">
        <is>
          <t>NCLNLSR</t>
        </is>
      </c>
      <c r="B77" s="28" t="inlineStr">
        <is>
          <t>FDIC-computed ratio</t>
        </is>
      </c>
      <c r="C77" s="28" t="inlineStr">
        <is>
          <t>100 x (1407+1403)/2122</t>
        </is>
      </c>
      <c r="D77" s="32" t="inlineStr">
        <is>
          <t>1407,1403 / 2122</t>
        </is>
      </c>
      <c r="E77" s="28" t="inlineStr">
        <is>
          <t>[V]</t>
        </is>
      </c>
      <c r="F77" s="28" t="inlineStr">
        <is>
          <t>all components filed</t>
        </is>
      </c>
    </row>
    <row r="78">
      <c r="A78" s="32" t="inlineStr">
        <is>
          <t>NTLNLSQR</t>
        </is>
      </c>
      <c r="B78" s="28" t="inlineStr">
        <is>
          <t>FDIC-computed ratio</t>
        </is>
      </c>
      <c r="C78" s="28" t="inlineStr">
        <is>
          <t>100 x annualized qtr (4635-4605 differenced) / RC-K avg loans</t>
        </is>
      </c>
      <c r="D78" s="32" t="inlineStr">
        <is>
          <t>4635,4605 / 3360</t>
        </is>
      </c>
      <c r="E78" s="28" t="inlineStr">
        <is>
          <t>[V]</t>
        </is>
      </c>
      <c r="F78" s="28" t="inlineStr">
        <is>
          <t>ties to ~rounding (annualization)</t>
        </is>
      </c>
    </row>
    <row r="79">
      <c r="A79" s="32" t="inlineStr">
        <is>
          <t>LNATRESR</t>
        </is>
      </c>
      <c r="B79" s="28" t="inlineStr">
        <is>
          <t>FDIC-computed ratio</t>
        </is>
      </c>
      <c r="C79" s="28" t="inlineStr">
        <is>
          <t>100 x 3123/2122</t>
        </is>
      </c>
      <c r="D79" s="32" t="inlineStr">
        <is>
          <t>3123 / 2122</t>
        </is>
      </c>
      <c r="E79" s="28" t="inlineStr">
        <is>
          <t>[V]</t>
        </is>
      </c>
      <c r="F79" s="28" t="inlineStr"/>
    </row>
    <row r="80">
      <c r="A80" s="32" t="inlineStr">
        <is>
          <t>LNRESNCR</t>
        </is>
      </c>
      <c r="B80" s="28" t="inlineStr">
        <is>
          <t>FDIC-computed ratio</t>
        </is>
      </c>
      <c r="C80" s="28" t="inlineStr">
        <is>
          <t>100 x 3123/(1407+1403)</t>
        </is>
      </c>
      <c r="D80" s="32" t="inlineStr">
        <is>
          <t>3123 / 1407,1403</t>
        </is>
      </c>
      <c r="E80" s="28" t="inlineStr">
        <is>
          <t>[V]</t>
        </is>
      </c>
      <c r="F80" s="28" t="inlineStr"/>
    </row>
    <row r="81">
      <c r="A81" s="32" t="inlineStr">
        <is>
          <t>RBC1AAJ</t>
        </is>
      </c>
      <c r="B81" s="28" t="inlineStr">
        <is>
          <t>FILED: RC-R Pt I 31</t>
        </is>
      </c>
      <c r="C81" s="28" t="inlineStr">
        <is>
          <t>Leverage ratio</t>
        </is>
      </c>
      <c r="D81" s="32" t="inlineStr">
        <is>
          <t>RCOA7204</t>
        </is>
      </c>
      <c r="E81" s="28" t="inlineStr">
        <is>
          <t>[V]</t>
        </is>
      </c>
      <c r="F81" s="28" t="inlineStr">
        <is>
          <t>filed directly by all banks incl. CBLR electors</t>
        </is>
      </c>
    </row>
    <row r="82">
      <c r="A82" s="32" t="inlineStr">
        <is>
          <t>RBCRWAJ</t>
        </is>
      </c>
      <c r="B82" s="28" t="inlineStr">
        <is>
          <t>FILED: RC-R Pt I ~51</t>
        </is>
      </c>
      <c r="C82" s="28" t="inlineStr">
        <is>
          <t>Total capital ratio</t>
        </is>
      </c>
      <c r="D82" s="32" t="inlineStr">
        <is>
          <t>RCOA7205</t>
        </is>
      </c>
      <c r="E82" s="28" t="inlineStr">
        <is>
          <t>[V]</t>
        </is>
      </c>
      <c r="F82" s="28" t="inlineStr">
        <is>
          <t>BLANK for CBLR electors (null, never 0); Tier1 = 7206</t>
        </is>
      </c>
    </row>
    <row r="83">
      <c r="A83" s="32" t="inlineStr">
        <is>
          <t>EQV</t>
        </is>
      </c>
      <c r="B83" s="28" t="inlineStr">
        <is>
          <t>FDIC-computed ratio</t>
        </is>
      </c>
      <c r="C83" s="28" t="inlineStr">
        <is>
          <t>100 x 3210/2170</t>
        </is>
      </c>
      <c r="D83" s="32" t="inlineStr">
        <is>
          <t>3210 / 2170</t>
        </is>
      </c>
      <c r="E83" s="28" t="inlineStr">
        <is>
          <t>[V]</t>
        </is>
      </c>
      <c r="F83" s="28" t="inlineStr"/>
    </row>
    <row r="84">
      <c r="A84" s="32" t="inlineStr">
        <is>
          <t>ROAQ</t>
        </is>
      </c>
      <c r="B84" s="28" t="inlineStr">
        <is>
          <t>FDIC-computed ratio</t>
        </is>
      </c>
      <c r="C84" s="28" t="inlineStr">
        <is>
          <t>100 x annualized qtr RIAD4340 (RI 14, differenced) / RC-K avg assets</t>
        </is>
      </c>
      <c r="D84" s="32" t="inlineStr">
        <is>
          <t>4340 / 3368</t>
        </is>
      </c>
      <c r="E84" s="28" t="inlineStr">
        <is>
          <t>[V]</t>
        </is>
      </c>
      <c r="F84" s="28" t="inlineStr">
        <is>
          <t>ties to ~rounding</t>
        </is>
      </c>
    </row>
    <row r="85">
      <c r="A85" s="32" t="inlineStr">
        <is>
          <t>NIMY</t>
        </is>
      </c>
      <c r="B85" s="28" t="inlineStr">
        <is>
          <t>FDIC-computed ratio</t>
        </is>
      </c>
      <c r="C85" s="28" t="inlineStr">
        <is>
          <t>100 x annualized RIAD4074 / avg earning assets</t>
        </is>
      </c>
      <c r="D85" s="32" t="inlineStr">
        <is>
          <t>4074 / (RC-K)</t>
        </is>
      </c>
      <c r="E85" s="28" t="inlineStr">
        <is>
          <t>[V]</t>
        </is>
      </c>
      <c r="F85" s="28" t="inlineStr">
        <is>
          <t>avg earning assets FDIC-computed from RC-K</t>
        </is>
      </c>
    </row>
    <row r="86">
      <c r="A86" s="32" t="inlineStr">
        <is>
          <t>EEFFR</t>
        </is>
      </c>
      <c r="B86" s="28" t="inlineStr">
        <is>
          <t>FDIC-computed ratio</t>
        </is>
      </c>
      <c r="C86" s="28" t="inlineStr">
        <is>
          <t>100 x (4093 - C232) / (4074 + 4079)</t>
        </is>
      </c>
      <c r="D86" s="32" t="inlineStr">
        <is>
          <t>4093,C232 / 4074,4079</t>
        </is>
      </c>
      <c r="E86" s="33" t="inlineStr">
        <is>
          <t>[~]</t>
        </is>
      </c>
      <c r="F86" s="28" t="inlineStr">
        <is>
          <t>C232 is RI 7.c.(2) by 041 layout -- match by caption</t>
        </is>
      </c>
    </row>
    <row r="87">
      <c r="A87" s="32" t="inlineStr">
        <is>
          <t>PD3089R</t>
        </is>
      </c>
      <c r="B87" s="28" t="inlineStr">
        <is>
          <t>derived: P3LNLS/LNLSGR*100</t>
        </is>
      </c>
      <c r="C87" s="28" t="inlineStr">
        <is>
          <t>RC-N 9 col A over RC-C Pt I 12</t>
        </is>
      </c>
      <c r="D87" s="32" t="inlineStr">
        <is>
          <t>1406 / 2122</t>
        </is>
      </c>
      <c r="E87" s="28" t="inlineStr">
        <is>
          <t>[V] comp.</t>
        </is>
      </c>
      <c r="F87" s="28" t="inlineStr">
        <is>
          <t>no API ratio field exists</t>
        </is>
      </c>
    </row>
    <row r="88">
      <c r="A88" s="32" t="inlineStr">
        <is>
          <t>TEXAS</t>
        </is>
      </c>
      <c r="B88" s="28" t="inlineStr">
        <is>
          <t>derived VARIANT: NCLNLS/(EQ+LNATRES)*100</t>
        </is>
      </c>
      <c r="C88" s="28" t="inlineStr">
        <is>
          <t>RC-N 9 cols B+C over RC 27.a + RC 4.c</t>
        </is>
      </c>
      <c r="D88" s="32" t="inlineStr">
        <is>
          <t>(1407+1403) / (3210+3123)</t>
        </is>
      </c>
      <c r="E88" s="28" t="inlineStr">
        <is>
          <t>[V] comp.</t>
        </is>
      </c>
      <c r="F88" s="28" t="inlineStr">
        <is>
          <t>canonical adds OREO and nets intangibles -- ORE/INTAN UNVERIFIED</t>
        </is>
      </c>
    </row>
    <row r="89">
      <c r="A89" s="32" t="inlineStr">
        <is>
          <t>LNDEPR</t>
        </is>
      </c>
      <c r="B89" s="28" t="inlineStr">
        <is>
          <t>derived: LNLSNET/DEP*100</t>
        </is>
      </c>
      <c r="C89" s="28" t="inlineStr">
        <is>
          <t>RC 4.a+4.b-4.c over RC 13</t>
        </is>
      </c>
      <c r="D89" s="32" t="inlineStr">
        <is>
          <t>(5369+B528-3123) / 2200</t>
        </is>
      </c>
      <c r="E89" s="28" t="inlineStr">
        <is>
          <t>[V] comp.</t>
        </is>
      </c>
      <c r="F89" s="28" t="inlineStr"/>
    </row>
    <row r="90">
      <c r="A90" s="32" t="inlineStr">
        <is>
          <t>BRODEPR</t>
        </is>
      </c>
      <c r="B90" s="28" t="inlineStr">
        <is>
          <t>derived: BRO/DEP*100</t>
        </is>
      </c>
      <c r="C90" s="28" t="inlineStr">
        <is>
          <t>RC-E Mem 1.b over RC 13</t>
        </is>
      </c>
      <c r="D90" s="32" t="inlineStr">
        <is>
          <t>2365 / 2200</t>
        </is>
      </c>
      <c r="E90" s="28" t="inlineStr">
        <is>
          <t>[V] comp.</t>
        </is>
      </c>
      <c r="F90" s="28" t="inlineStr">
        <is>
          <t>BRO null -&gt; blank, never 0</t>
        </is>
      </c>
    </row>
    <row r="91">
      <c r="A91" s="32" t="inlineStr">
        <is>
          <t>CRECONR</t>
        </is>
      </c>
      <c r="B91" s="28" t="inlineStr">
        <is>
          <t>derived PROXY: (LNRECONS+LNRENRES+LNREMULT)/(EQ+LNATRES)*100</t>
        </is>
      </c>
      <c r="C91" s="28" t="inlineStr">
        <is>
          <t>RC-C Pt I 1.a+1.e+1.d over RC 27.a + RC 4.c</t>
        </is>
      </c>
      <c r="D91" s="32" t="inlineStr">
        <is>
          <t>(F158+F159+F160+F161+1460) / (3210+3123)</t>
        </is>
      </c>
      <c r="E91" s="28" t="inlineStr">
        <is>
          <t>[V] comp.</t>
        </is>
      </c>
      <c r="F91" s="28" t="inlineStr">
        <is>
          <t>guidance uses total RBC; documented proxy denominator</t>
        </is>
      </c>
    </row>
    <row r="92">
      <c r="A92" s="32" t="inlineStr">
        <is>
          <t>UNRLZCAPR</t>
        </is>
      </c>
      <c r="B92" s="28" t="inlineStr">
        <is>
          <t>derived: ((SCHA-SCHF)+(SCAA-SCAF))/(EQ+LNATRES)*100</t>
        </is>
      </c>
      <c r="C92" s="28" t="inlineStr">
        <is>
          <t>RC-B 8 cols A-D over RC 27.a + RC 4.c</t>
        </is>
      </c>
      <c r="D92" s="32" t="inlineStr">
        <is>
          <t>((1754-1771)+(1772-1773)) / (3210+3123)</t>
        </is>
      </c>
      <c r="E92" s="28" t="inlineStr">
        <is>
          <t>[V] comp.</t>
        </is>
      </c>
      <c r="F92" s="28" t="inlineStr">
        <is>
          <t>both legs COMPUTED (no named unrealized field); EQCCOMPI is the YTD OCI FLOW, not AOCI stock -- not used</t>
        </is>
      </c>
    </row>
    <row r="93">
      <c r="A93" s="32" t="inlineStr">
        <is>
          <t>FHLBASSR</t>
        </is>
      </c>
      <c r="B93" s="28" t="inlineStr">
        <is>
          <t>derived: OTHBFHLB/ASSET*100</t>
        </is>
      </c>
      <c r="C93" s="28" t="inlineStr">
        <is>
          <t>RC-M 5.a.(1)(a)-(d) over RC 12</t>
        </is>
      </c>
      <c r="D93" s="32" t="inlineStr">
        <is>
          <t>(F055+F056+F057+F058) / (RCON2170 (RCFD2170 031))</t>
        </is>
      </c>
      <c r="E93" s="28" t="inlineStr">
        <is>
          <t>[V] comp.</t>
        </is>
      </c>
      <c r="F93" s="28" t="inlineStr"/>
    </row>
    <row r="94">
      <c r="A94" s="32" t="inlineStr">
        <is>
          <t>NACONOTHR</t>
        </is>
      </c>
      <c r="B94" s="28" t="inlineStr">
        <is>
          <t>derived: NACONOTH/LNCONOTH*100</t>
        </is>
      </c>
      <c r="C94" s="28" t="inlineStr">
        <is>
          <t>RC-N 5.c col C over RC-C Pt I 6.d</t>
        </is>
      </c>
      <c r="D94" s="32" t="inlineStr">
        <is>
          <t>((not in tie-out map)) / (RCONK207)</t>
        </is>
      </c>
      <c r="E94" s="33" t="inlineStr">
        <is>
          <t>[~] comp.</t>
        </is>
      </c>
      <c r="F94" s="28" t="inlineStr"/>
    </row>
    <row r="95">
      <c r="A95" s="32" t="inlineStr">
        <is>
          <t>NARECONSR</t>
        </is>
      </c>
      <c r="B95" s="28" t="inlineStr">
        <is>
          <t>derived: NARECONS/LNRECONS*100</t>
        </is>
      </c>
      <c r="C95" s="28" t="inlineStr">
        <is>
          <t>RC-N 1.a.(1)+(2) col C over RC-C Pt I 1.a.(1)+(2)</t>
        </is>
      </c>
      <c r="D95" s="32" t="inlineStr">
        <is>
          <t>(F176+F177) / (F158+F159)</t>
        </is>
      </c>
      <c r="E95" s="28" t="inlineStr">
        <is>
          <t>[V] comp.</t>
        </is>
      </c>
      <c r="F95" s="28" t="inlineStr"/>
    </row>
    <row r="96">
      <c r="A96" s="32" t="inlineStr">
        <is>
          <t>NAREMULTR</t>
        </is>
      </c>
      <c r="B96" s="28" t="inlineStr">
        <is>
          <t>derived: NAREMULT/LNREMULT*100</t>
        </is>
      </c>
      <c r="C96" s="28" t="inlineStr">
        <is>
          <t>RC-N 1.d col C over RC-C Pt I 1.d</t>
        </is>
      </c>
      <c r="D96" s="32" t="inlineStr">
        <is>
          <t>(RCON3501) / (RCON1460)</t>
        </is>
      </c>
      <c r="E96" s="28" t="inlineStr">
        <is>
          <t>[V] comp.</t>
        </is>
      </c>
      <c r="F96" s="28" t="inlineStr"/>
    </row>
    <row r="97">
      <c r="A97" s="32" t="inlineStr">
        <is>
          <t>NARENRESR</t>
        </is>
      </c>
      <c r="B97" s="28" t="inlineStr">
        <is>
          <t>derived: NARENRES/LNRENRES*100</t>
        </is>
      </c>
      <c r="C97" s="28" t="inlineStr">
        <is>
          <t>RC-N 1.e.(1)+(2) col C over RC-C Pt I 1.e.(1)+(2)</t>
        </is>
      </c>
      <c r="D97" s="32" t="inlineStr">
        <is>
          <t>(F182+F183) / (F160+F161)</t>
        </is>
      </c>
      <c r="E97" s="28" t="inlineStr">
        <is>
          <t>[V] comp.</t>
        </is>
      </c>
      <c r="F97" s="28" t="inlineStr"/>
    </row>
    <row r="98">
      <c r="A98" s="32" t="inlineStr">
        <is>
          <t>NTAUTOQR</t>
        </is>
      </c>
      <c r="B98" s="28" t="inlineStr">
        <is>
          <t>derived: NTAUTOQ/LNAUTO*400</t>
        </is>
      </c>
      <c r="C98" s="28" t="inlineStr">
        <is>
          <t>RI-B Pt I 5.b cols A-B over RC-C Pt I 6.c</t>
        </is>
      </c>
      <c r="D98" s="32" t="inlineStr">
        <is>
          <t>(K129 - K133) / (RCONK137)</t>
        </is>
      </c>
      <c r="E98" s="28" t="inlineStr">
        <is>
          <t>[V] comp.</t>
        </is>
      </c>
      <c r="F98" s="28" t="inlineStr">
        <is>
          <t>annualized x4 quarterly flow (NTLNLSQR convention)</t>
        </is>
      </c>
    </row>
    <row r="99">
      <c r="A99" s="32" t="inlineStr">
        <is>
          <t>NTCIQR</t>
        </is>
      </c>
      <c r="B99" s="28" t="inlineStr">
        <is>
          <t>derived: NTCIQ/LNCI*400</t>
        </is>
      </c>
      <c r="C99" s="28" t="inlineStr">
        <is>
          <t>RI-B Pt I 4 cols A-B over RC-C Pt I 4</t>
        </is>
      </c>
      <c r="D99" s="32" t="inlineStr">
        <is>
          <t>(4638 - 4608) / (RCON1766 (031: RCFD1763+1764))</t>
        </is>
      </c>
      <c r="E99" s="28" t="inlineStr">
        <is>
          <t>[V] comp.</t>
        </is>
      </c>
      <c r="F99" s="28" t="inlineStr">
        <is>
          <t>annualized x4 quarterly flow (NTLNLSQR convention)</t>
        </is>
      </c>
    </row>
    <row r="100">
      <c r="A100" s="32" t="inlineStr">
        <is>
          <t>NTCONOTQR</t>
        </is>
      </c>
      <c r="B100" s="28" t="inlineStr">
        <is>
          <t>derived: NTCONOTQ/LNCONOTH*400</t>
        </is>
      </c>
      <c r="C100" s="28" t="inlineStr">
        <is>
          <t>RI-B Pt I 5.c cols A-B over RC-C Pt I 6.d</t>
        </is>
      </c>
      <c r="D100" s="32" t="inlineStr">
        <is>
          <t>((not in tie-out map)) / (RCONK207)</t>
        </is>
      </c>
      <c r="E100" s="33" t="inlineStr">
        <is>
          <t>[~] comp.</t>
        </is>
      </c>
      <c r="F100" s="28" t="inlineStr">
        <is>
          <t>annualized x4 quarterly flow (NTLNLSQR convention)</t>
        </is>
      </c>
    </row>
    <row r="101">
      <c r="A101" s="32" t="inlineStr">
        <is>
          <t>NTCRCDQR</t>
        </is>
      </c>
      <c r="B101" s="28" t="inlineStr">
        <is>
          <t>derived: NTCRCDQ/LNCRCD*400</t>
        </is>
      </c>
      <c r="C101" s="28" t="inlineStr">
        <is>
          <t>RI-B Pt I 5.a cols A-B over RC-C Pt I 6.a</t>
        </is>
      </c>
      <c r="D101" s="32" t="inlineStr">
        <is>
          <t>(B514 - B515) / (RCONB538)</t>
        </is>
      </c>
      <c r="E101" s="28" t="inlineStr">
        <is>
          <t>[V] comp.</t>
        </is>
      </c>
      <c r="F101" s="28" t="inlineStr">
        <is>
          <t>annualized x4 quarterly flow (NTLNLSQR convention)</t>
        </is>
      </c>
    </row>
    <row r="102">
      <c r="A102" s="32" t="inlineStr">
        <is>
          <t>NTRECONQR</t>
        </is>
      </c>
      <c r="B102" s="28" t="inlineStr">
        <is>
          <t>derived: NTRECONQ/LNRECONS*400</t>
        </is>
      </c>
      <c r="C102" s="28" t="inlineStr">
        <is>
          <t>RI-B Pt I 1.a.(1)+(2) cols A-B over RC-C Pt I 1.a.(1)+(2)</t>
        </is>
      </c>
      <c r="D102" s="32" t="inlineStr">
        <is>
          <t>((C891+C893) - (C892+C894)) / (F158+F159)</t>
        </is>
      </c>
      <c r="E102" s="28" t="inlineStr">
        <is>
          <t>[V] comp.</t>
        </is>
      </c>
      <c r="F102" s="28" t="inlineStr">
        <is>
          <t>annualized x4 quarterly flow (NTLNLSQR convention)</t>
        </is>
      </c>
    </row>
    <row r="103">
      <c r="A103" s="32" t="inlineStr">
        <is>
          <t>NTREMULQR</t>
        </is>
      </c>
      <c r="B103" s="28" t="inlineStr">
        <is>
          <t>derived: NTREMULQ/LNREMULT*400</t>
        </is>
      </c>
      <c r="C103" s="28" t="inlineStr">
        <is>
          <t>RI-B Pt I 1.d cols A-B over RC-C Pt I 1.d</t>
        </is>
      </c>
      <c r="D103" s="32" t="inlineStr">
        <is>
          <t>((not in tie-out map)) / (RCON1460)</t>
        </is>
      </c>
      <c r="E103" s="33" t="inlineStr">
        <is>
          <t>[~] comp.</t>
        </is>
      </c>
      <c r="F103" s="28" t="inlineStr">
        <is>
          <t>annualized x4 quarterly flow (NTLNLSQR convention)</t>
        </is>
      </c>
    </row>
    <row r="104">
      <c r="A104" s="32" t="inlineStr">
        <is>
          <t>NTRENREQR</t>
        </is>
      </c>
      <c r="B104" s="28" t="inlineStr">
        <is>
          <t>derived: NTRENREQ/LNRENRES*400</t>
        </is>
      </c>
      <c r="C104" s="28" t="inlineStr">
        <is>
          <t>RI-B Pt I 1.e cols A-B over RC-C Pt I 1.e.(1)+(2)</t>
        </is>
      </c>
      <c r="D104" s="32" t="inlineStr">
        <is>
          <t>((not in tie-out map)) / (F160+F161)</t>
        </is>
      </c>
      <c r="E104" s="33" t="inlineStr">
        <is>
          <t>[~] comp.</t>
        </is>
      </c>
      <c r="F104" s="28" t="inlineStr">
        <is>
          <t>annualized x4 quarterly flow (NTLNLSQR convention)</t>
        </is>
      </c>
    </row>
    <row r="105">
      <c r="A105" s="32" t="inlineStr">
        <is>
          <t>NTRERESQR</t>
        </is>
      </c>
      <c r="B105" s="28" t="inlineStr">
        <is>
          <t>derived: NTRERESQ/LNRERES*400</t>
        </is>
      </c>
      <c r="C105" s="28" t="inlineStr">
        <is>
          <t>RI-B Pt I 1.c cols A-B over RC-C Pt I 1.c.(1)+(2)(a)+(2)(b)</t>
        </is>
      </c>
      <c r="D105" s="32" t="inlineStr">
        <is>
          <t>((not in tie-out map)) / (1797+5367+5368)</t>
        </is>
      </c>
      <c r="E105" s="33" t="inlineStr">
        <is>
          <t>[~] comp.</t>
        </is>
      </c>
      <c r="F105" s="28" t="inlineStr">
        <is>
          <t>annualized x4 quarterly flow (NTLNLSQR convention)</t>
        </is>
      </c>
    </row>
    <row r="106">
      <c r="A106" s="32" t="inlineStr">
        <is>
          <t>P3CONOTHR</t>
        </is>
      </c>
      <c r="B106" s="28" t="inlineStr">
        <is>
          <t>derived: P3CONOTH/LNCONOTH*100</t>
        </is>
      </c>
      <c r="C106" s="28" t="inlineStr">
        <is>
          <t>RC-N 5.c col A over RC-C Pt I 6.d</t>
        </is>
      </c>
      <c r="D106" s="32" t="inlineStr">
        <is>
          <t>((not in tie-out map)) / (RCONK207)</t>
        </is>
      </c>
      <c r="E106" s="33" t="inlineStr">
        <is>
          <t>[~] comp.</t>
        </is>
      </c>
      <c r="F106" s="28" t="inlineStr"/>
    </row>
    <row r="107">
      <c r="A107" s="32" t="inlineStr">
        <is>
          <t>P3RECONSR</t>
        </is>
      </c>
      <c r="B107" s="28" t="inlineStr">
        <is>
          <t>derived: P3RECONS/LNRECONS*100</t>
        </is>
      </c>
      <c r="C107" s="28" t="inlineStr">
        <is>
          <t>RC-N 1.a.(1)+(2) col A over RC-C Pt I 1.a.(1)+(2)</t>
        </is>
      </c>
      <c r="D107" s="32" t="inlineStr">
        <is>
          <t>(F172+F173) / (F158+F159)</t>
        </is>
      </c>
      <c r="E107" s="28" t="inlineStr">
        <is>
          <t>[V] comp.</t>
        </is>
      </c>
      <c r="F107" s="28" t="inlineStr"/>
    </row>
    <row r="108">
      <c r="A108" s="32" t="inlineStr">
        <is>
          <t>P3REMULTR</t>
        </is>
      </c>
      <c r="B108" s="28" t="inlineStr">
        <is>
          <t>derived: P3REMULT/LNREMULT*100</t>
        </is>
      </c>
      <c r="C108" s="28" t="inlineStr">
        <is>
          <t>RC-N 1.d col A over RC-C Pt I 1.d</t>
        </is>
      </c>
      <c r="D108" s="32" t="inlineStr">
        <is>
          <t>(RCON3499) / (RCON1460)</t>
        </is>
      </c>
      <c r="E108" s="28" t="inlineStr">
        <is>
          <t>[V] comp.</t>
        </is>
      </c>
      <c r="F108" s="28" t="inlineStr"/>
    </row>
    <row r="109">
      <c r="A109" s="32" t="inlineStr">
        <is>
          <t>P3RENRESR</t>
        </is>
      </c>
      <c r="B109" s="28" t="inlineStr">
        <is>
          <t>derived: P3RENRES/LNRENRES*100</t>
        </is>
      </c>
      <c r="C109" s="28" t="inlineStr">
        <is>
          <t>RC-N 1.e.(1)+(2) col A over RC-C Pt I 1.e.(1)+(2)</t>
        </is>
      </c>
      <c r="D109" s="32" t="inlineStr">
        <is>
          <t>(F178+F179) / (F160+F161)</t>
        </is>
      </c>
      <c r="E109" s="28" t="inlineStr">
        <is>
          <t>[V] comp.</t>
        </is>
      </c>
      <c r="F109" s="28" t="inlineStr"/>
    </row>
    <row r="110">
      <c r="A110" s="32" t="inlineStr">
        <is>
          <t>P9CONOTHR</t>
        </is>
      </c>
      <c r="B110" s="28" t="inlineStr">
        <is>
          <t>derived: P9CONOTH/LNCONOTH*100</t>
        </is>
      </c>
      <c r="C110" s="28" t="inlineStr">
        <is>
          <t>RC-N 5.c col B over RC-C Pt I 6.d</t>
        </is>
      </c>
      <c r="D110" s="32" t="inlineStr">
        <is>
          <t>((not in tie-out map)) / (RCONK207)</t>
        </is>
      </c>
      <c r="E110" s="33" t="inlineStr">
        <is>
          <t>[~] comp.</t>
        </is>
      </c>
      <c r="F110" s="28" t="inlineStr"/>
    </row>
    <row r="111">
      <c r="A111" s="32" t="inlineStr">
        <is>
          <t>P9RECONSR</t>
        </is>
      </c>
      <c r="B111" s="28" t="inlineStr">
        <is>
          <t>derived: P9RECONS/LNRECONS*100</t>
        </is>
      </c>
      <c r="C111" s="28" t="inlineStr">
        <is>
          <t>RC-N 1.a.(1)+(2) col B over RC-C Pt I 1.a.(1)+(2)</t>
        </is>
      </c>
      <c r="D111" s="32" t="inlineStr">
        <is>
          <t>(F174+F175) / (F158+F159)</t>
        </is>
      </c>
      <c r="E111" s="28" t="inlineStr">
        <is>
          <t>[V] comp.</t>
        </is>
      </c>
      <c r="F111" s="28" t="inlineStr"/>
    </row>
    <row r="112">
      <c r="A112" s="32" t="inlineStr">
        <is>
          <t>P9REMULTR</t>
        </is>
      </c>
      <c r="B112" s="28" t="inlineStr">
        <is>
          <t>derived: P9REMULT/LNREMULT*100</t>
        </is>
      </c>
      <c r="C112" s="28" t="inlineStr">
        <is>
          <t>RC-N 1.d col B over RC-C Pt I 1.d</t>
        </is>
      </c>
      <c r="D112" s="32" t="inlineStr">
        <is>
          <t>(RCON3500) / (RCON1460)</t>
        </is>
      </c>
      <c r="E112" s="28" t="inlineStr">
        <is>
          <t>[V] comp.</t>
        </is>
      </c>
      <c r="F112" s="28" t="inlineStr"/>
    </row>
    <row r="113">
      <c r="A113" s="32" t="inlineStr">
        <is>
          <t>P9RENRESR</t>
        </is>
      </c>
      <c r="B113" s="28" t="inlineStr">
        <is>
          <t>derived: P9RENRES/LNRENRES*100</t>
        </is>
      </c>
      <c r="C113" s="28" t="inlineStr">
        <is>
          <t>RC-N 1.e.(1)+(2) col B over RC-C Pt I 1.e.(1)+(2)</t>
        </is>
      </c>
      <c r="D113" s="32" t="inlineStr">
        <is>
          <t>(F180+F181) / (F160+F161)</t>
        </is>
      </c>
      <c r="E113" s="28" t="inlineStr">
        <is>
          <t>[V] comp.</t>
        </is>
      </c>
      <c r="F113" s="28" t="inlineStr"/>
    </row>
    <row r="114">
      <c r="A114" s="32" t="inlineStr">
        <is>
          <t>UNINSDEPR</t>
        </is>
      </c>
      <c r="B114" s="28" t="inlineStr">
        <is>
          <t>derived: DEPUNINS/DEP*100</t>
        </is>
      </c>
      <c r="C114" s="28" t="inlineStr">
        <is>
          <t>RC-O Mem 2 over RC 13.a (+13.b 031)</t>
        </is>
      </c>
      <c r="D114" s="32" t="inlineStr">
        <is>
          <t>(RCON5597) / (RCON2200 (+RCFN2200 031))</t>
        </is>
      </c>
      <c r="E114" s="28" t="inlineStr">
        <is>
          <t>[V] comp.</t>
        </is>
      </c>
      <c r="F114" s="28" t="inlineStr">
        <is>
          <t xml:space="preserve"> null numerator -&gt; blank, never 0</t>
        </is>
      </c>
    </row>
    <row r="116">
      <c r="A116" s="28" t="inlineStr">
        <is>
          <t># Every [SERIES] metric has a row here: direct metrics under their field name, derived metrics under their metric id with the exact formula + component MDRMs. Sample-verify from PowerShell: python runner.py -w &lt;book&gt;.xlsm --tieout &lt;CERT&gt; [REPDTE] (--demo prints labeled demo values).</t>
        </is>
      </c>
    </row>
  </sheetData>
  <pageMargins left="0.75" right="0.75" top="1" bottom="1" header="0.5" footer="0.5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A1:A1820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32" t="inlineStr">
        <is>
          <t>#!/usr/bin/env python3</t>
        </is>
      </c>
    </row>
    <row r="2">
      <c r="A2" s="32" t="inlineStr">
        <is>
          <t>"""Bank Counterparty &amp; Peer Monitor -- runner (the data path).</t>
        </is>
      </c>
    </row>
    <row r="3">
      <c r="A3" s="32" t="inlineStr"/>
    </row>
    <row r="4">
      <c r="A4" s="32" t="inlineStr">
        <is>
          <t>Single source of truth for the data path; embedded verbatim into the workbook's</t>
        </is>
      </c>
    </row>
    <row r="5">
      <c r="A5" s="32" t="inlineStr">
        <is>
          <t>_code_py tab. The VBA ExtractFiles macro writes this back out as runner.py and</t>
        </is>
      </c>
    </row>
    <row r="6">
      <c r="A6" s="32" t="inlineStr">
        <is>
          <t>the user runs it from PowerShell against the CLOSED workbook (openpyxl backend).</t>
        </is>
      </c>
    </row>
    <row r="7">
      <c r="A7" s="32" t="inlineStr"/>
    </row>
    <row r="8">
      <c r="A8" s="32" t="inlineStr">
        <is>
          <t>Built to BUILD_SPEC_FDIC.md + SPEC_COMPETITOR_PACK.md (pack v1.1). THE</t>
        </is>
      </c>
    </row>
    <row r="9">
      <c r="A9" s="32" t="inlineStr">
        <is>
          <t>INVERSION: rows are BANKS, not series types -- the hand-picked [PEERS] list IS</t>
        </is>
      </c>
    </row>
    <row r="10">
      <c r="A10" s="32" t="inlineStr">
        <is>
          <t>the watchlist, keyed by FDIC CERT, and [SERIES] is a bank-agnostic 53-metric</t>
        </is>
      </c>
    </row>
    <row r="11">
      <c r="A11" s="32" t="inlineStr">
        <is>
          <t>dictionary (15 core + the v1.1 two-track loan-book/SVB pack) expanded at run</t>
        </is>
      </c>
    </row>
    <row r="12">
      <c r="A12" s="32" t="inlineStr">
        <is>
          <t>time into units s{slot:02d}_{METRIC}. Raw anchors depend ONLY on (slot,</t>
        </is>
      </c>
    </row>
    <row r="13">
      <c r="A13" s="32" t="inlineStr">
        <is>
          <t>field), so editing WHICH bank occupies a slot moves no formula (the</t>
        </is>
      </c>
    </row>
    <row r="14">
      <c r="A14" s="32" t="inlineStr">
        <is>
          <t>flexible-peers USER REQUIREMENT: add/remove = edit a [PEERS] line + re-run,</t>
        </is>
      </c>
    </row>
    <row r="15">
      <c r="A15" s="32" t="inlineStr">
        <is>
          <t>never a rebuild). v1.1 adds `--tieout CERT [REPDTE]` (contract sec 12):</t>
        </is>
      </c>
    </row>
    <row r="16">
      <c r="A16" s="32" t="inlineStr">
        <is>
          <t>sample-verify any bank-quarter against the filed Call Report facsimile.</t>
        </is>
      </c>
    </row>
    <row r="17">
      <c r="A17" s="32" t="inlineStr"/>
    </row>
    <row r="18">
      <c r="A18" s="32" t="inlineStr">
        <is>
          <t>Clean seams (BUILD SPEC 0.3 / 1a):</t>
        </is>
      </c>
    </row>
    <row r="19">
      <c r="A19" s="32" t="inlineStr">
        <is>
          <t xml:space="preserve">  * ADAPTER SEAM -- fetch_series(spec, secret) -&gt; list[NormalizedRow], FIXED</t>
        </is>
      </c>
    </row>
    <row r="20">
      <c r="A20" s="32" t="inlineStr">
        <is>
          <t xml:space="preserve">    schema. Two Class A providers: FdicProvider (live, plain urllib, KEYLESS</t>
        </is>
      </c>
    </row>
    <row r="21">
      <c r="A21" s="32" t="inlineStr">
        <is>
          <t xml:space="preserve">    -- the FDIC BankFind API needs no API key) + FdicDemoProvider (offline</t>
        </is>
      </c>
    </row>
    <row r="22">
      <c r="A22" s="32" t="inlineStr">
        <is>
          <t xml:space="preserve">    deterministic, all tests). One in-process Class C stub proves the seam</t>
        </is>
      </c>
    </row>
    <row r="23">
      <c r="A23" s="32" t="inlineStr">
        <is>
          <t xml:space="preserve">    contract; note the gates admit ONLY class "A".</t>
        </is>
      </c>
    </row>
    <row r="24">
      <c r="A24" s="32" t="inlineStr">
        <is>
          <t xml:space="preserve">  * METRIC REGISTRY -- named PURE derived-ratio functions (PD3089R, TEXAS,</t>
        </is>
      </c>
    </row>
    <row r="25">
      <c r="A25" s="32" t="inlineStr">
        <is>
          <t xml:space="preserve">    LNDEPR, BRODEPR, CRECONR) defined IDENTICALLY here and in the Excel</t>
        </is>
      </c>
    </row>
    <row r="26">
      <c r="A26" s="32" t="inlineStr">
        <is>
          <t xml:space="preserve">    formulas (trap F5, parity-tested). None-tolerant: a missing field yields</t>
        </is>
      </c>
    </row>
    <row r="27">
      <c r="A27" s="32" t="inlineStr">
        <is>
          <t xml:space="preserve">    blank, never zero (trap F3: JSON null != 0).</t>
        </is>
      </c>
    </row>
    <row r="28">
      <c r="A28" s="32" t="inlineStr">
        <is>
          <t xml:space="preserve">  * THRESHOLD ENGINE -- config-driven OK/WATCH/ALERT, direction-aware.</t>
        </is>
      </c>
    </row>
    <row r="29">
      <c r="A29" s="32" t="inlineStr">
        <is>
          <t xml:space="preserve">  * WATCHLIST VALIDATOR -- DEFAULT-DENY (BUILD SPEC 0.1 / sec 3): only rows</t>
        </is>
      </c>
    </row>
    <row r="30">
      <c r="A30" s="32" t="inlineStr">
        <is>
          <t xml:space="preserve">    carrying a genuine entity key (cert:NNNNNNN) are admitted; blank/malformed</t>
        </is>
      </c>
    </row>
    <row r="31">
      <c r="A31" s="32" t="inlineStr">
        <is>
          <t xml:space="preserve">    CERTs are refused BY NAME with a --lookup hint; non-Class-A metric rows</t>
        </is>
      </c>
    </row>
    <row r="32">
      <c r="A32" s="32" t="inlineStr">
        <is>
          <t xml:space="preserve">    refuse the run.</t>
        </is>
      </c>
    </row>
    <row r="33">
      <c r="A33" s="32" t="inlineStr">
        <is>
          <t xml:space="preserve">  * STALENESS GUARD (BUILD SPEC 0.6) -- merged-away banks return stale</t>
        </is>
      </c>
    </row>
    <row r="34">
      <c r="A34" s="32" t="inlineStr">
        <is>
          <t xml:space="preserve">    REPDTEs with no error (trap F2): a bank whose latest REPDTE lags the</t>
        </is>
      </c>
    </row>
    <row r="35">
      <c r="A35" s="32" t="inlineStr">
        <is>
          <t xml:space="preserve">    peer-set max by more than stale_multiplier quarters is STALE, excluded</t>
        </is>
      </c>
    </row>
    <row r="36">
      <c r="A36" s="32" t="inlineStr">
        <is>
          <t xml:space="preserve">    from digest alert counts, and surfaced for a merger/closure check.</t>
        </is>
      </c>
    </row>
    <row r="37">
      <c r="A37" s="32" t="inlineStr"/>
    </row>
    <row r="38">
      <c r="A38" s="32" t="inlineStr">
        <is>
          <t>No AI/LLM anywhere; every computation is deterministic (BUILD SPEC 0.5).</t>
        </is>
      </c>
    </row>
    <row r="39">
      <c r="A39" s="32" t="inlineStr">
        <is>
          <t>Pure ASCII (L3).</t>
        </is>
      </c>
    </row>
    <row r="40">
      <c r="A40" s="32" t="inlineStr">
        <is>
          <t>"""</t>
        </is>
      </c>
    </row>
    <row r="41">
      <c r="A41" s="32" t="inlineStr">
        <is>
          <t>from __future__ import annotations</t>
        </is>
      </c>
    </row>
    <row r="42">
      <c r="A42" s="32" t="inlineStr"/>
    </row>
    <row r="43">
      <c r="A43" s="32" t="inlineStr">
        <is>
          <t>import argparse</t>
        </is>
      </c>
    </row>
    <row r="44">
      <c r="A44" s="32" t="inlineStr">
        <is>
          <t>import json</t>
        </is>
      </c>
    </row>
    <row r="45">
      <c r="A45" s="32" t="inlineStr">
        <is>
          <t>import math</t>
        </is>
      </c>
    </row>
    <row r="46">
      <c r="A46" s="32" t="inlineStr">
        <is>
          <t>import os</t>
        </is>
      </c>
    </row>
    <row r="47">
      <c r="A47" s="32" t="inlineStr">
        <is>
          <t>import re</t>
        </is>
      </c>
    </row>
    <row r="48">
      <c r="A48" s="32" t="inlineStr">
        <is>
          <t>import sys</t>
        </is>
      </c>
    </row>
    <row r="49">
      <c r="A49" s="32" t="inlineStr">
        <is>
          <t>import time</t>
        </is>
      </c>
    </row>
    <row r="50">
      <c r="A50" s="32" t="inlineStr">
        <is>
          <t>from dataclasses import dataclass, field</t>
        </is>
      </c>
    </row>
    <row r="51">
      <c r="A51" s="32" t="inlineStr">
        <is>
          <t>from datetime import date, datetime</t>
        </is>
      </c>
    </row>
    <row r="52">
      <c r="A52" s="32" t="inlineStr">
        <is>
          <t>from typing import Dict, List, Optional, Sequence, Tuple</t>
        </is>
      </c>
    </row>
    <row r="53">
      <c r="A53" s="32" t="inlineStr"/>
    </row>
    <row r="54">
      <c r="A54" s="32" t="inlineStr">
        <is>
          <t>import pandas as pd</t>
        </is>
      </c>
    </row>
    <row r="55">
      <c r="A55" s="32" t="inlineStr"/>
    </row>
    <row r="56">
      <c r="A56" s="32" t="inlineStr">
        <is>
          <t># Fixed raw-block geometry: ONE block per PEER SLOT in Raw_FDIC, quarters as</t>
        </is>
      </c>
    </row>
    <row r="57">
      <c r="A57" s="32" t="inlineStr">
        <is>
          <t># rows (newest first), fields as columns. Anchors depend only on (slot, field)</t>
        </is>
      </c>
    </row>
    <row r="58">
      <c r="A58" s="32" t="inlineStr">
        <is>
          <t># -- never on which bank occupies the slot -- so dashboard formulas survive</t>
        </is>
      </c>
    </row>
    <row r="59">
      <c r="A59" s="32" t="inlineStr">
        <is>
          <t># any [PEERS] edit.</t>
        </is>
      </c>
    </row>
    <row r="60">
      <c r="A60" s="32" t="inlineStr">
        <is>
          <t>RAW_TAB = "Raw_FDIC"</t>
        </is>
      </c>
    </row>
    <row r="61">
      <c r="A61" s="32" t="inlineStr">
        <is>
          <t>RAW_SLOTS_DEFAULT = 16         # quarters kept per bank (newest-first)</t>
        </is>
      </c>
    </row>
    <row r="62">
      <c r="A62" s="32" t="inlineStr">
        <is>
          <t>PEER_SLOTS_DEFAULT = 40        # BUILT peer capacity (make_workbook.py --peer-slots)</t>
        </is>
      </c>
    </row>
    <row r="63">
      <c r="A63" s="32" t="inlineStr">
        <is>
          <t>RAW_HEADER_ROWS = 2</t>
        </is>
      </c>
    </row>
    <row r="64">
      <c r="A64" s="32" t="inlineStr">
        <is>
          <t>RAW_GAP_ROWS = 2</t>
        </is>
      </c>
    </row>
    <row r="65">
      <c r="A65" s="32" t="inlineStr">
        <is>
          <t>RAW_FIRST_ROW = 2</t>
        </is>
      </c>
    </row>
    <row r="66">
      <c r="A66" s="32" t="inlineStr">
        <is>
          <t>RAW_PERIOD_COL = 1             # column A = REPDTE (ISO)</t>
        </is>
      </c>
    </row>
    <row r="67">
      <c r="A67" s="32" t="inlineStr"/>
    </row>
    <row r="68">
      <c r="A68" s="32" t="inlineStr">
        <is>
          <t># Status panel column on each dashboard (free of any merged masthead cells).</t>
        </is>
      </c>
    </row>
    <row r="69">
      <c r="A69" s="32" t="inlineStr">
        <is>
          <t># Dashboard_LoanBook is wider than the others (its banner merge spans past</t>
        </is>
      </c>
    </row>
    <row r="70">
      <c r="A70" s="32" t="inlineStr">
        <is>
          <t># column L), so its status panel lives further right.</t>
        </is>
      </c>
    </row>
    <row r="71">
      <c r="A71" s="32" t="inlineStr">
        <is>
          <t>STATUS_COL = 12                # column L</t>
        </is>
      </c>
    </row>
    <row r="72">
      <c r="A72" s="32" t="inlineStr">
        <is>
          <t>STATUS_COL_BY_TAB = {"Dashboard_LoanBook": 24}   # column X</t>
        </is>
      </c>
    </row>
    <row r="73">
      <c r="A73" s="32" t="inlineStr"/>
    </row>
    <row r="74">
      <c r="A74" s="32" t="inlineStr">
        <is>
          <t>DASH_TABS = ("Dashboard_AssetQuality", "Dashboard_Capital_Earnings",</t>
        </is>
      </c>
    </row>
    <row r="75">
      <c r="A75" s="32" t="inlineStr">
        <is>
          <t xml:space="preserve">             "Dashboard_Funding_Concentration", "Dashboard_LoanBook")</t>
        </is>
      </c>
    </row>
    <row r="76">
      <c r="A76" s="32" t="inlineStr"/>
    </row>
    <row r="77">
      <c r="A77" s="32" t="inlineStr">
        <is>
          <t># The pack version BUILT into this runner's raw layout / metric registry.</t>
        </is>
      </c>
    </row>
    <row r="78">
      <c r="A78" s="32" t="inlineStr">
        <is>
          <t># A workbook built by a different pack is refused (rebuild, never mis-write).</t>
        </is>
      </c>
    </row>
    <row r="79">
      <c r="A79" s="32" t="inlineStr">
        <is>
          <t>PACK_VERSION = "1.1"</t>
        </is>
      </c>
    </row>
    <row r="80">
      <c r="A80" s="32" t="inlineStr"/>
    </row>
    <row r="81">
      <c r="A81" s="32" t="inlineStr">
        <is>
          <t># Every raw field landed per bank (the audit trail: each derived metric's</t>
        </is>
      </c>
    </row>
    <row r="82">
      <c r="A82" s="32" t="inlineStr">
        <is>
          <t># inputs are visible in Raw_FDIC). Verified names from risview_properties.yaml</t>
        </is>
      </c>
    </row>
    <row r="83">
      <c r="A83" s="32" t="inlineStr">
        <is>
          <t># / the captured response -- COVERAGE_RESEARCH_FDIC.md; v1.1 competitor-pack</t>
        </is>
      </c>
    </row>
    <row r="84">
      <c r="A84" s="32" t="inlineStr">
        <is>
          <t># fields verified in RESEARCH_COMPETITOR_PACK.md (93/93). Mixed units per</t>
        </is>
      </c>
    </row>
    <row r="85">
      <c r="A85" s="32" t="inlineStr">
        <is>
          <t># record (trap F4): dollar fields are $ THOUSANDS, ratio fields are PERCENT.</t>
        </is>
      </c>
    </row>
    <row r="86">
      <c r="A86" s="32" t="inlineStr">
        <is>
          <t># NAMING RULES (research-verified): quarterly NCO fields truncate the base to</t>
        </is>
      </c>
    </row>
    <row r="87">
      <c r="A87" s="32" t="inlineStr">
        <is>
          <t># 8 chars before the Q (NTRECONQ, never NTRECONSQ); P3/P9/NA ratio twins are</t>
        </is>
      </c>
    </row>
    <row r="88">
      <c r="A88" s="32" t="inlineStr">
        <is>
          <t># used ONLY where the un-truncated twin name fits the same 8-char limit</t>
        </is>
      </c>
    </row>
    <row r="89">
      <c r="A89" s="32" t="inlineStr">
        <is>
          <t># (P3CRCDR yes, P3CONOTHR no -- those rates are computed from the verified</t>
        </is>
      </c>
    </row>
    <row r="90">
      <c r="A90" s="32" t="inlineStr">
        <is>
          <t># dollar triple + balance instead).</t>
        </is>
      </c>
    </row>
    <row r="91">
      <c r="A91" s="32" t="inlineStr">
        <is>
          <t>RAW_FIELDS = [</t>
        </is>
      </c>
    </row>
    <row r="92">
      <c r="A92" s="32" t="inlineStr">
        <is>
          <t xml:space="preserve">    "ASSET", "DEP", "LNLSGR", "LNLSNET", "BRO", "EQ",           # $000</t>
        </is>
      </c>
    </row>
    <row r="93">
      <c r="A93" s="32" t="inlineStr">
        <is>
          <t xml:space="preserve">    "NCLNLS", "LNATRES", "P3LNLS",                              # $000</t>
        </is>
      </c>
    </row>
    <row r="94">
      <c r="A94" s="32" t="inlineStr">
        <is>
          <t xml:space="preserve">    "LNRECONS", "LNRENRES", "LNREMULT",                         # $000</t>
        </is>
      </c>
    </row>
    <row r="95">
      <c r="A95" s="32" t="inlineStr">
        <is>
          <t xml:space="preserve">    "NCLNLSR", "NTLNLSQR", "LNATRESR", "LNRESNCR",              # pct</t>
        </is>
      </c>
    </row>
    <row r="96">
      <c r="A96" s="32" t="inlineStr">
        <is>
          <t xml:space="preserve">    "RBC1AAJ", "RBCRWAJ", "EQV", "ROAQ", "NIMY", "EEFFR",       # pct</t>
        </is>
      </c>
    </row>
    <row r="97">
      <c r="A97" s="32" t="inlineStr">
        <is>
          <t xml:space="preserve">    # --- v1.1 consumer track: verified R ratio twins (pct) ---</t>
        </is>
      </c>
    </row>
    <row r="98">
      <c r="A98" s="32" t="inlineStr">
        <is>
          <t xml:space="preserve">    "P3CRCDR", "P9CRCDR", "NACRCDR",                            # pct</t>
        </is>
      </c>
    </row>
    <row r="99">
      <c r="A99" s="32" t="inlineStr">
        <is>
          <t xml:space="preserve">    "P3AUTOR", "P9AUTOR", "NAAUTOR",                            # pct</t>
        </is>
      </c>
    </row>
    <row r="100">
      <c r="A100" s="32" t="inlineStr">
        <is>
          <t xml:space="preserve">    "P3RERESR", "P9RERESR", "NARERESR",                         # pct</t>
        </is>
      </c>
    </row>
    <row r="101">
      <c r="A101" s="32" t="inlineStr">
        <is>
          <t xml:space="preserve">    "P3RELOCR", "P9RELOCR", "NARELOCR",                         # pct (HELOC)</t>
        </is>
      </c>
    </row>
    <row r="102">
      <c r="A102" s="32" t="inlineStr">
        <is>
          <t xml:space="preserve">    # other-consumer PD/NA dollar triple (twin name would exceed 8 chars)</t>
        </is>
      </c>
    </row>
    <row r="103">
      <c r="A103" s="32" t="inlineStr">
        <is>
          <t xml:space="preserve">    "P3CONOTH", "P9CONOTH", "NACONOTH",                         # $000</t>
        </is>
      </c>
    </row>
    <row r="104">
      <c r="A104" s="32" t="inlineStr">
        <is>
          <t xml:space="preserve">    # consumer balances + quarterly NCO dollars (F1: never the YTD NT{c})</t>
        </is>
      </c>
    </row>
    <row r="105">
      <c r="A105" s="32" t="inlineStr">
        <is>
          <t xml:space="preserve">    "LNCRCD", "LNAUTO", "LNCONOTH", "LNRERES",                  # $000</t>
        </is>
      </c>
    </row>
    <row r="106">
      <c r="A106" s="32" t="inlineStr">
        <is>
          <t xml:space="preserve">    "NTCRCDQ", "NTAUTOQ", "NTCONOTQ", "NTRERESQ",               # $000</t>
        </is>
      </c>
    </row>
    <row r="107">
      <c r="A107" s="32" t="inlineStr">
        <is>
          <t xml:space="preserve">    # --- v1.1 commercial floor ---</t>
        </is>
      </c>
    </row>
    <row r="108">
      <c r="A108" s="32" t="inlineStr">
        <is>
          <t xml:space="preserve">    "P3CIR", "P9CIR", "NACIR",                                  # pct twins</t>
        </is>
      </c>
    </row>
    <row r="109">
      <c r="A109" s="32" t="inlineStr">
        <is>
          <t xml:space="preserve">    "P3RECONS", "P9RECONS", "NARECONS",                         # $000</t>
        </is>
      </c>
    </row>
    <row r="110">
      <c r="A110" s="32" t="inlineStr">
        <is>
          <t xml:space="preserve">    "P3RENRES", "P9RENRES", "NARENRES",                         # $000</t>
        </is>
      </c>
    </row>
    <row r="111">
      <c r="A111" s="32" t="inlineStr">
        <is>
          <t xml:space="preserve">    "P3REMULT", "P9REMULT", "NAREMULT",                         # $000</t>
        </is>
      </c>
    </row>
    <row r="112">
      <c r="A112" s="32" t="inlineStr">
        <is>
          <t xml:space="preserve">    "LNCI",                                                     # $000</t>
        </is>
      </c>
    </row>
    <row r="113">
      <c r="A113" s="32" t="inlineStr">
        <is>
          <t xml:space="preserve">    "NTRECONQ", "NTRENREQ", "NTREMULQ", "NTCIQ",                # $000</t>
        </is>
      </c>
    </row>
    <row r="114">
      <c r="A114" s="32" t="inlineStr">
        <is>
          <t xml:space="preserve">    # --- v1.1 SVB / funding-stress pack ---</t>
        </is>
      </c>
    </row>
    <row r="115">
      <c r="A115" s="32" t="inlineStr">
        <is>
          <t xml:space="preserve">    "DEPUNINS",                                                 # $000 (nullable)</t>
        </is>
      </c>
    </row>
    <row r="116">
      <c r="A116" s="32" t="inlineStr">
        <is>
          <t xml:space="preserve">    "SCHA", "SCHF", "SCAA", "SCAF",                             # $000 HTM/AFS</t>
        </is>
      </c>
    </row>
    <row r="117">
      <c r="A117" s="32" t="inlineStr">
        <is>
          <t xml:space="preserve">    "OTHBFHLB",                                                 # $000 FHLB adv</t>
        </is>
      </c>
    </row>
    <row r="118">
      <c r="A118" s="32" t="inlineStr">
        <is>
          <t>]</t>
        </is>
      </c>
    </row>
    <row r="119">
      <c r="A119" s="32" t="inlineStr">
        <is>
          <t>PCT_FIELDS = {</t>
        </is>
      </c>
    </row>
    <row r="120">
      <c r="A120" s="32" t="inlineStr">
        <is>
          <t xml:space="preserve">    "NCLNLSR", "NTLNLSQR", "LNATRESR", "LNRESNCR",</t>
        </is>
      </c>
    </row>
    <row r="121">
      <c r="A121" s="32" t="inlineStr">
        <is>
          <t xml:space="preserve">    "RBC1AAJ", "RBCRWAJ", "EQV", "ROAQ", "NIMY", "EEFFR",</t>
        </is>
      </c>
    </row>
    <row r="122">
      <c r="A122" s="32" t="inlineStr">
        <is>
          <t xml:space="preserve">    "P3CRCDR", "P9CRCDR", "NACRCDR", "P3AUTOR", "P9AUTOR", "NAAUTOR",</t>
        </is>
      </c>
    </row>
    <row r="123">
      <c r="A123" s="32" t="inlineStr">
        <is>
          <t xml:space="preserve">    "P3RERESR", "P9RERESR", "NARERESR", "P3RELOCR", "P9RELOCR", "NARELOCR",</t>
        </is>
      </c>
    </row>
    <row r="124">
      <c r="A124" s="32" t="inlineStr">
        <is>
          <t xml:space="preserve">    "P3CIR", "P9CIR", "NACIR",</t>
        </is>
      </c>
    </row>
    <row r="125">
      <c r="A125" s="32" t="inlineStr">
        <is>
          <t>}</t>
        </is>
      </c>
    </row>
    <row r="126">
      <c r="A126" s="32" t="inlineStr">
        <is>
          <t>DOLLAR_FIELDS = {f for f in RAW_FIELDS if f not in PCT_FIELDS}</t>
        </is>
      </c>
    </row>
    <row r="127">
      <c r="A127" s="32" t="inlineStr">
        <is>
          <t>FIELD_UNITS = {f: ("USD_thousands" if f in DOLLAR_FIELDS else "pct")</t>
        </is>
      </c>
    </row>
    <row r="128">
      <c r="A128" s="32" t="inlineStr">
        <is>
          <t xml:space="preserve">               for f in RAW_FIELDS}</t>
        </is>
      </c>
    </row>
    <row r="129">
      <c r="A129" s="32" t="inlineStr"/>
    </row>
    <row r="130">
      <c r="A130" s="32" t="inlineStr">
        <is>
          <t># The FDIC bulk endpoint caps fields= at 250; the ONE bulk request must stay</t>
        </is>
      </c>
    </row>
    <row r="131">
      <c r="A131" s="32" t="inlineStr">
        <is>
          <t># far under it (spec sec 3). Guarded here AND at request build time.</t>
        </is>
      </c>
    </row>
    <row r="132">
      <c r="A132" s="32" t="inlineStr">
        <is>
          <t>MAX_REQUEST_FIELDS = 250</t>
        </is>
      </c>
    </row>
    <row r="133">
      <c r="A133" s="32" t="inlineStr">
        <is>
          <t>assert len(RAW_FIELDS) + 2 &lt; MAX_REQUEST_FIELDS, "fields= list over the cap"</t>
        </is>
      </c>
    </row>
    <row r="134">
      <c r="A134" s="32" t="inlineStr"/>
    </row>
    <row r="135">
      <c r="A135" s="32" t="inlineStr">
        <is>
          <t># The watchlist join-key whitelist (BUILD SPEC 0.1 / sec 3): default-deny.</t>
        </is>
      </c>
    </row>
    <row r="136">
      <c r="A136" s="32" t="inlineStr">
        <is>
          <t># Only a literal FDIC certificate key passes; aggregates, name-only rows and</t>
        </is>
      </c>
    </row>
    <row r="137">
      <c r="A137" s="32" t="inlineStr">
        <is>
          <t># unanticipated key forms are refused (holding-company/RSSD promotion is a</t>
        </is>
      </c>
    </row>
    <row r="138">
      <c r="A138" s="32" t="inlineStr">
        <is>
          <t># spec change, not a config edit).</t>
        </is>
      </c>
    </row>
    <row r="139">
      <c r="A139" s="32" t="inlineStr">
        <is>
          <t>ENTITY_KEY_PATTERN = r"^cert:[0-9]{1,7}$"</t>
        </is>
      </c>
    </row>
    <row r="140">
      <c r="A140" s="32" t="inlineStr"/>
    </row>
    <row r="141">
      <c r="A141" s="32" t="inlineStr">
        <is>
          <t>QUARTER_DAYS = 92              # generous quarter length for the staleness math</t>
        </is>
      </c>
    </row>
    <row r="142">
      <c r="A142" s="32" t="inlineStr"/>
    </row>
    <row r="143">
      <c r="A143" s="32" t="inlineStr">
        <is>
          <t>FDIC_FIN_URL = "https://api.fdic.gov/banks/financials"</t>
        </is>
      </c>
    </row>
    <row r="144">
      <c r="A144" s="32" t="inlineStr">
        <is>
          <t>FDIC_INST_URL = "https://api.fdic.gov/banks/institutions"</t>
        </is>
      </c>
    </row>
    <row r="145">
      <c r="A145" s="32" t="inlineStr"/>
    </row>
    <row r="146">
      <c r="A146" s="32" t="inlineStr"/>
    </row>
    <row r="147">
      <c r="A147" s="32" t="inlineStr">
        <is>
          <t>def field_col(fname: str) -&gt; int:</t>
        </is>
      </c>
    </row>
    <row r="148">
      <c r="A148" s="32" t="inlineStr">
        <is>
          <t xml:space="preserve">    """Raw_FDIC column for a field: B onward, in RAW_FIELDS order (fixed)."""</t>
        </is>
      </c>
    </row>
    <row r="149">
      <c r="A149" s="32" t="inlineStr">
        <is>
          <t xml:space="preserve">    return 2 + RAW_FIELDS.index(fname)</t>
        </is>
      </c>
    </row>
    <row r="150">
      <c r="A150" s="32" t="inlineStr"/>
    </row>
    <row r="151">
      <c r="A151" s="32" t="inlineStr"/>
    </row>
    <row r="152">
      <c r="A152" s="32" t="inlineStr">
        <is>
          <t>def slot_label(slot: int) -&gt; str:</t>
        </is>
      </c>
    </row>
    <row r="153">
      <c r="A153" s="32" t="inlineStr">
        <is>
          <t xml:space="preserve">    return f"slot{slot:02d}"</t>
        </is>
      </c>
    </row>
    <row r="154">
      <c r="A154" s="32" t="inlineStr"/>
    </row>
    <row r="155">
      <c r="A155" s="32" t="inlineStr"/>
    </row>
    <row r="156">
      <c r="A156" s="32" t="inlineStr">
        <is>
          <t># ---------------------------------------------------------------------------</t>
        </is>
      </c>
    </row>
    <row r="157">
      <c r="A157" s="32" t="inlineStr">
        <is>
          <t># CONFIG MODEL (parsed from the `_config` tab; backend-agnostic)</t>
        </is>
      </c>
    </row>
    <row r="158">
      <c r="A158" s="32" t="inlineStr">
        <is>
          <t># ---------------------------------------------------------------------------</t>
        </is>
      </c>
    </row>
    <row r="159">
      <c r="A159" s="32" t="inlineStr">
        <is>
          <t>SERIES_HEADER = [</t>
        </is>
      </c>
    </row>
    <row r="160">
      <c r="A160" s="32" t="inlineStr">
        <is>
          <t xml:space="preserve">    "id", "title", "category", "lane", "metric_type", "frequency", "sa_nsa",</t>
        </is>
      </c>
    </row>
    <row r="161">
      <c r="A161" s="32" t="inlineStr">
        <is>
          <t xml:space="preserve">    "units", "level_rate_index", "geo_segment", "source_class",</t>
        </is>
      </c>
    </row>
    <row r="162">
      <c r="A162" s="32" t="inlineStr">
        <is>
          <t xml:space="preserve">    "dashboard_capable", "watchlist_capable", "source_url", "table_id", "sheet",</t>
        </is>
      </c>
    </row>
    <row r="163">
      <c r="A163" s="32" t="inlineStr">
        <is>
          <t xml:space="preserve">    "series_label", "transform", "notes",</t>
        </is>
      </c>
    </row>
    <row r="164">
      <c r="A164" s="32" t="inlineStr">
        <is>
          <t>]</t>
        </is>
      </c>
    </row>
    <row r="165">
      <c r="A165" s="32" t="inlineStr"/>
    </row>
    <row r="166">
      <c r="A166" s="32" t="inlineStr">
        <is>
          <t>PEER_HEADER = ["slot", "cert", "name", "group", "active"]</t>
        </is>
      </c>
    </row>
    <row r="167">
      <c r="A167" s="32" t="inlineStr"/>
    </row>
    <row r="168">
      <c r="A168" s="32" t="inlineStr"/>
    </row>
    <row r="169">
      <c r="A169" s="32" t="inlineStr">
        <is>
          <t>@dataclass</t>
        </is>
      </c>
    </row>
    <row r="170">
      <c r="A170" s="32" t="inlineStr">
        <is>
          <t>class SeriesSpec:</t>
        </is>
      </c>
    </row>
    <row r="171">
      <c r="A171" s="32" t="inlineStr">
        <is>
          <t xml:space="preserve">    id: str</t>
        </is>
      </c>
    </row>
    <row r="172">
      <c r="A172" s="32" t="inlineStr">
        <is>
          <t xml:space="preserve">    title: str</t>
        </is>
      </c>
    </row>
    <row r="173">
      <c r="A173" s="32" t="inlineStr">
        <is>
          <t xml:space="preserve">    category: str</t>
        </is>
      </c>
    </row>
    <row r="174">
      <c r="A174" s="32" t="inlineStr">
        <is>
          <t xml:space="preserve">    lane: str</t>
        </is>
      </c>
    </row>
    <row r="175">
      <c r="A175" s="32" t="inlineStr">
        <is>
          <t xml:space="preserve">    metric_type: str</t>
        </is>
      </c>
    </row>
    <row r="176">
      <c r="A176" s="32" t="inlineStr">
        <is>
          <t xml:space="preserve">    frequency: str</t>
        </is>
      </c>
    </row>
    <row r="177">
      <c r="A177" s="32" t="inlineStr">
        <is>
          <t xml:space="preserve">    sa_nsa: str</t>
        </is>
      </c>
    </row>
    <row r="178">
      <c r="A178" s="32" t="inlineStr">
        <is>
          <t xml:space="preserve">    units: str</t>
        </is>
      </c>
    </row>
    <row r="179">
      <c r="A179" s="32" t="inlineStr">
        <is>
          <t xml:space="preserve">    level_rate_index: str</t>
        </is>
      </c>
    </row>
    <row r="180">
      <c r="A180" s="32" t="inlineStr">
        <is>
          <t xml:space="preserve">    geo_segment: str</t>
        </is>
      </c>
    </row>
    <row r="181">
      <c r="A181" s="32" t="inlineStr">
        <is>
          <t xml:space="preserve">    source_class: str</t>
        </is>
      </c>
    </row>
    <row r="182">
      <c r="A182" s="32" t="inlineStr">
        <is>
          <t xml:space="preserve">    dashboard_capable: bool</t>
        </is>
      </c>
    </row>
    <row r="183">
      <c r="A183" s="32" t="inlineStr">
        <is>
          <t xml:space="preserve">    watchlist_capable: bool</t>
        </is>
      </c>
    </row>
    <row r="184">
      <c r="A184" s="32" t="inlineStr">
        <is>
          <t xml:space="preserve">    source_url: str</t>
        </is>
      </c>
    </row>
    <row r="185">
      <c r="A185" s="32" t="inlineStr">
        <is>
          <t xml:space="preserve">    table_id: str</t>
        </is>
      </c>
    </row>
    <row r="186">
      <c r="A186" s="32" t="inlineStr">
        <is>
          <t xml:space="preserve">    sheet: str</t>
        </is>
      </c>
    </row>
    <row r="187">
      <c r="A187" s="32" t="inlineStr">
        <is>
          <t xml:space="preserve">    series_label: str</t>
        </is>
      </c>
    </row>
    <row r="188">
      <c r="A188" s="32" t="inlineStr">
        <is>
          <t xml:space="preserve">    transform: str</t>
        </is>
      </c>
    </row>
    <row r="189">
      <c r="A189" s="32" t="inlineStr">
        <is>
          <t xml:space="preserve">    notes: str</t>
        </is>
      </c>
    </row>
    <row r="190">
      <c r="A190" s="32" t="inlineStr"/>
    </row>
    <row r="191">
      <c r="A191" s="32" t="inlineStr"/>
    </row>
    <row r="192">
      <c r="A192" s="32" t="inlineStr">
        <is>
          <t>@dataclass</t>
        </is>
      </c>
    </row>
    <row r="193">
      <c r="A193" s="32" t="inlineStr">
        <is>
          <t>class PeerRow:</t>
        </is>
      </c>
    </row>
    <row r="194">
      <c r="A194" s="32" t="inlineStr">
        <is>
          <t xml:space="preserve">    """One [PEERS] line: the flexible peer list (USER REQUIREMENT). An empty</t>
        </is>
      </c>
    </row>
    <row r="195">
      <c r="A195" s="32" t="inlineStr">
        <is>
          <t xml:space="preserve">    row (slot number only) is provisioned headroom the user fills by hand."""</t>
        </is>
      </c>
    </row>
    <row r="196">
      <c r="A196" s="32" t="inlineStr">
        <is>
          <t xml:space="preserve">    slot: Optional[int]</t>
        </is>
      </c>
    </row>
    <row r="197">
      <c r="A197" s="32" t="inlineStr">
        <is>
          <t xml:space="preserve">    cert: str              # normalized digit string; "" when blank</t>
        </is>
      </c>
    </row>
    <row r="198">
      <c r="A198" s="32" t="inlineStr">
        <is>
          <t xml:space="preserve">    name: str</t>
        </is>
      </c>
    </row>
    <row r="199">
      <c r="A199" s="32" t="inlineStr">
        <is>
          <t xml:space="preserve">    group: str             # peer | counterparty | self (free text, rendered)</t>
        </is>
      </c>
    </row>
    <row r="200">
      <c r="A200" s="32" t="inlineStr">
        <is>
          <t xml:space="preserve">    active: bool</t>
        </is>
      </c>
    </row>
    <row r="201">
      <c r="A201" s="32" t="inlineStr"/>
    </row>
    <row r="202">
      <c r="A202" s="32" t="inlineStr">
        <is>
          <t xml:space="preserve">    @property</t>
        </is>
      </c>
    </row>
    <row r="203">
      <c r="A203" s="32" t="inlineStr">
        <is>
          <t xml:space="preserve">    def has_bank(self) -&gt; bool:</t>
        </is>
      </c>
    </row>
    <row r="204">
      <c r="A204" s="32" t="inlineStr">
        <is>
          <t xml:space="preserve">        return bool(self.cert or self.name)</t>
        </is>
      </c>
    </row>
    <row r="205">
      <c r="A205" s="32" t="inlineStr"/>
    </row>
    <row r="206">
      <c r="A206" s="32" t="inlineStr">
        <is>
          <t xml:space="preserve">    @property</t>
        </is>
      </c>
    </row>
    <row r="207">
      <c r="A207" s="32" t="inlineStr">
        <is>
          <t xml:space="preserve">    def entity_key(self) -&gt; str:</t>
        </is>
      </c>
    </row>
    <row r="208">
      <c r="A208" s="32" t="inlineStr">
        <is>
          <t xml:space="preserve">        """The join key the gate whitelists: cert:NNN built from the cert cell."""</t>
        </is>
      </c>
    </row>
    <row r="209">
      <c r="A209" s="32" t="inlineStr">
        <is>
          <t xml:space="preserve">        return f"cert:{self.cert}"</t>
        </is>
      </c>
    </row>
    <row r="210">
      <c r="A210" s="32" t="inlineStr"/>
    </row>
    <row r="211">
      <c r="A211" s="32" t="inlineStr"/>
    </row>
    <row r="212">
      <c r="A212" s="32" t="inlineStr">
        <is>
          <t>@dataclass</t>
        </is>
      </c>
    </row>
    <row r="213">
      <c r="A213" s="32" t="inlineStr">
        <is>
          <t>class Threshold:</t>
        </is>
      </c>
    </row>
    <row r="214">
      <c r="A214" s="32" t="inlineStr">
        <is>
          <t xml:space="preserve">    watch: Optional[float]</t>
        </is>
      </c>
    </row>
    <row r="215">
      <c r="A215" s="32" t="inlineStr">
        <is>
          <t xml:space="preserve">    alert: Optional[float]</t>
        </is>
      </c>
    </row>
    <row r="216">
      <c r="A216" s="32" t="inlineStr">
        <is>
          <t xml:space="preserve">    direction: str          # "above" | "below"</t>
        </is>
      </c>
    </row>
    <row r="217">
      <c r="A217" s="32" t="inlineStr"/>
    </row>
    <row r="218">
      <c r="A218" s="32" t="inlineStr"/>
    </row>
    <row r="219">
      <c r="A219" s="32" t="inlineStr">
        <is>
          <t>@dataclass</t>
        </is>
      </c>
    </row>
    <row r="220">
      <c r="A220" s="32" t="inlineStr">
        <is>
          <t>class Config:</t>
        </is>
      </c>
    </row>
    <row r="221">
      <c r="A221" s="32" t="inlineStr">
        <is>
          <t xml:space="preserve">    settings: Dict[str, str] = field(default_factory=dict)</t>
        </is>
      </c>
    </row>
    <row r="222">
      <c r="A222" s="32" t="inlineStr">
        <is>
          <t xml:space="preserve">    thresholds: Dict[str, Threshold] = field(default_factory=dict)</t>
        </is>
      </c>
    </row>
    <row r="223">
      <c r="A223" s="32" t="inlineStr">
        <is>
          <t xml:space="preserve">    series: List[SeriesSpec] = field(default_factory=list)</t>
        </is>
      </c>
    </row>
    <row r="224">
      <c r="A224" s="32" t="inlineStr">
        <is>
          <t xml:space="preserve">    peers: List[PeerRow] = field(default_factory=list)</t>
        </is>
      </c>
    </row>
    <row r="225">
      <c r="A225" s="32" t="inlineStr"/>
    </row>
    <row r="226">
      <c r="A226" s="32" t="inlineStr">
        <is>
          <t xml:space="preserve">    def setting(self, key, default=None):</t>
        </is>
      </c>
    </row>
    <row r="227">
      <c r="A227" s="32" t="inlineStr">
        <is>
          <t xml:space="preserve">        return self.settings.get(key, default)</t>
        </is>
      </c>
    </row>
    <row r="228">
      <c r="A228" s="32" t="inlineStr"/>
    </row>
    <row r="229">
      <c r="A229" s="32" t="inlineStr">
        <is>
          <t xml:space="preserve">    @property</t>
        </is>
      </c>
    </row>
    <row r="230">
      <c r="A230" s="32" t="inlineStr">
        <is>
          <t xml:space="preserve">    def raw_slots(self) -&gt; int:</t>
        </is>
      </c>
    </row>
    <row r="231">
      <c r="A231" s="32" t="inlineStr">
        <is>
          <t xml:space="preserve">        return int(float(self.settings.get("raw_slots", RAW_SLOTS_DEFAULT)))</t>
        </is>
      </c>
    </row>
    <row r="232">
      <c r="A232" s="32" t="inlineStr"/>
    </row>
    <row r="233">
      <c r="A233" s="32" t="inlineStr">
        <is>
          <t xml:space="preserve">    @property</t>
        </is>
      </c>
    </row>
    <row r="234">
      <c r="A234" s="32" t="inlineStr">
        <is>
          <t xml:space="preserve">    def peer_slots(self) -&gt; int:</t>
        </is>
      </c>
    </row>
    <row r="235">
      <c r="A235" s="32" t="inlineStr">
        <is>
          <t xml:space="preserve">        """The BUILT slot capacity. Informational here -- the raw-layout check</t>
        </is>
      </c>
    </row>
    <row r="236">
      <c r="A236" s="32" t="inlineStr">
        <is>
          <t xml:space="preserve">        (slot header labels) is the hard guard against a stale value."""</t>
        </is>
      </c>
    </row>
    <row r="237">
      <c r="A237" s="32" t="inlineStr">
        <is>
          <t xml:space="preserve">        return int(float(self.settings.get("peer_slots", PEER_SLOTS_DEFAULT)))</t>
        </is>
      </c>
    </row>
    <row r="238">
      <c r="A238" s="32" t="inlineStr"/>
    </row>
    <row r="239">
      <c r="A239" s="32" t="inlineStr">
        <is>
          <t xml:space="preserve">    @property</t>
        </is>
      </c>
    </row>
    <row r="240">
      <c r="A240" s="32" t="inlineStr">
        <is>
          <t xml:space="preserve">    def stale_multiplier(self) -&gt; float:</t>
        </is>
      </c>
    </row>
    <row r="241">
      <c r="A241" s="32" t="inlineStr">
        <is>
          <t xml:space="preserve">        v = _as_float(self.settings.get("stale_multiplier", "2.0"))</t>
        </is>
      </c>
    </row>
    <row r="242">
      <c r="A242" s="32" t="inlineStr">
        <is>
          <t xml:space="preserve">        return 2.0 if v is None else v</t>
        </is>
      </c>
    </row>
    <row r="243">
      <c r="A243" s="32" t="inlineStr"/>
    </row>
    <row r="244">
      <c r="A244" s="32" t="inlineStr"/>
    </row>
    <row r="245">
      <c r="A245" s="32" t="inlineStr">
        <is>
          <t>def _as_bool(v) -&gt; bool:</t>
        </is>
      </c>
    </row>
    <row r="246">
      <c r="A246" s="32" t="inlineStr">
        <is>
          <t xml:space="preserve">    return str(v).strip().lower() in ("true", "1", "yes", "y", "t")</t>
        </is>
      </c>
    </row>
    <row r="247">
      <c r="A247" s="32" t="inlineStr"/>
    </row>
    <row r="248">
      <c r="A248" s="32" t="inlineStr"/>
    </row>
    <row r="249">
      <c r="A249" s="32" t="inlineStr">
        <is>
          <t>def _as_float(v):</t>
        </is>
      </c>
    </row>
    <row r="250">
      <c r="A250" s="32" t="inlineStr">
        <is>
          <t xml:space="preserve">    try:</t>
        </is>
      </c>
    </row>
    <row r="251">
      <c r="A251" s="32" t="inlineStr">
        <is>
          <t xml:space="preserve">        s = str(v).strip()</t>
        </is>
      </c>
    </row>
    <row r="252">
      <c r="A252" s="32" t="inlineStr">
        <is>
          <t xml:space="preserve">        return float(s) if s != "" else None</t>
        </is>
      </c>
    </row>
    <row r="253">
      <c r="A253" s="32" t="inlineStr">
        <is>
          <t xml:space="preserve">    except (TypeError, ValueError):</t>
        </is>
      </c>
    </row>
    <row r="254">
      <c r="A254" s="32" t="inlineStr">
        <is>
          <t xml:space="preserve">        return None</t>
        </is>
      </c>
    </row>
    <row r="255">
      <c r="A255" s="32" t="inlineStr"/>
    </row>
    <row r="256">
      <c r="A256" s="32" t="inlineStr"/>
    </row>
    <row r="257">
      <c r="A257" s="32" t="inlineStr">
        <is>
          <t>def _norm_cert(v) -&gt; str:</t>
        </is>
      </c>
    </row>
    <row r="258">
      <c r="A258" s="32" t="inlineStr">
        <is>
          <t xml:space="preserve">    """Normalize a [PEERS] cert cell to a plain digit string. Excel hands</t>
        </is>
      </c>
    </row>
    <row r="259">
      <c r="A259" s="32" t="inlineStr">
        <is>
          <t xml:space="preserve">    numeric cells over as int/float (628 or 628.0); text stays as typed so a</t>
        </is>
      </c>
    </row>
    <row r="260">
      <c r="A260" s="32" t="inlineStr">
        <is>
          <t xml:space="preserve">    malformed value ('ABC', '12-34') reaches the gate and is refused, never</t>
        </is>
      </c>
    </row>
    <row r="261">
      <c r="A261" s="32" t="inlineStr">
        <is>
          <t xml:space="preserve">    silently coerced."""</t>
        </is>
      </c>
    </row>
    <row r="262">
      <c r="A262" s="32" t="inlineStr">
        <is>
          <t xml:space="preserve">    if v is None:</t>
        </is>
      </c>
    </row>
    <row r="263">
      <c r="A263" s="32" t="inlineStr">
        <is>
          <t xml:space="preserve">        return ""</t>
        </is>
      </c>
    </row>
    <row r="264">
      <c r="A264" s="32" t="inlineStr">
        <is>
          <t xml:space="preserve">    if isinstance(v, float) and v.is_integer():</t>
        </is>
      </c>
    </row>
    <row r="265">
      <c r="A265" s="32" t="inlineStr">
        <is>
          <t xml:space="preserve">        return str(int(v))</t>
        </is>
      </c>
    </row>
    <row r="266">
      <c r="A266" s="32" t="inlineStr">
        <is>
          <t xml:space="preserve">    if isinstance(v, int):</t>
        </is>
      </c>
    </row>
    <row r="267">
      <c r="A267" s="32" t="inlineStr">
        <is>
          <t xml:space="preserve">        return str(v)</t>
        </is>
      </c>
    </row>
    <row r="268">
      <c r="A268" s="32" t="inlineStr">
        <is>
          <t xml:space="preserve">    return str(v).strip()</t>
        </is>
      </c>
    </row>
    <row r="269">
      <c r="A269" s="32" t="inlineStr"/>
    </row>
    <row r="270">
      <c r="A270" s="32" t="inlineStr"/>
    </row>
    <row r="271">
      <c r="A271" s="32" t="inlineStr">
        <is>
          <t>def _norm_slot(v) -&gt; Optional[int]:</t>
        </is>
      </c>
    </row>
    <row r="272">
      <c r="A272" s="32" t="inlineStr">
        <is>
          <t xml:space="preserve">    try:</t>
        </is>
      </c>
    </row>
    <row r="273">
      <c r="A273" s="32" t="inlineStr">
        <is>
          <t xml:space="preserve">        s = str(v).strip()</t>
        </is>
      </c>
    </row>
    <row r="274">
      <c r="A274" s="32" t="inlineStr">
        <is>
          <t xml:space="preserve">        return int(float(s)) if s != "" else None</t>
        </is>
      </c>
    </row>
    <row r="275">
      <c r="A275" s="32" t="inlineStr">
        <is>
          <t xml:space="preserve">    except (TypeError, ValueError):</t>
        </is>
      </c>
    </row>
    <row r="276">
      <c r="A276" s="32" t="inlineStr">
        <is>
          <t xml:space="preserve">        return None</t>
        </is>
      </c>
    </row>
    <row r="277">
      <c r="A277" s="32" t="inlineStr"/>
    </row>
    <row r="278">
      <c r="A278" s="32" t="inlineStr"/>
    </row>
    <row r="279">
      <c r="A279" s="32" t="inlineStr">
        <is>
          <t>def parse_config(rows: Sequence[Sequence]) -&gt; Config:</t>
        </is>
      </c>
    </row>
    <row r="280">
      <c r="A280" s="32" t="inlineStr">
        <is>
          <t xml:space="preserve">    """Parse the `_config` sheet (list of row value-lists). Sections in col A:</t>
        </is>
      </c>
    </row>
    <row r="281">
      <c r="A281" s="32" t="inlineStr">
        <is>
          <t xml:space="preserve">    [SETTINGS], [THRESHOLDS], [PEERS], [SERIES]. The [PEERS] section is this</t>
        </is>
      </c>
    </row>
    <row r="282">
      <c r="A282" s="32" t="inlineStr">
        <is>
          <t xml:space="preserve">    template's addition; the other three parse contract-identically."""</t>
        </is>
      </c>
    </row>
    <row r="283">
      <c r="A283" s="32" t="inlineStr">
        <is>
          <t xml:space="preserve">    cfg = Config()</t>
        </is>
      </c>
    </row>
    <row r="284">
      <c r="A284" s="32" t="inlineStr">
        <is>
          <t xml:space="preserve">    section = None</t>
        </is>
      </c>
    </row>
    <row r="285">
      <c r="A285" s="32" t="inlineStr">
        <is>
          <t xml:space="preserve">    series_header = None</t>
        </is>
      </c>
    </row>
    <row r="286">
      <c r="A286" s="32" t="inlineStr">
        <is>
          <t xml:space="preserve">    thr_header = None</t>
        </is>
      </c>
    </row>
    <row r="287">
      <c r="A287" s="32" t="inlineStr">
        <is>
          <t xml:space="preserve">    peer_header = None</t>
        </is>
      </c>
    </row>
    <row r="288">
      <c r="A288" s="32" t="inlineStr">
        <is>
          <t xml:space="preserve">    for raw in rows:</t>
        </is>
      </c>
    </row>
    <row r="289">
      <c r="A289" s="32" t="inlineStr">
        <is>
          <t xml:space="preserve">        a = ("" if not raw or raw[0] is None else str(raw[0])).strip()</t>
        </is>
      </c>
    </row>
    <row r="290">
      <c r="A290" s="32" t="inlineStr">
        <is>
          <t xml:space="preserve">        if a.startswith("[") and a.endswith("]"):</t>
        </is>
      </c>
    </row>
    <row r="291">
      <c r="A291" s="32" t="inlineStr">
        <is>
          <t xml:space="preserve">            section = a.strip("[]").strip().upper()</t>
        </is>
      </c>
    </row>
    <row r="292">
      <c r="A292" s="32" t="inlineStr">
        <is>
          <t xml:space="preserve">            series_header = None</t>
        </is>
      </c>
    </row>
    <row r="293">
      <c r="A293" s="32" t="inlineStr">
        <is>
          <t xml:space="preserve">            thr_header = None</t>
        </is>
      </c>
    </row>
    <row r="294">
      <c r="A294" s="32" t="inlineStr">
        <is>
          <t xml:space="preserve">            peer_header = None</t>
        </is>
      </c>
    </row>
    <row r="295">
      <c r="A295" s="32" t="inlineStr">
        <is>
          <t xml:space="preserve">            continue</t>
        </is>
      </c>
    </row>
    <row r="296">
      <c r="A296" s="32" t="inlineStr">
        <is>
          <t xml:space="preserve">        if not a:</t>
        </is>
      </c>
    </row>
    <row r="297">
      <c r="A297" s="32" t="inlineStr">
        <is>
          <t xml:space="preserve">            continue</t>
        </is>
      </c>
    </row>
    <row r="298">
      <c r="A298" s="32" t="inlineStr">
        <is>
          <t xml:space="preserve">        if a.startswith("#"):          # in-sheet comment line, never data</t>
        </is>
      </c>
    </row>
    <row r="299">
      <c r="A299" s="32" t="inlineStr">
        <is>
          <t xml:space="preserve">            continue</t>
        </is>
      </c>
    </row>
    <row r="300">
      <c r="A300" s="32" t="inlineStr">
        <is>
          <t xml:space="preserve">        if section == "SETTINGS":</t>
        </is>
      </c>
    </row>
    <row r="301">
      <c r="A301" s="32" t="inlineStr">
        <is>
          <t xml:space="preserve">            if a.lower() in ("key", "name"):</t>
        </is>
      </c>
    </row>
    <row r="302">
      <c r="A302" s="32" t="inlineStr">
        <is>
          <t xml:space="preserve">                continue</t>
        </is>
      </c>
    </row>
    <row r="303">
      <c r="A303" s="32" t="inlineStr">
        <is>
          <t xml:space="preserve">            val = "" if len(raw) &lt; 2 or raw[1] is None else raw[1]</t>
        </is>
      </c>
    </row>
    <row r="304">
      <c r="A304" s="32" t="inlineStr">
        <is>
          <t xml:space="preserve">            cfg.settings[a] = str(val).strip()</t>
        </is>
      </c>
    </row>
    <row r="305">
      <c r="A305" s="32" t="inlineStr">
        <is>
          <t xml:space="preserve">        elif section == "THRESHOLDS":</t>
        </is>
      </c>
    </row>
    <row r="306">
      <c r="A306" s="32" t="inlineStr">
        <is>
          <t xml:space="preserve">            if thr_header is None and a.lower() == "id":</t>
        </is>
      </c>
    </row>
    <row r="307">
      <c r="A307" s="32" t="inlineStr">
        <is>
          <t xml:space="preserve">                thr_header = [str(c).strip().lower() for c in raw]</t>
        </is>
      </c>
    </row>
    <row r="308">
      <c r="A308" s="32" t="inlineStr">
        <is>
          <t xml:space="preserve">                continue</t>
        </is>
      </c>
    </row>
    <row r="309">
      <c r="A309" s="32" t="inlineStr">
        <is>
          <t xml:space="preserve">            cells = {h: ("" if i &gt;= len(raw) or raw[i] is None else raw[i])</t>
        </is>
      </c>
    </row>
    <row r="310">
      <c r="A310" s="32" t="inlineStr">
        <is>
          <t xml:space="preserve">                     for i, h in enumerate(thr_header or</t>
        </is>
      </c>
    </row>
    <row r="311">
      <c r="A311" s="32" t="inlineStr">
        <is>
          <t xml:space="preserve">                                           ["id", "watch", "alert", "direction"])}</t>
        </is>
      </c>
    </row>
    <row r="312">
      <c r="A312" s="32" t="inlineStr">
        <is>
          <t xml:space="preserve">            cfg.thresholds[a] = Threshold(</t>
        </is>
      </c>
    </row>
    <row r="313">
      <c r="A313" s="32" t="inlineStr">
        <is>
          <t xml:space="preserve">                watch=_as_float(cells.get("watch")),</t>
        </is>
      </c>
    </row>
    <row r="314">
      <c r="A314" s="32" t="inlineStr">
        <is>
          <t xml:space="preserve">                alert=_as_float(cells.get("alert")),</t>
        </is>
      </c>
    </row>
    <row r="315">
      <c r="A315" s="32" t="inlineStr">
        <is>
          <t xml:space="preserve">                direction=str(cells.get("direction", "above")).strip().lower()</t>
        </is>
      </c>
    </row>
    <row r="316">
      <c r="A316" s="32" t="inlineStr">
        <is>
          <t xml:space="preserve">                or "above")</t>
        </is>
      </c>
    </row>
    <row r="317">
      <c r="A317" s="32" t="inlineStr">
        <is>
          <t xml:space="preserve">        elif section == "PEERS":</t>
        </is>
      </c>
    </row>
    <row r="318">
      <c r="A318" s="32" t="inlineStr">
        <is>
          <t xml:space="preserve">            if peer_header is None and a.lower() == "slot":</t>
        </is>
      </c>
    </row>
    <row r="319">
      <c r="A319" s="32" t="inlineStr">
        <is>
          <t xml:space="preserve">                peer_header = [str(c).strip().lower() for c in raw]</t>
        </is>
      </c>
    </row>
    <row r="320">
      <c r="A320" s="32" t="inlineStr">
        <is>
          <t xml:space="preserve">                continue</t>
        </is>
      </c>
    </row>
    <row r="321">
      <c r="A321" s="32" t="inlineStr">
        <is>
          <t xml:space="preserve">            v = {h: (None if i &gt;= len(raw) else raw[i])</t>
        </is>
      </c>
    </row>
    <row r="322">
      <c r="A322" s="32" t="inlineStr">
        <is>
          <t xml:space="preserve">                 for i, h in enumerate(peer_header or PEER_HEADER)}</t>
        </is>
      </c>
    </row>
    <row r="323">
      <c r="A323" s="32" t="inlineStr">
        <is>
          <t xml:space="preserve">            cfg.peers.append(PeerRow(</t>
        </is>
      </c>
    </row>
    <row r="324">
      <c r="A324" s="32" t="inlineStr">
        <is>
          <t xml:space="preserve">                slot=_norm_slot(v.get("slot")),</t>
        </is>
      </c>
    </row>
    <row r="325">
      <c r="A325" s="32" t="inlineStr">
        <is>
          <t xml:space="preserve">                cert=_norm_cert(v.get("cert")),</t>
        </is>
      </c>
    </row>
    <row r="326">
      <c r="A326" s="32" t="inlineStr">
        <is>
          <t xml:space="preserve">                name=("" if v.get("name") is None else str(v.get("name")).strip()),</t>
        </is>
      </c>
    </row>
    <row r="327">
      <c r="A327" s="32" t="inlineStr">
        <is>
          <t xml:space="preserve">                group=("" if v.get("group") is None</t>
        </is>
      </c>
    </row>
    <row r="328">
      <c r="A328" s="32" t="inlineStr">
        <is>
          <t xml:space="preserve">                       else str(v.get("group")).strip().lower()),</t>
        </is>
      </c>
    </row>
    <row r="329">
      <c r="A329" s="32" t="inlineStr">
        <is>
          <t xml:space="preserve">                active=_as_bool(v.get("active"))))</t>
        </is>
      </c>
    </row>
    <row r="330">
      <c r="A330" s="32" t="inlineStr">
        <is>
          <t xml:space="preserve">        elif section == "SERIES":</t>
        </is>
      </c>
    </row>
    <row r="331">
      <c r="A331" s="32" t="inlineStr">
        <is>
          <t xml:space="preserve">            if series_header is None:</t>
        </is>
      </c>
    </row>
    <row r="332">
      <c r="A332" s="32" t="inlineStr">
        <is>
          <t xml:space="preserve">                series_header = [str(c).strip() for c in raw]</t>
        </is>
      </c>
    </row>
    <row r="333">
      <c r="A333" s="32" t="inlineStr">
        <is>
          <t xml:space="preserve">                continue</t>
        </is>
      </c>
    </row>
    <row r="334">
      <c r="A334" s="32" t="inlineStr">
        <is>
          <t xml:space="preserve">            v = {h: ("" if i &gt;= len(raw) or raw[i] is None else raw[i])</t>
        </is>
      </c>
    </row>
    <row r="335">
      <c r="A335" s="32" t="inlineStr">
        <is>
          <t xml:space="preserve">                 for i, h in enumerate(series_header)}</t>
        </is>
      </c>
    </row>
    <row r="336">
      <c r="A336" s="32" t="inlineStr">
        <is>
          <t xml:space="preserve">            cfg.series.append(SeriesSpec(</t>
        </is>
      </c>
    </row>
    <row r="337">
      <c r="A337" s="32" t="inlineStr">
        <is>
          <t xml:space="preserve">                id=str(v.get("id", "")).strip(),</t>
        </is>
      </c>
    </row>
    <row r="338">
      <c r="A338" s="32" t="inlineStr">
        <is>
          <t xml:space="preserve">                title=str(v.get("title", "")).strip(),</t>
        </is>
      </c>
    </row>
    <row r="339">
      <c r="A339" s="32" t="inlineStr">
        <is>
          <t xml:space="preserve">                category=str(v.get("category", "")).strip(),</t>
        </is>
      </c>
    </row>
    <row r="340">
      <c r="A340" s="32" t="inlineStr">
        <is>
          <t xml:space="preserve">                lane=str(v.get("lane", "")).strip().lower(),</t>
        </is>
      </c>
    </row>
    <row r="341">
      <c r="A341" s="32" t="inlineStr">
        <is>
          <t xml:space="preserve">                metric_type=str(v.get("metric_type", "")).strip(),</t>
        </is>
      </c>
    </row>
    <row r="342">
      <c r="A342" s="32" t="inlineStr">
        <is>
          <t xml:space="preserve">                frequency=str(v.get("frequency", "")).strip(),</t>
        </is>
      </c>
    </row>
    <row r="343">
      <c r="A343" s="32" t="inlineStr">
        <is>
          <t xml:space="preserve">                sa_nsa=str(v.get("sa_nsa", "")).strip(),</t>
        </is>
      </c>
    </row>
    <row r="344">
      <c r="A344" s="32" t="inlineStr">
        <is>
          <t xml:space="preserve">                units=str(v.get("units", "")).strip(),</t>
        </is>
      </c>
    </row>
    <row r="345">
      <c r="A345" s="32" t="inlineStr">
        <is>
          <t xml:space="preserve">                level_rate_index=str(v.get("level_rate_index", "")).strip().lower(),</t>
        </is>
      </c>
    </row>
    <row r="346">
      <c r="A346" s="32" t="inlineStr">
        <is>
          <t xml:space="preserve">                geo_segment=str(v.get("geo_segment", "")).strip(),</t>
        </is>
      </c>
    </row>
    <row r="347">
      <c r="A347" s="32" t="inlineStr">
        <is>
          <t xml:space="preserve">                source_class=str(v.get("source_class", "")).strip().upper(),</t>
        </is>
      </c>
    </row>
    <row r="348">
      <c r="A348" s="32" t="inlineStr">
        <is>
          <t xml:space="preserve">                dashboard_capable=_as_bool(v.get("dashboard_capable", "")),</t>
        </is>
      </c>
    </row>
    <row r="349">
      <c r="A349" s="32" t="inlineStr">
        <is>
          <t xml:space="preserve">                watchlist_capable=_as_bool(v.get("watchlist_capable", "")),</t>
        </is>
      </c>
    </row>
    <row r="350">
      <c r="A350" s="32" t="inlineStr">
        <is>
          <t xml:space="preserve">                source_url=str(v.get("source_url", "")).strip(),</t>
        </is>
      </c>
    </row>
    <row r="351">
      <c r="A351" s="32" t="inlineStr">
        <is>
          <t xml:space="preserve">                table_id=str(v.get("table_id", "")).strip(),</t>
        </is>
      </c>
    </row>
    <row r="352">
      <c r="A352" s="32" t="inlineStr">
        <is>
          <t xml:space="preserve">                sheet=str(v.get("sheet", "")).strip(),</t>
        </is>
      </c>
    </row>
    <row r="353">
      <c r="A353" s="32" t="inlineStr">
        <is>
          <t xml:space="preserve">                series_label=str(v.get("series_label", "")).strip(),</t>
        </is>
      </c>
    </row>
    <row r="354">
      <c r="A354" s="32" t="inlineStr">
        <is>
          <t xml:space="preserve">                transform=str(v.get("transform", "direct")).strip().lower(),</t>
        </is>
      </c>
    </row>
    <row r="355">
      <c r="A355" s="32" t="inlineStr">
        <is>
          <t xml:space="preserve">                notes=str(v.get("notes", "")).strip()))</t>
        </is>
      </c>
    </row>
    <row r="356">
      <c r="A356" s="32" t="inlineStr">
        <is>
          <t xml:space="preserve">    return cfg</t>
        </is>
      </c>
    </row>
    <row r="357">
      <c r="A357" s="32" t="inlineStr"/>
    </row>
    <row r="358">
      <c r="A358" s="32" t="inlineStr"/>
    </row>
    <row r="359">
      <c r="A359" s="32" t="inlineStr">
        <is>
          <t># ---------------------------------------------------------------------------</t>
        </is>
      </c>
    </row>
    <row r="360">
      <c r="A360" s="32" t="inlineStr">
        <is>
          <t># METRIC REGISTRY -- named PURE functions of the landed fields (BUILD SPEC 0.5</t>
        </is>
      </c>
    </row>
    <row r="361">
      <c r="A361" s="32" t="inlineStr">
        <is>
          <t># / sec 2). Defined IDENTICALLY in the Excel formulas (build_workbook.py) --</t>
        </is>
      </c>
    </row>
    <row r="362">
      <c r="A362" s="32" t="inlineStr">
        <is>
          <t># parity is tested, never assumed (trap F5). None-tolerant everywhere: a</t>
        </is>
      </c>
    </row>
    <row r="363">
      <c r="A363" s="32" t="inlineStr">
        <is>
          <t># missing/null field yields None (blank), NEVER zero (trap F3).</t>
        </is>
      </c>
    </row>
    <row r="364">
      <c r="A364" s="32" t="inlineStr">
        <is>
          <t># ---------------------------------------------------------------------------</t>
        </is>
      </c>
    </row>
    <row r="365">
      <c r="A365" s="32" t="inlineStr">
        <is>
          <t>def _ratio(num: Optional[float], den: Optional[float]) -&gt; Optional[float]:</t>
        </is>
      </c>
    </row>
    <row r="366">
      <c r="A366" s="32" t="inlineStr">
        <is>
          <t xml:space="preserve">    """num/den*100 -- None on any missing input or a zero denominator, exactly</t>
        </is>
      </c>
    </row>
    <row r="367">
      <c r="A367" s="32" t="inlineStr">
        <is>
          <t xml:space="preserve">    like the Excel form IF(OR(n="",d=""),"",IF(d=0,"",n/d*100))."""</t>
        </is>
      </c>
    </row>
    <row r="368">
      <c r="A368" s="32" t="inlineStr">
        <is>
          <t xml:space="preserve">    if num is None or den is None or den == 0:</t>
        </is>
      </c>
    </row>
    <row r="369">
      <c r="A369" s="32" t="inlineStr">
        <is>
          <t xml:space="preserve">        return None</t>
        </is>
      </c>
    </row>
    <row r="370">
      <c r="A370" s="32" t="inlineStr">
        <is>
          <t xml:space="preserve">    return num / den * 100.0</t>
        </is>
      </c>
    </row>
    <row r="371">
      <c r="A371" s="32" t="inlineStr"/>
    </row>
    <row r="372">
      <c r="A372" s="32" t="inlineStr"/>
    </row>
    <row r="373">
      <c r="A373" s="32" t="inlineStr">
        <is>
          <t>def _sum(*vals) -&gt; Optional[float]:</t>
        </is>
      </c>
    </row>
    <row r="374">
      <c r="A374" s="32" t="inlineStr">
        <is>
          <t xml:space="preserve">    """None-propagating sum: a null component (e.g. LNREMULT) blanks the</t>
        </is>
      </c>
    </row>
    <row r="375">
      <c r="A375" s="32" t="inlineStr">
        <is>
          <t xml:space="preserve">    composite rather than understating it as zero (trap F3)."""</t>
        </is>
      </c>
    </row>
    <row r="376">
      <c r="A376" s="32" t="inlineStr">
        <is>
          <t xml:space="preserve">    total = 0.0</t>
        </is>
      </c>
    </row>
    <row r="377">
      <c r="A377" s="32" t="inlineStr">
        <is>
          <t xml:space="preserve">    for v in vals:</t>
        </is>
      </c>
    </row>
    <row r="378">
      <c r="A378" s="32" t="inlineStr">
        <is>
          <t xml:space="preserve">        if v is None:</t>
        </is>
      </c>
    </row>
    <row r="379">
      <c r="A379" s="32" t="inlineStr">
        <is>
          <t xml:space="preserve">            return None</t>
        </is>
      </c>
    </row>
    <row r="380">
      <c r="A380" s="32" t="inlineStr">
        <is>
          <t xml:space="preserve">        total += v</t>
        </is>
      </c>
    </row>
    <row r="381">
      <c r="A381" s="32" t="inlineStr">
        <is>
          <t xml:space="preserve">    return total</t>
        </is>
      </c>
    </row>
    <row r="382">
      <c r="A382" s="32" t="inlineStr"/>
    </row>
    <row r="383">
      <c r="A383" s="32" t="inlineStr"/>
    </row>
    <row r="384">
      <c r="A384" s="32" t="inlineStr">
        <is>
          <t>def d_pd3089r(f):</t>
        </is>
      </c>
    </row>
    <row r="385">
      <c r="A385" s="32" t="inlineStr">
        <is>
          <t xml:space="preserve">    """30-89 day past due %: P3LNLS/LNLSGR*100 (no API ratio field exists)."""</t>
        </is>
      </c>
    </row>
    <row r="386">
      <c r="A386" s="32" t="inlineStr">
        <is>
          <t xml:space="preserve">    return _ratio(f.get("P3LNLS"), f.get("LNLSGR"))</t>
        </is>
      </c>
    </row>
    <row r="387">
      <c r="A387" s="32" t="inlineStr"/>
    </row>
    <row r="388">
      <c r="A388" s="32" t="inlineStr"/>
    </row>
    <row r="389">
      <c r="A389" s="32" t="inlineStr">
        <is>
          <t>def d_texas(f):</t>
        </is>
      </c>
    </row>
    <row r="390">
      <c r="A390" s="32" t="inlineStr">
        <is>
          <t xml:space="preserve">    """Texas ratio VARIANT: NCLNLS/(EQ+LNATRES)*100. Canonical adds OREO and</t>
        </is>
      </c>
    </row>
    <row r="391">
      <c r="A391" s="32" t="inlineStr">
        <is>
          <t xml:space="preserve">    nets intangibles -- ORE/INTAN field ids are UNVERIFIED (Open Q), so v1</t>
        </is>
      </c>
    </row>
    <row r="392">
      <c r="A392" s="32" t="inlineStr">
        <is>
          <t xml:space="preserve">    computes the documented variant from verified fields only."""</t>
        </is>
      </c>
    </row>
    <row r="393">
      <c r="A393" s="32" t="inlineStr">
        <is>
          <t xml:space="preserve">    return _ratio(f.get("NCLNLS"), _sum(f.get("EQ"), f.get("LNATRES")))</t>
        </is>
      </c>
    </row>
    <row r="394">
      <c r="A394" s="32" t="inlineStr"/>
    </row>
    <row r="395">
      <c r="A395" s="32" t="inlineStr"/>
    </row>
    <row r="396">
      <c r="A396" s="32" t="inlineStr">
        <is>
          <t>def d_lndepr(f):</t>
        </is>
      </c>
    </row>
    <row r="397">
      <c r="A397" s="32" t="inlineStr">
        <is>
          <t xml:space="preserve">    """Loans/deposits %: LNLSNET/DEP*100."""</t>
        </is>
      </c>
    </row>
    <row r="398">
      <c r="A398" s="32" t="inlineStr">
        <is>
          <t xml:space="preserve">    return _ratio(f.get("LNLSNET"), f.get("DEP"))</t>
        </is>
      </c>
    </row>
    <row r="399">
      <c r="A399" s="32" t="inlineStr"/>
    </row>
    <row r="400">
      <c r="A400" s="32" t="inlineStr"/>
    </row>
    <row r="401">
      <c r="A401" s="32" t="inlineStr">
        <is>
          <t>def d_brodepr(f):</t>
        </is>
      </c>
    </row>
    <row r="402">
      <c r="A402" s="32" t="inlineStr">
        <is>
          <t xml:space="preserve">    """Brokered deposit share %: BRO/DEP*100 (BRO null -&gt; blank, never 0)."""</t>
        </is>
      </c>
    </row>
    <row r="403">
      <c r="A403" s="32" t="inlineStr">
        <is>
          <t xml:space="preserve">    return _ratio(f.get("BRO"), f.get("DEP"))</t>
        </is>
      </c>
    </row>
    <row r="404">
      <c r="A404" s="32" t="inlineStr"/>
    </row>
    <row r="405">
      <c r="A405" s="32" t="inlineStr"/>
    </row>
    <row r="406">
      <c r="A406" s="32" t="inlineStr">
        <is>
          <t>def d_creconr(f):</t>
        </is>
      </c>
    </row>
    <row r="407">
      <c r="A407" s="32" t="inlineStr">
        <is>
          <t xml:space="preserve">    """CRE concentration PROXY: (LNRECONS+LNRENRES+LNREMULT)/(EQ+LNATRES)*100.</t>
        </is>
      </c>
    </row>
    <row r="408">
      <c r="A408" s="32" t="inlineStr">
        <is>
          <t xml:space="preserve">    Guidance uses total risk-based capital; CBLR electors lack it, so the</t>
        </is>
      </c>
    </row>
    <row r="409">
      <c r="A409" s="32" t="inlineStr">
        <is>
          <t xml:space="preserve">    documented proxy denominator stands until the tier-1 dollar field is</t>
        </is>
      </c>
    </row>
    <row r="410">
      <c r="A410" s="32" t="inlineStr">
        <is>
          <t xml:space="preserve">    verified live."""</t>
        </is>
      </c>
    </row>
    <row r="411">
      <c r="A411" s="32" t="inlineStr">
        <is>
          <t xml:space="preserve">    return _ratio(_sum(f.get("LNRECONS"), f.get("LNRENRES"), f.get("LNREMULT")),</t>
        </is>
      </c>
    </row>
    <row r="412">
      <c r="A412" s="32" t="inlineStr">
        <is>
          <t xml:space="preserve">                  _sum(f.get("EQ"), f.get("LNATRES")))</t>
        </is>
      </c>
    </row>
    <row r="413">
      <c r="A413" s="32" t="inlineStr"/>
    </row>
    <row r="414">
      <c r="A414" s="32" t="inlineStr"/>
    </row>
    <row r="415">
      <c r="A415" s="32" t="inlineStr">
        <is>
          <t># --------------------------------------------------------------------------</t>
        </is>
      </c>
    </row>
    <row r="416">
      <c r="A416" s="32" t="inlineStr">
        <is>
          <t># v1.1 COMPETITOR PACK ratios -- ONE declarative table drives BOTH the Python</t>
        </is>
      </c>
    </row>
    <row r="417">
      <c r="A417" s="32" t="inlineStr">
        <is>
          <t># functions (below) and the Excel formulas (build_workbook reads this table),</t>
        </is>
      </c>
    </row>
    <row r="418">
      <c r="A418" s="32" t="inlineStr">
        <is>
          <t># so the two definitions cannot drift (trap F5).</t>
        </is>
      </c>
    </row>
    <row r="419">
      <c r="A419" s="32" t="inlineStr">
        <is>
          <t>#   metric id -&gt; (numerator field, denominator field, multiplier)</t>
        </is>
      </c>
    </row>
    <row r="420">
      <c r="A420" s="32" t="inlineStr">
        <is>
          <t># Multiplier 100 = plain percent; 400 = QUARTERLY flow ANNUALIZED (x4), the</t>
        </is>
      </c>
    </row>
    <row r="421">
      <c r="A421" s="32" t="inlineStr">
        <is>
          <t># same convention as the FDIC's own NTLNLSQR (PROVENANCE_MAP_FDIC.md sec F).</t>
        </is>
      </c>
    </row>
    <row r="422">
      <c r="A422" s="32" t="inlineStr">
        <is>
          <t># All None-tolerant: null numerator OR denominator -&gt; blank, never 0 (F3) --</t>
        </is>
      </c>
    </row>
    <row r="423">
      <c r="A423" s="32" t="inlineStr">
        <is>
          <t># DEPUNINS especially is genuinely null below the $1B reporting threshold.</t>
        </is>
      </c>
    </row>
    <row r="424">
      <c r="A424" s="32" t="inlineStr">
        <is>
          <t># --------------------------------------------------------------------------</t>
        </is>
      </c>
    </row>
    <row r="425">
      <c r="A425" s="32" t="inlineStr">
        <is>
          <t>PACK_RATIOS = {</t>
        </is>
      </c>
    </row>
    <row r="426">
      <c r="A426" s="32" t="inlineStr">
        <is>
          <t xml:space="preserve">    # consumer PD/NA rates computed from the verified dollar triple + balance</t>
        </is>
      </c>
    </row>
    <row r="427">
      <c r="A427" s="32" t="inlineStr">
        <is>
          <t xml:space="preserve">    # (the R-twin name would exceed the 8-char field-name limit -- unverified)</t>
        </is>
      </c>
    </row>
    <row r="428">
      <c r="A428" s="32" t="inlineStr">
        <is>
          <t xml:space="preserve">    "P3CONOTHR": ("P3CONOTH", "LNCONOTH", 100),</t>
        </is>
      </c>
    </row>
    <row r="429">
      <c r="A429" s="32" t="inlineStr">
        <is>
          <t xml:space="preserve">    "P9CONOTHR": ("P9CONOTH", "LNCONOTH", 100),</t>
        </is>
      </c>
    </row>
    <row r="430">
      <c r="A430" s="32" t="inlineStr">
        <is>
          <t xml:space="preserve">    "NACONOTHR": ("NACONOTH", "LNCONOTH", 100),</t>
        </is>
      </c>
    </row>
    <row r="431">
      <c r="A431" s="32" t="inlineStr">
        <is>
          <t xml:space="preserve">    # consumer quarterly NCO rates (F1: the Q dollar flow, never YTD NT{c})</t>
        </is>
      </c>
    </row>
    <row r="432">
      <c r="A432" s="32" t="inlineStr">
        <is>
          <t xml:space="preserve">    "NTCRCDQR": ("NTCRCDQ", "LNCRCD", 400),</t>
        </is>
      </c>
    </row>
    <row r="433">
      <c r="A433" s="32" t="inlineStr">
        <is>
          <t xml:space="preserve">    "NTAUTOQR": ("NTAUTOQ", "LNAUTO", 400),</t>
        </is>
      </c>
    </row>
    <row r="434">
      <c r="A434" s="32" t="inlineStr">
        <is>
          <t xml:space="preserve">    "NTCONOTQR": ("NTCONOTQ", "LNCONOTH", 400),</t>
        </is>
      </c>
    </row>
    <row r="435">
      <c r="A435" s="32" t="inlineStr">
        <is>
          <t xml:space="preserve">    "NTRERESQR": ("NTRERESQ", "LNRERES", 400),</t>
        </is>
      </c>
    </row>
    <row r="436">
      <c r="A436" s="32" t="inlineStr">
        <is>
          <t xml:space="preserve">    # commercial-floor PD/NA rates (twin names exceed 8 chars -- computed)</t>
        </is>
      </c>
    </row>
    <row r="437">
      <c r="A437" s="32" t="inlineStr">
        <is>
          <t xml:space="preserve">    "P3RECONSR": ("P3RECONS", "LNRECONS", 100),</t>
        </is>
      </c>
    </row>
    <row r="438">
      <c r="A438" s="32" t="inlineStr">
        <is>
          <t xml:space="preserve">    "P9RECONSR": ("P9RECONS", "LNRECONS", 100),</t>
        </is>
      </c>
    </row>
    <row r="439">
      <c r="A439" s="32" t="inlineStr">
        <is>
          <t xml:space="preserve">    "NARECONSR": ("NARECONS", "LNRECONS", 100),</t>
        </is>
      </c>
    </row>
    <row r="440">
      <c r="A440" s="32" t="inlineStr">
        <is>
          <t xml:space="preserve">    "P3RENRESR": ("P3RENRES", "LNRENRES", 100),</t>
        </is>
      </c>
    </row>
    <row r="441">
      <c r="A441" s="32" t="inlineStr">
        <is>
          <t xml:space="preserve">    "P9RENRESR": ("P9RENRES", "LNRENRES", 100),</t>
        </is>
      </c>
    </row>
    <row r="442">
      <c r="A442" s="32" t="inlineStr">
        <is>
          <t xml:space="preserve">    "NARENRESR": ("NARENRES", "LNRENRES", 100),</t>
        </is>
      </c>
    </row>
    <row r="443">
      <c r="A443" s="32" t="inlineStr">
        <is>
          <t xml:space="preserve">    "P3REMULTR": ("P3REMULT", "LNREMULT", 100),</t>
        </is>
      </c>
    </row>
    <row r="444">
      <c r="A444" s="32" t="inlineStr">
        <is>
          <t xml:space="preserve">    "P9REMULTR": ("P9REMULT", "LNREMULT", 100),</t>
        </is>
      </c>
    </row>
    <row r="445">
      <c r="A445" s="32" t="inlineStr">
        <is>
          <t xml:space="preserve">    "NAREMULTR": ("NAREMULT", "LNREMULT", 100),</t>
        </is>
      </c>
    </row>
    <row r="446">
      <c r="A446" s="32" t="inlineStr">
        <is>
          <t xml:space="preserve">    # commercial quarterly NCO rates (8-char truncation: NTRECONQ etc.)</t>
        </is>
      </c>
    </row>
    <row r="447">
      <c r="A447" s="32" t="inlineStr">
        <is>
          <t xml:space="preserve">    "NTRECONQR": ("NTRECONQ", "LNRECONS", 400),</t>
        </is>
      </c>
    </row>
    <row r="448">
      <c r="A448" s="32" t="inlineStr">
        <is>
          <t xml:space="preserve">    "NTRENREQR": ("NTRENREQ", "LNRENRES", 400),</t>
        </is>
      </c>
    </row>
    <row r="449">
      <c r="A449" s="32" t="inlineStr">
        <is>
          <t xml:space="preserve">    "NTREMULQR": ("NTREMULQ", "LNREMULT", 400),</t>
        </is>
      </c>
    </row>
    <row r="450">
      <c r="A450" s="32" t="inlineStr">
        <is>
          <t xml:space="preserve">    "NTCIQR": ("NTCIQ", "LNCI", 400),</t>
        </is>
      </c>
    </row>
    <row r="451">
      <c r="A451" s="32" t="inlineStr">
        <is>
          <t xml:space="preserve">    # SVB pack simple ratios</t>
        </is>
      </c>
    </row>
    <row r="452">
      <c r="A452" s="32" t="inlineStr">
        <is>
          <t xml:space="preserve">    "UNINSDEPR": ("DEPUNINS", "DEP", 100),   # null -&gt; BLANK + digest note</t>
        </is>
      </c>
    </row>
    <row r="453">
      <c r="A453" s="32" t="inlineStr">
        <is>
          <t xml:space="preserve">    "FHLBASSR": ("OTHBFHLB", "ASSET", 100),</t>
        </is>
      </c>
    </row>
    <row r="454">
      <c r="A454" s="32" t="inlineStr">
        <is>
          <t>}</t>
        </is>
      </c>
    </row>
    <row r="455">
      <c r="A455" s="32" t="inlineStr"/>
    </row>
    <row r="456">
      <c r="A456" s="32" t="inlineStr">
        <is>
          <t># verified R-twin ratio fields consumed DIRECTLY (metric id IS the field)</t>
        </is>
      </c>
    </row>
    <row r="457">
      <c r="A457" s="32" t="inlineStr">
        <is>
          <t>PACK_DIRECT = [</t>
        </is>
      </c>
    </row>
    <row r="458">
      <c r="A458" s="32" t="inlineStr">
        <is>
          <t xml:space="preserve">    "P3CRCDR", "P9CRCDR", "NACRCDR",</t>
        </is>
      </c>
    </row>
    <row r="459">
      <c r="A459" s="32" t="inlineStr">
        <is>
          <t xml:space="preserve">    "P3AUTOR", "P9AUTOR", "NAAUTOR",</t>
        </is>
      </c>
    </row>
    <row r="460">
      <c r="A460" s="32" t="inlineStr">
        <is>
          <t xml:space="preserve">    "P3RERESR", "P9RERESR", "NARERESR",</t>
        </is>
      </c>
    </row>
    <row r="461">
      <c r="A461" s="32" t="inlineStr">
        <is>
          <t xml:space="preserve">    "P3RELOCR", "P9RELOCR", "NARELOCR",</t>
        </is>
      </c>
    </row>
    <row r="462">
      <c r="A462" s="32" t="inlineStr">
        <is>
          <t xml:space="preserve">    "P3CIR", "P9CIR", "NACIR",</t>
        </is>
      </c>
    </row>
    <row r="463">
      <c r="A463" s="32" t="inlineStr">
        <is>
          <t>]</t>
        </is>
      </c>
    </row>
    <row r="464">
      <c r="A464" s="32" t="inlineStr"/>
    </row>
    <row r="465">
      <c r="A465" s="32" t="inlineStr"/>
    </row>
    <row r="466">
      <c r="A466" s="32" t="inlineStr">
        <is>
          <t>def _pack_ratio_fn(num, den, mult):</t>
        </is>
      </c>
    </row>
    <row r="467">
      <c r="A467" s="32" t="inlineStr">
        <is>
          <t xml:space="preserve">    """Factory for the PACK_RATIOS functions: num/den*mult, None-tolerant,</t>
        </is>
      </c>
    </row>
    <row r="468">
      <c r="A468" s="32" t="inlineStr">
        <is>
          <t xml:space="preserve">    zero-denominator-safe -- exactly the Excel form</t>
        </is>
      </c>
    </row>
    <row r="469">
      <c r="A469" s="32" t="inlineStr">
        <is>
          <t xml:space="preserve">    IF(OR(n="",d=""),"",IF(d=0,"",n/d*mult))."""</t>
        </is>
      </c>
    </row>
    <row r="470">
      <c r="A470" s="32" t="inlineStr">
        <is>
          <t xml:space="preserve">    def fn(f):</t>
        </is>
      </c>
    </row>
    <row r="471">
      <c r="A471" s="32" t="inlineStr">
        <is>
          <t xml:space="preserve">        n, d = f.get(num), f.get(den)</t>
        </is>
      </c>
    </row>
    <row r="472">
      <c r="A472" s="32" t="inlineStr">
        <is>
          <t xml:space="preserve">        if n is None or d is None or d == 0:</t>
        </is>
      </c>
    </row>
    <row r="473">
      <c r="A473" s="32" t="inlineStr">
        <is>
          <t xml:space="preserve">            return None</t>
        </is>
      </c>
    </row>
    <row r="474">
      <c r="A474" s="32" t="inlineStr">
        <is>
          <t xml:space="preserve">        return n / d * float(mult)</t>
        </is>
      </c>
    </row>
    <row r="475">
      <c r="A475" s="32" t="inlineStr">
        <is>
          <t xml:space="preserve">    return fn</t>
        </is>
      </c>
    </row>
    <row r="476">
      <c r="A476" s="32" t="inlineStr"/>
    </row>
    <row r="477">
      <c r="A477" s="32" t="inlineStr"/>
    </row>
    <row r="478">
      <c r="A478" s="32" t="inlineStr">
        <is>
          <t>def d_unrlzcapr(f):</t>
        </is>
      </c>
    </row>
    <row r="479">
      <c r="A479" s="32" t="inlineStr">
        <is>
          <t xml:space="preserve">    """Unrealized securities loss / capital cushion (SVB metric):</t>
        </is>
      </c>
    </row>
    <row r="480">
      <c r="A480" s="32" t="inlineStr">
        <is>
          <t xml:space="preserve">    ((SCHA-SCHF)+(SCAA-SCAF))/(EQ+LNATRES)*100. BOTH legs COMPUTED from the</t>
        </is>
      </c>
    </row>
    <row r="481">
      <c r="A481" s="32" t="inlineStr">
        <is>
          <t xml:space="preserve">    verified fair/amortized pairs -- no named unrealized field exists, and</t>
        </is>
      </c>
    </row>
    <row r="482">
      <c r="A482" s="32" t="inlineStr">
        <is>
          <t xml:space="preserve">    EQCCOMPI is the YTD OCI FLOW, not the AOCI stock (never used). Positive =</t>
        </is>
      </c>
    </row>
    <row r="483">
      <c r="A483" s="32" t="inlineStr">
        <is>
          <t xml:space="preserve">    unrealized LOSS eroding the cushion. Any null leg blanks the metric."""</t>
        </is>
      </c>
    </row>
    <row r="484">
      <c r="A484" s="32" t="inlineStr">
        <is>
          <t xml:space="preserve">    vals = [f.get(k) for k in ("SCHA", "SCHF", "SCAA", "SCAF")]</t>
        </is>
      </c>
    </row>
    <row r="485">
      <c r="A485" s="32" t="inlineStr">
        <is>
          <t xml:space="preserve">    if any(v is None for v in vals):</t>
        </is>
      </c>
    </row>
    <row r="486">
      <c r="A486" s="32" t="inlineStr">
        <is>
          <t xml:space="preserve">        return None</t>
        </is>
      </c>
    </row>
    <row r="487">
      <c r="A487" s="32" t="inlineStr">
        <is>
          <t xml:space="preserve">    scha, schf, scaa, scaf = vals</t>
        </is>
      </c>
    </row>
    <row r="488">
      <c r="A488" s="32" t="inlineStr">
        <is>
          <t xml:space="preserve">    return _ratio((scha - schf) + (scaa - scaf),</t>
        </is>
      </c>
    </row>
    <row r="489">
      <c r="A489" s="32" t="inlineStr">
        <is>
          <t xml:space="preserve">                  _sum(f.get("EQ"), f.get("LNATRES")))</t>
        </is>
      </c>
    </row>
    <row r="490">
      <c r="A490" s="32" t="inlineStr"/>
    </row>
    <row r="491">
      <c r="A491" s="32" t="inlineStr"/>
    </row>
    <row r="492">
      <c r="A492" s="32" t="inlineStr">
        <is>
          <t># Loan class per LoanBook metric (drives the email per-class alert section</t>
        </is>
      </c>
    </row>
    <row r="493">
      <c r="A493" s="32" t="inlineStr">
        <is>
          <t># and the tieout grouping). Consumer classes are the DQ/NCO track; commercial</t>
        </is>
      </c>
    </row>
    <row r="494">
      <c r="A494" s="32" t="inlineStr">
        <is>
          <t># classes are the public Call-Report FLOOR (criticized/classified via EDGAR).</t>
        </is>
      </c>
    </row>
    <row r="495">
      <c r="A495" s="32" t="inlineStr">
        <is>
          <t>LOANBOOK_CLASS = {}</t>
        </is>
      </c>
    </row>
    <row r="496">
      <c r="A496" s="32" t="inlineStr">
        <is>
          <t>for _mid, _cls in (</t>
        </is>
      </c>
    </row>
    <row r="497">
      <c r="A497" s="32" t="inlineStr">
        <is>
          <t xml:space="preserve">        (("P3CRCDR", "P9CRCDR", "NACRCDR", "NTCRCDQR"), "credit card"),</t>
        </is>
      </c>
    </row>
    <row r="498">
      <c r="A498" s="32" t="inlineStr">
        <is>
          <t xml:space="preserve">        (("P3AUTOR", "P9AUTOR", "NAAUTOR", "NTAUTOQR"), "auto"),</t>
        </is>
      </c>
    </row>
    <row r="499">
      <c r="A499" s="32" t="inlineStr">
        <is>
          <t xml:space="preserve">        (("P3CONOTHR", "P9CONOTHR", "NACONOTHR", "NTCONOTQR"),</t>
        </is>
      </c>
    </row>
    <row r="500">
      <c r="A500" s="32" t="inlineStr">
        <is>
          <t xml:space="preserve">         "other consumer"),</t>
        </is>
      </c>
    </row>
    <row r="501">
      <c r="A501" s="32" t="inlineStr">
        <is>
          <t xml:space="preserve">        (("P3RERESR", "P9RERESR", "NARERESR", "NTRERESQR"), "resi 1-4 fam"),</t>
        </is>
      </c>
    </row>
    <row r="502">
      <c r="A502" s="32" t="inlineStr">
        <is>
          <t xml:space="preserve">        (("P3RELOCR", "P9RELOCR", "NARELOCR"), "HELOC"),</t>
        </is>
      </c>
    </row>
    <row r="503">
      <c r="A503" s="32" t="inlineStr">
        <is>
          <t xml:space="preserve">        (("P3RECONSR", "P9RECONSR", "NARECONSR", "NTRECONQR"),</t>
        </is>
      </c>
    </row>
    <row r="504">
      <c r="A504" s="32" t="inlineStr">
        <is>
          <t xml:space="preserve">         "construction"),</t>
        </is>
      </c>
    </row>
    <row r="505">
      <c r="A505" s="32" t="inlineStr">
        <is>
          <t xml:space="preserve">        (("P3RENRESR", "P9RENRESR", "NARENRESR", "NTRENREQR"),</t>
        </is>
      </c>
    </row>
    <row r="506">
      <c r="A506" s="32" t="inlineStr">
        <is>
          <t xml:space="preserve">         "CRE nonfarm"),</t>
        </is>
      </c>
    </row>
    <row r="507">
      <c r="A507" s="32" t="inlineStr">
        <is>
          <t xml:space="preserve">        (("P3REMULTR", "P9REMULTR", "NAREMULTR", "NTREMULQR"),</t>
        </is>
      </c>
    </row>
    <row r="508">
      <c r="A508" s="32" t="inlineStr">
        <is>
          <t xml:space="preserve">         "multifamily"),</t>
        </is>
      </c>
    </row>
    <row r="509">
      <c r="A509" s="32" t="inlineStr">
        <is>
          <t xml:space="preserve">        (("P3CIR", "P9CIR", "NACIR", "NTCIQR"), "C&amp;I")):</t>
        </is>
      </c>
    </row>
    <row r="510">
      <c r="A510" s="32" t="inlineStr">
        <is>
          <t xml:space="preserve">    for _m in _mid:</t>
        </is>
      </c>
    </row>
    <row r="511">
      <c r="A511" s="32" t="inlineStr">
        <is>
          <t xml:space="preserve">        LOANBOOK_CLASS[_m] = _cls</t>
        </is>
      </c>
    </row>
    <row r="512">
      <c r="A512" s="32" t="inlineStr">
        <is>
          <t>CONSUMER_CLASSES = ("credit card", "auto", "other consumer", "resi 1-4 fam",</t>
        </is>
      </c>
    </row>
    <row r="513">
      <c r="A513" s="32" t="inlineStr">
        <is>
          <t xml:space="preserve">                    "HELOC")</t>
        </is>
      </c>
    </row>
    <row r="514">
      <c r="A514" s="32" t="inlineStr">
        <is>
          <t>COMMERCIAL_CLASSES = ("construction", "CRE nonfarm", "multifamily", "C&amp;I")</t>
        </is>
      </c>
    </row>
    <row r="515">
      <c r="A515" s="32" t="inlineStr"/>
    </row>
    <row r="516">
      <c r="A516" s="32" t="inlineStr"/>
    </row>
    <row r="517">
      <c r="A517" s="32" t="inlineStr">
        <is>
          <t># metric id -&gt; (fields consumed, derived fn or None for a direct API ratio)</t>
        </is>
      </c>
    </row>
    <row r="518">
      <c r="A518" s="32" t="inlineStr">
        <is>
          <t>METRICS = {</t>
        </is>
      </c>
    </row>
    <row r="519">
      <c r="A519" s="32" t="inlineStr">
        <is>
          <t xml:space="preserve">    "NCLNLSR": (("NCLNLSR",), None),</t>
        </is>
      </c>
    </row>
    <row r="520">
      <c r="A520" s="32" t="inlineStr">
        <is>
          <t xml:space="preserve">    "NTLNLSQR": (("NTLNLSQR",), None),</t>
        </is>
      </c>
    </row>
    <row r="521">
      <c r="A521" s="32" t="inlineStr">
        <is>
          <t xml:space="preserve">    "PD3089R": (("P3LNLS", "LNLSGR"), d_pd3089r),</t>
        </is>
      </c>
    </row>
    <row r="522">
      <c r="A522" s="32" t="inlineStr">
        <is>
          <t xml:space="preserve">    "LNATRESR": (("LNATRESR",), None),</t>
        </is>
      </c>
    </row>
    <row r="523">
      <c r="A523" s="32" t="inlineStr">
        <is>
          <t xml:space="preserve">    "LNRESNCR": (("LNRESNCR",), None),</t>
        </is>
      </c>
    </row>
    <row r="524">
      <c r="A524" s="32" t="inlineStr">
        <is>
          <t xml:space="preserve">    "TEXAS": (("NCLNLS", "EQ", "LNATRES"), d_texas),</t>
        </is>
      </c>
    </row>
    <row r="525">
      <c r="A525" s="32" t="inlineStr">
        <is>
          <t xml:space="preserve">    "RBC1AAJ": (("RBC1AAJ",), None),</t>
        </is>
      </c>
    </row>
    <row r="526">
      <c r="A526" s="32" t="inlineStr">
        <is>
          <t xml:space="preserve">    "RBCRWAJ": (("RBCRWAJ",), None),</t>
        </is>
      </c>
    </row>
    <row r="527">
      <c r="A527" s="32" t="inlineStr">
        <is>
          <t xml:space="preserve">    "EQV": (("EQV",), None),</t>
        </is>
      </c>
    </row>
    <row r="528">
      <c r="A528" s="32" t="inlineStr">
        <is>
          <t xml:space="preserve">    "ROAQ": (("ROAQ",), None),</t>
        </is>
      </c>
    </row>
    <row r="529">
      <c r="A529" s="32" t="inlineStr">
        <is>
          <t xml:space="preserve">    "NIMY": (("NIMY",), None),</t>
        </is>
      </c>
    </row>
    <row r="530">
      <c r="A530" s="32" t="inlineStr">
        <is>
          <t xml:space="preserve">    "EEFFR": (("EEFFR",), None),</t>
        </is>
      </c>
    </row>
    <row r="531">
      <c r="A531" s="32" t="inlineStr">
        <is>
          <t xml:space="preserve">    "LNDEPR": (("LNLSNET", "DEP"), d_lndepr),</t>
        </is>
      </c>
    </row>
    <row r="532">
      <c r="A532" s="32" t="inlineStr">
        <is>
          <t xml:space="preserve">    "BRODEPR": (("BRO", "DEP"), d_brodepr),</t>
        </is>
      </c>
    </row>
    <row r="533">
      <c r="A533" s="32" t="inlineStr">
        <is>
          <t xml:space="preserve">    "CRECONR": (("LNRECONS", "LNRENRES", "LNREMULT", "EQ", "LNATRES"),</t>
        </is>
      </c>
    </row>
    <row r="534">
      <c r="A534" s="32" t="inlineStr">
        <is>
          <t xml:space="preserve">                d_creconr),</t>
        </is>
      </c>
    </row>
    <row r="535">
      <c r="A535" s="32" t="inlineStr">
        <is>
          <t>}</t>
        </is>
      </c>
    </row>
    <row r="536">
      <c r="A536" s="32" t="inlineStr">
        <is>
          <t># v1.1 pack: direct R-twins, the declarative simple ratios, and the one</t>
        </is>
      </c>
    </row>
    <row r="537">
      <c r="A537" s="32" t="inlineStr">
        <is>
          <t># multi-leg SVB derivation.</t>
        </is>
      </c>
    </row>
    <row r="538">
      <c r="A538" s="32" t="inlineStr">
        <is>
          <t>for _f in PACK_DIRECT:</t>
        </is>
      </c>
    </row>
    <row r="539">
      <c r="A539" s="32" t="inlineStr">
        <is>
          <t xml:space="preserve">    METRICS[_f] = ((_f,), None)</t>
        </is>
      </c>
    </row>
    <row r="540">
      <c r="A540" s="32" t="inlineStr">
        <is>
          <t>for _mid, (_num, _den, _mult) in PACK_RATIOS.items():</t>
        </is>
      </c>
    </row>
    <row r="541">
      <c r="A541" s="32" t="inlineStr">
        <is>
          <t xml:space="preserve">    METRICS[_mid] = ((_num, _den), _pack_ratio_fn(_num, _den, _mult))</t>
        </is>
      </c>
    </row>
    <row r="542">
      <c r="A542" s="32" t="inlineStr">
        <is>
          <t>METRICS["UNRLZCAPR"] = (("SCHA", "SCHF", "SCAA", "SCAF", "EQ", "LNATRES"),</t>
        </is>
      </c>
    </row>
    <row r="543">
      <c r="A543" s="32" t="inlineStr">
        <is>
          <t xml:space="preserve">                        d_unrlzcapr)</t>
        </is>
      </c>
    </row>
    <row r="544">
      <c r="A544" s="32" t="inlineStr"/>
    </row>
    <row r="545">
      <c r="A545" s="32" t="inlineStr"/>
    </row>
    <row r="546">
      <c r="A546" s="32" t="inlineStr">
        <is>
          <t>class MetricError(Exception):</t>
        </is>
      </c>
    </row>
    <row r="547">
      <c r="A547" s="32" t="inlineStr">
        <is>
          <t xml:space="preserve">    pass</t>
        </is>
      </c>
    </row>
    <row r="548">
      <c r="A548" s="32" t="inlineStr"/>
    </row>
    <row r="549">
      <c r="A549" s="32" t="inlineStr"/>
    </row>
    <row r="550">
      <c r="A550" s="32" t="inlineStr">
        <is>
          <t>def validate_metrics(series: Sequence[SeriesSpec]) -&gt; None:</t>
        </is>
      </c>
    </row>
    <row r="551">
      <c r="A551" s="32" t="inlineStr">
        <is>
          <t xml:space="preserve">    """Every [SERIES] row must be a registered metric whose transform column</t>
        </is>
      </c>
    </row>
    <row r="552">
      <c r="A552" s="32" t="inlineStr">
        <is>
          <t xml:space="preserve">    agrees with the registry (direct field vs named derived function), and</t>
        </is>
      </c>
    </row>
    <row r="553">
      <c r="A553" s="32" t="inlineStr">
        <is>
          <t xml:space="preserve">    must consume only landed RAW_FIELDS -- config drift refuses, not guesses."""</t>
        </is>
      </c>
    </row>
    <row r="554">
      <c r="A554" s="32" t="inlineStr">
        <is>
          <t xml:space="preserve">    for s in series:</t>
        </is>
      </c>
    </row>
    <row r="555">
      <c r="A555" s="32" t="inlineStr">
        <is>
          <t xml:space="preserve">        if s.id not in METRICS:</t>
        </is>
      </c>
    </row>
    <row r="556">
      <c r="A556" s="32" t="inlineStr">
        <is>
          <t xml:space="preserve">            raise MetricError(f"Series '{s.id}' is not a registered metric; "</t>
        </is>
      </c>
    </row>
    <row r="557">
      <c r="A557" s="32" t="inlineStr">
        <is>
          <t xml:space="preserve">                              f"known metrics: {', '.join(sorted(METRICS))}.")</t>
        </is>
      </c>
    </row>
    <row r="558">
      <c r="A558" s="32" t="inlineStr">
        <is>
          <t xml:space="preserve">        flds, fn = METRICS[s.id]</t>
        </is>
      </c>
    </row>
    <row r="559">
      <c r="A559" s="32" t="inlineStr">
        <is>
          <t xml:space="preserve">        expected = "direct" if fn is None else "derived"</t>
        </is>
      </c>
    </row>
    <row r="560">
      <c r="A560" s="32" t="inlineStr">
        <is>
          <t xml:space="preserve">        if s.transform != expected:</t>
        </is>
      </c>
    </row>
    <row r="561">
      <c r="A561" s="32" t="inlineStr">
        <is>
          <t xml:space="preserve">            raise MetricError(f"Series '{s.id}' declares transform "</t>
        </is>
      </c>
    </row>
    <row r="562">
      <c r="A562" s="32" t="inlineStr">
        <is>
          <t xml:space="preserve">                              f"'{s.transform}' but the registry defines it as "</t>
        </is>
      </c>
    </row>
    <row r="563">
      <c r="A563" s="32" t="inlineStr">
        <is>
          <t xml:space="preserve">                              f"'{expected}'.")</t>
        </is>
      </c>
    </row>
    <row r="564">
      <c r="A564" s="32" t="inlineStr">
        <is>
          <t xml:space="preserve">        for f in flds:</t>
        </is>
      </c>
    </row>
    <row r="565">
      <c r="A565" s="32" t="inlineStr">
        <is>
          <t xml:space="preserve">            if f not in RAW_FIELDS:</t>
        </is>
      </c>
    </row>
    <row r="566">
      <c r="A566" s="32" t="inlineStr">
        <is>
          <t xml:space="preserve">                raise MetricError(f"Series '{s.id}' consumes unlanded field "</t>
        </is>
      </c>
    </row>
    <row r="567">
      <c r="A567" s="32" t="inlineStr">
        <is>
          <t xml:space="preserve">                                  f"'{f}'.")</t>
        </is>
      </c>
    </row>
    <row r="568">
      <c r="A568" s="32" t="inlineStr"/>
    </row>
    <row r="569">
      <c r="A569" s="32" t="inlineStr"/>
    </row>
    <row r="570">
      <c r="A570" s="32" t="inlineStr">
        <is>
          <t>def metric_value(metric_id: str, fields: Dict[str, Optional[float]]):</t>
        </is>
      </c>
    </row>
    <row r="571">
      <c r="A571" s="32" t="inlineStr">
        <is>
          <t xml:space="preserve">    """The single headline computation: latest-quarter fields -&gt; metric value.</t>
        </is>
      </c>
    </row>
    <row r="572">
      <c r="A572" s="32" t="inlineStr">
        <is>
          <t xml:space="preserve">    Identical to the Excel formula off the same Raw_FDIC cells."""</t>
        </is>
      </c>
    </row>
    <row r="573">
      <c r="A573" s="32" t="inlineStr">
        <is>
          <t xml:space="preserve">    flds, fn = METRICS[metric_id]</t>
        </is>
      </c>
    </row>
    <row r="574">
      <c r="A574" s="32" t="inlineStr">
        <is>
          <t xml:space="preserve">    if fn is None:</t>
        </is>
      </c>
    </row>
    <row r="575">
      <c r="A575" s="32" t="inlineStr">
        <is>
          <t xml:space="preserve">        return fields.get(flds[0])</t>
        </is>
      </c>
    </row>
    <row r="576">
      <c r="A576" s="32" t="inlineStr">
        <is>
          <t xml:space="preserve">    return fn(fields)</t>
        </is>
      </c>
    </row>
    <row r="577">
      <c r="A577" s="32" t="inlineStr"/>
    </row>
    <row r="578">
      <c r="A578" s="32" t="inlineStr"/>
    </row>
    <row r="579">
      <c r="A579" s="32" t="inlineStr">
        <is>
          <t># ---------------------------------------------------------------------------</t>
        </is>
      </c>
    </row>
    <row r="580">
      <c r="A580" s="32" t="inlineStr">
        <is>
          <t># THE WATCHLIST VALIDATOR -- DEFAULT-DENY (BUILD SPEC 0.1 / sec 3).</t>
        </is>
      </c>
    </row>
    <row r="581">
      <c r="A581" s="32" t="inlineStr">
        <is>
          <t># Gate 1: the peer slot is active=TRUE (inactive = EXCLUDED, slot blanked).</t>
        </is>
      </c>
    </row>
    <row r="582">
      <c r="A582" s="32" t="inlineStr">
        <is>
          <t># Gate 2: every metric row is Class A (a non-A row refuses the whole run --</t>
        </is>
      </c>
    </row>
    <row r="583">
      <c r="A583" s="32" t="inlineStr">
        <is>
          <t>#         it would poison every bank's counts).</t>
        </is>
      </c>
    </row>
    <row r="584">
      <c r="A584" s="32" t="inlineStr">
        <is>
          <t># Gate 3: the entity key built from the [PEERS] cert cell matches</t>
        </is>
      </c>
    </row>
    <row r="585">
      <c r="A585" s="32" t="inlineStr">
        <is>
          <t>#         ^cert:[0-9]{1,7}$ (blank/malformed cert = refused BY NAME).</t>
        </is>
      </c>
    </row>
    <row r="586">
      <c r="A586" s="32" t="inlineStr">
        <is>
          <t># ---------------------------------------------------------------------------</t>
        </is>
      </c>
    </row>
    <row r="587">
      <c r="A587" s="32" t="inlineStr">
        <is>
          <t>class WatchlistRefused(Exception):</t>
        </is>
      </c>
    </row>
    <row r="588">
      <c r="A588" s="32" t="inlineStr">
        <is>
          <t xml:space="preserve">    """Raised by the hard gates; carries the interpolated refusal message."""</t>
        </is>
      </c>
    </row>
    <row r="589">
      <c r="A589" s="32" t="inlineStr"/>
    </row>
    <row r="590">
      <c r="A590" s="32" t="inlineStr"/>
    </row>
    <row r="591">
      <c r="A591" s="32" t="inlineStr">
        <is>
          <t>class PeerCapacityError(Exception):</t>
        </is>
      </c>
    </row>
    <row r="592">
      <c r="A592" s="32" t="inlineStr">
        <is>
          <t xml:space="preserve">    """More peers than BUILT slots: refuse with the rebuild command -- the</t>
        </is>
      </c>
    </row>
    <row r="593">
      <c r="A593" s="32" t="inlineStr">
        <is>
          <t xml:space="preserve">    runner never truncates a peer list (USER REQUIREMENT)."""</t>
        </is>
      </c>
    </row>
    <row r="594">
      <c r="A594" s="32" t="inlineStr"/>
    </row>
    <row r="595">
      <c r="A595" s="32" t="inlineStr"/>
    </row>
    <row r="596">
      <c r="A596" s="32" t="inlineStr">
        <is>
          <t>def peer_refusal_message(peer: PeerRow, reasons: List[str]) -&gt; str:</t>
        </is>
      </c>
    </row>
    <row r="597">
      <c r="A597" s="32" t="inlineStr">
        <is>
          <t xml:space="preserve">    return (</t>
        </is>
      </c>
    </row>
    <row r="598">
      <c r="A598" s="32" t="inlineStr">
        <is>
          <t xml:space="preserve">        f'WATCHLIST REFUSED: peer slot {peer.slot} "{peer.name or "(unnamed)"}" '</t>
        </is>
      </c>
    </row>
    <row r="599">
      <c r="A599" s="32" t="inlineStr">
        <is>
          <t xml:space="preserve">        f'has cert="{peer.cert}", active={"TRUE" if peer.active else "FALSE"}. '</t>
        </is>
      </c>
    </row>
    <row r="600">
      <c r="A600" s="32" t="inlineStr">
        <is>
          <t xml:space="preserve">        + " ".join(reasons) +</t>
        </is>
      </c>
    </row>
    <row r="601">
      <c r="A601" s="32" t="inlineStr">
        <is>
          <t xml:space="preserve">        " Only CERT-keyed FDIC institutions can be monitored as counterparties;"</t>
        </is>
      </c>
    </row>
    <row r="602">
      <c r="A602" s="32" t="inlineStr">
        <is>
          <t xml:space="preserve">        " aggregates, holding companies and name-only rows cannot. Find the"</t>
        </is>
      </c>
    </row>
    <row r="603">
      <c r="A603" s="32" t="inlineStr">
        <is>
          <t xml:space="preserve">        f' CERT with: python runner.py --lookup "{peer.name or "&lt;bank name&gt;"}".')</t>
        </is>
      </c>
    </row>
    <row r="604">
      <c r="A604" s="32" t="inlineStr"/>
    </row>
    <row r="605">
      <c r="A605" s="32" t="inlineStr"/>
    </row>
    <row r="606">
      <c r="A606" s="32" t="inlineStr">
        <is>
          <t>def metric_refusal_message(spec: SeriesSpec, reasons: List[str]) -&gt; str:</t>
        </is>
      </c>
    </row>
    <row r="607">
      <c r="A607" s="32" t="inlineStr">
        <is>
          <t xml:space="preserve">    return (</t>
        </is>
      </c>
    </row>
    <row r="608">
      <c r="A608" s="32" t="inlineStr">
        <is>
          <t xml:space="preserve">        f'WATCHLIST REFUSED: series "{spec.id}" has '</t>
        </is>
      </c>
    </row>
    <row r="609">
      <c r="A609" s="32" t="inlineStr">
        <is>
          <t xml:space="preserve">        f'source_class="{spec.source_class}", '</t>
        </is>
      </c>
    </row>
    <row r="610">
      <c r="A610" s="32" t="inlineStr">
        <is>
          <t xml:space="preserve">        f'watchlist_capable={"TRUE" if spec.watchlist_capable else "FALSE"}. '</t>
        </is>
      </c>
    </row>
    <row r="611">
      <c r="A611" s="32" t="inlineStr">
        <is>
          <t xml:space="preserve">        + " ".join(reasons) +</t>
        </is>
      </c>
    </row>
    <row r="612">
      <c r="A612" s="32" t="inlineStr">
        <is>
          <t xml:space="preserve">        " This template admits only the public FDIC BankFind adapter"</t>
        </is>
      </c>
    </row>
    <row r="613">
      <c r="A613" s="32" t="inlineStr">
        <is>
          <t xml:space="preserve">        " (Class A); any other class requires its own review before"</t>
        </is>
      </c>
    </row>
    <row r="614">
      <c r="A614" s="32" t="inlineStr">
        <is>
          <t xml:space="preserve">        " admission.")</t>
        </is>
      </c>
    </row>
    <row r="615">
      <c r="A615" s="32" t="inlineStr"/>
    </row>
    <row r="616">
      <c r="A616" s="32" t="inlineStr"/>
    </row>
    <row r="617">
      <c r="A617" s="32" t="inlineStr">
        <is>
          <t>def gate_peer_row(peer: PeerRow) -&gt; List[str]:</t>
        </is>
      </c>
    </row>
    <row r="618">
      <c r="A618" s="32" t="inlineStr">
        <is>
          <t xml:space="preserve">    """Failed-gate reasons for an ACTIVE peer row carrying a bank. Empty list</t>
        </is>
      </c>
    </row>
    <row r="619">
      <c r="A619" s="32" t="inlineStr">
        <is>
          <t xml:space="preserve">    == a genuinely CERT-keyed row."""</t>
        </is>
      </c>
    </row>
    <row r="620">
      <c r="A620" s="32" t="inlineStr">
        <is>
          <t xml:space="preserve">    reasons = []</t>
        </is>
      </c>
    </row>
    <row r="621">
      <c r="A621" s="32" t="inlineStr">
        <is>
          <t xml:space="preserve">    if not re.match(ENTITY_KEY_PATTERN, peer.entity_key):</t>
        </is>
      </c>
    </row>
    <row r="622">
      <c r="A622" s="32" t="inlineStr">
        <is>
          <t xml:space="preserve">        reasons.append(</t>
        </is>
      </c>
    </row>
    <row r="623">
      <c r="A623" s="32" t="inlineStr">
        <is>
          <t xml:space="preserve">            f"Gate3: entity key '{peer.entity_key}' does not match the "</t>
        </is>
      </c>
    </row>
    <row r="624">
      <c r="A624" s="32" t="inlineStr">
        <is>
          <t xml:space="preserve">            f"join-key whitelist pattern {ENTITY_KEY_PATTERN} (default-deny; "</t>
        </is>
      </c>
    </row>
    <row r="625">
      <c r="A625" s="32" t="inlineStr">
        <is>
          <t xml:space="preserve">            "a blank or malformed CERT cannot be fetched).")</t>
        </is>
      </c>
    </row>
    <row r="626">
      <c r="A626" s="32" t="inlineStr">
        <is>
          <t xml:space="preserve">    return reasons</t>
        </is>
      </c>
    </row>
    <row r="627">
      <c r="A627" s="32" t="inlineStr"/>
    </row>
    <row r="628">
      <c r="A628" s="32" t="inlineStr"/>
    </row>
    <row r="629">
      <c r="A629" s="32" t="inlineStr">
        <is>
          <t>def gate_metric_row(spec: SeriesSpec) -&gt; List[str]:</t>
        </is>
      </c>
    </row>
    <row r="630">
      <c r="A630" s="32" t="inlineStr">
        <is>
          <t xml:space="preserve">    reasons = []</t>
        </is>
      </c>
    </row>
    <row r="631">
      <c r="A631" s="32" t="inlineStr">
        <is>
          <t xml:space="preserve">    if not spec.watchlist_capable:</t>
        </is>
      </c>
    </row>
    <row r="632">
      <c r="A632" s="32" t="inlineStr">
        <is>
          <t xml:space="preserve">        reasons.append("Gate1: watchlist_capable is not TRUE.")</t>
        </is>
      </c>
    </row>
    <row r="633">
      <c r="A633" s="32" t="inlineStr">
        <is>
          <t xml:space="preserve">    if spec.source_class != "A":</t>
        </is>
      </c>
    </row>
    <row r="634">
      <c r="A634" s="32" t="inlineStr">
        <is>
          <t xml:space="preserve">        reasons.append("Gate2: source_class is not A -- this template's only "</t>
        </is>
      </c>
    </row>
    <row r="635">
      <c r="A635" s="32" t="inlineStr">
        <is>
          <t xml:space="preserve">                       "admitted class is the keyless public FDIC adapter; "</t>
        </is>
      </c>
    </row>
    <row r="636">
      <c r="A636" s="32" t="inlineStr">
        <is>
          <t xml:space="preserve">                       "any other class (including a future licensed swap) "</t>
        </is>
      </c>
    </row>
    <row r="637">
      <c r="A637" s="32" t="inlineStr">
        <is>
          <t xml:space="preserve">                       "requires its own review before admission.")</t>
        </is>
      </c>
    </row>
    <row r="638">
      <c r="A638" s="32" t="inlineStr">
        <is>
          <t xml:space="preserve">    return reasons</t>
        </is>
      </c>
    </row>
    <row r="639">
      <c r="A639" s="32" t="inlineStr"/>
    </row>
    <row r="640">
      <c r="A640" s="32" t="inlineStr"/>
    </row>
    <row r="641">
      <c r="A641" s="32" t="inlineStr">
        <is>
          <t>def assert_metrics_admissible(series: Sequence[SeriesSpec]) -&gt; None:</t>
        </is>
      </c>
    </row>
    <row r="642">
      <c r="A642" s="32" t="inlineStr">
        <is>
          <t xml:space="preserve">    """Hard gate (build-time AND run start): a fabricated non-Class-A metric</t>
        </is>
      </c>
    </row>
    <row r="643">
      <c r="A643" s="32" t="inlineStr">
        <is>
          <t xml:space="preserve">    row refuses everything, series-named -- defense in depth behind gate 2."""</t>
        </is>
      </c>
    </row>
    <row r="644">
      <c r="A644" s="32" t="inlineStr">
        <is>
          <t xml:space="preserve">    for s in series:</t>
        </is>
      </c>
    </row>
    <row r="645">
      <c r="A645" s="32" t="inlineStr">
        <is>
          <t xml:space="preserve">        reasons = gate_metric_row(s)</t>
        </is>
      </c>
    </row>
    <row r="646">
      <c r="A646" s="32" t="inlineStr">
        <is>
          <t xml:space="preserve">        if reasons:</t>
        </is>
      </c>
    </row>
    <row r="647">
      <c r="A647" s="32" t="inlineStr">
        <is>
          <t xml:space="preserve">            raise WatchlistRefused(metric_refusal_message(s, reasons))</t>
        </is>
      </c>
    </row>
    <row r="648">
      <c r="A648" s="32" t="inlineStr"/>
    </row>
    <row r="649">
      <c r="A649" s="32" t="inlineStr"/>
    </row>
    <row r="650">
      <c r="A650" s="32" t="inlineStr">
        <is>
          <t>def evaluate_peers(cfg: Config):</t>
        </is>
      </c>
    </row>
    <row r="651">
      <c r="A651" s="32" t="inlineStr">
        <is>
          <t xml:space="preserve">    """Apply the default-deny gates to every [PEERS] row carrying a bank.</t>
        </is>
      </c>
    </row>
    <row r="652">
      <c r="A652" s="32" t="inlineStr">
        <is>
          <t xml:space="preserve">    Returns (admitted, refusals, excluded): admitted peers are fetched and</t>
        </is>
      </c>
    </row>
    <row r="653">
      <c r="A653" s="32" t="inlineStr">
        <is>
          <t xml:space="preserve">    landed; refusals is [(peer, message)] -- those slots are never fetched and</t>
        </is>
      </c>
    </row>
    <row r="654">
      <c r="A654" s="32" t="inlineStr">
        <is>
          <t xml:space="preserve">    are blanked; excluded is the active=FALSE list (blanked, not refused)."""</t>
        </is>
      </c>
    </row>
    <row r="655">
      <c r="A655" s="32" t="inlineStr">
        <is>
          <t xml:space="preserve">    admitted, refusals, excluded = [], [], []</t>
        </is>
      </c>
    </row>
    <row r="656">
      <c r="A656" s="32" t="inlineStr">
        <is>
          <t xml:space="preserve">    for peer in cfg.peers:</t>
        </is>
      </c>
    </row>
    <row r="657">
      <c r="A657" s="32" t="inlineStr">
        <is>
          <t xml:space="preserve">        if not peer.has_bank:</t>
        </is>
      </c>
    </row>
    <row r="658">
      <c r="A658" s="32" t="inlineStr">
        <is>
          <t xml:space="preserve">            continue                       # provisioned empty slot</t>
        </is>
      </c>
    </row>
    <row r="659">
      <c r="A659" s="32" t="inlineStr">
        <is>
          <t xml:space="preserve">        if not peer.active:</t>
        </is>
      </c>
    </row>
    <row r="660">
      <c r="A660" s="32" t="inlineStr">
        <is>
          <t xml:space="preserve">            excluded.append(peer)          # gate 1: exclusion, not refusal</t>
        </is>
      </c>
    </row>
    <row r="661">
      <c r="A661" s="32" t="inlineStr">
        <is>
          <t xml:space="preserve">            continue</t>
        </is>
      </c>
    </row>
    <row r="662">
      <c r="A662" s="32" t="inlineStr">
        <is>
          <t xml:space="preserve">        reasons = gate_peer_row(peer)</t>
        </is>
      </c>
    </row>
    <row r="663">
      <c r="A663" s="32" t="inlineStr">
        <is>
          <t xml:space="preserve">        if reasons:</t>
        </is>
      </c>
    </row>
    <row r="664">
      <c r="A664" s="32" t="inlineStr">
        <is>
          <t xml:space="preserve">            refusals.append((peer, peer_refusal_message(peer, reasons)))</t>
        </is>
      </c>
    </row>
    <row r="665">
      <c r="A665" s="32" t="inlineStr">
        <is>
          <t xml:space="preserve">        else:</t>
        </is>
      </c>
    </row>
    <row r="666">
      <c r="A666" s="32" t="inlineStr">
        <is>
          <t xml:space="preserve">            admitted.append(peer)</t>
        </is>
      </c>
    </row>
    <row r="667">
      <c r="A667" s="32" t="inlineStr">
        <is>
          <t xml:space="preserve">    return admitted, refusals, excluded</t>
        </is>
      </c>
    </row>
    <row r="668">
      <c r="A668" s="32" t="inlineStr"/>
    </row>
    <row r="669">
      <c r="A669" s="32" t="inlineStr"/>
    </row>
    <row r="670">
      <c r="A670" s="32" t="inlineStr">
        <is>
          <t>def assert_entity_gates(cfg: Config) -&gt; None:</t>
        </is>
      </c>
    </row>
    <row r="671">
      <c r="A671" s="32" t="inlineStr">
        <is>
          <t xml:space="preserve">    """BUILD-TIME hard gate backing the runtime gates (BUILD SPEC 0.1/sec 3):</t>
        </is>
      </c>
    </row>
    <row r="672">
      <c r="A672" s="32" t="inlineStr">
        <is>
          <t xml:space="preserve">    a bad metric row or a bad SEED peer cannot even be built into the lane.</t>
        </is>
      </c>
    </row>
    <row r="673">
      <c r="A673" s="32" t="inlineStr">
        <is>
          <t xml:space="preserve">    (At run time the per-peer gate refuses-and-continues so one typo does not</t>
        </is>
      </c>
    </row>
    <row r="674">
      <c r="A674" s="32" t="inlineStr">
        <is>
          <t xml:space="preserve">    kill the whole refresh; the refusal is rendered, the slot blanked.)"""</t>
        </is>
      </c>
    </row>
    <row r="675">
      <c r="A675" s="32" t="inlineStr">
        <is>
          <t xml:space="preserve">    assert_metrics_admissible(cfg.series)</t>
        </is>
      </c>
    </row>
    <row r="676">
      <c r="A676" s="32" t="inlineStr">
        <is>
          <t xml:space="preserve">    _, refusals, _ = evaluate_peers(cfg)</t>
        </is>
      </c>
    </row>
    <row r="677">
      <c r="A677" s="32" t="inlineStr">
        <is>
          <t xml:space="preserve">    if refusals:</t>
        </is>
      </c>
    </row>
    <row r="678">
      <c r="A678" s="32" t="inlineStr">
        <is>
          <t xml:space="preserve">        raise WatchlistRefused(refusals[0][1])</t>
        </is>
      </c>
    </row>
    <row r="679">
      <c r="A679" s="32" t="inlineStr"/>
    </row>
    <row r="680">
      <c r="A680" s="32" t="inlineStr"/>
    </row>
    <row r="681">
      <c r="A681" s="32" t="inlineStr">
        <is>
          <t>def validate_peer_capacity(cfg: Config) -&gt; None:</t>
        </is>
      </c>
    </row>
    <row r="682">
      <c r="A682" s="32" t="inlineStr">
        <is>
          <t xml:space="preserve">    """The flexible-peers guard: every bank-carrying row needs a slot inside</t>
        </is>
      </c>
    </row>
    <row r="683">
      <c r="A683" s="32" t="inlineStr">
        <is>
          <t xml:space="preserve">    the BUILT capacity, unique. Over capacity is REFUSED with the rebuild</t>
        </is>
      </c>
    </row>
    <row r="684">
      <c r="A684" s="32" t="inlineStr">
        <is>
          <t xml:space="preserve">    command -- never truncated (USER REQUIREMENT)."""</t>
        </is>
      </c>
    </row>
    <row r="685">
      <c r="A685" s="32" t="inlineStr">
        <is>
          <t xml:space="preserve">    cap = cfg.peer_slots</t>
        </is>
      </c>
    </row>
    <row r="686">
      <c r="A686" s="32" t="inlineStr">
        <is>
          <t xml:space="preserve">    banked = [p for p in cfg.peers if p.has_bank]</t>
        </is>
      </c>
    </row>
    <row r="687">
      <c r="A687" s="32" t="inlineStr">
        <is>
          <t xml:space="preserve">    seen: Dict[int, PeerRow] = {}</t>
        </is>
      </c>
    </row>
    <row r="688">
      <c r="A688" s="32" t="inlineStr">
        <is>
          <t xml:space="preserve">    bad = []</t>
        </is>
      </c>
    </row>
    <row r="689">
      <c r="A689" s="32" t="inlineStr">
        <is>
          <t xml:space="preserve">    for p in banked:</t>
        </is>
      </c>
    </row>
    <row r="690">
      <c r="A690" s="32" t="inlineStr">
        <is>
          <t xml:space="preserve">        if p.slot is None or p.slot &lt; 1 or p.slot &gt; cap:</t>
        </is>
      </c>
    </row>
    <row r="691">
      <c r="A691" s="32" t="inlineStr">
        <is>
          <t xml:space="preserve">            bad.append(p)</t>
        </is>
      </c>
    </row>
    <row r="692">
      <c r="A692" s="32" t="inlineStr">
        <is>
          <t xml:space="preserve">        elif p.slot in seen:</t>
        </is>
      </c>
    </row>
    <row r="693">
      <c r="A693" s="32" t="inlineStr">
        <is>
          <t xml:space="preserve">            raise PeerCapacityError(</t>
        </is>
      </c>
    </row>
    <row r="694">
      <c r="A694" s="32" t="inlineStr">
        <is>
          <t xml:space="preserve">                f"[PEERS] slot {p.slot} is listed twice "</t>
        </is>
      </c>
    </row>
    <row r="695">
      <c r="A695" s="32" t="inlineStr">
        <is>
          <t xml:space="preserve">                f'("{seen[p.slot].name}" and "{p.name}"); slots must be '</t>
        </is>
      </c>
    </row>
    <row r="696">
      <c r="A696" s="32" t="inlineStr">
        <is>
          <t xml:space="preserve">                "unique -- fix the [PEERS] table.")</t>
        </is>
      </c>
    </row>
    <row r="697">
      <c r="A697" s="32" t="inlineStr">
        <is>
          <t xml:space="preserve">        else:</t>
        </is>
      </c>
    </row>
    <row r="698">
      <c r="A698" s="32" t="inlineStr">
        <is>
          <t xml:space="preserve">            seen[p.slot] = p</t>
        </is>
      </c>
    </row>
    <row r="699">
      <c r="A699" s="32" t="inlineStr">
        <is>
          <t xml:space="preserve">    if bad:</t>
        </is>
      </c>
    </row>
    <row r="700">
      <c r="A700" s="32" t="inlineStr">
        <is>
          <t xml:space="preserve">        need = max(len(banked), max((p.slot or 0) for p in banked))</t>
        </is>
      </c>
    </row>
    <row r="701">
      <c r="A701" s="32" t="inlineStr">
        <is>
          <t xml:space="preserve">        names = ", ".join(f'"{p.name or p.cert}" (slot {p.slot})' for p in bad)</t>
        </is>
      </c>
    </row>
    <row r="702">
      <c r="A702" s="32" t="inlineStr">
        <is>
          <t xml:space="preserve">        raise PeerCapacityError(</t>
        </is>
      </c>
    </row>
    <row r="703">
      <c r="A703" s="32" t="inlineStr">
        <is>
          <t xml:space="preserve">            f"[PEERS] lists more peers than the workbook was built for: "</t>
        </is>
      </c>
    </row>
    <row r="704">
      <c r="A704" s="32" t="inlineStr">
        <is>
          <t xml:space="preserve">            f"{names} outside the built capacity of {cap} slots. The runner "</t>
        </is>
      </c>
    </row>
    <row r="705">
      <c r="A705" s="32" t="inlineStr">
        <is>
          <t xml:space="preserve">            f"never truncates a peer list -- rebuild with "</t>
        </is>
      </c>
    </row>
    <row r="706">
      <c r="A706" s="32" t="inlineStr">
        <is>
          <t xml:space="preserve">            f"--peer-slots {max(need, cap + 1)} "</t>
        </is>
      </c>
    </row>
    <row r="707">
      <c r="A707" s="32" t="inlineStr">
        <is>
          <t xml:space="preserve">            f"(python make_workbook.py --peer-slots {max(need, cap + 1)}).")</t>
        </is>
      </c>
    </row>
    <row r="708">
      <c r="A708" s="32" t="inlineStr"/>
    </row>
    <row r="709">
      <c r="A709" s="32" t="inlineStr"/>
    </row>
    <row r="710">
      <c r="A710" s="32" t="inlineStr">
        <is>
          <t># ---------------------------------------------------------------------------</t>
        </is>
      </c>
    </row>
    <row r="711">
      <c r="A711" s="32" t="inlineStr">
        <is>
          <t># THRESHOLD ENGINE -- config-driven OK/WATCH/ALERT, direction-aware</t>
        </is>
      </c>
    </row>
    <row r="712">
      <c r="A712" s="32" t="inlineStr">
        <is>
          <t># ---------------------------------------------------------------------------</t>
        </is>
      </c>
    </row>
    <row r="713">
      <c r="A713" s="32" t="inlineStr">
        <is>
          <t>def status_for(value: Optional[float], thr: Optional[Threshold]) -&gt; str:</t>
        </is>
      </c>
    </row>
    <row r="714">
      <c r="A714" s="32" t="inlineStr">
        <is>
          <t xml:space="preserve">    """direction='above': flag when value &gt;= bound; 'below': value &lt;= bound</t>
        </is>
      </c>
    </row>
    <row r="715">
      <c r="A715" s="32" t="inlineStr">
        <is>
          <t xml:space="preserve">    (capital/coverage/earnings run below-is-bad). Blank value -&gt; OK (blank is</t>
        </is>
      </c>
    </row>
    <row r="716">
      <c r="A716" s="32" t="inlineStr">
        <is>
          <t xml:space="preserve">    surfaced by the staleness/error paths, never fabricated into a flag)."""</t>
        </is>
      </c>
    </row>
    <row r="717">
      <c r="A717" s="32" t="inlineStr">
        <is>
          <t xml:space="preserve">    if value is None or thr is None or (isinstance(value, float)</t>
        </is>
      </c>
    </row>
    <row r="718">
      <c r="A718" s="32" t="inlineStr">
        <is>
          <t xml:space="preserve">                                        and math.isnan(value)):</t>
        </is>
      </c>
    </row>
    <row r="719">
      <c r="A719" s="32" t="inlineStr">
        <is>
          <t xml:space="preserve">        return "OK"</t>
        </is>
      </c>
    </row>
    <row r="720">
      <c r="A720" s="32" t="inlineStr">
        <is>
          <t xml:space="preserve">    above = thr.direction != "below"</t>
        </is>
      </c>
    </row>
    <row r="721">
      <c r="A721" s="32" t="inlineStr"/>
    </row>
    <row r="722">
      <c r="A722" s="32" t="inlineStr">
        <is>
          <t xml:space="preserve">    def hit(bound):</t>
        </is>
      </c>
    </row>
    <row r="723">
      <c r="A723" s="32" t="inlineStr">
        <is>
          <t xml:space="preserve">        if bound is None:</t>
        </is>
      </c>
    </row>
    <row r="724">
      <c r="A724" s="32" t="inlineStr">
        <is>
          <t xml:space="preserve">            return False</t>
        </is>
      </c>
    </row>
    <row r="725">
      <c r="A725" s="32" t="inlineStr">
        <is>
          <t xml:space="preserve">        return value &gt;= bound if above else value &lt;= bound</t>
        </is>
      </c>
    </row>
    <row r="726">
      <c r="A726" s="32" t="inlineStr"/>
    </row>
    <row r="727">
      <c r="A727" s="32" t="inlineStr">
        <is>
          <t xml:space="preserve">    if hit(thr.alert):</t>
        </is>
      </c>
    </row>
    <row r="728">
      <c r="A728" s="32" t="inlineStr">
        <is>
          <t xml:space="preserve">        return "ALERT"</t>
        </is>
      </c>
    </row>
    <row r="729">
      <c r="A729" s="32" t="inlineStr">
        <is>
          <t xml:space="preserve">    if hit(thr.watch):</t>
        </is>
      </c>
    </row>
    <row r="730">
      <c r="A730" s="32" t="inlineStr">
        <is>
          <t xml:space="preserve">        return "WATCH"</t>
        </is>
      </c>
    </row>
    <row r="731">
      <c r="A731" s="32" t="inlineStr">
        <is>
          <t xml:space="preserve">    return "OK"</t>
        </is>
      </c>
    </row>
    <row r="732">
      <c r="A732" s="32" t="inlineStr"/>
    </row>
    <row r="733">
      <c r="A733" s="32" t="inlineStr"/>
    </row>
    <row r="734">
      <c r="A734" s="32" t="inlineStr">
        <is>
          <t># ---------------------------------------------------------------------------</t>
        </is>
      </c>
    </row>
    <row r="735">
      <c r="A735" s="32" t="inlineStr">
        <is>
          <t># STALENESS GUARD (BUILD SPEC 0.6 -- trap F2, the merged-bank lesson)</t>
        </is>
      </c>
    </row>
    <row r="736">
      <c r="A736" s="32" t="inlineStr">
        <is>
          <t># ---------------------------------------------------------------------------</t>
        </is>
      </c>
    </row>
    <row r="737">
      <c r="A737" s="32" t="inlineStr">
        <is>
          <t>def is_stale_bank(last_period: Optional[str], set_max_period: Optional[str],</t>
        </is>
      </c>
    </row>
    <row r="738">
      <c r="A738" s="32" t="inlineStr">
        <is>
          <t xml:space="preserve">                  stale_multiplier: float) -&gt; bool:</t>
        </is>
      </c>
    </row>
    <row r="739">
      <c r="A739" s="32" t="inlineStr">
        <is>
          <t xml:space="preserve">    """Fetch success is NOT data currency: a merged-away bank keeps returning</t>
        </is>
      </c>
    </row>
    <row r="740">
      <c r="A740" s="32" t="inlineStr">
        <is>
          <t xml:space="preserve">    its final REPDTE with no error. A bank is STALE when its latest REPDTE</t>
        </is>
      </c>
    </row>
    <row r="741">
      <c r="A741" s="32" t="inlineStr">
        <is>
          <t xml:space="preserve">    lags the PEER-SET max by more than stale_multiplier quarters (generous</t>
        </is>
      </c>
    </row>
    <row r="742">
      <c r="A742" s="32" t="inlineStr">
        <is>
          <t xml:space="preserve">    92-day quarters). Valueless bank -&gt; stale."""</t>
        </is>
      </c>
    </row>
    <row r="743">
      <c r="A743" s="32" t="inlineStr">
        <is>
          <t xml:space="preserve">    if last_period is None:</t>
        </is>
      </c>
    </row>
    <row r="744">
      <c r="A744" s="32" t="inlineStr">
        <is>
          <t xml:space="preserve">        return True</t>
        </is>
      </c>
    </row>
    <row r="745">
      <c r="A745" s="32" t="inlineStr">
        <is>
          <t xml:space="preserve">    if set_max_period is None:</t>
        </is>
      </c>
    </row>
    <row r="746">
      <c r="A746" s="32" t="inlineStr">
        <is>
          <t xml:space="preserve">        return False                      # nothing landed anywhere: no baseline</t>
        </is>
      </c>
    </row>
    <row r="747">
      <c r="A747" s="32" t="inlineStr">
        <is>
          <t xml:space="preserve">    try:</t>
        </is>
      </c>
    </row>
    <row r="748">
      <c r="A748" s="32" t="inlineStr">
        <is>
          <t xml:space="preserve">        last = date.fromisoformat(str(last_period)[:10])</t>
        </is>
      </c>
    </row>
    <row r="749">
      <c r="A749" s="32" t="inlineStr">
        <is>
          <t xml:space="preserve">        mx = date.fromisoformat(str(set_max_period)[:10])</t>
        </is>
      </c>
    </row>
    <row r="750">
      <c r="A750" s="32" t="inlineStr">
        <is>
          <t xml:space="preserve">    except ValueError:</t>
        </is>
      </c>
    </row>
    <row r="751">
      <c r="A751" s="32" t="inlineStr">
        <is>
          <t xml:space="preserve">        return True</t>
        </is>
      </c>
    </row>
    <row r="752">
      <c r="A752" s="32" t="inlineStr">
        <is>
          <t xml:space="preserve">    return (mx - last).days &gt; stale_multiplier * QUARTER_DAYS</t>
        </is>
      </c>
    </row>
    <row r="753">
      <c r="A753" s="32" t="inlineStr"/>
    </row>
    <row r="754">
      <c r="A754" s="32" t="inlineStr"/>
    </row>
    <row r="755">
      <c r="A755" s="32" t="inlineStr">
        <is>
          <t># ---------------------------------------------------------------------------</t>
        </is>
      </c>
    </row>
    <row r="756">
      <c r="A756" s="32" t="inlineStr">
        <is>
          <t># THE ADAPTER SEAM (BUILD SPEC sec 1a) -- the only provider-specific code</t>
        </is>
      </c>
    </row>
    <row r="757">
      <c r="A757" s="32" t="inlineStr">
        <is>
          <t># ---------------------------------------------------------------------------</t>
        </is>
      </c>
    </row>
    <row r="758">
      <c r="A758" s="32" t="inlineStr">
        <is>
          <t>@dataclass</t>
        </is>
      </c>
    </row>
    <row r="759">
      <c r="A759" s="32" t="inlineStr">
        <is>
          <t>class NormalizedRow:</t>
        </is>
      </c>
    </row>
    <row r="760">
      <c r="A760" s="32" t="inlineStr">
        <is>
          <t xml:space="preserve">    id: str</t>
        </is>
      </c>
    </row>
    <row r="761">
      <c r="A761" s="32" t="inlineStr">
        <is>
          <t xml:space="preserve">    period: str            # ISO date string (quarter-end REPDTE)</t>
        </is>
      </c>
    </row>
    <row r="762">
      <c r="A762" s="32" t="inlineStr">
        <is>
          <t xml:space="preserve">    value: Optional[float]</t>
        </is>
      </c>
    </row>
    <row r="763">
      <c r="A763" s="32" t="inlineStr">
        <is>
          <t xml:space="preserve">    geo_segment: str       # the ENTITY key: cert:NNN</t>
        </is>
      </c>
    </row>
    <row r="764">
      <c r="A764" s="32" t="inlineStr">
        <is>
          <t xml:space="preserve">    source_class: str</t>
        </is>
      </c>
    </row>
    <row r="765">
      <c r="A765" s="32" t="inlineStr">
        <is>
          <t xml:space="preserve">    units: str = ""</t>
        </is>
      </c>
    </row>
    <row r="766">
      <c r="A766" s="32" t="inlineStr"/>
    </row>
    <row r="767">
      <c r="A767" s="32" t="inlineStr"/>
    </row>
    <row r="768">
      <c r="A768" s="32" t="inlineStr">
        <is>
          <t>@dataclass</t>
        </is>
      </c>
    </row>
    <row r="769">
      <c r="A769" s="32" t="inlineStr">
        <is>
          <t>class FieldSpec:</t>
        </is>
      </c>
    </row>
    <row r="770">
      <c r="A770" s="32" t="inlineStr">
        <is>
          <t xml:space="preserve">    """One expanded fetch/land unit: (peer slot, cert) x raw field. The id</t>
        </is>
      </c>
    </row>
    <row r="771">
      <c r="A771" s="32" t="inlineStr">
        <is>
          <t xml:space="preserve">    scheme s{slot:02d}_{FIELD} mirrors the digest's s{slot:02d}_{METRIC}</t>
        </is>
      </c>
    </row>
    <row r="772">
      <c r="A772" s="32" t="inlineStr">
        <is>
          <t xml:space="preserve">    units; anchors derive from (slot, field) alone."""</t>
        </is>
      </c>
    </row>
    <row r="773">
      <c r="A773" s="32" t="inlineStr">
        <is>
          <t xml:space="preserve">    slot: int</t>
        </is>
      </c>
    </row>
    <row r="774">
      <c r="A774" s="32" t="inlineStr">
        <is>
          <t xml:space="preserve">    cert: str</t>
        </is>
      </c>
    </row>
    <row r="775">
      <c r="A775" s="32" t="inlineStr">
        <is>
          <t xml:space="preserve">    fname: str</t>
        </is>
      </c>
    </row>
    <row r="776">
      <c r="A776" s="32" t="inlineStr">
        <is>
          <t xml:space="preserve">    id: str</t>
        </is>
      </c>
    </row>
    <row r="777">
      <c r="A777" s="32" t="inlineStr">
        <is>
          <t xml:space="preserve">    geo_segment: str</t>
        </is>
      </c>
    </row>
    <row r="778">
      <c r="A778" s="32" t="inlineStr">
        <is>
          <t xml:space="preserve">    units: str</t>
        </is>
      </c>
    </row>
    <row r="779">
      <c r="A779" s="32" t="inlineStr">
        <is>
          <t xml:space="preserve">    source_class: str = "A"</t>
        </is>
      </c>
    </row>
    <row r="780">
      <c r="A780" s="32" t="inlineStr"/>
    </row>
    <row r="781">
      <c r="A781" s="32" t="inlineStr"/>
    </row>
    <row r="782">
      <c r="A782" s="32" t="inlineStr">
        <is>
          <t>def make_field_spec(peer: PeerRow, fname: str) -&gt; FieldSpec:</t>
        </is>
      </c>
    </row>
    <row r="783">
      <c r="A783" s="32" t="inlineStr">
        <is>
          <t xml:space="preserve">    return FieldSpec(slot=peer.slot, cert=peer.cert, fname=fname,</t>
        </is>
      </c>
    </row>
    <row r="784">
      <c r="A784" s="32" t="inlineStr">
        <is>
          <t xml:space="preserve">                     id=f"s{peer.slot:02d}_{fname}",</t>
        </is>
      </c>
    </row>
    <row r="785">
      <c r="A785" s="32" t="inlineStr">
        <is>
          <t xml:space="preserve">                     geo_segment=peer.entity_key, units=FIELD_UNITS[fname])</t>
        </is>
      </c>
    </row>
    <row r="786">
      <c r="A786" s="32" t="inlineStr"/>
    </row>
    <row r="787">
      <c r="A787" s="32" t="inlineStr"/>
    </row>
    <row r="788">
      <c r="A788" s="32" t="inlineStr">
        <is>
          <t>class Provider:</t>
        </is>
      </c>
    </row>
    <row r="789">
      <c r="A789" s="32" t="inlineStr">
        <is>
          <t xml:space="preserve">    """Adapter interface: prime(certs, asof) once per run (the ONE bulk call),</t>
        </is>
      </c>
    </row>
    <row r="790">
      <c r="A790" s="32" t="inlineStr">
        <is>
          <t xml:space="preserve">    then fetch_series(spec, secret) -&gt; [NormalizedRow] slices per unit."""</t>
        </is>
      </c>
    </row>
    <row r="791">
      <c r="A791" s="32" t="inlineStr"/>
    </row>
    <row r="792">
      <c r="A792" s="32" t="inlineStr">
        <is>
          <t xml:space="preserve">    source_class = "A"</t>
        </is>
      </c>
    </row>
    <row r="793">
      <c r="A793" s="32" t="inlineStr">
        <is>
          <t xml:space="preserve">    vintage: Optional[str] = None      # meta.index.createTimestamp (data age)</t>
        </is>
      </c>
    </row>
    <row r="794">
      <c r="A794" s="32" t="inlineStr"/>
    </row>
    <row r="795">
      <c r="A795" s="32" t="inlineStr">
        <is>
          <t xml:space="preserve">    def __init__(self):</t>
        </is>
      </c>
    </row>
    <row r="796">
      <c r="A796" s="32" t="inlineStr">
        <is>
          <t xml:space="preserve">        self.roster: Dict[str, dict] = {}</t>
        </is>
      </c>
    </row>
    <row r="797">
      <c r="A797" s="32" t="inlineStr"/>
    </row>
    <row r="798">
      <c r="A798" s="32" t="inlineStr">
        <is>
          <t xml:space="preserve">    def prime(self, certs: Sequence[str], asof: date,</t>
        </is>
      </c>
    </row>
    <row r="799">
      <c r="A799" s="32" t="inlineStr">
        <is>
          <t xml:space="preserve">              names: Optional[Dict[str, str]] = None) -&gt; None:  # pragma: no cover</t>
        </is>
      </c>
    </row>
    <row r="800">
      <c r="A800" s="32" t="inlineStr">
        <is>
          <t xml:space="preserve">        raise NotImplementedError</t>
        </is>
      </c>
    </row>
    <row r="801">
      <c r="A801" s="32" t="inlineStr"/>
    </row>
    <row r="802">
      <c r="A802" s="32" t="inlineStr">
        <is>
          <t xml:space="preserve">    def fetch_series(self, spec: FieldSpec, secret=None) -&gt; List[NormalizedRow]:  # pragma: no cover</t>
        </is>
      </c>
    </row>
    <row r="803">
      <c r="A803" s="32" t="inlineStr">
        <is>
          <t xml:space="preserve">        raise NotImplementedError</t>
        </is>
      </c>
    </row>
    <row r="804">
      <c r="A804" s="32" t="inlineStr"/>
    </row>
    <row r="805">
      <c r="A805" s="32" t="inlineStr"/>
    </row>
    <row r="806">
      <c r="A806" s="32" t="inlineStr">
        <is>
          <t>class FdicDemoProvider(Provider):</t>
        </is>
      </c>
    </row>
    <row r="807">
      <c r="A807" s="32" t="inlineStr">
        <is>
          <t xml:space="preserve">    """Deterministic offline stand-in (BUILD SPEC 0.7). Seeded per (cert,</t>
        </is>
      </c>
    </row>
    <row r="808">
      <c r="A808" s="32" t="inlineStr">
        <is>
          <t xml:space="preserve">    field) -- the SAME bank yields the SAME history in any slot, so a [PEERS]</t>
        </is>
      </c>
    </row>
    <row r="809">
      <c r="A809" s="32" t="inlineStr">
        <is>
          <t xml:space="preserve">    swap visibly moves data between slots (the flexibility test). Realistic</t>
        </is>
      </c>
    </row>
    <row r="810">
      <c r="A810" s="32" t="inlineStr">
        <is>
          <t xml:space="preserve">    ranges per metric; the seed profile puts one illustrative bank in a</t>
        </is>
      </c>
    </row>
    <row r="811">
      <c r="A811" s="32" t="inlineStr">
        <is>
          <t xml:space="preserve">    Texas-ALERT tier and one in a Texas-WATCH tier; one bank's BRO is null</t>
        </is>
      </c>
    </row>
    <row r="812">
      <c r="A812" s="32" t="inlineStr">
        <is>
          <t xml:space="preserve">    for the whole series (trap F3); every series carries one interior None.</t>
        </is>
      </c>
    </row>
    <row r="813">
      <c r="A813" s="32" t="inlineStr">
        <is>
          <t xml:space="preserve">    NO network, NO key; never stale at its own asof."""</t>
        </is>
      </c>
    </row>
    <row r="814">
      <c r="A814" s="32" t="inlineStr"/>
    </row>
    <row r="815">
      <c r="A815" s="32" t="inlineStr">
        <is>
          <t xml:space="preserve">    source_class = "A"</t>
        </is>
      </c>
    </row>
    <row r="816">
      <c r="A816" s="32" t="inlineStr"/>
    </row>
    <row r="817">
      <c r="A817" s="32" t="inlineStr">
        <is>
          <t xml:space="preserve">    def __init__(self, asof: Optional[date] = None,</t>
        </is>
      </c>
    </row>
    <row r="818">
      <c r="A818" s="32" t="inlineStr">
        <is>
          <t xml:space="preserve">                 raw_slots: int = RAW_SLOTS_DEFAULT):</t>
        </is>
      </c>
    </row>
    <row r="819">
      <c r="A819" s="32" t="inlineStr">
        <is>
          <t xml:space="preserve">        super().__init__()</t>
        </is>
      </c>
    </row>
    <row r="820">
      <c r="A820" s="32" t="inlineStr">
        <is>
          <t xml:space="preserve">        self.asof = asof or date(2026, 3, 31)</t>
        </is>
      </c>
    </row>
    <row r="821">
      <c r="A821" s="32" t="inlineStr">
        <is>
          <t xml:space="preserve">        self.raw_slots = raw_slots</t>
        </is>
      </c>
    </row>
    <row r="822">
      <c r="A822" s="32" t="inlineStr">
        <is>
          <t xml:space="preserve">        self.vintage = "demo data (FdicDemoProvider -- no live vintage)"</t>
        </is>
      </c>
    </row>
    <row r="823">
      <c r="A823" s="32" t="inlineStr">
        <is>
          <t xml:space="preserve">        self._profiles: Dict[str, List[Tuple[str, Dict[str, Optional[float]]]]] = {}</t>
        </is>
      </c>
    </row>
    <row r="824">
      <c r="A824" s="32" t="inlineStr"/>
    </row>
    <row r="825">
      <c r="A825" s="32" t="inlineStr">
        <is>
          <t xml:space="preserve">    def prime(self, certs, asof=None, names=None):</t>
        </is>
      </c>
    </row>
    <row r="826">
      <c r="A826" s="32" t="inlineStr">
        <is>
          <t xml:space="preserve">        names = names or {}</t>
        </is>
      </c>
    </row>
    <row r="827">
      <c r="A827" s="32" t="inlineStr">
        <is>
          <t xml:space="preserve">        for c in certs:</t>
        </is>
      </c>
    </row>
    <row r="828">
      <c r="A828" s="32" t="inlineStr">
        <is>
          <t xml:space="preserve">            self.roster[str(c)] = {</t>
        </is>
      </c>
    </row>
    <row r="829">
      <c r="A829" s="32" t="inlineStr">
        <is>
          <t xml:space="preserve">                "CERT": str(c), "NAME": names.get(str(c), f"Bank {c}"),</t>
        </is>
      </c>
    </row>
    <row r="830">
      <c r="A830" s="32" t="inlineStr">
        <is>
          <t xml:space="preserve">                "ACTIVE": 1, "BKCLASS": "N", "ENDEFYMD": None,</t>
        </is>
      </c>
    </row>
    <row r="831">
      <c r="A831" s="32" t="inlineStr">
        <is>
          <t xml:space="preserve">                "FED_RSSD": None}</t>
        </is>
      </c>
    </row>
    <row r="832">
      <c r="A832" s="32" t="inlineStr"/>
    </row>
    <row r="833">
      <c r="A833" s="32" t="inlineStr">
        <is>
          <t xml:space="preserve">    @staticmethod</t>
        </is>
      </c>
    </row>
    <row r="834">
      <c r="A834" s="32" t="inlineStr">
        <is>
          <t xml:space="preserve">    def _seed(cert: str) -&gt; int:</t>
        </is>
      </c>
    </row>
    <row r="835">
      <c r="A835" s="32" t="inlineStr">
        <is>
          <t xml:space="preserve">        try:</t>
        </is>
      </c>
    </row>
    <row r="836">
      <c r="A836" s="32" t="inlineStr">
        <is>
          <t xml:space="preserve">            n = int(cert)</t>
        </is>
      </c>
    </row>
    <row r="837">
      <c r="A837" s="32" t="inlineStr">
        <is>
          <t xml:space="preserve">        except ValueError:</t>
        </is>
      </c>
    </row>
    <row r="838">
      <c r="A838" s="32" t="inlineStr">
        <is>
          <t xml:space="preserve">            n = sum((i + 1) * ord(c) for i, c in enumerate(cert))</t>
        </is>
      </c>
    </row>
    <row r="839">
      <c r="A839" s="32" t="inlineStr">
        <is>
          <t xml:space="preserve">        return (n * 2654435761) % (2 ** 32)</t>
        </is>
      </c>
    </row>
    <row r="840">
      <c r="A840" s="32" t="inlineStr"/>
    </row>
    <row r="841">
      <c r="A841" s="32" t="inlineStr">
        <is>
          <t xml:space="preserve">    def _periods(self) -&gt; List[str]:</t>
        </is>
      </c>
    </row>
    <row r="842">
      <c r="A842" s="32" t="inlineStr">
        <is>
          <t xml:space="preserve">        idx = pd.period_range(end=pd.Period(self.asof, freq="Q"),</t>
        </is>
      </c>
    </row>
    <row r="843">
      <c r="A843" s="32" t="inlineStr">
        <is>
          <t xml:space="preserve">                              periods=self.raw_slots, freq="Q")</t>
        </is>
      </c>
    </row>
    <row r="844">
      <c r="A844" s="32" t="inlineStr">
        <is>
          <t xml:space="preserve">        return [p.to_timestamp(how="end").date().isoformat() for p in idx]</t>
        </is>
      </c>
    </row>
    <row r="845">
      <c r="A845" s="32" t="inlineStr"/>
    </row>
    <row r="846">
      <c r="A846" s="32" t="inlineStr">
        <is>
          <t xml:space="preserve">    def _profile(self, cert: str):</t>
        </is>
      </c>
    </row>
    <row r="847">
      <c r="A847" s="32" t="inlineStr">
        <is>
          <t xml:space="preserve">        """Full consistent quarter-by-quarter field history for one bank:</t>
        </is>
      </c>
    </row>
    <row r="848">
      <c r="A848" s="32" t="inlineStr">
        <is>
          <t xml:space="preserve">        dollar fields derive from the SAME wobbled ratios the ratio fields</t>
        </is>
      </c>
    </row>
    <row r="849">
      <c r="A849" s="32" t="inlineStr">
        <is>
          <t xml:space="preserve">        report, so every derived metric (Texas, coverage, CRE) is internally</t>
        </is>
      </c>
    </row>
    <row r="850">
      <c r="A850" s="32" t="inlineStr">
        <is>
          <t xml:space="preserve">        consistent -- the parity tests lean on that."""</t>
        </is>
      </c>
    </row>
    <row r="851">
      <c r="A851" s="32" t="inlineStr">
        <is>
          <t xml:space="preserve">        if cert in self._profiles:</t>
        </is>
      </c>
    </row>
    <row r="852">
      <c r="A852" s="32" t="inlineStr">
        <is>
          <t xml:space="preserve">            return self._profiles[cert]</t>
        </is>
      </c>
    </row>
    <row r="853">
      <c r="A853" s="32" t="inlineStr">
        <is>
          <t xml:space="preserve">        s = self._seed(cert)</t>
        </is>
      </c>
    </row>
    <row r="854">
      <c r="A854" s="32" t="inlineStr">
        <is>
          <t xml:space="preserve">        n = self.raw_slots</t>
        </is>
      </c>
    </row>
    <row r="855">
      <c r="A855" s="32" t="inlineStr">
        <is>
          <t xml:space="preserve">        tier = s % 13                       # 0 = ALERT tier, 1 = WATCH tier</t>
        </is>
      </c>
    </row>
    <row r="856">
      <c r="A856" s="32" t="inlineStr">
        <is>
          <t xml:space="preserve">        # newest-quarter targets per tier (ratios in percent)</t>
        </is>
      </c>
    </row>
    <row r="857">
      <c r="A857" s="32" t="inlineStr">
        <is>
          <t xml:space="preserve">        if tier == 0:      # deep-stress illustrative bank: Texas &gt; 100</t>
        </is>
      </c>
    </row>
    <row r="858">
      <c r="A858" s="32" t="inlineStr">
        <is>
          <t xml:space="preserve">            eq_r, ncl, res_r, p3, nco = 0.035, 13.0, 6.5, 3.4, 2.3</t>
        </is>
      </c>
    </row>
    <row r="859">
      <c r="A859" s="32" t="inlineStr">
        <is>
          <t xml:space="preserve">            roaq, nimy, eeffr = -0.6, 1.9, 88.0</t>
        </is>
      </c>
    </row>
    <row r="860">
      <c r="A860" s="32" t="inlineStr">
        <is>
          <t xml:space="preserve">        elif tier == 1:    # stressed illustrative bank: Texas 50-100</t>
        </is>
      </c>
    </row>
    <row r="861">
      <c r="A861" s="32" t="inlineStr">
        <is>
          <t xml:space="preserve">            eq_r, ncl, res_r, p3, nco = 0.055, 8.6, 6.4, 2.1, 1.3</t>
        </is>
      </c>
    </row>
    <row r="862">
      <c r="A862" s="32" t="inlineStr">
        <is>
          <t xml:space="preserve">            roaq, nimy, eeffr = 0.3, 2.35, 74.0</t>
        </is>
      </c>
    </row>
    <row r="863">
      <c r="A863" s="32" t="inlineStr">
        <is>
          <t xml:space="preserve">        else:              # healthy ranges</t>
        </is>
      </c>
    </row>
    <row r="864">
      <c r="A864" s="32" t="inlineStr">
        <is>
          <t xml:space="preserve">            eq_r = 0.092 + (s % 25) * 0.001</t>
        </is>
      </c>
    </row>
    <row r="865">
      <c r="A865" s="32" t="inlineStr">
        <is>
          <t xml:space="preserve">            ncl = 0.35 + (s % 14) * 0.09</t>
        </is>
      </c>
    </row>
    <row r="866">
      <c r="A866" s="32" t="inlineStr">
        <is>
          <t xml:space="preserve">            res_r = 1.05 + (s % 9) * 0.09</t>
        </is>
      </c>
    </row>
    <row r="867">
      <c r="A867" s="32" t="inlineStr">
        <is>
          <t xml:space="preserve">            p3 = 0.5 + (s % 9) * 0.1</t>
        </is>
      </c>
    </row>
    <row r="868">
      <c r="A868" s="32" t="inlineStr">
        <is>
          <t xml:space="preserve">            nco = 0.12 + (s % 10) * 0.05</t>
        </is>
      </c>
    </row>
    <row r="869">
      <c r="A869" s="32" t="inlineStr">
        <is>
          <t xml:space="preserve">            roaq = 0.85 + (s % 8) * 0.09</t>
        </is>
      </c>
    </row>
    <row r="870">
      <c r="A870" s="32" t="inlineStr">
        <is>
          <t xml:space="preserve">            nimy = 2.65 + (s % 14) * 0.11</t>
        </is>
      </c>
    </row>
    <row r="871">
      <c r="A871" s="32" t="inlineStr">
        <is>
          <t xml:space="preserve">            eeffr = 52.0 + (s % 17)</t>
        </is>
      </c>
    </row>
    <row r="872">
      <c r="A872" s="32" t="inlineStr">
        <is>
          <t xml:space="preserve">        asset0 = 2.0e6 + (s % 400) * 1.0e6          # $000: $2B - $402B</t>
        </is>
      </c>
    </row>
    <row r="873">
      <c r="A873" s="32" t="inlineStr">
        <is>
          <t xml:space="preserve">        loans_r = 0.55 + (s % 18) * 0.01</t>
        </is>
      </c>
    </row>
    <row r="874">
      <c r="A874" s="32" t="inlineStr">
        <is>
          <t xml:space="preserve">        dep_r = 0.72 + (s % 9) * 0.01</t>
        </is>
      </c>
    </row>
    <row r="875">
      <c r="A875" s="32" t="inlineStr">
        <is>
          <t xml:space="preserve">        bro_r = ((s &gt;&gt; 4) % 29) / 200.0     # 0-14%: a couple of WATCHes, no ALERT</t>
        </is>
      </c>
    </row>
    <row r="876">
      <c r="A876" s="32" t="inlineStr">
        <is>
          <t xml:space="preserve">        bro_none = (s % 17) == 3                     # whole-series null BRO</t>
        </is>
      </c>
    </row>
    <row r="877">
      <c r="A877" s="32" t="inlineStr">
        <is>
          <t xml:space="preserve">        cre_c = 0.02 + (s % 6) * 0.005</t>
        </is>
      </c>
    </row>
    <row r="878">
      <c r="A878" s="32" t="inlineStr">
        <is>
          <t xml:space="preserve">        cre_n = 0.10 + (s % 12) * 0.01</t>
        </is>
      </c>
    </row>
    <row r="879">
      <c r="A879" s="32" t="inlineStr">
        <is>
          <t xml:space="preserve">        cre_m = 0.03 + (s % 7) * 0.01</t>
        </is>
      </c>
    </row>
    <row r="880">
      <c r="A880" s="32" t="inlineStr">
        <is>
          <t xml:space="preserve">        # ---- v1.1 pack seeding (per class; newest-quarter targets, pct) ----</t>
        </is>
      </c>
    </row>
    <row r="881">
      <c r="A881" s="32" t="inlineStr">
        <is>
          <t xml:space="preserve">        # The stress tiers trip the new bands (spec sec 3: 1-2 demo banks);</t>
        </is>
      </c>
    </row>
    <row r="882">
      <c r="A882" s="32" t="inlineStr">
        <is>
          <t xml:space="preserve">        # healthy ranges sit under the ALERT bands (a few WATCHes by design).</t>
        </is>
      </c>
    </row>
    <row r="883">
      <c r="A883" s="32" t="inlineStr">
        <is>
          <t xml:space="preserve">        # Class rates: {class: (PD30-89, PD90+, nonaccrual, NCOq annualized)}</t>
        </is>
      </c>
    </row>
    <row r="884">
      <c r="A884" s="32" t="inlineStr">
        <is>
          <t xml:space="preserve">        if tier == 0:      # deep-stress: trips ALERT across headline + classes</t>
        </is>
      </c>
    </row>
    <row r="885">
      <c r="A885" s="32" t="inlineStr">
        <is>
          <t xml:space="preserve">            rate = {"crcd": (6.0, 4.5, 2.5, 9.5), "auto": (7.0, 2.5, 3.5, 5.0),</t>
        </is>
      </c>
    </row>
    <row r="886">
      <c r="A886" s="32" t="inlineStr">
        <is>
          <t xml:space="preserve">                    "conoth": (6.0, 3.5, 4.5, 5.0), "reres": (5.0, 3.5, 3.5, 2.0),</t>
        </is>
      </c>
    </row>
    <row r="887">
      <c r="A887" s="32" t="inlineStr">
        <is>
          <t xml:space="preserve">                    "reloc": (5.0, 3.5, 3.5, 0.0), "recons": (5.0, 3.5, 8.0, 3.5),</t>
        </is>
      </c>
    </row>
    <row r="888">
      <c r="A888" s="32" t="inlineStr">
        <is>
          <t xml:space="preserve">                    "renres": (5.0, 3.5, 8.0, 3.5), "remult": (5.0, 3.5, 6.0, 3.5),</t>
        </is>
      </c>
    </row>
    <row r="889">
      <c r="A889" s="32" t="inlineStr">
        <is>
          <t xml:space="preserve">                    "ci": (3.5, 2.5, 3.5, 3.5)}</t>
        </is>
      </c>
    </row>
    <row r="890">
      <c r="A890" s="32" t="inlineStr">
        <is>
          <t xml:space="preserve">            unins, unrlz, fhlb = 80.0, 60.0, 25.0</t>
        </is>
      </c>
    </row>
    <row r="891">
      <c r="A891" s="32" t="inlineStr">
        <is>
          <t xml:space="preserve">        elif tier == 1:    # moderate-stress: mostly WATCH under calibrated bands</t>
        </is>
      </c>
    </row>
    <row r="892">
      <c r="A892" s="32" t="inlineStr">
        <is>
          <t xml:space="preserve">            rate = {"crcd": (2.6, 1.7, 0.4, 6.5), "auto": (4.5, 1.2, 1.8, 2.8),</t>
        </is>
      </c>
    </row>
    <row r="893">
      <c r="A893" s="32" t="inlineStr">
        <is>
          <t xml:space="preserve">                    "conoth": (3.2, 1.7, 2.7, 2.4), "reres": (2.4, 1.6, 1.7, 0.9),</t>
        </is>
      </c>
    </row>
    <row r="894">
      <c r="A894" s="32" t="inlineStr">
        <is>
          <t xml:space="preserve">                    "reloc": (2.2, 1.6, 1.7, 0.0), "recons": (2.4, 1.6, 4.5, 1.7),</t>
        </is>
      </c>
    </row>
    <row r="895">
      <c r="A895" s="32" t="inlineStr">
        <is>
          <t xml:space="preserve">                    "renres": (2.2, 1.6, 4.5, 1.7), "remult": (2.1, 1.6, 3.5, 1.6),</t>
        </is>
      </c>
    </row>
    <row r="896">
      <c r="A896" s="32" t="inlineStr">
        <is>
          <t xml:space="preserve">                    "ci": (1.6, 1.1, 1.7, 1.7)}</t>
        </is>
      </c>
    </row>
    <row r="897">
      <c r="A897" s="32" t="inlineStr">
        <is>
          <t xml:space="preserve">            unins, unrlz, fhlb = 65.0, 30.0, 12.0</t>
        </is>
      </c>
    </row>
    <row r="898">
      <c r="A898" s="32" t="inlineStr">
        <is>
          <t xml:space="preserve">        else:</t>
        </is>
      </c>
    </row>
    <row r="899">
      <c r="A899" s="32" t="inlineStr">
        <is>
          <t xml:space="preserve">            rate = {</t>
        </is>
      </c>
    </row>
    <row r="900">
      <c r="A900" s="32" t="inlineStr">
        <is>
          <t xml:space="preserve">                "crcd": (0.9 + (s % 7) * 0.13, 0.7 + (s % 5) * 0.11,</t>
        </is>
      </c>
    </row>
    <row r="901">
      <c r="A901" s="32" t="inlineStr">
        <is>
          <t xml:space="preserve">                         0.1 + (s % 4) * 0.09, 1.2 + (s % 10) * 0.18),</t>
        </is>
      </c>
    </row>
    <row r="902">
      <c r="A902" s="32" t="inlineStr">
        <is>
          <t xml:space="preserve">                "auto": (1.0 + (s % 8) * 0.14, 0.15 + (s % 4) * 0.07,</t>
        </is>
      </c>
    </row>
    <row r="903">
      <c r="A903" s="32" t="inlineStr">
        <is>
          <t xml:space="preserve">                         0.2 + (s % 5) * 0.09, 0.3 + (s % 6) * 0.09),</t>
        </is>
      </c>
    </row>
    <row r="904">
      <c r="A904" s="32" t="inlineStr">
        <is>
          <t xml:space="preserve">                "conoth": (1.0 + (s % 7) * 0.12, 0.3 + (s % 5) * 0.09,</t>
        </is>
      </c>
    </row>
    <row r="905">
      <c r="A905" s="32" t="inlineStr">
        <is>
          <t xml:space="preserve">                           0.3 + (s % 4) * 0.11, 1.0 + (s % 8) * 0.11),</t>
        </is>
      </c>
    </row>
    <row r="906">
      <c r="A906" s="32" t="inlineStr">
        <is>
          <t xml:space="preserve">                "reres": (0.8 + (s % 6) * 0.13, 0.3 + (s % 4) * 0.1,</t>
        </is>
      </c>
    </row>
    <row r="907">
      <c r="A907" s="32" t="inlineStr">
        <is>
          <t xml:space="preserve">                          0.4 + (s % 5) * 0.09, 0.02 + (s % 5) * 0.02),</t>
        </is>
      </c>
    </row>
    <row r="908">
      <c r="A908" s="32" t="inlineStr">
        <is>
          <t xml:space="preserve">                "reloc": (0.5 + (s % 5) * 0.12, 0.2 + (s % 4) * 0.08,</t>
        </is>
      </c>
    </row>
    <row r="909">
      <c r="A909" s="32" t="inlineStr">
        <is>
          <t xml:space="preserve">                          0.3 + (s % 4) * 0.09, 0.0),</t>
        </is>
      </c>
    </row>
    <row r="910">
      <c r="A910" s="32" t="inlineStr">
        <is>
          <t xml:space="preserve">                "recons": (0.4 + (s % 6) * 0.12, 0.2 + (s % 4) * 0.09,</t>
        </is>
      </c>
    </row>
    <row r="911">
      <c r="A911" s="32" t="inlineStr">
        <is>
          <t xml:space="preserve">                           0.4 + (s % 6) * 0.12, 0.05 + (s % 5) * 0.06),</t>
        </is>
      </c>
    </row>
    <row r="912">
      <c r="A912" s="32" t="inlineStr">
        <is>
          <t xml:space="preserve">                "renres": (0.3 + (s % 5) * 0.11, 0.15 + (s % 4) * 0.07,</t>
        </is>
      </c>
    </row>
    <row r="913">
      <c r="A913" s="32" t="inlineStr">
        <is>
          <t xml:space="preserve">                           0.3 + (s % 5) * 0.11, 0.1 + (s % 4) * 0.07),</t>
        </is>
      </c>
    </row>
    <row r="914">
      <c r="A914" s="32" t="inlineStr">
        <is>
          <t xml:space="preserve">                "remult": (0.3 + (s % 4) * 0.11, 0.15 + (s % 3) * 0.07,</t>
        </is>
      </c>
    </row>
    <row r="915">
      <c r="A915" s="32" t="inlineStr">
        <is>
          <t xml:space="preserve">                           0.3 + (s % 4) * 0.1, 0.1 + (s % 3) * 0.07),</t>
        </is>
      </c>
    </row>
    <row r="916">
      <c r="A916" s="32" t="inlineStr">
        <is>
          <t xml:space="preserve">                "ci": (0.3 + (s % 5) * 0.1, 0.15 + (s % 4) * 0.06,</t>
        </is>
      </c>
    </row>
    <row r="917">
      <c r="A917" s="32" t="inlineStr">
        <is>
          <t xml:space="preserve">                       0.3 + (s % 5) * 0.1, 0.1 + (s % 5) * 0.07)}</t>
        </is>
      </c>
    </row>
    <row r="918">
      <c r="A918" s="32" t="inlineStr">
        <is>
          <t xml:space="preserve">            unins = 22.0 + (s % 11) * 2.0            # 22-42: WATCH edge only</t>
        </is>
      </c>
    </row>
    <row r="919">
      <c r="A919" s="32" t="inlineStr">
        <is>
          <t xml:space="preserve">            unrlz = 6.0 + (s % 10) * 2.0             # 6-24: under the 25 WATCH</t>
        </is>
      </c>
    </row>
    <row r="920">
      <c r="A920" s="32" t="inlineStr">
        <is>
          <t xml:space="preserve">            fhlb = 1.0 + (s % 9)                     # 1-9: under the 10 WATCH</t>
        </is>
      </c>
    </row>
    <row r="921">
      <c r="A921" s="32" t="inlineStr">
        <is>
          <t xml:space="preserve">        # class balance shares of total loans / assets</t>
        </is>
      </c>
    </row>
    <row r="922">
      <c r="A922" s="32" t="inlineStr">
        <is>
          <t xml:space="preserve">        cc_sh = 0.01 + (s % 6) * 0.01                # cards 1-6% of loans</t>
        </is>
      </c>
    </row>
    <row r="923">
      <c r="A923" s="32" t="inlineStr">
        <is>
          <t xml:space="preserve">        au_sh = 0.02 + (s % 5) * 0.01                # auto 2-6%</t>
        </is>
      </c>
    </row>
    <row r="924">
      <c r="A924" s="32" t="inlineStr">
        <is>
          <t xml:space="preserve">        oc_sh = 0.02 + (s % 4) * 0.01                # other consumer 2-5%</t>
        </is>
      </c>
    </row>
    <row r="925">
      <c r="A925" s="32" t="inlineStr">
        <is>
          <t xml:space="preserve">        rr_sh = 0.18 + (s % 8) * 0.02                # 1-4 family 18-32%</t>
        </is>
      </c>
    </row>
    <row r="926">
      <c r="A926" s="32" t="inlineStr">
        <is>
          <t xml:space="preserve">        ci_sh = 0.18 + (s % 9) * 0.02                # C&amp;I 18-34%</t>
        </is>
      </c>
    </row>
    <row r="927">
      <c r="A927" s="32" t="inlineStr">
        <is>
          <t xml:space="preserve">        htm_sh = 0.10 + (s % 6) * 0.02               # HTM securities / assets</t>
        </is>
      </c>
    </row>
    <row r="928">
      <c r="A928" s="32" t="inlineStr">
        <is>
          <t xml:space="preserve">        afs_sh = 0.12 + (s % 7) * 0.02               # AFS securities / assets</t>
        </is>
      </c>
    </row>
    <row r="929">
      <c r="A929" s="32" t="inlineStr">
        <is>
          <t xml:space="preserve">        # F-trap vintages/coverage: one bank reports NO auto book (fields null</t>
        </is>
      </c>
    </row>
    <row r="930">
      <c r="A930" s="32" t="inlineStr">
        <is>
          <t xml:space="preserve">        # from 2011 only / not a lender) and one bank's DEPUNINS is null for</t>
        </is>
      </c>
    </row>
    <row r="931">
      <c r="A931" s="32" t="inlineStr">
        <is>
          <t xml:space="preserve">        # the whole series (RC-O Mem 2 is filed by $1B+ reporters only) --</t>
        </is>
      </c>
    </row>
    <row r="932">
      <c r="A932" s="32" t="inlineStr">
        <is>
          <t xml:space="preserve">        # blanks, never zeros (F3).</t>
        </is>
      </c>
    </row>
    <row r="933">
      <c r="A933" s="32" t="inlineStr">
        <is>
          <t xml:space="preserve">        auto_none = (s % 19) == 9</t>
        </is>
      </c>
    </row>
    <row r="934">
      <c r="A934" s="32" t="inlineStr">
        <is>
          <t xml:space="preserve">        depunins_none = (s % 23) == 7</t>
        </is>
      </c>
    </row>
    <row r="935">
      <c r="A935" s="32" t="inlineStr">
        <is>
          <t xml:space="preserve">        periods = self._periods()</t>
        </is>
      </c>
    </row>
    <row r="936">
      <c r="A936" s="32" t="inlineStr">
        <is>
          <t xml:space="preserve">        quarters = []</t>
        </is>
      </c>
    </row>
    <row r="937">
      <c r="A937" s="32" t="inlineStr">
        <is>
          <t xml:space="preserve">        for i, iso in enumerate(periods):            # i=0 oldest .. n-1 newest</t>
        </is>
      </c>
    </row>
    <row r="938">
      <c r="A938" s="32" t="inlineStr">
        <is>
          <t xml:space="preserve">            ramp = 0.7 + 0.3 * (i / max(1, n - 1))   # deterioration narrative</t>
        </is>
      </c>
    </row>
    <row r="939">
      <c r="A939" s="32" t="inlineStr">
        <is>
          <t xml:space="preserve">            wob = 1.0 + 0.04 * math.sin((i + s % 7) / 2.1)</t>
        </is>
      </c>
    </row>
    <row r="940">
      <c r="A940" s="32" t="inlineStr">
        <is>
          <t xml:space="preserve">            a = asset0 * ((1.009) ** i) * (1.0 + 0.008 * math.sin((i + s % 9) / 2.7))</t>
        </is>
      </c>
    </row>
    <row r="941">
      <c r="A941" s="32" t="inlineStr">
        <is>
          <t xml:space="preserve">            loans = loans_r * a</t>
        </is>
      </c>
    </row>
    <row r="942">
      <c r="A942" s="32" t="inlineStr">
        <is>
          <t xml:space="preserve">            ncl_i = ncl * ramp * wob</t>
        </is>
      </c>
    </row>
    <row r="943">
      <c r="A943" s="32" t="inlineStr">
        <is>
          <t xml:space="preserve">            res_i = res_r * (0.9 + 0.1 * ramp) * wob</t>
        </is>
      </c>
    </row>
    <row r="944">
      <c r="A944" s="32" t="inlineStr">
        <is>
          <t xml:space="preserve">            f: Dict[str, Optional[float]] = {}</t>
        </is>
      </c>
    </row>
    <row r="945">
      <c r="A945" s="32" t="inlineStr">
        <is>
          <t xml:space="preserve">            f["ASSET"] = round(a)</t>
        </is>
      </c>
    </row>
    <row r="946">
      <c r="A946" s="32" t="inlineStr">
        <is>
          <t xml:space="preserve">            f["DEP"] = round(dep_r * a)</t>
        </is>
      </c>
    </row>
    <row r="947">
      <c r="A947" s="32" t="inlineStr">
        <is>
          <t xml:space="preserve">            f["LNLSGR"] = round(loans)</t>
        </is>
      </c>
    </row>
    <row r="948">
      <c r="A948" s="32" t="inlineStr">
        <is>
          <t xml:space="preserve">            f["LNLSNET"] = round(loans * (1.0 - res_i / 100.0))</t>
        </is>
      </c>
    </row>
    <row r="949">
      <c r="A949" s="32" t="inlineStr">
        <is>
          <t xml:space="preserve">            f["BRO"] = None if bro_none else round(bro_r * dep_r * a)</t>
        </is>
      </c>
    </row>
    <row r="950">
      <c r="A950" s="32" t="inlineStr">
        <is>
          <t xml:space="preserve">            f["EQ"] = round(eq_r * a)</t>
        </is>
      </c>
    </row>
    <row r="951">
      <c r="A951" s="32" t="inlineStr">
        <is>
          <t xml:space="preserve">            f["NCLNLS"] = round(ncl_i / 100.0 * loans)</t>
        </is>
      </c>
    </row>
    <row r="952">
      <c r="A952" s="32" t="inlineStr">
        <is>
          <t xml:space="preserve">            f["LNATRES"] = round(res_i / 100.0 * loans)</t>
        </is>
      </c>
    </row>
    <row r="953">
      <c r="A953" s="32" t="inlineStr">
        <is>
          <t xml:space="preserve">            f["P3LNLS"] = round(p3 * ramp / 100.0 * loans)</t>
        </is>
      </c>
    </row>
    <row r="954">
      <c r="A954" s="32" t="inlineStr">
        <is>
          <t xml:space="preserve">            f["LNRECONS"] = round(cre_c * loans)</t>
        </is>
      </c>
    </row>
    <row r="955">
      <c r="A955" s="32" t="inlineStr">
        <is>
          <t xml:space="preserve">            f["LNRENRES"] = round(cre_n * loans)</t>
        </is>
      </c>
    </row>
    <row r="956">
      <c r="A956" s="32" t="inlineStr">
        <is>
          <t xml:space="preserve">            f["LNREMULT"] = round(cre_m * loans)</t>
        </is>
      </c>
    </row>
    <row r="957">
      <c r="A957" s="32" t="inlineStr">
        <is>
          <t xml:space="preserve">            f["NCLNLSR"] = round(ncl_i, 4)</t>
        </is>
      </c>
    </row>
    <row r="958">
      <c r="A958" s="32" t="inlineStr">
        <is>
          <t xml:space="preserve">            f["NTLNLSQR"] = round(nco * ramp * wob, 4)</t>
        </is>
      </c>
    </row>
    <row r="959">
      <c r="A959" s="32" t="inlineStr">
        <is>
          <t xml:space="preserve">            f["LNATRESR"] = round(res_i, 4)</t>
        </is>
      </c>
    </row>
    <row r="960">
      <c r="A960" s="32" t="inlineStr">
        <is>
          <t xml:space="preserve">            f["LNRESNCR"] = round(res_i / ncl_i * 100.0, 4)</t>
        </is>
      </c>
    </row>
    <row r="961">
      <c r="A961" s="32" t="inlineStr">
        <is>
          <t xml:space="preserve">            f["RBC1AAJ"] = round(eq_r * 100.0 - 0.3 + 0.2 * math.sin(i + s), 4)</t>
        </is>
      </c>
    </row>
    <row r="962">
      <c r="A962" s="32" t="inlineStr">
        <is>
          <t xml:space="preserve">            # CBLR-elector shape: risk-based ratio can be null (trap F3)</t>
        </is>
      </c>
    </row>
    <row r="963">
      <c r="A963" s="32" t="inlineStr">
        <is>
          <t xml:space="preserve">            f["RBCRWAJ"] = round(eq_r * 100.0 + 5.2 + 0.3 * math.sin(i + s), 4)</t>
        </is>
      </c>
    </row>
    <row r="964">
      <c r="A964" s="32" t="inlineStr">
        <is>
          <t xml:space="preserve">            f["EQV"] = round(eq_r * 100.0, 4)</t>
        </is>
      </c>
    </row>
    <row r="965">
      <c r="A965" s="32" t="inlineStr">
        <is>
          <t xml:space="preserve">            f["ROAQ"] = round(roaq * (0.85 + 0.15 * ramp) * wob, 4)</t>
        </is>
      </c>
    </row>
    <row r="966">
      <c r="A966" s="32" t="inlineStr">
        <is>
          <t xml:space="preserve">            f["NIMY"] = round(nimy * wob, 4)</t>
        </is>
      </c>
    </row>
    <row r="967">
      <c r="A967" s="32" t="inlineStr">
        <is>
          <t xml:space="preserve">            f["EEFFR"] = round(eeffr * wob, 4)</t>
        </is>
      </c>
    </row>
    <row r="968">
      <c r="A968" s="32" t="inlineStr">
        <is>
          <t xml:space="preserve">            # ---- v1.1 pack fields (internally consistent: dollar triples</t>
        </is>
      </c>
    </row>
    <row r="969">
      <c r="A969" s="32" t="inlineStr">
        <is>
          <t xml:space="preserve">            # derive from the SAME wobbled class rates the R-twins report,</t>
        </is>
      </c>
    </row>
    <row r="970">
      <c r="A970" s="32" t="inlineStr">
        <is>
          <t xml:space="preserve">            # so Python/Excel parity holds on the landed values) ----</t>
        </is>
      </c>
    </row>
    <row r="971">
      <c r="A971" s="32" t="inlineStr">
        <is>
          <t xml:space="preserve">            bal = {"crcd": round(cc_sh * loans), "auto": round(au_sh * loans),</t>
        </is>
      </c>
    </row>
    <row r="972">
      <c r="A972" s="32" t="inlineStr">
        <is>
          <t xml:space="preserve">                   "conoth": round(oc_sh * loans), "reres": round(rr_sh * loans),</t>
        </is>
      </c>
    </row>
    <row r="973">
      <c r="A973" s="32" t="inlineStr">
        <is>
          <t xml:space="preserve">                   "ci": round(ci_sh * loans),</t>
        </is>
      </c>
    </row>
    <row r="974">
      <c r="A974" s="32" t="inlineStr">
        <is>
          <t xml:space="preserve">                   "recons": f["LNRECONS"], "renres": f["LNRENRES"],</t>
        </is>
      </c>
    </row>
    <row r="975">
      <c r="A975" s="32" t="inlineStr">
        <is>
          <t xml:space="preserve">                   "remult": f["LNREMULT"]}</t>
        </is>
      </c>
    </row>
    <row r="976">
      <c r="A976" s="32" t="inlineStr">
        <is>
          <t xml:space="preserve">            f["LNCRCD"], f["LNAUTO"] = bal["crcd"], bal["auto"]</t>
        </is>
      </c>
    </row>
    <row r="977">
      <c r="A977" s="32" t="inlineStr">
        <is>
          <t xml:space="preserve">            f["LNCONOTH"], f["LNRERES"] = bal["conoth"], bal["reres"]</t>
        </is>
      </c>
    </row>
    <row r="978">
      <c r="A978" s="32" t="inlineStr">
        <is>
          <t xml:space="preserve">            f["LNCI"] = bal["ci"]</t>
        </is>
      </c>
    </row>
    <row r="979">
      <c r="A979" s="32" t="inlineStr"/>
    </row>
    <row r="980">
      <c r="A980" s="32" t="inlineStr">
        <is>
          <t xml:space="preserve">            def rw(cls, k):                          # ramped+wobbled class rate</t>
        </is>
      </c>
    </row>
    <row r="981">
      <c r="A981" s="32" t="inlineStr">
        <is>
          <t xml:space="preserve">                return rate[cls][k] * ramp * wob</t>
        </is>
      </c>
    </row>
    <row r="982">
      <c r="A982" s="32" t="inlineStr">
        <is>
          <t xml:space="preserve">            # verified R-twin rate fields land as percents directly</t>
        </is>
      </c>
    </row>
    <row r="983">
      <c r="A983" s="32" t="inlineStr">
        <is>
          <t xml:space="preserve">            for cls, pre in (("crcd", "CRCD"), ("auto", "AUTO"),</t>
        </is>
      </c>
    </row>
    <row r="984">
      <c r="A984" s="32" t="inlineStr">
        <is>
          <t xml:space="preserve">                             ("reres", "RERES"), ("reloc", "RELOC"),</t>
        </is>
      </c>
    </row>
    <row r="985">
      <c r="A985" s="32" t="inlineStr">
        <is>
          <t xml:space="preserve">                             ("ci", "CI")):</t>
        </is>
      </c>
    </row>
    <row r="986">
      <c r="A986" s="32" t="inlineStr">
        <is>
          <t xml:space="preserve">                f["P3" + pre + "R"] = round(rw(cls, 0), 4)</t>
        </is>
      </c>
    </row>
    <row r="987">
      <c r="A987" s="32" t="inlineStr">
        <is>
          <t xml:space="preserve">                f["P9" + pre + "R"] = round(rw(cls, 1), 4)</t>
        </is>
      </c>
    </row>
    <row r="988">
      <c r="A988" s="32" t="inlineStr">
        <is>
          <t xml:space="preserve">                f["NA" + pre + "R"] = round(rw(cls, 2), 4)</t>
        </is>
      </c>
    </row>
    <row r="989">
      <c r="A989" s="32" t="inlineStr">
        <is>
          <t xml:space="preserve">            # computed classes land the dollar triple off the same rates</t>
        </is>
      </c>
    </row>
    <row r="990">
      <c r="A990" s="32" t="inlineStr">
        <is>
          <t xml:space="preserve">            for cls, suf in (("conoth", "CONOTH"), ("recons", "RECONS"),</t>
        </is>
      </c>
    </row>
    <row r="991">
      <c r="A991" s="32" t="inlineStr">
        <is>
          <t xml:space="preserve">                             ("renres", "RENRES"), ("remult", "REMULT")):</t>
        </is>
      </c>
    </row>
    <row r="992">
      <c r="A992" s="32" t="inlineStr">
        <is>
          <t xml:space="preserve">                f["P3" + suf] = round(rw(cls, 0) / 100.0 * bal[cls])</t>
        </is>
      </c>
    </row>
    <row r="993">
      <c r="A993" s="32" t="inlineStr">
        <is>
          <t xml:space="preserve">                f["P9" + suf] = round(rw(cls, 1) / 100.0 * bal[cls])</t>
        </is>
      </c>
    </row>
    <row r="994">
      <c r="A994" s="32" t="inlineStr">
        <is>
          <t xml:space="preserve">                f["NA" + suf] = round(rw(cls, 2) / 100.0 * bal[cls])</t>
        </is>
      </c>
    </row>
    <row r="995">
      <c r="A995" s="32" t="inlineStr">
        <is>
          <t xml:space="preserve">            # quarterly NCO dollars: rate is ANNUALIZED, flow = rate/400 * bal</t>
        </is>
      </c>
    </row>
    <row r="996">
      <c r="A996" s="32" t="inlineStr">
        <is>
          <t xml:space="preserve">            for cls, fld in (("crcd", "NTCRCDQ"), ("auto", "NTAUTOQ"),</t>
        </is>
      </c>
    </row>
    <row r="997">
      <c r="A997" s="32" t="inlineStr">
        <is>
          <t xml:space="preserve">                             ("conoth", "NTCONOTQ"), ("reres", "NTRERESQ"),</t>
        </is>
      </c>
    </row>
    <row r="998">
      <c r="A998" s="32" t="inlineStr">
        <is>
          <t xml:space="preserve">                             ("recons", "NTRECONQ"), ("renres", "NTRENREQ"),</t>
        </is>
      </c>
    </row>
    <row r="999">
      <c r="A999" s="32" t="inlineStr">
        <is>
          <t xml:space="preserve">                             ("remult", "NTREMULQ"), ("ci", "NTCIQ")):</t>
        </is>
      </c>
    </row>
    <row r="1000">
      <c r="A1000" s="32" t="inlineStr">
        <is>
          <t xml:space="preserve">                f[fld] = round(rw(cls, 3) / 400.0 * bal[cls])</t>
        </is>
      </c>
    </row>
    <row r="1001">
      <c r="A1001" s="32" t="inlineStr">
        <is>
          <t xml:space="preserve">            if auto_none:                            # not an auto lender</t>
        </is>
      </c>
    </row>
    <row r="1002">
      <c r="A1002" s="32" t="inlineStr">
        <is>
          <t xml:space="preserve">                for fld in ("LNAUTO", "P3AUTOR", "P9AUTOR", "NAAUTOR",</t>
        </is>
      </c>
    </row>
    <row r="1003">
      <c r="A1003" s="32" t="inlineStr">
        <is>
          <t xml:space="preserve">                            "NTAUTOQ"):</t>
        </is>
      </c>
    </row>
    <row r="1004">
      <c r="A1004" s="32" t="inlineStr">
        <is>
          <t xml:space="preserve">                    f[fld] = None</t>
        </is>
      </c>
    </row>
    <row r="1005">
      <c r="A1005" s="32" t="inlineStr">
        <is>
          <t xml:space="preserve">            # SVB pack: uninsured share, HTM/AFS unrealized (60/40 split so</t>
        </is>
      </c>
    </row>
    <row r="1006">
      <c r="A1006" s="32" t="inlineStr">
        <is>
          <t xml:space="preserve">            # ((SCHA-SCHF)+(SCAA-SCAF))/(EQ+LNATRES) == the seeded target),</t>
        </is>
      </c>
    </row>
    <row r="1007">
      <c r="A1007" s="32" t="inlineStr">
        <is>
          <t xml:space="preserve">            # FHLB advances</t>
        </is>
      </c>
    </row>
    <row r="1008">
      <c r="A1008" s="32" t="inlineStr">
        <is>
          <t xml:space="preserve">            f["DEPUNINS"] = (None if depunins_none</t>
        </is>
      </c>
    </row>
    <row r="1009">
      <c r="A1009" s="32" t="inlineStr">
        <is>
          <t xml:space="preserve">                             else round(unins * ramp * wob / 100.0 * f["DEP"]))</t>
        </is>
      </c>
    </row>
    <row r="1010">
      <c r="A1010" s="32" t="inlineStr">
        <is>
          <t xml:space="preserve">            cushion = f["EQ"] + f["LNATRES"]</t>
        </is>
      </c>
    </row>
    <row r="1011">
      <c r="A1011" s="32" t="inlineStr">
        <is>
          <t xml:space="preserve">            loss = unrlz * ramp * wob / 100.0 * cushion</t>
        </is>
      </c>
    </row>
    <row r="1012">
      <c r="A1012" s="32" t="inlineStr">
        <is>
          <t xml:space="preserve">            f["SCHA"] = round(htm_sh * a)</t>
        </is>
      </c>
    </row>
    <row r="1013">
      <c r="A1013" s="32" t="inlineStr">
        <is>
          <t xml:space="preserve">            f["SCHF"] = round(htm_sh * a - 0.6 * loss)</t>
        </is>
      </c>
    </row>
    <row r="1014">
      <c r="A1014" s="32" t="inlineStr">
        <is>
          <t xml:space="preserve">            f["SCAA"] = round(afs_sh * a)</t>
        </is>
      </c>
    </row>
    <row r="1015">
      <c r="A1015" s="32" t="inlineStr">
        <is>
          <t xml:space="preserve">            f["SCAF"] = round(afs_sh * a - 0.4 * loss)</t>
        </is>
      </c>
    </row>
    <row r="1016">
      <c r="A1016" s="32" t="inlineStr">
        <is>
          <t xml:space="preserve">            f["OTHBFHLB"] = round(fhlb * ramp * wob / 100.0 * a)</t>
        </is>
      </c>
    </row>
    <row r="1017">
      <c r="A1017" s="32" t="inlineStr">
        <is>
          <t xml:space="preserve">            quarters.append((iso, f))</t>
        </is>
      </c>
    </row>
    <row r="1018">
      <c r="A1018" s="32" t="inlineStr">
        <is>
          <t xml:space="preserve">        # one interior None per (cert, field) series -- exercises the</t>
        </is>
      </c>
    </row>
    <row r="1019">
      <c r="A1019" s="32" t="inlineStr">
        <is>
          <t xml:space="preserve">        # missing-value path deterministically, at offsets &gt;= 2 from newest so</t>
        </is>
      </c>
    </row>
    <row r="1020">
      <c r="A1020" s="32" t="inlineStr">
        <is>
          <t xml:space="preserve">        # the latest-quarter headline formulas never see it.</t>
        </is>
      </c>
    </row>
    <row r="1021">
      <c r="A1021" s="32" t="inlineStr">
        <is>
          <t xml:space="preserve">        n_q = len(quarters)</t>
        </is>
      </c>
    </row>
    <row r="1022">
      <c r="A1022" s="32" t="inlineStr">
        <is>
          <t xml:space="preserve">        if n_q &gt;= 6:</t>
        </is>
      </c>
    </row>
    <row r="1023">
      <c r="A1023" s="32" t="inlineStr">
        <is>
          <t xml:space="preserve">            for j, fname in enumerate(RAW_FIELDS):</t>
        </is>
      </c>
    </row>
    <row r="1024">
      <c r="A1024" s="32" t="inlineStr">
        <is>
          <t xml:space="preserve">                k_from_new = 2 + (s + 7 * j) % (n_q - 3)</t>
        </is>
      </c>
    </row>
    <row r="1025">
      <c r="A1025" s="32" t="inlineStr">
        <is>
          <t xml:space="preserve">                quarters[n_q - 1 - k_from_new][1][fname] = None</t>
        </is>
      </c>
    </row>
    <row r="1026">
      <c r="A1026" s="32" t="inlineStr">
        <is>
          <t xml:space="preserve">        self._profiles[cert] = quarters</t>
        </is>
      </c>
    </row>
    <row r="1027">
      <c r="A1027" s="32" t="inlineStr">
        <is>
          <t xml:space="preserve">        return quarters</t>
        </is>
      </c>
    </row>
    <row r="1028">
      <c r="A1028" s="32" t="inlineStr"/>
    </row>
    <row r="1029">
      <c r="A1029" s="32" t="inlineStr">
        <is>
          <t xml:space="preserve">    def fetch_series(self, spec: FieldSpec, secret=None) -&gt; List[NormalizedRow]:</t>
        </is>
      </c>
    </row>
    <row r="1030">
      <c r="A1030" s="32" t="inlineStr">
        <is>
          <t xml:space="preserve">        quarters = self._profile(spec.cert)          # oldest-first</t>
        </is>
      </c>
    </row>
    <row r="1031">
      <c r="A1031" s="32" t="inlineStr">
        <is>
          <t xml:space="preserve">        return [NormalizedRow(id=spec.id, period=iso, value=f[spec.fname],</t>
        </is>
      </c>
    </row>
    <row r="1032">
      <c r="A1032" s="32" t="inlineStr">
        <is>
          <t xml:space="preserve">                              geo_segment=spec.geo_segment,</t>
        </is>
      </c>
    </row>
    <row r="1033">
      <c r="A1033" s="32" t="inlineStr">
        <is>
          <t xml:space="preserve">                              source_class=self.source_class, units=spec.units)</t>
        </is>
      </c>
    </row>
    <row r="1034">
      <c r="A1034" s="32" t="inlineStr">
        <is>
          <t xml:space="preserve">                for iso, f in quarters]</t>
        </is>
      </c>
    </row>
    <row r="1035">
      <c r="A1035" s="32" t="inlineStr"/>
    </row>
    <row r="1036">
      <c r="A1036" s="32" t="inlineStr"/>
    </row>
    <row r="1037">
      <c r="A1037" s="32" t="inlineStr">
        <is>
          <t>class FdicProvider(Provider):</t>
        </is>
      </c>
    </row>
    <row r="1038">
      <c r="A1038" s="32" t="inlineStr">
        <is>
          <t xml:space="preserve">    """Live Class A provider: plain urllib REST against api.fdic.gov (BUILD</t>
        </is>
      </c>
    </row>
    <row r="1039">
      <c r="A1039" s="32" t="inlineStr">
        <is>
          <t xml:space="preserve">    SPEC 0.3 -- KEYLESS: the FDIC BankFind API needs no API key; swagger marks</t>
        </is>
      </c>
    </row>
    <row r="1040">
      <c r="A1040" s="32" t="inlineStr">
        <is>
          <t xml:space="preserve">    api_key optional and every observed client is keyless). ONE bulk</t>
        </is>
      </c>
    </row>
    <row r="1041">
      <c r="A1041" s="32" t="inlineStr">
        <is>
          <t xml:space="preserve">    /financials request per refresh covers the whole peer set (30 banks x</t>
        </is>
      </c>
    </row>
    <row r="1042">
      <c r="A1042" s="32" t="inlineStr">
        <is>
          <t xml:space="preserve">    banks x 16 quarters = ~640 rows &lt;&lt; the 10,000-row cap; ~70 fields &lt;&lt;</t>
        </is>
      </c>
    </row>
    <row r="1043">
      <c r="A1043" s="32" t="inlineStr">
        <is>
          <t xml:space="preserve">    the 250-field cap), plus one /institutions</t>
        </is>
      </c>
    </row>
    <row r="1044">
      <c r="A1044" s="32" t="inlineStr">
        <is>
          <t xml:space="preserve">    roster call for identity + merger detection (trap F2). Rate limit is</t>
        </is>
      </c>
    </row>
    <row r="1045">
      <c r="A1045" s="32" t="inlineStr">
        <is>
          <t xml:space="preserve">    UNDOCUMENTED -- be polite: min_interval throttle, 429/5xx backoff,</t>
        </is>
      </c>
    </row>
    <row r="1046">
      <c r="A1046" s="32" t="inlineStr">
        <is>
          <t xml:space="preserve">    per-URL cache."""</t>
        </is>
      </c>
    </row>
    <row r="1047">
      <c r="A1047" s="32" t="inlineStr"/>
    </row>
    <row r="1048">
      <c r="A1048" s="32" t="inlineStr">
        <is>
          <t xml:space="preserve">    source_class = "A"</t>
        </is>
      </c>
    </row>
    <row r="1049">
      <c r="A1049" s="32" t="inlineStr"/>
    </row>
    <row r="1050">
      <c r="A1050" s="32" t="inlineStr">
        <is>
          <t xml:space="preserve">    def __init__(self, min_interval: float = 0.6, max_retries: int = 4,</t>
        </is>
      </c>
    </row>
    <row r="1051">
      <c r="A1051" s="32" t="inlineStr">
        <is>
          <t xml:space="preserve">                 raw_slots: int = RAW_SLOTS_DEFAULT, limit: int = 10000):</t>
        </is>
      </c>
    </row>
    <row r="1052">
      <c r="A1052" s="32" t="inlineStr">
        <is>
          <t xml:space="preserve">        super().__init__()</t>
        </is>
      </c>
    </row>
    <row r="1053">
      <c r="A1053" s="32" t="inlineStr">
        <is>
          <t xml:space="preserve">        self._min_interval = float(min_interval)</t>
        </is>
      </c>
    </row>
    <row r="1054">
      <c r="A1054" s="32" t="inlineStr">
        <is>
          <t xml:space="preserve">        self._max_retries = int(max_retries)</t>
        </is>
      </c>
    </row>
    <row r="1055">
      <c r="A1055" s="32" t="inlineStr">
        <is>
          <t xml:space="preserve">        self._raw_slots = int(raw_slots)</t>
        </is>
      </c>
    </row>
    <row r="1056">
      <c r="A1056" s="32" t="inlineStr">
        <is>
          <t xml:space="preserve">        self._limit = int(limit)</t>
        </is>
      </c>
    </row>
    <row r="1057">
      <c r="A1057" s="32" t="inlineStr">
        <is>
          <t xml:space="preserve">        self._last = 0.0</t>
        </is>
      </c>
    </row>
    <row r="1058">
      <c r="A1058" s="32" t="inlineStr">
        <is>
          <t xml:space="preserve">        self._cache: Dict[str, bytes] = {}</t>
        </is>
      </c>
    </row>
    <row r="1059">
      <c r="A1059" s="32" t="inlineStr">
        <is>
          <t xml:space="preserve">        self._bulk: Optional[Dict[str, Dict[str, Dict[str, Optional[float]]]]] = None</t>
        </is>
      </c>
    </row>
    <row r="1060">
      <c r="A1060" s="32" t="inlineStr"/>
    </row>
    <row r="1061">
      <c r="A1061" s="32" t="inlineStr">
        <is>
          <t xml:space="preserve">    def _throttle(self):</t>
        </is>
      </c>
    </row>
    <row r="1062">
      <c r="A1062" s="32" t="inlineStr">
        <is>
          <t xml:space="preserve">        gap = time.time() - self._last</t>
        </is>
      </c>
    </row>
    <row r="1063">
      <c r="A1063" s="32" t="inlineStr">
        <is>
          <t xml:space="preserve">        if gap &lt; self._min_interval:</t>
        </is>
      </c>
    </row>
    <row r="1064">
      <c r="A1064" s="32" t="inlineStr">
        <is>
          <t xml:space="preserve">            time.sleep(self._min_interval - gap)</t>
        </is>
      </c>
    </row>
    <row r="1065">
      <c r="A1065" s="32" t="inlineStr">
        <is>
          <t xml:space="preserve">        self._last = time.time()</t>
        </is>
      </c>
    </row>
    <row r="1066">
      <c r="A1066" s="32" t="inlineStr"/>
    </row>
    <row r="1067">
      <c r="A1067" s="32" t="inlineStr">
        <is>
          <t xml:space="preserve">    def _http_get(self, url: str) -&gt; bytes:</t>
        </is>
      </c>
    </row>
    <row r="1068">
      <c r="A1068" s="32" t="inlineStr">
        <is>
          <t xml:space="preserve">        """The one real network call -- isolated so tests can stub it."""</t>
        </is>
      </c>
    </row>
    <row r="1069">
      <c r="A1069" s="32" t="inlineStr">
        <is>
          <t xml:space="preserve">        import urllib.request</t>
        </is>
      </c>
    </row>
    <row r="1070">
      <c r="A1070" s="32" t="inlineStr">
        <is>
          <t xml:space="preserve">        with urllib.request.urlopen(url, timeout=60) as resp:</t>
        </is>
      </c>
    </row>
    <row r="1071">
      <c r="A1071" s="32" t="inlineStr">
        <is>
          <t xml:space="preserve">            return resp.read()</t>
        </is>
      </c>
    </row>
    <row r="1072">
      <c r="A1072" s="32" t="inlineStr"/>
    </row>
    <row r="1073">
      <c r="A1073" s="32" t="inlineStr">
        <is>
          <t xml:space="preserve">    def _download(self, url: str, label: str) -&gt; bytes:</t>
        </is>
      </c>
    </row>
    <row r="1074">
      <c r="A1074" s="32" t="inlineStr">
        <is>
          <t xml:space="preserve">        """Cache + throttle + backoff. 429/5xx retry with backoff; other HTTP</t>
        </is>
      </c>
    </row>
    <row r="1075">
      <c r="A1075" s="32" t="inlineStr">
        <is>
          <t xml:space="preserve">        codes fail fast (bad filter syntax / bad field name)."""</t>
        </is>
      </c>
    </row>
    <row r="1076">
      <c r="A1076" s="32" t="inlineStr">
        <is>
          <t xml:space="preserve">        if url in self._cache:                       # repeat fetch == cache hit</t>
        </is>
      </c>
    </row>
    <row r="1077">
      <c r="A1077" s="32" t="inlineStr">
        <is>
          <t xml:space="preserve">            return self._cache[url]</t>
        </is>
      </c>
    </row>
    <row r="1078">
      <c r="A1078" s="32" t="inlineStr">
        <is>
          <t xml:space="preserve">        import urllib.error</t>
        </is>
      </c>
    </row>
    <row r="1079">
      <c r="A1079" s="32" t="inlineStr">
        <is>
          <t xml:space="preserve">        for attempt in range(self._max_retries + 1):</t>
        </is>
      </c>
    </row>
    <row r="1080">
      <c r="A1080" s="32" t="inlineStr">
        <is>
          <t xml:space="preserve">            self._throttle()</t>
        </is>
      </c>
    </row>
    <row r="1081">
      <c r="A1081" s="32" t="inlineStr">
        <is>
          <t xml:space="preserve">            try:</t>
        </is>
      </c>
    </row>
    <row r="1082">
      <c r="A1082" s="32" t="inlineStr">
        <is>
          <t xml:space="preserve">                data = self._http_get(url)</t>
        </is>
      </c>
    </row>
    <row r="1083">
      <c r="A1083" s="32" t="inlineStr">
        <is>
          <t xml:space="preserve">                self._cache[url] = data</t>
        </is>
      </c>
    </row>
    <row r="1084">
      <c r="A1084" s="32" t="inlineStr">
        <is>
          <t xml:space="preserve">                return data</t>
        </is>
      </c>
    </row>
    <row r="1085">
      <c r="A1085" s="32" t="inlineStr">
        <is>
          <t xml:space="preserve">            except urllib.error.HTTPError as exc:</t>
        </is>
      </c>
    </row>
    <row r="1086">
      <c r="A1086" s="32" t="inlineStr">
        <is>
          <t xml:space="preserve">                if exc.code == 429 or exc.code &gt;= 500:</t>
        </is>
      </c>
    </row>
    <row r="1087">
      <c r="A1087" s="32" t="inlineStr">
        <is>
          <t xml:space="preserve">                    if attempt &lt; self._max_retries:</t>
        </is>
      </c>
    </row>
    <row r="1088">
      <c r="A1088" s="32" t="inlineStr">
        <is>
          <t xml:space="preserve">                        time.sleep(2.0 * (attempt + 1))</t>
        </is>
      </c>
    </row>
    <row r="1089">
      <c r="A1089" s="32" t="inlineStr">
        <is>
          <t xml:space="preserve">                        continue</t>
        </is>
      </c>
    </row>
    <row r="1090">
      <c r="A1090" s="32" t="inlineStr">
        <is>
          <t xml:space="preserve">                raise RuntimeError(f"FDIC fetch failed for {label}: "</t>
        </is>
      </c>
    </row>
    <row r="1091">
      <c r="A1091" s="32" t="inlineStr">
        <is>
          <t xml:space="preserve">                                   f"HTTP {exc.code}")</t>
        </is>
      </c>
    </row>
    <row r="1092">
      <c r="A1092" s="32" t="inlineStr">
        <is>
          <t xml:space="preserve">            except Exception as exc:</t>
        </is>
      </c>
    </row>
    <row r="1093">
      <c r="A1093" s="32" t="inlineStr">
        <is>
          <t xml:space="preserve">                if attempt &lt; self._max_retries:</t>
        </is>
      </c>
    </row>
    <row r="1094">
      <c r="A1094" s="32" t="inlineStr">
        <is>
          <t xml:space="preserve">                    time.sleep(2.0 * (attempt + 1))</t>
        </is>
      </c>
    </row>
    <row r="1095">
      <c r="A1095" s="32" t="inlineStr">
        <is>
          <t xml:space="preserve">                    continue</t>
        </is>
      </c>
    </row>
    <row r="1096">
      <c r="A1096" s="32" t="inlineStr">
        <is>
          <t xml:space="preserve">                raise RuntimeError(f"FDIC fetch failed for {label}: "</t>
        </is>
      </c>
    </row>
    <row r="1097">
      <c r="A1097" s="32" t="inlineStr">
        <is>
          <t xml:space="preserve">                                   f"{type(exc).__name__}")</t>
        </is>
      </c>
    </row>
    <row r="1098">
      <c r="A1098" s="32" t="inlineStr"/>
    </row>
    <row r="1099">
      <c r="A1099" s="32" t="inlineStr">
        <is>
          <t xml:space="preserve">    @staticmethod</t>
        </is>
      </c>
    </row>
    <row r="1100">
      <c r="A1100" s="32" t="inlineStr">
        <is>
          <t xml:space="preserve">    def _iso(repdte: str) -&gt; str:</t>
        </is>
      </c>
    </row>
    <row r="1101">
      <c r="A1101" s="32" t="inlineStr">
        <is>
          <t xml:space="preserve">        r = str(repdte).strip()</t>
        </is>
      </c>
    </row>
    <row r="1102">
      <c r="A1102" s="32" t="inlineStr">
        <is>
          <t xml:space="preserve">        if len(r) == 8 and r.isdigit():              # "20260331" -&gt; ISO</t>
        </is>
      </c>
    </row>
    <row r="1103">
      <c r="A1103" s="32" t="inlineStr">
        <is>
          <t xml:space="preserve">            return f"{r[0:4]}-{r[4:6]}-{r[6:8]}"</t>
        </is>
      </c>
    </row>
    <row r="1104">
      <c r="A1104" s="32" t="inlineStr">
        <is>
          <t xml:space="preserve">        return r</t>
        </is>
      </c>
    </row>
    <row r="1105">
      <c r="A1105" s="32" t="inlineStr"/>
    </row>
    <row r="1106">
      <c r="A1106" s="32" t="inlineStr">
        <is>
          <t xml:space="preserve">    @staticmethod</t>
        </is>
      </c>
    </row>
    <row r="1107">
      <c r="A1107" s="32" t="inlineStr">
        <is>
          <t xml:space="preserve">    def _oldest_repdte(asof: date, raw_slots: int) -&gt; str:</t>
        </is>
      </c>
    </row>
    <row r="1108">
      <c r="A1108" s="32" t="inlineStr">
        <is>
          <t xml:space="preserve">        """Lower REPDTE bound: raw_slots quarters back from asof (fetch only</t>
        </is>
      </c>
    </row>
    <row r="1109">
      <c r="A1109" s="32" t="inlineStr">
        <is>
          <t xml:space="preserve">        what lands)."""</t>
        </is>
      </c>
    </row>
    <row r="1110">
      <c r="A1110" s="32" t="inlineStr">
        <is>
          <t xml:space="preserve">        months = raw_slots * 3</t>
        </is>
      </c>
    </row>
    <row r="1111">
      <c r="A1111" s="32" t="inlineStr">
        <is>
          <t xml:space="preserve">        y = asof.year - (months // 12)</t>
        </is>
      </c>
    </row>
    <row r="1112">
      <c r="A1112" s="32" t="inlineStr">
        <is>
          <t xml:space="preserve">        m = asof.month - (months % 12)</t>
        </is>
      </c>
    </row>
    <row r="1113">
      <c r="A1113" s="32" t="inlineStr">
        <is>
          <t xml:space="preserve">        if m &lt; 1:</t>
        </is>
      </c>
    </row>
    <row r="1114">
      <c r="A1114" s="32" t="inlineStr">
        <is>
          <t xml:space="preserve">            m += 12</t>
        </is>
      </c>
    </row>
    <row r="1115">
      <c r="A1115" s="32" t="inlineStr">
        <is>
          <t xml:space="preserve">            y -= 1</t>
        </is>
      </c>
    </row>
    <row r="1116">
      <c r="A1116" s="32" t="inlineStr">
        <is>
          <t xml:space="preserve">        return f"{y:04d}{m:02d}01"</t>
        </is>
      </c>
    </row>
    <row r="1117">
      <c r="A1117" s="32" t="inlineStr"/>
    </row>
    <row r="1118">
      <c r="A1118" s="32" t="inlineStr">
        <is>
          <t xml:space="preserve">    def prime(self, certs, asof, names=None):</t>
        </is>
      </c>
    </row>
    <row r="1119">
      <c r="A1119" s="32" t="inlineStr">
        <is>
          <t xml:space="preserve">        """The ONE bulk /financials call + the /institutions roster call.</t>
        </is>
      </c>
    </row>
    <row r="1120">
      <c r="A1120" s="32" t="inlineStr">
        <is>
          <t xml:space="preserve">        Guard: meta.total &gt; limit errors CLEARLY -- silent truncation would</t>
        </is>
      </c>
    </row>
    <row r="1121">
      <c r="A1121" s="32" t="inlineStr">
        <is>
          <t xml:space="preserve">        quietly drop whole banks (BUILD SPEC sec 1)."""</t>
        </is>
      </c>
    </row>
    <row r="1122">
      <c r="A1122" s="32" t="inlineStr">
        <is>
          <t xml:space="preserve">        certs = [str(c) for c in certs if str(c)]</t>
        </is>
      </c>
    </row>
    <row r="1123">
      <c r="A1123" s="32" t="inlineStr">
        <is>
          <t xml:space="preserve">        self._bulk = {}</t>
        </is>
      </c>
    </row>
    <row r="1124">
      <c r="A1124" s="32" t="inlineStr">
        <is>
          <t xml:space="preserve">        if not certs:</t>
        </is>
      </c>
    </row>
    <row r="1125">
      <c r="A1125" s="32" t="inlineStr">
        <is>
          <t xml:space="preserve">            return</t>
        </is>
      </c>
    </row>
    <row r="1126">
      <c r="A1126" s="32" t="inlineStr">
        <is>
          <t xml:space="preserve">        from urllib.parse import urlencode</t>
        </is>
      </c>
    </row>
    <row r="1127">
      <c r="A1127" s="32" t="inlineStr">
        <is>
          <t xml:space="preserve">        filt = ("CERT:(" + " OR ".join(certs) + ") AND REPDTE:["</t>
        </is>
      </c>
    </row>
    <row r="1128">
      <c r="A1128" s="32" t="inlineStr">
        <is>
          <t xml:space="preserve">                + self._oldest_repdte(asof, self._raw_slots) + " TO *]")</t>
        </is>
      </c>
    </row>
    <row r="1129">
      <c r="A1129" s="32" t="inlineStr">
        <is>
          <t xml:space="preserve">        field_list = ["CERT", "REPDTE"] + list(RAW_FIELDS)</t>
        </is>
      </c>
    </row>
    <row r="1130">
      <c r="A1130" s="32" t="inlineStr">
        <is>
          <t xml:space="preserve">        if len(field_list) &gt;= MAX_REQUEST_FIELDS:    # spec sec 3 guard</t>
        </is>
      </c>
    </row>
    <row r="1131">
      <c r="A1131" s="32" t="inlineStr">
        <is>
          <t xml:space="preserve">            raise RuntimeError(</t>
        </is>
      </c>
    </row>
    <row r="1132">
      <c r="A1132" s="32" t="inlineStr">
        <is>
          <t xml:space="preserve">                f"fields= list has {len(field_list)} entries -- the FDIC "</t>
        </is>
      </c>
    </row>
    <row r="1133">
      <c r="A1133" s="32" t="inlineStr">
        <is>
          <t xml:space="preserve">                f"bulk endpoint caps at {MAX_REQUEST_FIELDS}.")</t>
        </is>
      </c>
    </row>
    <row r="1134">
      <c r="A1134" s="32" t="inlineStr">
        <is>
          <t xml:space="preserve">        url = FDIC_FIN_URL + "?" + urlencode({</t>
        </is>
      </c>
    </row>
    <row r="1135">
      <c r="A1135" s="32" t="inlineStr">
        <is>
          <t xml:space="preserve">            "filters": filt,</t>
        </is>
      </c>
    </row>
    <row r="1136">
      <c r="A1136" s="32" t="inlineStr">
        <is>
          <t xml:space="preserve">            "fields": ",".join(field_list),</t>
        </is>
      </c>
    </row>
    <row r="1137">
      <c r="A1137" s="32" t="inlineStr">
        <is>
          <t xml:space="preserve">            "sort_by": "REPDTE", "sort_order": "DESC",</t>
        </is>
      </c>
    </row>
    <row r="1138">
      <c r="A1138" s="32" t="inlineStr">
        <is>
          <t xml:space="preserve">            "limit": str(self._limit), "format": "json"})</t>
        </is>
      </c>
    </row>
    <row r="1139">
      <c r="A1139" s="32" t="inlineStr">
        <is>
          <t xml:space="preserve">        payload = json.loads(self._download(url, "financials bulk").decode("utf-8"))</t>
        </is>
      </c>
    </row>
    <row r="1140">
      <c r="A1140" s="32" t="inlineStr">
        <is>
          <t xml:space="preserve">        meta = payload.get("meta") or {}</t>
        </is>
      </c>
    </row>
    <row r="1141">
      <c r="A1141" s="32" t="inlineStr">
        <is>
          <t xml:space="preserve">        total = meta.get("total")</t>
        </is>
      </c>
    </row>
    <row r="1142">
      <c r="A1142" s="32" t="inlineStr">
        <is>
          <t xml:space="preserve">        if isinstance(total, dict):                  # ES-style nested total</t>
        </is>
      </c>
    </row>
    <row r="1143">
      <c r="A1143" s="32" t="inlineStr">
        <is>
          <t xml:space="preserve">            total = total.get("value")</t>
        </is>
      </c>
    </row>
    <row r="1144">
      <c r="A1144" s="32" t="inlineStr">
        <is>
          <t xml:space="preserve">        if total is not None and int(total) &gt; self._limit:</t>
        </is>
      </c>
    </row>
    <row r="1145">
      <c r="A1145" s="32" t="inlineStr">
        <is>
          <t xml:space="preserve">            raise RuntimeError(</t>
        </is>
      </c>
    </row>
    <row r="1146">
      <c r="A1146" s="32" t="inlineStr">
        <is>
          <t xml:space="preserve">                f"FDIC bulk response reports {total} rows but the request "</t>
        </is>
      </c>
    </row>
    <row r="1147">
      <c r="A1147" s="32" t="inlineStr">
        <is>
          <t xml:space="preserve">                f"limit is {self._limit}: the peer set x quarter window "</t>
        </is>
      </c>
    </row>
    <row r="1148">
      <c r="A1148" s="32" t="inlineStr">
        <is>
          <t xml:space="preserve">                f"exceeds one page. Narrow raw_slots or the peer list -- "</t>
        </is>
      </c>
    </row>
    <row r="1149">
      <c r="A1149" s="32" t="inlineStr">
        <is>
          <t xml:space="preserve">                f"refusing silent truncation.")</t>
        </is>
      </c>
    </row>
    <row r="1150">
      <c r="A1150" s="32" t="inlineStr">
        <is>
          <t xml:space="preserve">        self.vintage = str((meta.get("index") or {}).get("createTimestamp")</t>
        </is>
      </c>
    </row>
    <row r="1151">
      <c r="A1151" s="32" t="inlineStr">
        <is>
          <t xml:space="preserve">                           or "")</t>
        </is>
      </c>
    </row>
    <row r="1152">
      <c r="A1152" s="32" t="inlineStr">
        <is>
          <t xml:space="preserve">        for rec in payload.get("data", []):</t>
        </is>
      </c>
    </row>
    <row r="1153">
      <c r="A1153" s="32" t="inlineStr">
        <is>
          <t xml:space="preserve">            d = rec.get("data") or {}                # DOUBLE WRAP: data[i].data</t>
        </is>
      </c>
    </row>
    <row r="1154">
      <c r="A1154" s="32" t="inlineStr">
        <is>
          <t xml:space="preserve">            cert = _norm_cert(d.get("CERT"))</t>
        </is>
      </c>
    </row>
    <row r="1155">
      <c r="A1155" s="32" t="inlineStr">
        <is>
          <t xml:space="preserve">            iso = self._iso(d.get("REPDTE", ""))</t>
        </is>
      </c>
    </row>
    <row r="1156">
      <c r="A1156" s="32" t="inlineStr">
        <is>
          <t xml:space="preserve">            if not cert or not iso:</t>
        </is>
      </c>
    </row>
    <row r="1157">
      <c r="A1157" s="32" t="inlineStr">
        <is>
          <t xml:space="preserve">                continue</t>
        </is>
      </c>
    </row>
    <row r="1158">
      <c r="A1158" s="32" t="inlineStr">
        <is>
          <t xml:space="preserve">            entry = {}</t>
        </is>
      </c>
    </row>
    <row r="1159">
      <c r="A1159" s="32" t="inlineStr">
        <is>
          <t xml:space="preserve">            for f in RAW_FIELDS:</t>
        </is>
      </c>
    </row>
    <row r="1160">
      <c r="A1160" s="32" t="inlineStr">
        <is>
          <t xml:space="preserve">                v = d.get(f)</t>
        </is>
      </c>
    </row>
    <row r="1161">
      <c r="A1161" s="32" t="inlineStr">
        <is>
          <t xml:space="preserve">                # JSON null -&gt; None, NEVER zero (trap F3: CBLR risk-based</t>
        </is>
      </c>
    </row>
    <row r="1162">
      <c r="A1162" s="32" t="inlineStr">
        <is>
          <t xml:space="preserve">                # ratios and non-applicable items are genuinely null)</t>
        </is>
      </c>
    </row>
    <row r="1163">
      <c r="A1163" s="32" t="inlineStr">
        <is>
          <t xml:space="preserve">                entry[f] = None if v is None else float(v)</t>
        </is>
      </c>
    </row>
    <row r="1164">
      <c r="A1164" s="32" t="inlineStr">
        <is>
          <t xml:space="preserve">            self._bulk.setdefault(cert, {})[iso] = entry</t>
        </is>
      </c>
    </row>
    <row r="1165">
      <c r="A1165" s="32" t="inlineStr">
        <is>
          <t xml:space="preserve">        # roster: identity + merger detection (ACTIVE/ENDEFYMD -- trap F2)</t>
        </is>
      </c>
    </row>
    <row r="1166">
      <c r="A1166" s="32" t="inlineStr">
        <is>
          <t xml:space="preserve">        rurl = FDIC_INST_URL + "?" + urlencode({</t>
        </is>
      </c>
    </row>
    <row r="1167">
      <c r="A1167" s="32" t="inlineStr">
        <is>
          <t xml:space="preserve">            "filters": "CERT:(" + " OR ".join(certs) + ")",</t>
        </is>
      </c>
    </row>
    <row r="1168">
      <c r="A1168" s="32" t="inlineStr">
        <is>
          <t xml:space="preserve">            "fields": "CERT,NAME,FED_RSSD,ACTIVE,BKCLASS,ENDEFYMD",</t>
        </is>
      </c>
    </row>
    <row r="1169">
      <c r="A1169" s="32" t="inlineStr">
        <is>
          <t xml:space="preserve">            "limit": str(max(len(certs), 10)), "format": "json"})</t>
        </is>
      </c>
    </row>
    <row r="1170">
      <c r="A1170" s="32" t="inlineStr">
        <is>
          <t xml:space="preserve">        try:</t>
        </is>
      </c>
    </row>
    <row r="1171">
      <c r="A1171" s="32" t="inlineStr">
        <is>
          <t xml:space="preserve">            rp = json.loads(self._download(rurl, "institutions roster").decode("utf-8"))</t>
        </is>
      </c>
    </row>
    <row r="1172">
      <c r="A1172" s="32" t="inlineStr">
        <is>
          <t xml:space="preserve">            for rec in rp.get("data", []):</t>
        </is>
      </c>
    </row>
    <row r="1173">
      <c r="A1173" s="32" t="inlineStr">
        <is>
          <t xml:space="preserve">                d = rec.get("data") or {}</t>
        </is>
      </c>
    </row>
    <row r="1174">
      <c r="A1174" s="32" t="inlineStr">
        <is>
          <t xml:space="preserve">                c = _norm_cert(d.get("CERT"))</t>
        </is>
      </c>
    </row>
    <row r="1175">
      <c r="A1175" s="32" t="inlineStr">
        <is>
          <t xml:space="preserve">                if c:</t>
        </is>
      </c>
    </row>
    <row r="1176">
      <c r="A1176" s="32" t="inlineStr">
        <is>
          <t xml:space="preserve">                    self.roster[c] = d</t>
        </is>
      </c>
    </row>
    <row r="1177">
      <c r="A1177" s="32" t="inlineStr">
        <is>
          <t xml:space="preserve">        except Exception:</t>
        </is>
      </c>
    </row>
    <row r="1178">
      <c r="A1178" s="32" t="inlineStr">
        <is>
          <t xml:space="preserve">            # roster is advisory (merger notes); the financials landing and</t>
        </is>
      </c>
    </row>
    <row r="1179">
      <c r="A1179" s="32" t="inlineStr">
        <is>
          <t xml:space="preserve">            # the staleness guard still protect the run without it</t>
        </is>
      </c>
    </row>
    <row r="1180">
      <c r="A1180" s="32" t="inlineStr">
        <is>
          <t xml:space="preserve">            self.roster = self.roster or {}</t>
        </is>
      </c>
    </row>
    <row r="1181">
      <c r="A1181" s="32" t="inlineStr"/>
    </row>
    <row r="1182">
      <c r="A1182" s="32" t="inlineStr">
        <is>
          <t xml:space="preserve">    def fetch_series(self, spec: FieldSpec, secret=None) -&gt; List[NormalizedRow]:</t>
        </is>
      </c>
    </row>
    <row r="1183">
      <c r="A1183" s="32" t="inlineStr">
        <is>
          <t xml:space="preserve">        if self._bulk is None:</t>
        </is>
      </c>
    </row>
    <row r="1184">
      <c r="A1184" s="32" t="inlineStr">
        <is>
          <t xml:space="preserve">            raise RuntimeError("FdicProvider.fetch_series before prime(): the "</t>
        </is>
      </c>
    </row>
    <row r="1185">
      <c r="A1185" s="32" t="inlineStr">
        <is>
          <t xml:space="preserve">                               "bulk request must run once per refresh.")</t>
        </is>
      </c>
    </row>
    <row r="1186">
      <c r="A1186" s="32" t="inlineStr">
        <is>
          <t xml:space="preserve">        quarters = self._bulk.get(spec.cert, {})</t>
        </is>
      </c>
    </row>
    <row r="1187">
      <c r="A1187" s="32" t="inlineStr">
        <is>
          <t xml:space="preserve">        rows = []</t>
        </is>
      </c>
    </row>
    <row r="1188">
      <c r="A1188" s="32" t="inlineStr">
        <is>
          <t xml:space="preserve">        for iso in sorted(quarters):                 # oldest-first, like demo</t>
        </is>
      </c>
    </row>
    <row r="1189">
      <c r="A1189" s="32" t="inlineStr">
        <is>
          <t xml:space="preserve">            rows.append(NormalizedRow(</t>
        </is>
      </c>
    </row>
    <row r="1190">
      <c r="A1190" s="32" t="inlineStr">
        <is>
          <t xml:space="preserve">                id=spec.id, period=iso, value=quarters[iso].get(spec.fname),</t>
        </is>
      </c>
    </row>
    <row r="1191">
      <c r="A1191" s="32" t="inlineStr">
        <is>
          <t xml:space="preserve">                geo_segment=spec.geo_segment, source_class=self.source_class,</t>
        </is>
      </c>
    </row>
    <row r="1192">
      <c r="A1192" s="32" t="inlineStr">
        <is>
          <t xml:space="preserve">                units=spec.units))</t>
        </is>
      </c>
    </row>
    <row r="1193">
      <c r="A1193" s="32" t="inlineStr">
        <is>
          <t xml:space="preserve">        return rows</t>
        </is>
      </c>
    </row>
    <row r="1194">
      <c r="A1194" s="32" t="inlineStr"/>
    </row>
    <row r="1195">
      <c r="A1195" s="32" t="inlineStr">
        <is>
          <t xml:space="preserve">    def lookup(self, name: str) -&gt; List[dict]:</t>
        </is>
      </c>
    </row>
    <row r="1196">
      <c r="A1196" s="32" t="inlineStr">
        <is>
          <t xml:space="preserve">        """--lookup support (USER REQUIREMENT): fuzzy /institutions search so</t>
        </is>
      </c>
    </row>
    <row r="1197">
      <c r="A1197" s="32" t="inlineStr">
        <is>
          <t xml:space="preserve">        the user can find CERTs from PowerShell. LIVE-ONLY."""</t>
        </is>
      </c>
    </row>
    <row r="1198">
      <c r="A1198" s="32" t="inlineStr">
        <is>
          <t xml:space="preserve">        from urllib.parse import urlencode</t>
        </is>
      </c>
    </row>
    <row r="1199">
      <c r="A1199" s="32" t="inlineStr">
        <is>
          <t xml:space="preserve">        url = FDIC_INST_URL + "?" + urlencode({</t>
        </is>
      </c>
    </row>
    <row r="1200">
      <c r="A1200" s="32" t="inlineStr">
        <is>
          <t xml:space="preserve">            "search": name,</t>
        </is>
      </c>
    </row>
    <row r="1201">
      <c r="A1201" s="32" t="inlineStr">
        <is>
          <t xml:space="preserve">            "fields": "NAME,CERT,CITY,STALP,ASSET,ACTIVE",</t>
        </is>
      </c>
    </row>
    <row r="1202">
      <c r="A1202" s="32" t="inlineStr">
        <is>
          <t xml:space="preserve">            "limit": "15", "format": "json"})</t>
        </is>
      </c>
    </row>
    <row r="1203">
      <c r="A1203" s="32" t="inlineStr">
        <is>
          <t xml:space="preserve">        payload = json.loads(self._download(url, f'lookup "{name}"').decode("utf-8"))</t>
        </is>
      </c>
    </row>
    <row r="1204">
      <c r="A1204" s="32" t="inlineStr">
        <is>
          <t xml:space="preserve">        return [rec.get("data") or {} for rec in payload.get("data", [])]</t>
        </is>
      </c>
    </row>
    <row r="1205">
      <c r="A1205" s="32" t="inlineStr"/>
    </row>
    <row r="1206">
      <c r="A1206" s="32" t="inlineStr"/>
    </row>
    <row r="1207">
      <c r="A1207" s="32" t="inlineStr">
        <is>
          <t>class ClassCStubProvider(Provider):</t>
        </is>
      </c>
    </row>
    <row r="1208">
      <c r="A1208" s="32" t="inlineStr">
        <is>
          <t xml:space="preserve">    """In-process OAuth client_credentials STUB carried from the contract's</t>
        </is>
      </c>
    </row>
    <row r="1209">
      <c r="A1209" s="32" t="inlineStr">
        <is>
          <t xml:space="preserve">    seam rehearsal. Makes NO live request. NOTE: even a real Class C adapter</t>
        </is>
      </c>
    </row>
    <row r="1210">
      <c r="A1210" s="32" t="inlineStr">
        <is>
          <t xml:space="preserve">    is REFUSED by this template's gate 2 (only class "A" is admitted); a</t>
        </is>
      </c>
    </row>
    <row r="1211">
      <c r="A1211" s="32" t="inlineStr">
        <is>
          <t xml:space="preserve">    licensed swap requires its own review, not a config edit. secret_env</t>
        </is>
      </c>
    </row>
    <row r="1212">
      <c r="A1212" s="32" t="inlineStr">
        <is>
          <t xml:space="preserve">    stays wired per contract for a hypothetical authenticated v2."""</t>
        </is>
      </c>
    </row>
    <row r="1213">
      <c r="A1213" s="32" t="inlineStr"/>
    </row>
    <row r="1214">
      <c r="A1214" s="32" t="inlineStr">
        <is>
          <t xml:space="preserve">    source_class = "C"</t>
        </is>
      </c>
    </row>
    <row r="1215">
      <c r="A1215" s="32" t="inlineStr"/>
    </row>
    <row r="1216">
      <c r="A1216" s="32" t="inlineStr">
        <is>
          <t xml:space="preserve">    def __init__(self, secret_env: str):</t>
        </is>
      </c>
    </row>
    <row r="1217">
      <c r="A1217" s="32" t="inlineStr">
        <is>
          <t xml:space="preserve">        super().__init__()</t>
        </is>
      </c>
    </row>
    <row r="1218">
      <c r="A1218" s="32" t="inlineStr">
        <is>
          <t xml:space="preserve">        self.secret_env = secret_env</t>
        </is>
      </c>
    </row>
    <row r="1219">
      <c r="A1219" s="32" t="inlineStr">
        <is>
          <t xml:space="preserve">        self._token = None</t>
        </is>
      </c>
    </row>
    <row r="1220">
      <c r="A1220" s="32" t="inlineStr"/>
    </row>
    <row r="1221">
      <c r="A1221" s="32" t="inlineStr">
        <is>
          <t xml:space="preserve">    def _authenticate(self, secret):</t>
        </is>
      </c>
    </row>
    <row r="1222">
      <c r="A1222" s="32" t="inlineStr">
        <is>
          <t xml:space="preserve">        if not secret:</t>
        </is>
      </c>
    </row>
    <row r="1223">
      <c r="A1223" s="32" t="inlineStr">
        <is>
          <t xml:space="preserve">            raise PermissionError("HTTP 401: missing/invalid access token "</t>
        </is>
      </c>
    </row>
    <row r="1224">
      <c r="A1224" s="32" t="inlineStr">
        <is>
          <t xml:space="preserve">                                  "(client_credentials not supplied).")</t>
        </is>
      </c>
    </row>
    <row r="1225">
      <c r="A1225" s="32" t="inlineStr">
        <is>
          <t xml:space="preserve">        self._token = "stub-token"</t>
        </is>
      </c>
    </row>
    <row r="1226">
      <c r="A1226" s="32" t="inlineStr">
        <is>
          <t xml:space="preserve">        return self._token</t>
        </is>
      </c>
    </row>
    <row r="1227">
      <c r="A1227" s="32" t="inlineStr"/>
    </row>
    <row r="1228">
      <c r="A1228" s="32" t="inlineStr">
        <is>
          <t xml:space="preserve">    def prime(self, certs, asof, names=None):</t>
        </is>
      </c>
    </row>
    <row r="1229">
      <c r="A1229" s="32" t="inlineStr">
        <is>
          <t xml:space="preserve">        return None</t>
        </is>
      </c>
    </row>
    <row r="1230">
      <c r="A1230" s="32" t="inlineStr"/>
    </row>
    <row r="1231">
      <c r="A1231" s="32" t="inlineStr">
        <is>
          <t xml:space="preserve">    def fetch_series(self, spec: FieldSpec, secret=None) -&gt; List[NormalizedRow]:</t>
        </is>
      </c>
    </row>
    <row r="1232">
      <c r="A1232" s="32" t="inlineStr">
        <is>
          <t xml:space="preserve">        self._authenticate(secret)</t>
        </is>
      </c>
    </row>
    <row r="1233">
      <c r="A1233" s="32" t="inlineStr">
        <is>
          <t xml:space="preserve">        # schema-shaped, VALUELESS row: proves the seam contract without</t>
        </is>
      </c>
    </row>
    <row r="1234">
      <c r="A1234" s="32" t="inlineStr">
        <is>
          <t xml:space="preserve">        # fabricating licensed data.</t>
        </is>
      </c>
    </row>
    <row r="1235">
      <c r="A1235" s="32" t="inlineStr">
        <is>
          <t xml:space="preserve">        return [NormalizedRow(id=spec.id, period="1900-01-01", value=None,</t>
        </is>
      </c>
    </row>
    <row r="1236">
      <c r="A1236" s="32" t="inlineStr">
        <is>
          <t xml:space="preserve">                              geo_segment=spec.geo_segment, source_class="C",</t>
        </is>
      </c>
    </row>
    <row r="1237">
      <c r="A1237" s="32" t="inlineStr">
        <is>
          <t xml:space="preserve">                              units=spec.units)]</t>
        </is>
      </c>
    </row>
    <row r="1238">
      <c r="A1238" s="32" t="inlineStr"/>
    </row>
    <row r="1239">
      <c r="A1239" s="32" t="inlineStr"/>
    </row>
    <row r="1240">
      <c r="A1240" s="32" t="inlineStr">
        <is>
          <t>def resolve_secret(cfg: Config) -&gt; Optional[str]:</t>
        </is>
      </c>
    </row>
    <row r="1241">
      <c r="A1241" s="32" t="inlineStr">
        <is>
          <t xml:space="preserve">    """Class C secret from the env var whose NAME is recorded in _config;</t>
        </is>
      </c>
    </row>
    <row r="1242">
      <c r="A1242" s="32" t="inlineStr">
        <is>
          <t xml:space="preserve">    never hardcoded. Unused in v1 (the FDIC API is keyless)."""</t>
        </is>
      </c>
    </row>
    <row r="1243">
      <c r="A1243" s="32" t="inlineStr">
        <is>
          <t xml:space="preserve">    name = str(cfg.setting("secret_env", "") or "").strip()</t>
        </is>
      </c>
    </row>
    <row r="1244">
      <c r="A1244" s="32" t="inlineStr">
        <is>
          <t xml:space="preserve">    if not name:</t>
        </is>
      </c>
    </row>
    <row r="1245">
      <c r="A1245" s="32" t="inlineStr">
        <is>
          <t xml:space="preserve">        return None</t>
        </is>
      </c>
    </row>
    <row r="1246">
      <c r="A1246" s="32" t="inlineStr">
        <is>
          <t xml:space="preserve">    return os.environ.get(name)</t>
        </is>
      </c>
    </row>
    <row r="1247">
      <c r="A1247" s="32" t="inlineStr"/>
    </row>
    <row r="1248">
      <c r="A1248" s="32" t="inlineStr"/>
    </row>
    <row r="1249">
      <c r="A1249" s="32" t="inlineStr">
        <is>
          <t>def make_provider(cfg: Config, demo: bool, asof: Optional[date]) -&gt; Provider:</t>
        </is>
      </c>
    </row>
    <row r="1250">
      <c r="A1250" s="32" t="inlineStr">
        <is>
          <t xml:space="preserve">    if demo or _as_bool(cfg.setting("demo_mode", "false")):</t>
        </is>
      </c>
    </row>
    <row r="1251">
      <c r="A1251" s="32" t="inlineStr">
        <is>
          <t xml:space="preserve">        return FdicDemoProvider(asof=asof, raw_slots=cfg.raw_slots)</t>
        </is>
      </c>
    </row>
    <row r="1252">
      <c r="A1252" s="32" t="inlineStr">
        <is>
          <t xml:space="preserve">    # KEYLESS live provider -- no env var, no secret, nothing to fail fast on.</t>
        </is>
      </c>
    </row>
    <row r="1253">
      <c r="A1253" s="32" t="inlineStr">
        <is>
          <t xml:space="preserve">    return FdicProvider(</t>
        </is>
      </c>
    </row>
    <row r="1254">
      <c r="A1254" s="32" t="inlineStr">
        <is>
          <t xml:space="preserve">        min_interval=float(cfg.setting("http_min_interval", 0.6) or 0.6),</t>
        </is>
      </c>
    </row>
    <row r="1255">
      <c r="A1255" s="32" t="inlineStr">
        <is>
          <t xml:space="preserve">        max_retries=int(float(cfg.setting("fdic_max_retries", 4) or 4)),</t>
        </is>
      </c>
    </row>
    <row r="1256">
      <c r="A1256" s="32" t="inlineStr">
        <is>
          <t xml:space="preserve">        raw_slots=cfg.raw_slots)</t>
        </is>
      </c>
    </row>
    <row r="1257">
      <c r="A1257" s="32" t="inlineStr"/>
    </row>
    <row r="1258">
      <c r="A1258" s="32" t="inlineStr"/>
    </row>
    <row r="1259">
      <c r="A1259" s="32" t="inlineStr">
        <is>
          <t># ---------------------------------------------------------------------------</t>
        </is>
      </c>
    </row>
    <row r="1260">
      <c r="A1260" s="32" t="inlineStr">
        <is>
          <t># RAW LAYOUT -- fixed anchors shared with the builder. One block per SLOT:</t>
        </is>
      </c>
    </row>
    <row r="1261">
      <c r="A1261" s="32" t="inlineStr">
        <is>
          <t># quarters as rows (newest-first), fields as columns.</t>
        </is>
      </c>
    </row>
    <row r="1262">
      <c r="A1262" s="32" t="inlineStr">
        <is>
          <t># ---------------------------------------------------------------------------</t>
        </is>
      </c>
    </row>
    <row r="1263">
      <c r="A1263" s="32" t="inlineStr">
        <is>
          <t>@dataclass</t>
        </is>
      </c>
    </row>
    <row r="1264">
      <c r="A1264" s="32" t="inlineStr">
        <is>
          <t>class SlotBlock:</t>
        </is>
      </c>
    </row>
    <row r="1265">
      <c r="A1265" s="32" t="inlineStr">
        <is>
          <t xml:space="preserve">    slot: int</t>
        </is>
      </c>
    </row>
    <row r="1266">
      <c r="A1266" s="32" t="inlineStr">
        <is>
          <t xml:space="preserve">    header_row: int</t>
        </is>
      </c>
    </row>
    <row r="1267">
      <c r="A1267" s="32" t="inlineStr">
        <is>
          <t xml:space="preserve">    label_row: int</t>
        </is>
      </c>
    </row>
    <row r="1268">
      <c r="A1268" s="32" t="inlineStr">
        <is>
          <t xml:space="preserve">    first_data_row: int</t>
        </is>
      </c>
    </row>
    <row r="1269">
      <c r="A1269" s="32" t="inlineStr">
        <is>
          <t xml:space="preserve">    slots: int                 # quarter rows (raw_slots)</t>
        </is>
      </c>
    </row>
    <row r="1270">
      <c r="A1270" s="32" t="inlineStr"/>
    </row>
    <row r="1271">
      <c r="A1271" s="32" t="inlineStr"/>
    </row>
    <row r="1272">
      <c r="A1272" s="32" t="inlineStr">
        <is>
          <t>def slot_block(slot: int, raw_slots: int = RAW_SLOTS_DEFAULT) -&gt; SlotBlock:</t>
        </is>
      </c>
    </row>
    <row r="1273">
      <c r="A1273" s="32" t="inlineStr">
        <is>
          <t xml:space="preserve">    """Deterministic block placement: anchors depend ONLY on (slot, raw_slots)</t>
        </is>
      </c>
    </row>
    <row r="1274">
      <c r="A1274" s="32" t="inlineStr">
        <is>
          <t xml:space="preserve">    -- editing which bank occupies the slot moves nothing."""</t>
        </is>
      </c>
    </row>
    <row r="1275">
      <c r="A1275" s="32" t="inlineStr">
        <is>
          <t xml:space="preserve">    stride = RAW_HEADER_ROWS + raw_slots + RAW_GAP_ROWS</t>
        </is>
      </c>
    </row>
    <row r="1276">
      <c r="A1276" s="32" t="inlineStr">
        <is>
          <t xml:space="preserve">    header_row = RAW_FIRST_ROW + (slot - 1) * stride</t>
        </is>
      </c>
    </row>
    <row r="1277">
      <c r="A1277" s="32" t="inlineStr">
        <is>
          <t xml:space="preserve">    return SlotBlock(slot, header_row, header_row + 1,</t>
        </is>
      </c>
    </row>
    <row r="1278">
      <c r="A1278" s="32" t="inlineStr">
        <is>
          <t xml:space="preserve">                     header_row + RAW_HEADER_ROWS, raw_slots)</t>
        </is>
      </c>
    </row>
    <row r="1279">
      <c r="A1279" s="32" t="inlineStr"/>
    </row>
    <row r="1280">
      <c r="A1280" s="32" t="inlineStr"/>
    </row>
    <row r="1281">
      <c r="A1281" s="32" t="inlineStr">
        <is>
          <t>def assemble_quarters(field_rows: Dict[str, List[NormalizedRow]],</t>
        </is>
      </c>
    </row>
    <row r="1282">
      <c r="A1282" s="32" t="inlineStr">
        <is>
          <t xml:space="preserve">                      raw_slots: int):</t>
        </is>
      </c>
    </row>
    <row r="1283">
      <c r="A1283" s="32" t="inlineStr">
        <is>
          <t xml:space="preserve">    """Per-field NormalizedRows -&gt; newest-first [(iso, {field: value})] rows</t>
        </is>
      </c>
    </row>
    <row r="1284">
      <c r="A1284" s="32" t="inlineStr">
        <is>
          <t xml:space="preserve">    ready to land. Periods are unioned so a field missing one quarter still</t>
        </is>
      </c>
    </row>
    <row r="1285">
      <c r="A1285" s="32" t="inlineStr">
        <is>
          <t xml:space="preserve">    aligns (blank cell, not a shifted row)."""</t>
        </is>
      </c>
    </row>
    <row r="1286">
      <c r="A1286" s="32" t="inlineStr">
        <is>
          <t xml:space="preserve">    periods = sorted({r.period for rows in field_rows.values() for r in rows},</t>
        </is>
      </c>
    </row>
    <row r="1287">
      <c r="A1287" s="32" t="inlineStr">
        <is>
          <t xml:space="preserve">                     reverse=True)[:raw_slots]</t>
        </is>
      </c>
    </row>
    <row r="1288">
      <c r="A1288" s="32" t="inlineStr">
        <is>
          <t xml:space="preserve">    per: Dict[str, Dict[str, Optional[float]]] = {p: {} for p in periods}</t>
        </is>
      </c>
    </row>
    <row r="1289">
      <c r="A1289" s="32" t="inlineStr">
        <is>
          <t xml:space="preserve">    for fname, rows in field_rows.items():</t>
        </is>
      </c>
    </row>
    <row r="1290">
      <c r="A1290" s="32" t="inlineStr">
        <is>
          <t xml:space="preserve">        for r in rows:</t>
        </is>
      </c>
    </row>
    <row r="1291">
      <c r="A1291" s="32" t="inlineStr">
        <is>
          <t xml:space="preserve">            if r.period in per:</t>
        </is>
      </c>
    </row>
    <row r="1292">
      <c r="A1292" s="32" t="inlineStr">
        <is>
          <t xml:space="preserve">                per[r.period][fname] = r.value</t>
        </is>
      </c>
    </row>
    <row r="1293">
      <c r="A1293" s="32" t="inlineStr">
        <is>
          <t xml:space="preserve">    return [(p, {f: per[p].get(f) for f in RAW_FIELDS}) for p in periods]</t>
        </is>
      </c>
    </row>
    <row r="1294">
      <c r="A1294" s="32" t="inlineStr"/>
    </row>
    <row r="1295">
      <c r="A1295" s="32" t="inlineStr"/>
    </row>
    <row r="1296">
      <c r="A1296" s="32" t="inlineStr">
        <is>
          <t># ---------------------------------------------------------------------------</t>
        </is>
      </c>
    </row>
    <row r="1297">
      <c r="A1297" s="32" t="inlineStr">
        <is>
          <t># WRITE BACKEND -- openpyxl on the closed workbook (contract sec 4 / L2)</t>
        </is>
      </c>
    </row>
    <row r="1298">
      <c r="A1298" s="32" t="inlineStr">
        <is>
          <t># ---------------------------------------------------------------------------</t>
        </is>
      </c>
    </row>
    <row r="1299">
      <c r="A1299" s="32" t="inlineStr">
        <is>
          <t>class OpenpyxlBackend:</t>
        </is>
      </c>
    </row>
    <row r="1300">
      <c r="A1300" s="32" t="inlineStr">
        <is>
          <t xml:space="preserve">    def __init__(self, path: str):</t>
        </is>
      </c>
    </row>
    <row r="1301">
      <c r="A1301" s="32" t="inlineStr">
        <is>
          <t xml:space="preserve">        self.path = path</t>
        </is>
      </c>
    </row>
    <row r="1302">
      <c r="A1302" s="32" t="inlineStr">
        <is>
          <t xml:space="preserve">        import openpyxl</t>
        </is>
      </c>
    </row>
    <row r="1303">
      <c r="A1303" s="32" t="inlineStr">
        <is>
          <t xml:space="preserve">        # L2: keep_vba=True ONLY for .xlsm; on .xlsx it injects a dangling</t>
        </is>
      </c>
    </row>
    <row r="1304">
      <c r="A1304" s="32" t="inlineStr">
        <is>
          <t xml:space="preserve">        # vbaProject relationship Excel rejects as "format/extension not valid".</t>
        </is>
      </c>
    </row>
    <row r="1305">
      <c r="A1305" s="32" t="inlineStr">
        <is>
          <t xml:space="preserve">        keep_vba = path.lower().endswith(".xlsm")</t>
        </is>
      </c>
    </row>
    <row r="1306">
      <c r="A1306" s="32" t="inlineStr">
        <is>
          <t xml:space="preserve">        self._wb = openpyxl.load_workbook(path, keep_vba=keep_vba)</t>
        </is>
      </c>
    </row>
    <row r="1307">
      <c r="A1307" s="32" t="inlineStr"/>
    </row>
    <row r="1308">
      <c r="A1308" s="32" t="inlineStr">
        <is>
          <t xml:space="preserve">    def read_config(self) -&gt; Config:</t>
        </is>
      </c>
    </row>
    <row r="1309">
      <c r="A1309" s="32" t="inlineStr">
        <is>
          <t xml:space="preserve">        ws = self._wb["_config"]</t>
        </is>
      </c>
    </row>
    <row r="1310">
      <c r="A1310" s="32" t="inlineStr">
        <is>
          <t xml:space="preserve">        return parse_config([[c.value for c in row] for row in ws.iter_rows()])</t>
        </is>
      </c>
    </row>
    <row r="1311">
      <c r="A1311" s="32" t="inlineStr"/>
    </row>
    <row r="1312">
      <c r="A1312" s="32" t="inlineStr">
        <is>
          <t xml:space="preserve">    def _check_slot(self, block: SlotBlock):</t>
        </is>
      </c>
    </row>
    <row r="1313">
      <c r="A1313" s="32" t="inlineStr">
        <is>
          <t xml:space="preserve">        """Refuse to write into a workbook whose raw layout doesn't match the</t>
        </is>
      </c>
    </row>
    <row r="1314">
      <c r="A1314" s="32" t="inlineStr">
        <is>
          <t xml:space="preserve">        computed one (raw_slots/peer_slots edited after build): every</t>
        </is>
      </c>
    </row>
    <row r="1315">
      <c r="A1315" s="32" t="inlineStr">
        <is>
          <t xml:space="preserve">        dashboard and Watchlist formula is anchored to the BUILT layout, so a</t>
        </is>
      </c>
    </row>
    <row r="1316">
      <c r="A1316" s="32" t="inlineStr">
        <is>
          <t xml:space="preserve">        silent mismatch would make the whole workbook quietly wrong. The slot</t>
        </is>
      </c>
    </row>
    <row r="1317">
      <c r="A1317" s="32" t="inlineStr">
        <is>
          <t xml:space="preserve">        label is constant regardless of which bank occupies the slot, so</t>
        </is>
      </c>
    </row>
    <row r="1318">
      <c r="A1318" s="32" t="inlineStr">
        <is>
          <t xml:space="preserve">        [PEERS] edits never trip this."""</t>
        </is>
      </c>
    </row>
    <row r="1319">
      <c r="A1319" s="32" t="inlineStr">
        <is>
          <t xml:space="preserve">        ws = self._wb[RAW_TAB]</t>
        </is>
      </c>
    </row>
    <row r="1320">
      <c r="A1320" s="32" t="inlineStr">
        <is>
          <t xml:space="preserve">        existing = ws.cell(block.header_row, 1).value</t>
        </is>
      </c>
    </row>
    <row r="1321">
      <c r="A1321" s="32" t="inlineStr">
        <is>
          <t xml:space="preserve">        if existing is not None and str(existing).strip() not in (</t>
        </is>
      </c>
    </row>
    <row r="1322">
      <c r="A1322" s="32" t="inlineStr">
        <is>
          <t xml:space="preserve">                "", slot_label(block.slot)):</t>
        </is>
      </c>
    </row>
    <row r="1323">
      <c r="A1323" s="32" t="inlineStr">
        <is>
          <t xml:space="preserve">            raise RuntimeError(</t>
        </is>
      </c>
    </row>
    <row r="1324">
      <c r="A1324" s="32" t="inlineStr">
        <is>
          <t xml:space="preserve">                f"Raw layout mismatch in {RAW_TAB} at row {block.header_row}: "</t>
        </is>
      </c>
    </row>
    <row r="1325">
      <c r="A1325" s="32" t="inlineStr">
        <is>
          <t xml:space="preserve">                f"expected block '{slot_label(block.slot)}' but found "</t>
        </is>
      </c>
    </row>
    <row r="1326">
      <c r="A1326" s="32" t="inlineStr">
        <is>
          <t xml:space="preserve">                f"'{existing}'. The workbook was built with a different "</t>
        </is>
      </c>
    </row>
    <row r="1327">
      <c r="A1327" s="32" t="inlineStr">
        <is>
          <t xml:space="preserve">                f"raw_slots/peer_slots layout than _config now describes; "</t>
        </is>
      </c>
    </row>
    <row r="1328">
      <c r="A1328" s="32" t="inlineStr">
        <is>
          <t xml:space="preserve">                f"formulas are anchored to the built layout. Rebuild the "</t>
        </is>
      </c>
    </row>
    <row r="1329">
      <c r="A1329" s="32" t="inlineStr">
        <is>
          <t xml:space="preserve">                f"workbook (python make_workbook.py --peer-slots N) instead "</t>
        </is>
      </c>
    </row>
    <row r="1330">
      <c r="A1330" s="32" t="inlineStr">
        <is>
          <t xml:space="preserve">                f"of editing the layout settings in place.")</t>
        </is>
      </c>
    </row>
    <row r="1331">
      <c r="A1331" s="32" t="inlineStr">
        <is>
          <t xml:space="preserve">        # v1.1 pack guard: the FIELD layout must match too -- a workbook built</t>
        </is>
      </c>
    </row>
    <row r="1332">
      <c r="A1332" s="32" t="inlineStr">
        <is>
          <t xml:space="preserve">        # by an earlier pack has fewer raw columns, and writing this runner's</t>
        </is>
      </c>
    </row>
    <row r="1333">
      <c r="A1333" s="32" t="inlineStr">
        <is>
          <t xml:space="preserve">        # field set into it would land data under no label with stale</t>
        </is>
      </c>
    </row>
    <row r="1334">
      <c r="A1334" s="32" t="inlineStr">
        <is>
          <t xml:space="preserve">        # formulas. The last field's label column is the cheap sentinel.</t>
        </is>
      </c>
    </row>
    <row r="1335">
      <c r="A1335" s="32" t="inlineStr">
        <is>
          <t xml:space="preserve">        lbl = ws.cell(block.label_row, field_col(RAW_FIELDS[-1])).value</t>
        </is>
      </c>
    </row>
    <row r="1336">
      <c r="A1336" s="32" t="inlineStr">
        <is>
          <t xml:space="preserve">        if str(lbl or "").strip() != RAW_FIELDS[-1]:</t>
        </is>
      </c>
    </row>
    <row r="1337">
      <c r="A1337" s="32" t="inlineStr">
        <is>
          <t xml:space="preserve">            raise RuntimeError(</t>
        </is>
      </c>
    </row>
    <row r="1338">
      <c r="A1338" s="32" t="inlineStr">
        <is>
          <t xml:space="preserve">                f"Raw layout mismatch in {RAW_TAB}: block "</t>
        </is>
      </c>
    </row>
    <row r="1339">
      <c r="A1339" s="32" t="inlineStr">
        <is>
          <t xml:space="preserve">                f"'{slot_label(block.slot)}' does not label field "</t>
        </is>
      </c>
    </row>
    <row r="1340">
      <c r="A1340" s="32" t="inlineStr">
        <is>
          <t xml:space="preserve">                f"'{RAW_FIELDS[-1]}' at column {field_col(RAW_FIELDS[-1])} "</t>
        </is>
      </c>
    </row>
    <row r="1341">
      <c r="A1341" s="32" t="inlineStr">
        <is>
          <t xml:space="preserve">                f"(found '{lbl}'). The workbook was built by a different "</t>
        </is>
      </c>
    </row>
    <row r="1342">
      <c r="A1342" s="32" t="inlineStr">
        <is>
          <t xml:space="preserve">                f"metric-pack version than this runner (pack {PACK_VERSION}); "</t>
        </is>
      </c>
    </row>
    <row r="1343">
      <c r="A1343" s="32" t="inlineStr">
        <is>
          <t xml:space="preserve">                f"rebuild it (python make_workbook.py) or extract the "</t>
        </is>
      </c>
    </row>
    <row r="1344">
      <c r="A1344" s="32" t="inlineStr">
        <is>
          <t xml:space="preserve">                f"matching runner from ITS OWN _code_py tab.")</t>
        </is>
      </c>
    </row>
    <row r="1345">
      <c r="A1345" s="32" t="inlineStr"/>
    </row>
    <row r="1346">
      <c r="A1346" s="32" t="inlineStr">
        <is>
          <t xml:space="preserve">    def clear_slot_block(self, block: SlotBlock):</t>
        </is>
      </c>
    </row>
    <row r="1347">
      <c r="A1347" s="32" t="inlineStr">
        <is>
          <t xml:space="preserve">        """Blank a slot's bank identity AND data (stateless rebuild, BUILD</t>
        </is>
      </c>
    </row>
    <row r="1348">
      <c r="A1348" s="32" t="inlineStr">
        <is>
          <t xml:space="preserve">        SPEC 0.2): a deactivated/removed/failed bank must show empty, never</t>
        </is>
      </c>
    </row>
    <row r="1349">
      <c r="A1349" s="32" t="inlineStr">
        <is>
          <t xml:space="preserve">        last run's values masquerading as current."""</t>
        </is>
      </c>
    </row>
    <row r="1350">
      <c r="A1350" s="32" t="inlineStr">
        <is>
          <t xml:space="preserve">        self._check_slot(block)</t>
        </is>
      </c>
    </row>
    <row r="1351">
      <c r="A1351" s="32" t="inlineStr">
        <is>
          <t xml:space="preserve">        ws = self._wb[RAW_TAB]</t>
        </is>
      </c>
    </row>
    <row r="1352">
      <c r="A1352" s="32" t="inlineStr">
        <is>
          <t xml:space="preserve">        # NOTE: ws.cell(r, c, None) is a silent NO-OP in openpyxl (the value</t>
        </is>
      </c>
    </row>
    <row r="1353">
      <c r="A1353" s="32" t="inlineStr">
        <is>
          <t xml:space="preserve">        # arg is ignored when None) -- clearing MUST assign .value directly,</t>
        </is>
      </c>
    </row>
    <row r="1354">
      <c r="A1354" s="32" t="inlineStr">
        <is>
          <t xml:space="preserve">        # or a deactivated bank's data would survive as if current.</t>
        </is>
      </c>
    </row>
    <row r="1355">
      <c r="A1355" s="32" t="inlineStr">
        <is>
          <t xml:space="preserve">        for c in (2, 3, 4):                          # runtime identity cells</t>
        </is>
      </c>
    </row>
    <row r="1356">
      <c r="A1356" s="32" t="inlineStr">
        <is>
          <t xml:space="preserve">            ws.cell(block.header_row, c).value = None</t>
        </is>
      </c>
    </row>
    <row r="1357">
      <c r="A1357" s="32" t="inlineStr">
        <is>
          <t xml:space="preserve">        last_col = 1 + len(RAW_FIELDS)</t>
        </is>
      </c>
    </row>
    <row r="1358">
      <c r="A1358" s="32" t="inlineStr">
        <is>
          <t xml:space="preserve">        for r in range(block.first_data_row, block.first_data_row + block.slots):</t>
        </is>
      </c>
    </row>
    <row r="1359">
      <c r="A1359" s="32" t="inlineStr">
        <is>
          <t xml:space="preserve">            for c in range(1, last_col + 1):</t>
        </is>
      </c>
    </row>
    <row r="1360">
      <c r="A1360" s="32" t="inlineStr">
        <is>
          <t xml:space="preserve">                ws.cell(r, c).value = None</t>
        </is>
      </c>
    </row>
    <row r="1361">
      <c r="A1361" s="32" t="inlineStr"/>
    </row>
    <row r="1362">
      <c r="A1362" s="32" t="inlineStr">
        <is>
          <t xml:space="preserve">    def write_slot_block(self, block: SlotBlock, peer: PeerRow, quarters):</t>
        </is>
      </c>
    </row>
    <row r="1363">
      <c r="A1363" s="32" t="inlineStr">
        <is>
          <t xml:space="preserve">        self._check_slot(block)</t>
        </is>
      </c>
    </row>
    <row r="1364">
      <c r="A1364" s="32" t="inlineStr">
        <is>
          <t xml:space="preserve">        ws = self._wb[RAW_TAB]</t>
        </is>
      </c>
    </row>
    <row r="1365">
      <c r="A1365" s="32" t="inlineStr">
        <is>
          <t xml:space="preserve">        ws.cell(block.header_row, 1, slot_label(block.slot))</t>
        </is>
      </c>
    </row>
    <row r="1366">
      <c r="A1366" s="32" t="inlineStr">
        <is>
          <t xml:space="preserve">        ws.cell(block.header_row, 2,</t>
        </is>
      </c>
    </row>
    <row r="1367">
      <c r="A1367" s="32" t="inlineStr">
        <is>
          <t xml:space="preserve">                f"s{block.slot:02d} {peer.entity_key}")   # the unit key</t>
        </is>
      </c>
    </row>
    <row r="1368">
      <c r="A1368" s="32" t="inlineStr">
        <is>
          <t xml:space="preserve">        ws.cell(block.header_row, 3, peer.name)</t>
        </is>
      </c>
    </row>
    <row r="1369">
      <c r="A1369" s="32" t="inlineStr">
        <is>
          <t xml:space="preserve">        ws.cell(block.header_row, 4, f"group={peer.group}")</t>
        </is>
      </c>
    </row>
    <row r="1370">
      <c r="A1370" s="32" t="inlineStr">
        <is>
          <t xml:space="preserve">        for i, (iso, fvals) in enumerate(quarters[:block.slots]):</t>
        </is>
      </c>
    </row>
    <row r="1371">
      <c r="A1371" s="32" t="inlineStr">
        <is>
          <t xml:space="preserve">            r = block.first_data_row + i                 # newest-first</t>
        </is>
      </c>
    </row>
    <row r="1372">
      <c r="A1372" s="32" t="inlineStr">
        <is>
          <t xml:space="preserve">            ws.cell(r, 1, iso)</t>
        </is>
      </c>
    </row>
    <row r="1373">
      <c r="A1373" s="32" t="inlineStr">
        <is>
          <t xml:space="preserve">            for fname in RAW_FIELDS:</t>
        </is>
      </c>
    </row>
    <row r="1374">
      <c r="A1374" s="32" t="inlineStr">
        <is>
          <t xml:space="preserve">                v = fvals.get(fname)</t>
        </is>
      </c>
    </row>
    <row r="1375">
      <c r="A1375" s="32" t="inlineStr">
        <is>
          <t xml:space="preserve">                # explicit .value assignment: None must LAND as blank (the</t>
        </is>
      </c>
    </row>
    <row r="1376">
      <c r="A1376" s="32" t="inlineStr">
        <is>
          <t xml:space="preserve">                # ws.cell value arg silently drops None -- see clear above)</t>
        </is>
      </c>
    </row>
    <row r="1377">
      <c r="A1377" s="32" t="inlineStr">
        <is>
          <t xml:space="preserve">                ws.cell(r, field_col(fname)).value = \</t>
        </is>
      </c>
    </row>
    <row r="1378">
      <c r="A1378" s="32" t="inlineStr">
        <is>
          <t xml:space="preserve">                    None if v is None else float(v)</t>
        </is>
      </c>
    </row>
    <row r="1379">
      <c r="A1379" s="32" t="inlineStr"/>
    </row>
    <row r="1380">
      <c r="A1380" s="32" t="inlineStr">
        <is>
          <t xml:space="preserve">    def write_status(self, status: dict):</t>
        </is>
      </c>
    </row>
    <row r="1381">
      <c r="A1381" s="32" t="inlineStr">
        <is>
          <t xml:space="preserve">        line2 = (f"Banks {status.get('banks_landed', 0)}/"</t>
        </is>
      </c>
    </row>
    <row r="1382">
      <c r="A1382" s="32" t="inlineStr">
        <is>
          <t xml:space="preserve">                 f"{status.get('banks_active', 0)} - "</t>
        </is>
      </c>
    </row>
    <row r="1383">
      <c r="A1383" s="32" t="inlineStr">
        <is>
          <t xml:space="preserve">                 f"{status.get('alert_banks', 0)} ALERT / "</t>
        </is>
      </c>
    </row>
    <row r="1384">
      <c r="A1384" s="32" t="inlineStr">
        <is>
          <t xml:space="preserve">                 f"{status.get('watch_banks', 0)} WATCH / "</t>
        </is>
      </c>
    </row>
    <row r="1385">
      <c r="A1385" s="32" t="inlineStr">
        <is>
          <t xml:space="preserve">                 f"{status.get('stale_banks', 0)} STALE")</t>
        </is>
      </c>
    </row>
    <row r="1386">
      <c r="A1386" s="32" t="inlineStr">
        <is>
          <t xml:space="preserve">        n_ref = len(status.get("watchlist_refusals") or [])</t>
        </is>
      </c>
    </row>
    <row r="1387">
      <c r="A1387" s="32" t="inlineStr">
        <is>
          <t xml:space="preserve">        if n_ref:</t>
        </is>
      </c>
    </row>
    <row r="1388">
      <c r="A1388" s="32" t="inlineStr">
        <is>
          <t xml:space="preserve">            line2 += f" - {n_ref} REFUSED (see digest)"</t>
        </is>
      </c>
    </row>
    <row r="1389">
      <c r="A1389" s="32" t="inlineStr">
        <is>
          <t xml:space="preserve">        n_err = len(status.get("errors") or [])</t>
        </is>
      </c>
    </row>
    <row r="1390">
      <c r="A1390" s="32" t="inlineStr">
        <is>
          <t xml:space="preserve">        if n_err:</t>
        </is>
      </c>
    </row>
    <row r="1391">
      <c r="A1391" s="32" t="inlineStr">
        <is>
          <t xml:space="preserve">            line2 += f" - {n_err} FETCH ERRORS (slots blanked)"</t>
        </is>
      </c>
    </row>
    <row r="1392">
      <c r="A1392" s="32" t="inlineStr">
        <is>
          <t xml:space="preserve">        line3 = f"FDIC data vintage: {status.get('vintage') or 'n/a'}"</t>
        </is>
      </c>
    </row>
    <row r="1393">
      <c r="A1393" s="32" t="inlineStr">
        <is>
          <t xml:space="preserve">        for tab in DASH_TABS:</t>
        </is>
      </c>
    </row>
    <row r="1394">
      <c r="A1394" s="32" t="inlineStr">
        <is>
          <t xml:space="preserve">            if tab in self._wb.sheetnames:</t>
        </is>
      </c>
    </row>
    <row r="1395">
      <c r="A1395" s="32" t="inlineStr">
        <is>
          <t xml:space="preserve">                ws = self._wb[tab]</t>
        </is>
      </c>
    </row>
    <row r="1396">
      <c r="A1396" s="32" t="inlineStr">
        <is>
          <t xml:space="preserve">                col = STATUS_COL_BY_TAB.get(tab, STATUS_COL)</t>
        </is>
      </c>
    </row>
    <row r="1397">
      <c r="A1397" s="32" t="inlineStr">
        <is>
          <t xml:space="preserve">                ws.cell(1, col, "Last run  " + status.get("timestamp", "")</t>
        </is>
      </c>
    </row>
    <row r="1398">
      <c r="A1398" s="32" t="inlineStr">
        <is>
          <t xml:space="preserve">                        + f" ({status.get('mode', '')})")</t>
        </is>
      </c>
    </row>
    <row r="1399">
      <c r="A1399" s="32" t="inlineStr">
        <is>
          <t xml:space="preserve">                ws.cell(2, col, line2)</t>
        </is>
      </c>
    </row>
    <row r="1400">
      <c r="A1400" s="32" t="inlineStr">
        <is>
          <t xml:space="preserve">                ws.cell(3, col, line3)</t>
        </is>
      </c>
    </row>
    <row r="1401">
      <c r="A1401" s="32" t="inlineStr"/>
    </row>
    <row r="1402">
      <c r="A1402" s="32" t="inlineStr">
        <is>
          <t xml:space="preserve">    def finalize(self):</t>
        </is>
      </c>
    </row>
    <row r="1403">
      <c r="A1403" s="32" t="inlineStr">
        <is>
          <t xml:space="preserve">        self._wb.save(self.path)</t>
        </is>
      </c>
    </row>
    <row r="1404">
      <c r="A1404" s="32" t="inlineStr"/>
    </row>
    <row r="1405">
      <c r="A1405" s="32" t="inlineStr"/>
    </row>
    <row r="1406">
      <c r="A1406" s="32" t="inlineStr">
        <is>
          <t># ---------------------------------------------------------------------------</t>
        </is>
      </c>
    </row>
    <row r="1407">
      <c r="A1407" s="32" t="inlineStr">
        <is>
          <t># ORCHESTRATION</t>
        </is>
      </c>
    </row>
    <row r="1408">
      <c r="A1408" s="32" t="inlineStr">
        <is>
          <t># ---------------------------------------------------------------------------</t>
        </is>
      </c>
    </row>
    <row r="1409">
      <c r="A1409" s="32" t="inlineStr">
        <is>
          <t>def compute_digest(cfg: Config, landed: Dict[int, Tuple[PeerRow, list]],</t>
        </is>
      </c>
    </row>
    <row r="1410">
      <c r="A1410" s="32" t="inlineStr">
        <is>
          <t xml:space="preserve">                   roster: Dict[str, dict]) -&gt; dict:</t>
        </is>
      </c>
    </row>
    <row r="1411">
      <c r="A1411" s="32" t="inlineStr">
        <is>
          <t xml:space="preserve">    """Per-bank latest-quarter metric values + statuses + flag counts (the</t>
        </is>
      </c>
    </row>
    <row r="1412">
      <c r="A1412" s="32" t="inlineStr">
        <is>
          <t xml:space="preserve">    engine output consumed by the Watchlist parity tests and email-sim).</t>
        </is>
      </c>
    </row>
    <row r="1413">
      <c r="A1413" s="32" t="inlineStr">
        <is>
          <t xml:space="preserve">    Staleness (BUILD SPEC 0.6) is first-class: a stale bank's STATUS is</t>
        </is>
      </c>
    </row>
    <row r="1414">
      <c r="A1414" s="32" t="inlineStr">
        <is>
          <t xml:space="preserve">    forced to STALE and it never counts toward the alert/watch KPIs or the</t>
        </is>
      </c>
    </row>
    <row r="1415">
      <c r="A1415" s="32" t="inlineStr">
        <is>
          <t xml:space="preserve">    digest medians. NOTE the documented v1 divergence: the EXCEL median rows</t>
        </is>
      </c>
    </row>
    <row r="1416">
      <c r="A1416" s="32" t="inlineStr">
        <is>
          <t xml:space="preserve">    include stale banks' landed values (MEDIAN cannot see runtime staleness);</t>
        </is>
      </c>
    </row>
    <row r="1417">
      <c r="A1417" s="32" t="inlineStr">
        <is>
          <t xml:space="preserve">    the digest median excludes them -- see _readme."""</t>
        </is>
      </c>
    </row>
    <row r="1418">
      <c r="A1418" s="32" t="inlineStr">
        <is>
          <t xml:space="preserve">    per_bank_latest: Dict[int, Optional[str]] = {}</t>
        </is>
      </c>
    </row>
    <row r="1419">
      <c r="A1419" s="32" t="inlineStr">
        <is>
          <t xml:space="preserve">    for slot, (peer, quarters) in landed.items():</t>
        </is>
      </c>
    </row>
    <row r="1420">
      <c r="A1420" s="32" t="inlineStr">
        <is>
          <t xml:space="preserve">        last_p = next((p for p, f in quarters</t>
        </is>
      </c>
    </row>
    <row r="1421">
      <c r="A1421" s="32" t="inlineStr">
        <is>
          <t xml:space="preserve">                       if any(v is not None for v in f.values())), None)</t>
        </is>
      </c>
    </row>
    <row r="1422">
      <c r="A1422" s="32" t="inlineStr">
        <is>
          <t xml:space="preserve">        per_bank_latest[slot] = last_p</t>
        </is>
      </c>
    </row>
    <row r="1423">
      <c r="A1423" s="32" t="inlineStr">
        <is>
          <t xml:space="preserve">    set_max = max((p for p in per_bank_latest.values() if p), default=None)</t>
        </is>
      </c>
    </row>
    <row r="1424">
      <c r="A1424" s="32" t="inlineStr"/>
    </row>
    <row r="1425">
      <c r="A1425" s="32" t="inlineStr">
        <is>
          <t xml:space="preserve">    banks = []</t>
        </is>
      </c>
    </row>
    <row r="1426">
      <c r="A1426" s="32" t="inlineStr">
        <is>
          <t xml:space="preserve">    for slot in sorted(landed):</t>
        </is>
      </c>
    </row>
    <row r="1427">
      <c r="A1427" s="32" t="inlineStr">
        <is>
          <t xml:space="preserve">        peer, quarters = landed[slot]</t>
        </is>
      </c>
    </row>
    <row r="1428">
      <c r="A1428" s="32" t="inlineStr">
        <is>
          <t xml:space="preserve">        latest_fields = quarters[0][1] if quarters else {}</t>
        </is>
      </c>
    </row>
    <row r="1429">
      <c r="A1429" s="32" t="inlineStr">
        <is>
          <t xml:space="preserve">        last_p = per_bank_latest[slot]</t>
        </is>
      </c>
    </row>
    <row r="1430">
      <c r="A1430" s="32" t="inlineStr">
        <is>
          <t xml:space="preserve">        stale = is_stale_bank(last_p, set_max, cfg.stale_multiplier)</t>
        </is>
      </c>
    </row>
    <row r="1431">
      <c r="A1431" s="32" t="inlineStr">
        <is>
          <t xml:space="preserve">        metrics = {}</t>
        </is>
      </c>
    </row>
    <row r="1432">
      <c r="A1432" s="32" t="inlineStr">
        <is>
          <t xml:space="preserve">        alert_n = watch_n = 0</t>
        </is>
      </c>
    </row>
    <row r="1433">
      <c r="A1433" s="32" t="inlineStr">
        <is>
          <t xml:space="preserve">        for spec in cfg.series:</t>
        </is>
      </c>
    </row>
    <row r="1434">
      <c r="A1434" s="32" t="inlineStr">
        <is>
          <t xml:space="preserve">            v = metric_value(spec.id, latest_fields)</t>
        </is>
      </c>
    </row>
    <row r="1435">
      <c r="A1435" s="32" t="inlineStr">
        <is>
          <t xml:space="preserve">            st = status_for(v, cfg.thresholds.get(spec.id))</t>
        </is>
      </c>
    </row>
    <row r="1436">
      <c r="A1436" s="32" t="inlineStr">
        <is>
          <t xml:space="preserve">            if v is None:</t>
        </is>
      </c>
    </row>
    <row r="1437">
      <c r="A1437" s="32" t="inlineStr">
        <is>
          <t xml:space="preserve">                st = ""                       # blank cell -&gt; blank status (Excel parity)</t>
        </is>
      </c>
    </row>
    <row r="1438">
      <c r="A1438" s="32" t="inlineStr">
        <is>
          <t xml:space="preserve">            metrics[spec.id] = {"value": v, "status": st,</t>
        </is>
      </c>
    </row>
    <row r="1439">
      <c r="A1439" s="32" t="inlineStr">
        <is>
          <t xml:space="preserve">                                "dimension": spec.category}</t>
        </is>
      </c>
    </row>
    <row r="1440">
      <c r="A1440" s="32" t="inlineStr">
        <is>
          <t xml:space="preserve">            # flag counts mirror the Watchlist COUNTIF columns exactly --</t>
        </is>
      </c>
    </row>
    <row r="1441">
      <c r="A1441" s="32" t="inlineStr">
        <is>
          <t xml:space="preserve">            # computed for every landed bank (incl. stale; the top-level KPIs</t>
        </is>
      </c>
    </row>
    <row r="1442">
      <c r="A1442" s="32" t="inlineStr">
        <is>
          <t xml:space="preserve">            # below are where staleness excludes)</t>
        </is>
      </c>
    </row>
    <row r="1443">
      <c r="A1443" s="32" t="inlineStr">
        <is>
          <t xml:space="preserve">            if st == "ALERT":</t>
        </is>
      </c>
    </row>
    <row r="1444">
      <c r="A1444" s="32" t="inlineStr">
        <is>
          <t xml:space="preserve">                alert_n += 1</t>
        </is>
      </c>
    </row>
    <row r="1445">
      <c r="A1445" s="32" t="inlineStr">
        <is>
          <t xml:space="preserve">            elif st == "WATCH":</t>
        </is>
      </c>
    </row>
    <row r="1446">
      <c r="A1446" s="32" t="inlineStr">
        <is>
          <t xml:space="preserve">                watch_n += 1</t>
        </is>
      </c>
    </row>
    <row r="1447">
      <c r="A1447" s="32" t="inlineStr">
        <is>
          <t xml:space="preserve">        notes = []</t>
        </is>
      </c>
    </row>
    <row r="1448">
      <c r="A1448" s="32" t="inlineStr">
        <is>
          <t xml:space="preserve">        # trap F6: merger survivorship -- flag &gt;25% single-quarter asset jump</t>
        </is>
      </c>
    </row>
    <row r="1449">
      <c r="A1449" s="32" t="inlineStr">
        <is>
          <t xml:space="preserve">        if len(quarters) &gt;= 2:</t>
        </is>
      </c>
    </row>
    <row r="1450">
      <c r="A1450" s="32" t="inlineStr">
        <is>
          <t xml:space="preserve">            a0 = quarters[0][1].get("ASSET")</t>
        </is>
      </c>
    </row>
    <row r="1451">
      <c r="A1451" s="32" t="inlineStr">
        <is>
          <t xml:space="preserve">            a1 = quarters[1][1].get("ASSET")</t>
        </is>
      </c>
    </row>
    <row r="1452">
      <c r="A1452" s="32" t="inlineStr">
        <is>
          <t xml:space="preserve">            if a0 is not None and a1 not in (None, 0):</t>
        </is>
      </c>
    </row>
    <row r="1453">
      <c r="A1453" s="32" t="inlineStr">
        <is>
          <t xml:space="preserve">                jump = (a0 / a1 - 1.0) * 100.0</t>
        </is>
      </c>
    </row>
    <row r="1454">
      <c r="A1454" s="32" t="inlineStr">
        <is>
          <t xml:space="preserve">                if jump &gt; 25.0:</t>
        </is>
      </c>
    </row>
    <row r="1455">
      <c r="A1455" s="32" t="inlineStr">
        <is>
          <t xml:space="preserve">                    notes.append(f"ASSET +{jump:.0f}% in one quarter -- "</t>
        </is>
      </c>
    </row>
    <row r="1456">
      <c r="A1456" s="32" t="inlineStr">
        <is>
          <t xml:space="preserve">                                 "possible merger survivorship distortion "</t>
        </is>
      </c>
    </row>
    <row r="1457">
      <c r="A1457" s="32" t="inlineStr">
        <is>
          <t xml:space="preserve">                                 "(trap F6); ratios and CRE growth screens "</t>
        </is>
      </c>
    </row>
    <row r="1458">
      <c r="A1458" s="32" t="inlineStr">
        <is>
          <t xml:space="preserve">                                 "unreliable this quarter.")</t>
        </is>
      </c>
    </row>
    <row r="1459">
      <c r="A1459" s="32" t="inlineStr">
        <is>
          <t xml:space="preserve">        # SVB pack: DEPUNINS null -&gt; BLANK + note, never zero (trap F3; RC-O</t>
        </is>
      </c>
    </row>
    <row r="1460">
      <c r="A1460" s="32" t="inlineStr">
        <is>
          <t xml:space="preserve">        # Mem 2 is filed only by $1B+ reporters -- below that the API carries</t>
        </is>
      </c>
    </row>
    <row r="1461">
      <c r="A1461" s="32" t="inlineStr">
        <is>
          <t xml:space="preserve">        # estimates or nulls). The note makes the blank auditable.</t>
        </is>
      </c>
    </row>
    <row r="1462">
      <c r="A1462" s="32" t="inlineStr">
        <is>
          <t xml:space="preserve">        if (latest_fields and latest_fields.get("DEPUNINS") is None</t>
        </is>
      </c>
    </row>
    <row r="1463">
      <c r="A1463" s="32" t="inlineStr">
        <is>
          <t xml:space="preserve">                and any(v is not None for v in latest_fields.values())):</t>
        </is>
      </c>
    </row>
    <row r="1464">
      <c r="A1464" s="32" t="inlineStr">
        <is>
          <t xml:space="preserve">            notes.append("DEPUNINS is null this quarter -- uninsured-deposit "</t>
        </is>
      </c>
    </row>
    <row r="1465">
      <c r="A1465" s="32" t="inlineStr">
        <is>
          <t xml:space="preserve">                         "share left BLANK, never 0 (RC-O Mem 2 is filed by "</t>
        </is>
      </c>
    </row>
    <row r="1466">
      <c r="A1466" s="32" t="inlineStr">
        <is>
          <t xml:space="preserve">                         "$1B+ reporters; smaller banks carry FDIC estimates "</t>
        </is>
      </c>
    </row>
    <row r="1467">
      <c r="A1467" s="32" t="inlineStr">
        <is>
          <t xml:space="preserve">                         "or nulls).")</t>
        </is>
      </c>
    </row>
    <row r="1468">
      <c r="A1468" s="32" t="inlineStr">
        <is>
          <t xml:space="preserve">        rr = roster.get(peer.cert) or {}</t>
        </is>
      </c>
    </row>
    <row r="1469">
      <c r="A1469" s="32" t="inlineStr">
        <is>
          <t xml:space="preserve">        if rr and str(rr.get("ACTIVE", "1")).strip() not in ("1", "True", "true"):</t>
        </is>
      </c>
    </row>
    <row r="1470">
      <c r="A1470" s="32" t="inlineStr">
        <is>
          <t xml:space="preserve">            notes.append(f"roster reports ACTIVE={rr.get('ACTIVE')} "</t>
        </is>
      </c>
    </row>
    <row r="1471">
      <c r="A1471" s="32" t="inlineStr">
        <is>
          <t xml:space="preserve">                         f"(ENDEFYMD={rr.get('ENDEFYMD')}) -- possible "</t>
        </is>
      </c>
    </row>
    <row r="1472">
      <c r="A1472" s="32" t="inlineStr">
        <is>
          <t xml:space="preserve">                         "merger/closure; check /institutions and /history.")</t>
        </is>
      </c>
    </row>
    <row r="1473">
      <c r="A1473" s="32" t="inlineStr">
        <is>
          <t xml:space="preserve">        if stale:</t>
        </is>
      </c>
    </row>
    <row r="1474">
      <c r="A1474" s="32" t="inlineStr">
        <is>
          <t xml:space="preserve">            notes.append("latest REPDTE lags the peer-set max by more than "</t>
        </is>
      </c>
    </row>
    <row r="1475">
      <c r="A1475" s="32" t="inlineStr">
        <is>
          <t xml:space="preserve">                         f"{cfg.stale_multiplier:g} quarters -- possible "</t>
        </is>
      </c>
    </row>
    <row r="1476">
      <c r="A1476" s="32" t="inlineStr">
        <is>
          <t xml:space="preserve">                         "merger/closure -- check /institutions ACTIVE, "</t>
        </is>
      </c>
    </row>
    <row r="1477">
      <c r="A1477" s="32" t="inlineStr">
        <is>
          <t xml:space="preserve">                         "/history (trap F2).")</t>
        </is>
      </c>
    </row>
    <row r="1478">
      <c r="A1478" s="32" t="inlineStr">
        <is>
          <t xml:space="preserve">        status = ("STALE" if stale else</t>
        </is>
      </c>
    </row>
    <row r="1479">
      <c r="A1479" s="32" t="inlineStr">
        <is>
          <t xml:space="preserve">                  "ALERT" if alert_n &gt; 0 else</t>
        </is>
      </c>
    </row>
    <row r="1480">
      <c r="A1480" s="32" t="inlineStr">
        <is>
          <t xml:space="preserve">                  "WATCH" if watch_n &gt; 0 else "OK")</t>
        </is>
      </c>
    </row>
    <row r="1481">
      <c r="A1481" s="32" t="inlineStr">
        <is>
          <t xml:space="preserve">        banks.append({</t>
        </is>
      </c>
    </row>
    <row r="1482">
      <c r="A1482" s="32" t="inlineStr">
        <is>
          <t xml:space="preserve">            "slot": slot, "id_prefix": f"s{slot:02d}", "cert": peer.cert,</t>
        </is>
      </c>
    </row>
    <row r="1483">
      <c r="A1483" s="32" t="inlineStr">
        <is>
          <t xml:space="preserve">            "name": peer.name, "group": peer.group,</t>
        </is>
      </c>
    </row>
    <row r="1484">
      <c r="A1484" s="32" t="inlineStr">
        <is>
          <t xml:space="preserve">            "entity_key": peer.entity_key, "asof_period": last_p,</t>
        </is>
      </c>
    </row>
    <row r="1485">
      <c r="A1485" s="32" t="inlineStr">
        <is>
          <t xml:space="preserve">            "stale": stale, "status": status,</t>
        </is>
      </c>
    </row>
    <row r="1486">
      <c r="A1486" s="32" t="inlineStr">
        <is>
          <t xml:space="preserve">            "alert_count": alert_n, "watch_count": watch_n,</t>
        </is>
      </c>
    </row>
    <row r="1487">
      <c r="A1487" s="32" t="inlineStr">
        <is>
          <t xml:space="preserve">            "texas": metrics.get("TEXAS", {}).get("value"),</t>
        </is>
      </c>
    </row>
    <row r="1488">
      <c r="A1488" s="32" t="inlineStr">
        <is>
          <t xml:space="preserve">            "metrics": metrics, "notes": notes,</t>
        </is>
      </c>
    </row>
    <row r="1489">
      <c r="A1489" s="32" t="inlineStr">
        <is>
          <t xml:space="preserve">        })</t>
        </is>
      </c>
    </row>
    <row r="1490">
      <c r="A1490" s="32" t="inlineStr"/>
    </row>
    <row r="1491">
      <c r="A1491" s="32" t="inlineStr">
        <is>
          <t xml:space="preserve">    # digest peer medians EXCLUDE stale banks (spec 0.6); Excel medians can't</t>
        </is>
      </c>
    </row>
    <row r="1492">
      <c r="A1492" s="32" t="inlineStr">
        <is>
          <t xml:space="preserve">    # -- the honest v1 divergence, documented in _readme.</t>
        </is>
      </c>
    </row>
    <row r="1493">
      <c r="A1493" s="32" t="inlineStr">
        <is>
          <t xml:space="preserve">    medians = {}</t>
        </is>
      </c>
    </row>
    <row r="1494">
      <c r="A1494" s="32" t="inlineStr">
        <is>
          <t xml:space="preserve">    for spec in cfg.series:</t>
        </is>
      </c>
    </row>
    <row r="1495">
      <c r="A1495" s="32" t="inlineStr">
        <is>
          <t xml:space="preserve">        vals = sorted(b["metrics"][spec.id]["value"] for b in banks</t>
        </is>
      </c>
    </row>
    <row r="1496">
      <c r="A1496" s="32" t="inlineStr">
        <is>
          <t xml:space="preserve">                      if not b["stale"]</t>
        </is>
      </c>
    </row>
    <row r="1497">
      <c r="A1497" s="32" t="inlineStr">
        <is>
          <t xml:space="preserve">                      and b["metrics"][spec.id]["value"] is not None)</t>
        </is>
      </c>
    </row>
    <row r="1498">
      <c r="A1498" s="32" t="inlineStr">
        <is>
          <t xml:space="preserve">        if not vals:</t>
        </is>
      </c>
    </row>
    <row r="1499">
      <c r="A1499" s="32" t="inlineStr">
        <is>
          <t xml:space="preserve">            medians[spec.id] = None</t>
        </is>
      </c>
    </row>
    <row r="1500">
      <c r="A1500" s="32" t="inlineStr">
        <is>
          <t xml:space="preserve">        else:</t>
        </is>
      </c>
    </row>
    <row r="1501">
      <c r="A1501" s="32" t="inlineStr">
        <is>
          <t xml:space="preserve">            k = len(vals)</t>
        </is>
      </c>
    </row>
    <row r="1502">
      <c r="A1502" s="32" t="inlineStr">
        <is>
          <t xml:space="preserve">            medians[spec.id] = (vals[k // 2] if k % 2 else</t>
        </is>
      </c>
    </row>
    <row r="1503">
      <c r="A1503" s="32" t="inlineStr">
        <is>
          <t xml:space="preserve">                                (vals[k // 2 - 1] + vals[k // 2]) / 2.0)</t>
        </is>
      </c>
    </row>
    <row r="1504">
      <c r="A1504" s="32" t="inlineStr">
        <is>
          <t xml:space="preserve">    return {"banks": banks, "medians": medians, "set_max_repdte": set_max}</t>
        </is>
      </c>
    </row>
    <row r="1505">
      <c r="A1505" s="32" t="inlineStr"/>
    </row>
    <row r="1506">
      <c r="A1506" s="32" t="inlineStr"/>
    </row>
    <row r="1507">
      <c r="A1507" s="32" t="inlineStr">
        <is>
          <t>def run(workbook_path: str, demo: bool = False, asof: Optional[date] = None,</t>
        </is>
      </c>
    </row>
    <row r="1508">
      <c r="A1508" s="32" t="inlineStr">
        <is>
          <t xml:space="preserve">        provider: Optional[Provider] = None) -&gt; dict:</t>
        </is>
      </c>
    </row>
    <row r="1509">
      <c r="A1509" s="32" t="inlineStr">
        <is>
          <t xml:space="preserve">    """One refresh against the CLOSED workbook. `provider` is injectable for</t>
        </is>
      </c>
    </row>
    <row r="1510">
      <c r="A1510" s="32" t="inlineStr">
        <is>
          <t xml:space="preserve">    tests (e.g. the frozen-bank staleness regression)."""</t>
        </is>
      </c>
    </row>
    <row r="1511">
      <c r="A1511" s="32" t="inlineStr">
        <is>
          <t xml:space="preserve">    asof = asof or date.today()</t>
        </is>
      </c>
    </row>
    <row r="1512">
      <c r="A1512" s="32" t="inlineStr">
        <is>
          <t xml:space="preserve">    backend = OpenpyxlBackend(workbook_path)</t>
        </is>
      </c>
    </row>
    <row r="1513">
      <c r="A1513" s="32" t="inlineStr">
        <is>
          <t xml:space="preserve">    cfg = backend.read_config()</t>
        </is>
      </c>
    </row>
    <row r="1514">
      <c r="A1514" s="32" t="inlineStr"/>
    </row>
    <row r="1515">
      <c r="A1515" s="32" t="inlineStr">
        <is>
          <t xml:space="preserve">    # Hard gates BEFORE any fetch (BUILD SPEC 0.1 / sec 3).</t>
        </is>
      </c>
    </row>
    <row r="1516">
      <c r="A1516" s="32" t="inlineStr">
        <is>
          <t xml:space="preserve">    validate_metrics(cfg.series)</t>
        </is>
      </c>
    </row>
    <row r="1517">
      <c r="A1517" s="32" t="inlineStr">
        <is>
          <t xml:space="preserve">    assert_metrics_admissible(cfg.series)</t>
        </is>
      </c>
    </row>
    <row r="1518">
      <c r="A1518" s="32" t="inlineStr">
        <is>
          <t xml:space="preserve">    validate_peer_capacity(cfg)</t>
        </is>
      </c>
    </row>
    <row r="1519">
      <c r="A1519" s="32" t="inlineStr">
        <is>
          <t xml:space="preserve">    admitted, refusals, excluded = evaluate_peers(cfg)</t>
        </is>
      </c>
    </row>
    <row r="1520">
      <c r="A1520" s="32" t="inlineStr"/>
    </row>
    <row r="1521">
      <c r="A1521" s="32" t="inlineStr">
        <is>
          <t xml:space="preserve">    if provider is None:</t>
        </is>
      </c>
    </row>
    <row r="1522">
      <c r="A1522" s="32" t="inlineStr">
        <is>
          <t xml:space="preserve">        provider = make_provider(cfg, demo, asof)</t>
        </is>
      </c>
    </row>
    <row r="1523">
      <c r="A1523" s="32" t="inlineStr">
        <is>
          <t xml:space="preserve">    mode = "demo" if isinstance(provider, FdicDemoProvider) else "live"</t>
        </is>
      </c>
    </row>
    <row r="1524">
      <c r="A1524" s="32" t="inlineStr"/>
    </row>
    <row r="1525">
      <c r="A1525" s="32" t="inlineStr">
        <is>
          <t xml:space="preserve">    # Stateless rebuild (BUILD SPEC 0.2): blank EVERY slot 1..capacity first</t>
        </is>
      </c>
    </row>
    <row r="1526">
      <c r="A1526" s="32" t="inlineStr">
        <is>
          <t xml:space="preserve">    # -- deactivated/refused/emptied slots show blank under the fresh</t>
        </is>
      </c>
    </row>
    <row r="1527">
      <c r="A1527" s="32" t="inlineStr">
        <is>
          <t xml:space="preserve">    # timestamp, never last run's bank. This also validates the workbook's</t>
        </is>
      </c>
    </row>
    <row r="1528">
      <c r="A1528" s="32" t="inlineStr">
        <is>
          <t xml:space="preserve">    # raw layout against _config before any fetch.</t>
        </is>
      </c>
    </row>
    <row r="1529">
      <c r="A1529" s="32" t="inlineStr">
        <is>
          <t xml:space="preserve">    for slot in range(1, cfg.peer_slots + 1):</t>
        </is>
      </c>
    </row>
    <row r="1530">
      <c r="A1530" s="32" t="inlineStr">
        <is>
          <t xml:space="preserve">        backend.clear_slot_block(slot_block(slot, cfg.raw_slots))</t>
        </is>
      </c>
    </row>
    <row r="1531">
      <c r="A1531" s="32" t="inlineStr"/>
    </row>
    <row r="1532">
      <c r="A1532" s="32" t="inlineStr">
        <is>
          <t xml:space="preserve">    errors: List[str] = []</t>
        </is>
      </c>
    </row>
    <row r="1533">
      <c r="A1533" s="32" t="inlineStr">
        <is>
          <t xml:space="preserve">    landed: Dict[int, Tuple[PeerRow, list]] = {}</t>
        </is>
      </c>
    </row>
    <row r="1534">
      <c r="A1534" s="32" t="inlineStr">
        <is>
          <t xml:space="preserve">    try:</t>
        </is>
      </c>
    </row>
    <row r="1535">
      <c r="A1535" s="32" t="inlineStr">
        <is>
          <t xml:space="preserve">        provider.prime([p.cert for p in admitted], asof,</t>
        </is>
      </c>
    </row>
    <row r="1536">
      <c r="A1536" s="32" t="inlineStr">
        <is>
          <t xml:space="preserve">                       names={p.cert: p.name for p in admitted})</t>
        </is>
      </c>
    </row>
    <row r="1537">
      <c r="A1537" s="32" t="inlineStr">
        <is>
          <t xml:space="preserve">    except Exception as exc:</t>
        </is>
      </c>
    </row>
    <row r="1538">
      <c r="A1538" s="32" t="inlineStr">
        <is>
          <t xml:space="preserve">        errors.append(f"bulk fetch: {exc}")</t>
        </is>
      </c>
    </row>
    <row r="1539">
      <c r="A1539" s="32" t="inlineStr">
        <is>
          <t xml:space="preserve">    else:</t>
        </is>
      </c>
    </row>
    <row r="1540">
      <c r="A1540" s="32" t="inlineStr">
        <is>
          <t xml:space="preserve">        for peer in admitted:</t>
        </is>
      </c>
    </row>
    <row r="1541">
      <c r="A1541" s="32" t="inlineStr">
        <is>
          <t xml:space="preserve">            try:</t>
        </is>
      </c>
    </row>
    <row r="1542">
      <c r="A1542" s="32" t="inlineStr">
        <is>
          <t xml:space="preserve">                field_rows = {f: provider.fetch_series(make_field_spec(peer, f))</t>
        </is>
      </c>
    </row>
    <row r="1543">
      <c r="A1543" s="32" t="inlineStr">
        <is>
          <t xml:space="preserve">                              for f in RAW_FIELDS}</t>
        </is>
      </c>
    </row>
    <row r="1544">
      <c r="A1544" s="32" t="inlineStr">
        <is>
          <t xml:space="preserve">                quarters = assemble_quarters(field_rows, cfg.raw_slots)</t>
        </is>
      </c>
    </row>
    <row r="1545">
      <c r="A1545" s="32" t="inlineStr">
        <is>
          <t xml:space="preserve">            except Exception as exc:</t>
        </is>
      </c>
    </row>
    <row r="1546">
      <c r="A1546" s="32" t="inlineStr">
        <is>
          <t xml:space="preserve">                errors.append(f"s{peer.slot:02d} cert:{peer.cert}: {exc}")</t>
        </is>
      </c>
    </row>
    <row r="1547">
      <c r="A1547" s="32" t="inlineStr">
        <is>
          <t xml:space="preserve">                continue</t>
        </is>
      </c>
    </row>
    <row r="1548">
      <c r="A1548" s="32" t="inlineStr">
        <is>
          <t xml:space="preserve">            backend.write_slot_block(slot_block(peer.slot, cfg.raw_slots),</t>
        </is>
      </c>
    </row>
    <row r="1549">
      <c r="A1549" s="32" t="inlineStr">
        <is>
          <t xml:space="preserve">                                     peer, quarters)</t>
        </is>
      </c>
    </row>
    <row r="1550">
      <c r="A1550" s="32" t="inlineStr">
        <is>
          <t xml:space="preserve">            landed[peer.slot] = (peer, quarters)</t>
        </is>
      </c>
    </row>
    <row r="1551">
      <c r="A1551" s="32" t="inlineStr"/>
    </row>
    <row r="1552">
      <c r="A1552" s="32" t="inlineStr">
        <is>
          <t xml:space="preserve">    digest = compute_digest(cfg, landed, provider.roster)</t>
        </is>
      </c>
    </row>
    <row r="1553">
      <c r="A1553" s="32" t="inlineStr">
        <is>
          <t xml:space="preserve">    fresh = [b for b in digest["banks"] if not b["stale"]]</t>
        </is>
      </c>
    </row>
    <row r="1554">
      <c r="A1554" s="32" t="inlineStr">
        <is>
          <t xml:space="preserve">    status = {</t>
        </is>
      </c>
    </row>
    <row r="1555">
      <c r="A1555" s="32" t="inlineStr">
        <is>
          <t xml:space="preserve">        "timestamp": asof.isoformat(),</t>
        </is>
      </c>
    </row>
    <row r="1556">
      <c r="A1556" s="32" t="inlineStr">
        <is>
          <t xml:space="preserve">        "mode": mode,</t>
        </is>
      </c>
    </row>
    <row r="1557">
      <c r="A1557" s="32" t="inlineStr">
        <is>
          <t xml:space="preserve">        "pack_version": PACK_VERSION,</t>
        </is>
      </c>
    </row>
    <row r="1558">
      <c r="A1558" s="32" t="inlineStr">
        <is>
          <t xml:space="preserve">        "peer_slots": cfg.peer_slots,</t>
        </is>
      </c>
    </row>
    <row r="1559">
      <c r="A1559" s="32" t="inlineStr">
        <is>
          <t xml:space="preserve">        "banks_active": len(admitted) + len(refusals),</t>
        </is>
      </c>
    </row>
    <row r="1560">
      <c r="A1560" s="32" t="inlineStr">
        <is>
          <t xml:space="preserve">        "banks_landed": len(landed),</t>
        </is>
      </c>
    </row>
    <row r="1561">
      <c r="A1561" s="32" t="inlineStr">
        <is>
          <t xml:space="preserve">        "banks_excluded": len(excluded),</t>
        </is>
      </c>
    </row>
    <row r="1562">
      <c r="A1562" s="32" t="inlineStr">
        <is>
          <t xml:space="preserve">        # staleness excludes a bank from every alert KPI (BUILD SPEC 0.6)</t>
        </is>
      </c>
    </row>
    <row r="1563">
      <c r="A1563" s="32" t="inlineStr">
        <is>
          <t xml:space="preserve">        "alert_banks": sum(1 for b in fresh if b["status"] == "ALERT"),</t>
        </is>
      </c>
    </row>
    <row r="1564">
      <c r="A1564" s="32" t="inlineStr">
        <is>
          <t xml:space="preserve">        "watch_banks": sum(1 for b in fresh if b["status"] == "WATCH"),</t>
        </is>
      </c>
    </row>
    <row r="1565">
      <c r="A1565" s="32" t="inlineStr">
        <is>
          <t xml:space="preserve">        "stale_banks": sum(1 for b in digest["banks"] if b["stale"]),</t>
        </is>
      </c>
    </row>
    <row r="1566">
      <c r="A1566" s="32" t="inlineStr">
        <is>
          <t xml:space="preserve">        "alert_flags": sum(b["alert_count"] for b in fresh),</t>
        </is>
      </c>
    </row>
    <row r="1567">
      <c r="A1567" s="32" t="inlineStr">
        <is>
          <t xml:space="preserve">        "watch_flags": sum(b["watch_count"] for b in fresh),</t>
        </is>
      </c>
    </row>
    <row r="1568">
      <c r="A1568" s="32" t="inlineStr">
        <is>
          <t xml:space="preserve">        "vintage": provider.vintage,</t>
        </is>
      </c>
    </row>
    <row r="1569">
      <c r="A1569" s="32" t="inlineStr">
        <is>
          <t xml:space="preserve">        "digest": digest,</t>
        </is>
      </c>
    </row>
    <row r="1570">
      <c r="A1570" s="32" t="inlineStr">
        <is>
          <t xml:space="preserve">        "watchlist_refusals": [m for _, m in refusals],</t>
        </is>
      </c>
    </row>
    <row r="1571">
      <c r="A1571" s="32" t="inlineStr">
        <is>
          <t xml:space="preserve">        "watchlist_admitted": [f"s{p.slot:02d} {p.entity_key}" for p in admitted],</t>
        </is>
      </c>
    </row>
    <row r="1572">
      <c r="A1572" s="32" t="inlineStr">
        <is>
          <t xml:space="preserve">        "errors": errors[:25],</t>
        </is>
      </c>
    </row>
    <row r="1573">
      <c r="A1573" s="32" t="inlineStr">
        <is>
          <t xml:space="preserve">    }</t>
        </is>
      </c>
    </row>
    <row r="1574">
      <c r="A1574" s="32" t="inlineStr">
        <is>
          <t xml:space="preserve">    backend.write_status(status)</t>
        </is>
      </c>
    </row>
    <row r="1575">
      <c r="A1575" s="32" t="inlineStr">
        <is>
          <t xml:space="preserve">    backend.finalize()</t>
        </is>
      </c>
    </row>
    <row r="1576">
      <c r="A1576" s="32" t="inlineStr">
        <is>
          <t xml:space="preserve">    return status</t>
        </is>
      </c>
    </row>
    <row r="1577">
      <c r="A1577" s="32" t="inlineStr"/>
    </row>
    <row r="1578">
      <c r="A1578" s="32" t="inlineStr"/>
    </row>
    <row r="1579">
      <c r="A1579" s="32" t="inlineStr">
        <is>
          <t># ---------------------------------------------------------------------------</t>
        </is>
      </c>
    </row>
    <row r="1580">
      <c r="A1580" s="32" t="inlineStr">
        <is>
          <t># TIE-OUT MODE (TEMPLATE_CONTRACT.md sec 12) -- verify a feed against the</t>
        </is>
      </c>
    </row>
    <row r="1581">
      <c r="A1581" s="32" t="inlineStr">
        <is>
          <t># OFFICIAL record in minutes: for one bank(-quarter), print each metric's</t>
        </is>
      </c>
    </row>
    <row r="1582">
      <c r="A1582" s="32" t="inlineStr">
        <is>
          <t># value alongside its Call Report schedule/line + MDRM (read from the</t>
        </is>
      </c>
    </row>
    <row r="1583">
      <c r="A1583" s="32" t="inlineStr">
        <is>
          <t># workbook's _provenance tab) + the CDR facsimile URL + the BankFind page.</t>
        </is>
      </c>
    </row>
    <row r="1584">
      <c r="A1584" s="32" t="inlineStr">
        <is>
          <t># ---------------------------------------------------------------------------</t>
        </is>
      </c>
    </row>
    <row r="1585">
      <c r="A1585" s="32" t="inlineStr">
        <is>
          <t>CDR_FACSIMILE_URL = ("https://cdr.ffiec.gov/Public/ViewFacsimileDirect.aspx"</t>
        </is>
      </c>
    </row>
    <row r="1586">
      <c r="A1586" s="32" t="inlineStr">
        <is>
          <t xml:space="preserve">                     "?ds=call&amp;idType=fdiccert&amp;id={cert}&amp;date={mmddyyyy}")</t>
        </is>
      </c>
    </row>
    <row r="1587">
      <c r="A1587" s="32" t="inlineStr">
        <is>
          <t>BANKFIND_URL = ("https://banks.data.fdic.gov/bankfind-suite/bankfind/"</t>
        </is>
      </c>
    </row>
    <row r="1588">
      <c r="A1588" s="32" t="inlineStr">
        <is>
          <t xml:space="preserve">                "details/{cert}")</t>
        </is>
      </c>
    </row>
    <row r="1589">
      <c r="A1589" s="32" t="inlineStr"/>
    </row>
    <row r="1590">
      <c r="A1590" s="32" t="inlineStr"/>
    </row>
    <row r="1591">
      <c r="A1591" s="32" t="inlineStr">
        <is>
          <t>def facsimile_url(cert: str, iso_repdte: str) -&gt; str:</t>
        </is>
      </c>
    </row>
    <row r="1592">
      <c r="A1592" s="32" t="inlineStr">
        <is>
          <t xml:space="preserve">    """The filed Call Report's public facsimile, keyed by CERT + MMDDYYYY."""</t>
        </is>
      </c>
    </row>
    <row r="1593">
      <c r="A1593" s="32" t="inlineStr">
        <is>
          <t xml:space="preserve">    d = str(iso_repdte)[:10]</t>
        </is>
      </c>
    </row>
    <row r="1594">
      <c r="A1594" s="32" t="inlineStr">
        <is>
          <t xml:space="preserve">    mmddyyyy = f"{d[5:7]}{d[8:10]}{d[0:4]}"</t>
        </is>
      </c>
    </row>
    <row r="1595">
      <c r="A1595" s="32" t="inlineStr">
        <is>
          <t xml:space="preserve">    return CDR_FACSIMILE_URL.format(cert=cert, mmddyyyy=mmddyyyy)</t>
        </is>
      </c>
    </row>
    <row r="1596">
      <c r="A1596" s="32" t="inlineStr"/>
    </row>
    <row r="1597">
      <c r="A1597" s="32" t="inlineStr"/>
    </row>
    <row r="1598">
      <c r="A1598" s="32" t="inlineStr">
        <is>
          <t>def bankfind_url(cert: str) -&gt; str:</t>
        </is>
      </c>
    </row>
    <row r="1599">
      <c r="A1599" s="32" t="inlineStr">
        <is>
          <t xml:space="preserve">    return BANKFIND_URL.format(cert=cert)</t>
        </is>
      </c>
    </row>
    <row r="1600">
      <c r="A1600" s="32" t="inlineStr"/>
    </row>
    <row r="1601">
      <c r="A1601" s="32" t="inlineStr"/>
    </row>
    <row r="1602">
      <c r="A1602" s="32" t="inlineStr">
        <is>
          <t>def read_provenance_rows(wb) -&gt; Dict[str, dict]:</t>
        </is>
      </c>
    </row>
    <row r="1603">
      <c r="A1603" s="32" t="inlineStr">
        <is>
          <t xml:space="preserve">    """Parse the _provenance tab: rows below the 'field' header, keyed by the</t>
        </is>
      </c>
    </row>
    <row r="1604">
      <c r="A1604" s="32" t="inlineStr">
        <is>
          <t xml:space="preserve">    first column (field OR metric id). Comment/blank/banner lines skipped."""</t>
        </is>
      </c>
    </row>
    <row r="1605">
      <c r="A1605" s="32" t="inlineStr">
        <is>
          <t xml:space="preserve">    if "_provenance" not in wb.sheetnames:</t>
        </is>
      </c>
    </row>
    <row r="1606">
      <c r="A1606" s="32" t="inlineStr">
        <is>
          <t xml:space="preserve">        return {}</t>
        </is>
      </c>
    </row>
    <row r="1607">
      <c r="A1607" s="32" t="inlineStr">
        <is>
          <t xml:space="preserve">    ws = wb["_provenance"]</t>
        </is>
      </c>
    </row>
    <row r="1608">
      <c r="A1608" s="32" t="inlineStr">
        <is>
          <t xml:space="preserve">    rows: Dict[str, dict] = {}</t>
        </is>
      </c>
    </row>
    <row r="1609">
      <c r="A1609" s="32" t="inlineStr">
        <is>
          <t xml:space="preserve">    in_table = False</t>
        </is>
      </c>
    </row>
    <row r="1610">
      <c r="A1610" s="32" t="inlineStr">
        <is>
          <t xml:space="preserve">    for row in ws.iter_rows(values_only=True):</t>
        </is>
      </c>
    </row>
    <row r="1611">
      <c r="A1611" s="32" t="inlineStr">
        <is>
          <t xml:space="preserve">        a = ("" if not row or row[0] is None else str(row[0])).strip()</t>
        </is>
      </c>
    </row>
    <row r="1612">
      <c r="A1612" s="32" t="inlineStr">
        <is>
          <t xml:space="preserve">        if a.lower() == "field":</t>
        </is>
      </c>
    </row>
    <row r="1613">
      <c r="A1613" s="32" t="inlineStr">
        <is>
          <t xml:space="preserve">            in_table = True</t>
        </is>
      </c>
    </row>
    <row r="1614">
      <c r="A1614" s="32" t="inlineStr">
        <is>
          <t xml:space="preserve">            continue</t>
        </is>
      </c>
    </row>
    <row r="1615">
      <c r="A1615" s="32" t="inlineStr">
        <is>
          <t xml:space="preserve">        if not in_table or not a or a.startswith("#") or a.startswith("["):</t>
        </is>
      </c>
    </row>
    <row r="1616">
      <c r="A1616" s="32" t="inlineStr">
        <is>
          <t xml:space="preserve">            continue</t>
        </is>
      </c>
    </row>
    <row r="1617">
      <c r="A1617" s="32" t="inlineStr">
        <is>
          <t xml:space="preserve">        cells = [("" if i &gt;= len(row) or row[i] is None else str(row[i]))</t>
        </is>
      </c>
    </row>
    <row r="1618">
      <c r="A1618" s="32" t="inlineStr">
        <is>
          <t xml:space="preserve">                 for i in range(6)]</t>
        </is>
      </c>
    </row>
    <row r="1619">
      <c r="A1619" s="32" t="inlineStr">
        <is>
          <t xml:space="preserve">        rows[a] = {"field": cells[0], "schedule": cells[1],</t>
        </is>
      </c>
    </row>
    <row r="1620">
      <c r="A1620" s="32" t="inlineStr">
        <is>
          <t xml:space="preserve">                   "caption": cells[2], "mdrm": cells[3],</t>
        </is>
      </c>
    </row>
    <row r="1621">
      <c r="A1621" s="32" t="inlineStr">
        <is>
          <t xml:space="preserve">                   "flag": cells[4], "notes": cells[5]}</t>
        </is>
      </c>
    </row>
    <row r="1622">
      <c r="A1622" s="32" t="inlineStr">
        <is>
          <t xml:space="preserve">    return rows</t>
        </is>
      </c>
    </row>
    <row r="1623">
      <c r="A1623" s="32" t="inlineStr"/>
    </row>
    <row r="1624">
      <c r="A1624" s="32" t="inlineStr"/>
    </row>
    <row r="1625">
      <c r="A1625" s="32" t="inlineStr">
        <is>
          <t>def do_tieout(workbook: str, args: List[str], demo: bool) -&gt; int:</t>
        </is>
      </c>
    </row>
    <row r="1626">
      <c r="A1626" s="32" t="inlineStr">
        <is>
          <t xml:space="preserve">    """`--tieout CERT [REPDTE]`: sample-verify the feed against the filing.</t>
        </is>
      </c>
    </row>
    <row r="1627">
      <c r="A1627" s="32" t="inlineStr">
        <is>
          <t xml:space="preserve">    Works in --demo too (deterministic values, clearly labeled; the</t>
        </is>
      </c>
    </row>
    <row r="1628">
      <c r="A1628" s="32" t="inlineStr">
        <is>
          <t xml:space="preserve">    provenance columns are the real tie-out map either way)."""</t>
        </is>
      </c>
    </row>
    <row r="1629">
      <c r="A1629" s="32" t="inlineStr">
        <is>
          <t xml:space="preserve">    import openpyxl</t>
        </is>
      </c>
    </row>
    <row r="1630">
      <c r="A1630" s="32" t="inlineStr">
        <is>
          <t xml:space="preserve">    cert = _norm_cert(args[0])</t>
        </is>
      </c>
    </row>
    <row r="1631">
      <c r="A1631" s="32" t="inlineStr">
        <is>
          <t xml:space="preserve">    repdte = args[1] if len(args) &gt; 1 else None</t>
        </is>
      </c>
    </row>
    <row r="1632">
      <c r="A1632" s="32" t="inlineStr">
        <is>
          <t xml:space="preserve">    if not re.match(ENTITY_KEY_PATTERN, f"cert:{cert}"):</t>
        </is>
      </c>
    </row>
    <row r="1633">
      <c r="A1633" s="32" t="inlineStr">
        <is>
          <t xml:space="preserve">        sys.stderr.write(f"--tieout: '{args[0]}' is not a valid FDIC CERT "</t>
        </is>
      </c>
    </row>
    <row r="1634">
      <c r="A1634" s="32" t="inlineStr">
        <is>
          <t xml:space="preserve">                         "(digits only). Find one with: python runner.py "</t>
        </is>
      </c>
    </row>
    <row r="1635">
      <c r="A1635" s="32" t="inlineStr">
        <is>
          <t xml:space="preserve">                         "--lookup \"&lt;bank name&gt;\".\n")</t>
        </is>
      </c>
    </row>
    <row r="1636">
      <c r="A1636" s="32" t="inlineStr">
        <is>
          <t xml:space="preserve">        return 2</t>
        </is>
      </c>
    </row>
    <row r="1637">
      <c r="A1637" s="32" t="inlineStr">
        <is>
          <t xml:space="preserve">    wb = openpyxl.load_workbook(workbook, read_only=True, data_only=False)</t>
        </is>
      </c>
    </row>
    <row r="1638">
      <c r="A1638" s="32" t="inlineStr">
        <is>
          <t xml:space="preserve">    try:</t>
        </is>
      </c>
    </row>
    <row r="1639">
      <c r="A1639" s="32" t="inlineStr">
        <is>
          <t xml:space="preserve">        ws = wb["_config"]</t>
        </is>
      </c>
    </row>
    <row r="1640">
      <c r="A1640" s="32" t="inlineStr">
        <is>
          <t xml:space="preserve">        cfg = parse_config([[c for c in row]</t>
        </is>
      </c>
    </row>
    <row r="1641">
      <c r="A1641" s="32" t="inlineStr">
        <is>
          <t xml:space="preserve">                            for row in ws.iter_rows(values_only=True)])</t>
        </is>
      </c>
    </row>
    <row r="1642">
      <c r="A1642" s="32" t="inlineStr">
        <is>
          <t xml:space="preserve">        prov_rows = read_provenance_rows(wb)</t>
        </is>
      </c>
    </row>
    <row r="1643">
      <c r="A1643" s="32" t="inlineStr">
        <is>
          <t xml:space="preserve">    finally:</t>
        </is>
      </c>
    </row>
    <row r="1644">
      <c r="A1644" s="32" t="inlineStr">
        <is>
          <t xml:space="preserve">        wb.close()</t>
        </is>
      </c>
    </row>
    <row r="1645">
      <c r="A1645" s="32" t="inlineStr">
        <is>
          <t xml:space="preserve">    if not prov_rows:</t>
        </is>
      </c>
    </row>
    <row r="1646">
      <c r="A1646" s="32" t="inlineStr">
        <is>
          <t xml:space="preserve">        sys.stderr.write("--tieout: this workbook has no _provenance tab -- "</t>
        </is>
      </c>
    </row>
    <row r="1647">
      <c r="A1647" s="32" t="inlineStr">
        <is>
          <t xml:space="preserve">                         "it predates pack v1.1; rebuild it (python "</t>
        </is>
      </c>
    </row>
    <row r="1648">
      <c r="A1648" s="32" t="inlineStr">
        <is>
          <t xml:space="preserve">                         "make_workbook.py).\n")</t>
        </is>
      </c>
    </row>
    <row r="1649">
      <c r="A1649" s="32" t="inlineStr">
        <is>
          <t xml:space="preserve">        return 1</t>
        </is>
      </c>
    </row>
    <row r="1650">
      <c r="A1650" s="32" t="inlineStr">
        <is>
          <t xml:space="preserve">    validate_metrics(cfg.series)</t>
        </is>
      </c>
    </row>
    <row r="1651">
      <c r="A1651" s="32" t="inlineStr">
        <is>
          <t xml:space="preserve">    provider = make_provider(cfg, demo, None)</t>
        </is>
      </c>
    </row>
    <row r="1652">
      <c r="A1652" s="32" t="inlineStr">
        <is>
          <t xml:space="preserve">    mode = "demo" if isinstance(provider, FdicDemoProvider) else "live"</t>
        </is>
      </c>
    </row>
    <row r="1653">
      <c r="A1653" s="32" t="inlineStr">
        <is>
          <t xml:space="preserve">    try:</t>
        </is>
      </c>
    </row>
    <row r="1654">
      <c r="A1654" s="32" t="inlineStr">
        <is>
          <t xml:space="preserve">        provider.prime([cert], date.today(), names={cert: f"cert:{cert}"})</t>
        </is>
      </c>
    </row>
    <row r="1655">
      <c r="A1655" s="32" t="inlineStr">
        <is>
          <t xml:space="preserve">        peer = PeerRow(slot=1, cert=cert, name=f"cert:{cert}", group="tieout",</t>
        </is>
      </c>
    </row>
    <row r="1656">
      <c r="A1656" s="32" t="inlineStr">
        <is>
          <t xml:space="preserve">                       active=True)</t>
        </is>
      </c>
    </row>
    <row r="1657">
      <c r="A1657" s="32" t="inlineStr">
        <is>
          <t xml:space="preserve">        field_rows = {f: provider.fetch_series(make_field_spec(peer, f))</t>
        </is>
      </c>
    </row>
    <row r="1658">
      <c r="A1658" s="32" t="inlineStr">
        <is>
          <t xml:space="preserve">                      for f in RAW_FIELDS}</t>
        </is>
      </c>
    </row>
    <row r="1659">
      <c r="A1659" s="32" t="inlineStr">
        <is>
          <t xml:space="preserve">    except Exception as exc:</t>
        </is>
      </c>
    </row>
    <row r="1660">
      <c r="A1660" s="32" t="inlineStr">
        <is>
          <t xml:space="preserve">        sys.stderr.write(f"--tieout fetch failed for cert {cert}: {exc}\n")</t>
        </is>
      </c>
    </row>
    <row r="1661">
      <c r="A1661" s="32" t="inlineStr">
        <is>
          <t xml:space="preserve">        return 1</t>
        </is>
      </c>
    </row>
    <row r="1662">
      <c r="A1662" s="32" t="inlineStr">
        <is>
          <t xml:space="preserve">    quarters = assemble_quarters(field_rows, cfg.raw_slots)</t>
        </is>
      </c>
    </row>
    <row r="1663">
      <c r="A1663" s="32" t="inlineStr">
        <is>
          <t xml:space="preserve">    if not quarters:</t>
        </is>
      </c>
    </row>
    <row r="1664">
      <c r="A1664" s="32" t="inlineStr">
        <is>
          <t xml:space="preserve">        sys.stderr.write(f"--tieout: no quarters returned for cert {cert}.\n")</t>
        </is>
      </c>
    </row>
    <row r="1665">
      <c r="A1665" s="32" t="inlineStr">
        <is>
          <t xml:space="preserve">        return 1</t>
        </is>
      </c>
    </row>
    <row r="1666">
      <c r="A1666" s="32" t="inlineStr">
        <is>
          <t xml:space="preserve">    if repdte:</t>
        </is>
      </c>
    </row>
    <row r="1667">
      <c r="A1667" s="32" t="inlineStr">
        <is>
          <t xml:space="preserve">        r = str(repdte).strip()</t>
        </is>
      </c>
    </row>
    <row r="1668">
      <c r="A1668" s="32" t="inlineStr">
        <is>
          <t xml:space="preserve">        if len(r) == 8 and r.isdigit():</t>
        </is>
      </c>
    </row>
    <row r="1669">
      <c r="A1669" s="32" t="inlineStr">
        <is>
          <t xml:space="preserve">            r = f"{r[0:4]}-{r[4:6]}-{r[6:8]}"</t>
        </is>
      </c>
    </row>
    <row r="1670">
      <c r="A1670" s="32" t="inlineStr">
        <is>
          <t xml:space="preserve">        match = [(p, f) for p, f in quarters if p == r]</t>
        </is>
      </c>
    </row>
    <row r="1671">
      <c r="A1671" s="32" t="inlineStr">
        <is>
          <t xml:space="preserve">        if not match:</t>
        </is>
      </c>
    </row>
    <row r="1672">
      <c r="A1672" s="32" t="inlineStr">
        <is>
          <t xml:space="preserve">            sys.stderr.write(</t>
        </is>
      </c>
    </row>
    <row r="1673">
      <c r="A1673" s="32" t="inlineStr">
        <is>
          <t xml:space="preserve">                f"--tieout: REPDTE {repdte} not in the fetched window "</t>
        </is>
      </c>
    </row>
    <row r="1674">
      <c r="A1674" s="32" t="inlineStr">
        <is>
          <t xml:space="preserve">                f"({quarters[-1][0]} .. {quarters[0][0]}).\n")</t>
        </is>
      </c>
    </row>
    <row r="1675">
      <c r="A1675" s="32" t="inlineStr">
        <is>
          <t xml:space="preserve">            return 1</t>
        </is>
      </c>
    </row>
    <row r="1676">
      <c r="A1676" s="32" t="inlineStr">
        <is>
          <t xml:space="preserve">        iso, fields = match[0]</t>
        </is>
      </c>
    </row>
    <row r="1677">
      <c r="A1677" s="32" t="inlineStr">
        <is>
          <t xml:space="preserve">    else:</t>
        </is>
      </c>
    </row>
    <row r="1678">
      <c r="A1678" s="32" t="inlineStr">
        <is>
          <t xml:space="preserve">        iso, fields = quarters[0]</t>
        </is>
      </c>
    </row>
    <row r="1679">
      <c r="A1679" s="32" t="inlineStr"/>
    </row>
    <row r="1680">
      <c r="A1680" s="32" t="inlineStr">
        <is>
          <t xml:space="preserve">    print(f"TIE-OUT  cert {cert}  REPDTE {iso}  (pack {PACK_VERSION}, "</t>
        </is>
      </c>
    </row>
    <row r="1681">
      <c r="A1681" s="32" t="inlineStr">
        <is>
          <t xml:space="preserve">          f"{mode} mode)")</t>
        </is>
      </c>
    </row>
    <row r="1682">
      <c r="A1682" s="32" t="inlineStr">
        <is>
          <t xml:space="preserve">    if mode == "demo":</t>
        </is>
      </c>
    </row>
    <row r="1683">
      <c r="A1683" s="32" t="inlineStr">
        <is>
          <t xml:space="preserve">        print("  *** DEMO VALUES -- deterministic FdicDemoProvider fiction, "</t>
        </is>
      </c>
    </row>
    <row r="1684">
      <c r="A1684" s="32" t="inlineStr">
        <is>
          <t xml:space="preserve">              "NOT this bank's filing; the schedule/line/MDRM columns are "</t>
        </is>
      </c>
    </row>
    <row r="1685">
      <c r="A1685" s="32" t="inlineStr">
        <is>
          <t xml:space="preserve">              "the real tie-out map. Re-run without --demo for live "</t>
        </is>
      </c>
    </row>
    <row r="1686">
      <c r="A1686" s="32" t="inlineStr">
        <is>
          <t xml:space="preserve">              "values. ***")</t>
        </is>
      </c>
    </row>
    <row r="1687">
      <c r="A1687" s="32" t="inlineStr">
        <is>
          <t xml:space="preserve">    print(f"  Call Report facsimile : {facsimile_url(cert, iso)}")</t>
        </is>
      </c>
    </row>
    <row r="1688">
      <c r="A1688" s="32" t="inlineStr">
        <is>
          <t xml:space="preserve">    print(f"  BankFind (pull check) : {bankfind_url(cert)}")</t>
        </is>
      </c>
    </row>
    <row r="1689">
      <c r="A1689" s="32" t="inlineStr">
        <is>
          <t xml:space="preserve">    print(f"  Data vintage          : {provider.vintage or 'n/a'}")</t>
        </is>
      </c>
    </row>
    <row r="1690">
      <c r="A1690" s="32" t="inlineStr">
        <is>
          <t xml:space="preserve">    print("  Tie-out is two-step: API value &lt;-&gt; BankFind page (pull check) "</t>
        </is>
      </c>
    </row>
    <row r="1691">
      <c r="A1691" s="32" t="inlineStr">
        <is>
          <t xml:space="preserve">          "&lt;-&gt; CDR facsimile schedule/line (filing check).")</t>
        </is>
      </c>
    </row>
    <row r="1692">
      <c r="A1692" s="32" t="inlineStr">
        <is>
          <t xml:space="preserve">    print()</t>
        </is>
      </c>
    </row>
    <row r="1693">
      <c r="A1693" s="32" t="inlineStr">
        <is>
          <t xml:space="preserve">    hdr = (f"  {'metric':&lt;10} {'value':&gt;10}  {'schedule / line':&lt;34} "</t>
        </is>
      </c>
    </row>
    <row r="1694">
      <c r="A1694" s="32" t="inlineStr">
        <is>
          <t xml:space="preserve">           f"{'MDRM':&lt;30} {'flag':&lt;12} notes")</t>
        </is>
      </c>
    </row>
    <row r="1695">
      <c r="A1695" s="32" t="inlineStr">
        <is>
          <t xml:space="preserve">    print(hdr)</t>
        </is>
      </c>
    </row>
    <row r="1696">
      <c r="A1696" s="32" t="inlineStr">
        <is>
          <t xml:space="preserve">    print("  " + "-" * (len(hdr) + 20))</t>
        </is>
      </c>
    </row>
    <row r="1697">
      <c r="A1697" s="32" t="inlineStr">
        <is>
          <t xml:space="preserve">    missing = []</t>
        </is>
      </c>
    </row>
    <row r="1698">
      <c r="A1698" s="32" t="inlineStr">
        <is>
          <t xml:space="preserve">    for spec in cfg.series:</t>
        </is>
      </c>
    </row>
    <row r="1699">
      <c r="A1699" s="32" t="inlineStr">
        <is>
          <t xml:space="preserve">        v = metric_value(spec.id, fields)</t>
        </is>
      </c>
    </row>
    <row r="1700">
      <c r="A1700" s="32" t="inlineStr">
        <is>
          <t xml:space="preserve">        vs = "(blank)" if v is None else f"{v:,.2f}"</t>
        </is>
      </c>
    </row>
    <row r="1701">
      <c r="A1701" s="32" t="inlineStr">
        <is>
          <t xml:space="preserve">        pr = prov_rows.get(spec.id)</t>
        </is>
      </c>
    </row>
    <row r="1702">
      <c r="A1702" s="32" t="inlineStr">
        <is>
          <t xml:space="preserve">        if pr is None:</t>
        </is>
      </c>
    </row>
    <row r="1703">
      <c r="A1703" s="32" t="inlineStr">
        <is>
          <t xml:space="preserve">            missing.append(spec.id)</t>
        </is>
      </c>
    </row>
    <row r="1704">
      <c r="A1704" s="32" t="inlineStr">
        <is>
          <t xml:space="preserve">            pr = {"schedule": "(no provenance row)", "caption": "",</t>
        </is>
      </c>
    </row>
    <row r="1705">
      <c r="A1705" s="32" t="inlineStr">
        <is>
          <t xml:space="preserve">                  "mdrm": "", "flag": "", "notes": ""}</t>
        </is>
      </c>
    </row>
    <row r="1706">
      <c r="A1706" s="32" t="inlineStr">
        <is>
          <t xml:space="preserve">        sched = pr["schedule"] + (f" {pr['caption']}" if pr["caption"] else "")</t>
        </is>
      </c>
    </row>
    <row r="1707">
      <c r="A1707" s="32" t="inlineStr">
        <is>
          <t xml:space="preserve">        note = pr["notes"]</t>
        </is>
      </c>
    </row>
    <row r="1708">
      <c r="A1708" s="32" t="inlineStr">
        <is>
          <t xml:space="preserve">        cls = LOANBOOK_CLASS.get(spec.id)</t>
        </is>
      </c>
    </row>
    <row r="1709">
      <c r="A1709" s="32" t="inlineStr">
        <is>
          <t xml:space="preserve">        if cls:</t>
        </is>
      </c>
    </row>
    <row r="1710">
      <c r="A1710" s="32" t="inlineStr">
        <is>
          <t xml:space="preserve">            note = f"[{cls}] {note}"</t>
        </is>
      </c>
    </row>
    <row r="1711">
      <c r="A1711" s="32" t="inlineStr">
        <is>
          <t xml:space="preserve">        print(f"  {spec.id:&lt;10} {vs:&gt;10}  {sched[:34]:&lt;34} "</t>
        </is>
      </c>
    </row>
    <row r="1712">
      <c r="A1712" s="32" t="inlineStr">
        <is>
          <t xml:space="preserve">              f"{pr['mdrm'][:30]:&lt;30} {pr['flag'][:12]:&lt;12} {note}")</t>
        </is>
      </c>
    </row>
    <row r="1713">
      <c r="A1713" s="32" t="inlineStr">
        <is>
          <t xml:space="preserve">    if missing:</t>
        </is>
      </c>
    </row>
    <row r="1714">
      <c r="A1714" s="32" t="inlineStr">
        <is>
          <t xml:space="preserve">        sys.stderr.write("WARNING: no _provenance row for: "</t>
        </is>
      </c>
    </row>
    <row r="1715">
      <c r="A1715" s="32" t="inlineStr">
        <is>
          <t xml:space="preserve">                         + ", ".join(missing) + "\n")</t>
        </is>
      </c>
    </row>
    <row r="1716">
      <c r="A1716" s="32" t="inlineStr">
        <is>
          <t xml:space="preserve">    print()</t>
        </is>
      </c>
    </row>
    <row r="1717">
      <c r="A1717" s="32" t="inlineStr">
        <is>
          <t xml:space="preserve">    print("  Per-FIELD rows (every raw input's schedule/line/MDRM) are on "</t>
        </is>
      </c>
    </row>
    <row r="1718">
      <c r="A1718" s="32" t="inlineStr">
        <is>
          <t xml:space="preserve">          "the workbook's _provenance tab.")</t>
        </is>
      </c>
    </row>
    <row r="1719">
      <c r="A1719" s="32" t="inlineStr">
        <is>
          <t xml:space="preserve">    return 0</t>
        </is>
      </c>
    </row>
    <row r="1720">
      <c r="A1720" s="32" t="inlineStr"/>
    </row>
    <row r="1721">
      <c r="A1721" s="32" t="inlineStr"/>
    </row>
    <row r="1722">
      <c r="A1722" s="32" t="inlineStr">
        <is>
          <t># ---------------------------------------------------------------------------</t>
        </is>
      </c>
    </row>
    <row r="1723">
      <c r="A1723" s="32" t="inlineStr">
        <is>
          <t># CLI (contract sec 4) + --lookup (USER REQUIREMENT, live-only)</t>
        </is>
      </c>
    </row>
    <row r="1724">
      <c r="A1724" s="32" t="inlineStr">
        <is>
          <t># ---------------------------------------------------------------------------</t>
        </is>
      </c>
    </row>
    <row r="1725">
      <c r="A1725" s="32" t="inlineStr">
        <is>
          <t>def do_lookup(name: str, demo: bool) -&gt; int:</t>
        </is>
      </c>
    </row>
    <row r="1726">
      <c r="A1726" s="32" t="inlineStr">
        <is>
          <t xml:space="preserve">    if demo:</t>
        </is>
      </c>
    </row>
    <row r="1727">
      <c r="A1727" s="32" t="inlineStr">
        <is>
          <t xml:space="preserve">        sys.stderr.write(</t>
        </is>
      </c>
    </row>
    <row r="1728">
      <c r="A1728" s="32" t="inlineStr">
        <is>
          <t xml:space="preserve">            "--lookup is LIVE-ONLY: it queries the FDIC BankFind API "</t>
        </is>
      </c>
    </row>
    <row r="1729">
      <c r="A1729" s="32" t="inlineStr">
        <is>
          <t xml:space="preserve">            "(https://api.fdic.gov/banks/institutions) and cannot run in "</t>
        </is>
      </c>
    </row>
    <row r="1730">
      <c r="A1730" s="32" t="inlineStr">
        <is>
          <t xml:space="preserve">            "--demo/offline mode. Run it without --demo -- the API is "</t>
        </is>
      </c>
    </row>
    <row r="1731">
      <c r="A1731" s="32" t="inlineStr">
        <is>
          <t xml:space="preserve">            "keyless, no API key or account is needed:\n"</t>
        </is>
      </c>
    </row>
    <row r="1732">
      <c r="A1732" s="32" t="inlineStr">
        <is>
          <t xml:space="preserve">            '    python runner.py --lookup "' + name + '"\n')</t>
        </is>
      </c>
    </row>
    <row r="1733">
      <c r="A1733" s="32" t="inlineStr">
        <is>
          <t xml:space="preserve">        return 2</t>
        </is>
      </c>
    </row>
    <row r="1734">
      <c r="A1734" s="32" t="inlineStr">
        <is>
          <t xml:space="preserve">    prov = FdicProvider()</t>
        </is>
      </c>
    </row>
    <row r="1735">
      <c r="A1735" s="32" t="inlineStr">
        <is>
          <t xml:space="preserve">    try:</t>
        </is>
      </c>
    </row>
    <row r="1736">
      <c r="A1736" s="32" t="inlineStr">
        <is>
          <t xml:space="preserve">        hits = prov.lookup(name)</t>
        </is>
      </c>
    </row>
    <row r="1737">
      <c r="A1737" s="32" t="inlineStr">
        <is>
          <t xml:space="preserve">    except Exception as exc:</t>
        </is>
      </c>
    </row>
    <row r="1738">
      <c r="A1738" s="32" t="inlineStr">
        <is>
          <t xml:space="preserve">        sys.stderr.write(f"lookup failed: {exc}\n"</t>
        </is>
      </c>
    </row>
    <row r="1739">
      <c r="A1739" s="32" t="inlineStr">
        <is>
          <t xml:space="preserve">                         "Check network/proxy access to api.fdic.gov "</t>
        </is>
      </c>
    </row>
    <row r="1740">
      <c r="A1740" s="32" t="inlineStr">
        <is>
          <t xml:space="preserve">                         "(keyless; no API key needed).\n")</t>
        </is>
      </c>
    </row>
    <row r="1741">
      <c r="A1741" s="32" t="inlineStr">
        <is>
          <t xml:space="preserve">        return 1</t>
        </is>
      </c>
    </row>
    <row r="1742">
      <c r="A1742" s="32" t="inlineStr">
        <is>
          <t xml:space="preserve">    if not hits:</t>
        </is>
      </c>
    </row>
    <row r="1743">
      <c r="A1743" s="32" t="inlineStr">
        <is>
          <t xml:space="preserve">        print(f'No institutions matched "{name}".')</t>
        </is>
      </c>
    </row>
    <row r="1744">
      <c r="A1744" s="32" t="inlineStr">
        <is>
          <t xml:space="preserve">        return 0</t>
        </is>
      </c>
    </row>
    <row r="1745">
      <c r="A1745" s="32" t="inlineStr">
        <is>
          <t xml:space="preserve">    print(f'{"CERT":&gt;8}  {"ACTIVE":&gt;6}  {"ASSET($000)":&gt;14}  '</t>
        </is>
      </c>
    </row>
    <row r="1746">
      <c r="A1746" s="32" t="inlineStr">
        <is>
          <t xml:space="preserve">          f'{"CITY":&lt;20} {"ST":&lt;3} NAME')</t>
        </is>
      </c>
    </row>
    <row r="1747">
      <c r="A1747" s="32" t="inlineStr">
        <is>
          <t xml:space="preserve">    for d in hits:</t>
        </is>
      </c>
    </row>
    <row r="1748">
      <c r="A1748" s="32" t="inlineStr">
        <is>
          <t xml:space="preserve">        asset = d.get("ASSET")</t>
        </is>
      </c>
    </row>
    <row r="1749">
      <c r="A1749" s="32" t="inlineStr">
        <is>
          <t xml:space="preserve">        asset_s = "" if asset is None else f"{float(asset):,.0f}"</t>
        </is>
      </c>
    </row>
    <row r="1750">
      <c r="A1750" s="32" t="inlineStr">
        <is>
          <t xml:space="preserve">        print(f'{str(d.get("CERT", "")):&gt;8}  {str(d.get("ACTIVE", "")):&gt;6}  '</t>
        </is>
      </c>
    </row>
    <row r="1751">
      <c r="A1751" s="32" t="inlineStr">
        <is>
          <t xml:space="preserve">              f'{asset_s:&gt;14}  {str(d.get("CITY", "")):&lt;20} '</t>
        </is>
      </c>
    </row>
    <row r="1752">
      <c r="A1752" s="32" t="inlineStr">
        <is>
          <t xml:space="preserve">              f'{str(d.get("STALP", "")):&lt;3} {d.get("NAME", "")}')</t>
        </is>
      </c>
    </row>
    <row r="1753">
      <c r="A1753" s="32" t="inlineStr">
        <is>
          <t xml:space="preserve">    print("\nPut the CERT into the _config [PEERS] table "</t>
        </is>
      </c>
    </row>
    <row r="1754">
      <c r="A1754" s="32" t="inlineStr">
        <is>
          <t xml:space="preserve">          "(slot | cert | name | group | active) and re-run the runner -- "</t>
        </is>
      </c>
    </row>
    <row r="1755">
      <c r="A1755" s="32" t="inlineStr">
        <is>
          <t xml:space="preserve">          "no rebuild needed within the built slot capacity.")</t>
        </is>
      </c>
    </row>
    <row r="1756">
      <c r="A1756" s="32" t="inlineStr">
        <is>
          <t xml:space="preserve">    return 0</t>
        </is>
      </c>
    </row>
    <row r="1757">
      <c r="A1757" s="32" t="inlineStr"/>
    </row>
    <row r="1758">
      <c r="A1758" s="32" t="inlineStr"/>
    </row>
    <row r="1759">
      <c r="A1759" s="32" t="inlineStr">
        <is>
          <t>def main(argv: Optional[Sequence[str]] = None) -&gt; int:</t>
        </is>
      </c>
    </row>
    <row r="1760">
      <c r="A1760" s="32" t="inlineStr">
        <is>
          <t xml:space="preserve">    ap = argparse.ArgumentParser(</t>
        </is>
      </c>
    </row>
    <row r="1761">
      <c r="A1761" s="32" t="inlineStr">
        <is>
          <t xml:space="preserve">        description="Bank Counterparty &amp; Peer Monitor runner (FDIC BankFind)")</t>
        </is>
      </c>
    </row>
    <row r="1762">
      <c r="A1762" s="32" t="inlineStr">
        <is>
          <t xml:space="preserve">    ap.add_argument("--workbook", "-w", default=None,</t>
        </is>
      </c>
    </row>
    <row r="1763">
      <c r="A1763" s="32" t="inlineStr">
        <is>
          <t xml:space="preserve">                    help="path to the .xlsm (required unless --lookup)")</t>
        </is>
      </c>
    </row>
    <row r="1764">
      <c r="A1764" s="32" t="inlineStr">
        <is>
          <t xml:space="preserve">    ap.add_argument("--demo", action="store_true",</t>
        </is>
      </c>
    </row>
    <row r="1765">
      <c r="A1765" s="32" t="inlineStr">
        <is>
          <t xml:space="preserve">                    help="deterministic offline FdicDemoProvider "</t>
        </is>
      </c>
    </row>
    <row r="1766">
      <c r="A1766" s="32" t="inlineStr">
        <is>
          <t xml:space="preserve">                         "(no network; the live API is keyless anyway)")</t>
        </is>
      </c>
    </row>
    <row r="1767">
      <c r="A1767" s="32" t="inlineStr">
        <is>
          <t xml:space="preserve">    ap.add_argument("--asof", default=None, help="YYYY-MM-DD (testing)")</t>
        </is>
      </c>
    </row>
    <row r="1768">
      <c r="A1768" s="32" t="inlineStr">
        <is>
          <t xml:space="preserve">    ap.add_argument("--lookup", default=None, metavar="NAME",</t>
        </is>
      </c>
    </row>
    <row r="1769">
      <c r="A1769" s="32" t="inlineStr">
        <is>
          <t xml:space="preserve">                    help='find a bank\'s CERT by name (live-only): '</t>
        </is>
      </c>
    </row>
    <row r="1770">
      <c r="A1770" s="32" t="inlineStr">
        <is>
          <t xml:space="preserve">                         '--lookup "Wells Fargo"')</t>
        </is>
      </c>
    </row>
    <row r="1771">
      <c r="A1771" s="32" t="inlineStr">
        <is>
          <t xml:space="preserve">    ap.add_argument("--tieout", default=None, nargs="+", metavar="ARG",</t>
        </is>
      </c>
    </row>
    <row r="1772">
      <c r="A1772" s="32" t="inlineStr">
        <is>
          <t xml:space="preserve">                    help="CERT [REPDTE]: print each metric's value + Call "</t>
        </is>
      </c>
    </row>
    <row r="1773">
      <c r="A1773" s="32" t="inlineStr">
        <is>
          <t xml:space="preserve">                         "Report schedule/line/MDRM + facsimile/BankFind "</t>
        </is>
      </c>
    </row>
    <row r="1774">
      <c r="A1774" s="32" t="inlineStr">
        <is>
          <t xml:space="preserve">                         "URLs for one bank(-quarter); works with --demo "</t>
        </is>
      </c>
    </row>
    <row r="1775">
      <c r="A1775" s="32" t="inlineStr">
        <is>
          <t xml:space="preserve">                         "(labeled)")</t>
        </is>
      </c>
    </row>
    <row r="1776">
      <c r="A1776" s="32" t="inlineStr">
        <is>
          <t xml:space="preserve">    args = ap.parse_args(argv)</t>
        </is>
      </c>
    </row>
    <row r="1777">
      <c r="A1777" s="32" t="inlineStr">
        <is>
          <t xml:space="preserve">    if args.lookup is not None:</t>
        </is>
      </c>
    </row>
    <row r="1778">
      <c r="A1778" s="32" t="inlineStr">
        <is>
          <t xml:space="preserve">        return do_lookup(args.lookup, args.demo)</t>
        </is>
      </c>
    </row>
    <row r="1779">
      <c r="A1779" s="32" t="inlineStr">
        <is>
          <t xml:space="preserve">    if not args.workbook:</t>
        </is>
      </c>
    </row>
    <row r="1780">
      <c r="A1780" s="32" t="inlineStr">
        <is>
          <t xml:space="preserve">        sys.stderr.write("--workbook is required (or use --lookup).\n")</t>
        </is>
      </c>
    </row>
    <row r="1781">
      <c r="A1781" s="32" t="inlineStr">
        <is>
          <t xml:space="preserve">        return 2</t>
        </is>
      </c>
    </row>
    <row r="1782">
      <c r="A1782" s="32" t="inlineStr">
        <is>
          <t xml:space="preserve">    if args.tieout is not None:</t>
        </is>
      </c>
    </row>
    <row r="1783">
      <c r="A1783" s="32" t="inlineStr">
        <is>
          <t xml:space="preserve">        if len(args.tieout) &gt; 2:</t>
        </is>
      </c>
    </row>
    <row r="1784">
      <c r="A1784" s="32" t="inlineStr">
        <is>
          <t xml:space="preserve">            sys.stderr.write("--tieout takes CERT [REPDTE].\n")</t>
        </is>
      </c>
    </row>
    <row r="1785">
      <c r="A1785" s="32" t="inlineStr">
        <is>
          <t xml:space="preserve">            return 2</t>
        </is>
      </c>
    </row>
    <row r="1786">
      <c r="A1786" s="32" t="inlineStr">
        <is>
          <t xml:space="preserve">        try:</t>
        </is>
      </c>
    </row>
    <row r="1787">
      <c r="A1787" s="32" t="inlineStr">
        <is>
          <t xml:space="preserve">            return do_tieout(args.workbook, args.tieout, args.demo)</t>
        </is>
      </c>
    </row>
    <row r="1788">
      <c r="A1788" s="32" t="inlineStr">
        <is>
          <t xml:space="preserve">        except Exception as exc:</t>
        </is>
      </c>
    </row>
    <row r="1789">
      <c r="A1789" s="32" t="inlineStr">
        <is>
          <t xml:space="preserve">            sys.stderr.write(f"TIEOUT ERROR: {exc}\n")</t>
        </is>
      </c>
    </row>
    <row r="1790">
      <c r="A1790" s="32" t="inlineStr">
        <is>
          <t xml:space="preserve">            return 1</t>
        </is>
      </c>
    </row>
    <row r="1791">
      <c r="A1791" s="32" t="inlineStr">
        <is>
          <t xml:space="preserve">    asof = datetime.strptime(args.asof, "%Y-%m-%d").date() if args.asof else None</t>
        </is>
      </c>
    </row>
    <row r="1792">
      <c r="A1792" s="32" t="inlineStr">
        <is>
          <t xml:space="preserve">    try:</t>
        </is>
      </c>
    </row>
    <row r="1793">
      <c r="A1793" s="32" t="inlineStr">
        <is>
          <t xml:space="preserve">        status = run(args.workbook, demo=args.demo, asof=asof)</t>
        </is>
      </c>
    </row>
    <row r="1794">
      <c r="A1794" s="32" t="inlineStr">
        <is>
          <t xml:space="preserve">    except (WatchlistRefused, MetricError, PeerCapacityError) as exc:</t>
        </is>
      </c>
    </row>
    <row r="1795">
      <c r="A1795" s="32" t="inlineStr">
        <is>
          <t xml:space="preserve">        sys.stderr.write(f"GATE ERROR: {exc}\n")</t>
        </is>
      </c>
    </row>
    <row r="1796">
      <c r="A1796" s="32" t="inlineStr">
        <is>
          <t xml:space="preserve">        print(json.dumps({"ok": False, "error": str(exc)}))</t>
        </is>
      </c>
    </row>
    <row r="1797">
      <c r="A1797" s="32" t="inlineStr">
        <is>
          <t xml:space="preserve">        return 2</t>
        </is>
      </c>
    </row>
    <row r="1798">
      <c r="A1798" s="32" t="inlineStr">
        <is>
          <t xml:space="preserve">    except SystemExit as exc:</t>
        </is>
      </c>
    </row>
    <row r="1799">
      <c r="A1799" s="32" t="inlineStr">
        <is>
          <t xml:space="preserve">        sys.stderr.write(f"{exc}\n")</t>
        </is>
      </c>
    </row>
    <row r="1800">
      <c r="A1800" s="32" t="inlineStr">
        <is>
          <t xml:space="preserve">        print(json.dumps({"ok": False, "error": str(exc)}))</t>
        </is>
      </c>
    </row>
    <row r="1801">
      <c r="A1801" s="32" t="inlineStr">
        <is>
          <t xml:space="preserve">        return 3</t>
        </is>
      </c>
    </row>
    <row r="1802">
      <c r="A1802" s="32" t="inlineStr">
        <is>
          <t xml:space="preserve">    except Exception as exc:</t>
        </is>
      </c>
    </row>
    <row r="1803">
      <c r="A1803" s="32" t="inlineStr">
        <is>
          <t xml:space="preserve">        sys.stderr.write(f"RUN ERROR: {exc}\n")</t>
        </is>
      </c>
    </row>
    <row r="1804">
      <c r="A1804" s="32" t="inlineStr">
        <is>
          <t xml:space="preserve">        print(json.dumps({"ok": False, "error": str(exc)}))</t>
        </is>
      </c>
    </row>
    <row r="1805">
      <c r="A1805" s="32" t="inlineStr">
        <is>
          <t xml:space="preserve">        return 1</t>
        </is>
      </c>
    </row>
    <row r="1806">
      <c r="A1806" s="32" t="inlineStr">
        <is>
          <t xml:space="preserve">    print(json.dumps({"ok": True,</t>
        </is>
      </c>
    </row>
    <row r="1807">
      <c r="A1807" s="32" t="inlineStr">
        <is>
          <t xml:space="preserve">                      **{k: v for k, v in status.items() if k != "digest"}}))</t>
        </is>
      </c>
    </row>
    <row r="1808">
      <c r="A1808" s="32" t="inlineStr">
        <is>
          <t xml:space="preserve">    sys.stderr.write(</t>
        </is>
      </c>
    </row>
    <row r="1809">
      <c r="A1809" s="32" t="inlineStr">
        <is>
          <t xml:space="preserve">        f"OK ({status['mode']}): {status['banks_landed']}/"</t>
        </is>
      </c>
    </row>
    <row r="1810">
      <c r="A1810" s="32" t="inlineStr">
        <is>
          <t xml:space="preserve">        f"{status['banks_active']} banks landed, "</t>
        </is>
      </c>
    </row>
    <row r="1811">
      <c r="A1811" s="32" t="inlineStr">
        <is>
          <t xml:space="preserve">        f"{status['alert_banks']} ALERT / {status['watch_banks']} WATCH / "</t>
        </is>
      </c>
    </row>
    <row r="1812">
      <c r="A1812" s="32" t="inlineStr">
        <is>
          <t xml:space="preserve">        f"{status['stale_banks']} STALE banks "</t>
        </is>
      </c>
    </row>
    <row r="1813">
      <c r="A1813" s="32" t="inlineStr">
        <is>
          <t xml:space="preserve">        f"({status['alert_flags']} ALERT flags), "</t>
        </is>
      </c>
    </row>
    <row r="1814">
      <c r="A1814" s="32" t="inlineStr">
        <is>
          <t xml:space="preserve">        f"refused={len(status['watchlist_refusals'])}, "</t>
        </is>
      </c>
    </row>
    <row r="1815">
      <c r="A1815" s="32" t="inlineStr">
        <is>
          <t xml:space="preserve">        f"vintage={status['vintage']}.\n")</t>
        </is>
      </c>
    </row>
    <row r="1816">
      <c r="A1816" s="32" t="inlineStr">
        <is>
          <t xml:space="preserve">    return 0</t>
        </is>
      </c>
    </row>
    <row r="1817">
      <c r="A1817" s="32" t="inlineStr"/>
    </row>
    <row r="1818">
      <c r="A1818" s="32" t="inlineStr"/>
    </row>
    <row r="1819">
      <c r="A1819" s="32" t="inlineStr">
        <is>
          <t>if __name__ == "__main__":</t>
        </is>
      </c>
    </row>
    <row r="1820">
      <c r="A1820" s="32" t="inlineStr">
        <is>
          <t xml:space="preserve">    raise SystemExit(main())</t>
        </is>
      </c>
    </row>
  </sheetData>
  <pageMargins left="0.75" right="0.75" top="1" bottom="1" header="0.5" footer="0.5"/>
</worksheet>
</file>

<file path=xl/worksheets/sheet10.xml><?xml version="1.0" encoding="utf-8"?>
<worksheet xmlns="http://schemas.openxmlformats.org/spreadsheetml/2006/main">
  <sheetPr>
    <outlinePr summaryBelow="1" summaryRight="1"/>
    <pageSetUpPr/>
  </sheetPr>
  <dimension ref="A1:A125"/>
  <sheetViews>
    <sheetView showGridLines="0" workbookViewId="0">
      <selection activeCell="A1" sqref="A1"/>
    </sheetView>
  </sheetViews>
  <sheetFormatPr baseColWidth="8" defaultRowHeight="15"/>
  <cols>
    <col width="120" customWidth="1" min="1" max="1"/>
  </cols>
  <sheetData>
    <row r="1">
      <c r="A1" s="32" t="inlineStr">
        <is>
          <t>'================================================================================</t>
        </is>
      </c>
    </row>
    <row r="2">
      <c r="A2" s="32" t="inlineStr">
        <is>
          <t>' Bank Counterparty &amp; Peer Monitor (FDIC BankFind) -- extractor macro</t>
        </is>
      </c>
    </row>
    <row r="3">
      <c r="A3" s="32" t="inlineStr">
        <is>
          <t>' (BUILD_SPEC_FDIC.md Section 5: EXTRACT-ONLY).</t>
        </is>
      </c>
    </row>
    <row r="4">
      <c r="A4" s="32" t="inlineStr">
        <is>
          <t>'</t>
        </is>
      </c>
    </row>
    <row r="5">
      <c r="A5" s="32" t="inlineStr">
        <is>
          <t>' The workbook is already the finished product: every dashboard, formula and</t>
        </is>
      </c>
    </row>
    <row r="6">
      <c r="A6" s="32" t="inlineStr">
        <is>
          <t>' heat rule is built in, and the peer list lives in _config [PEERS]. The data</t>
        </is>
      </c>
    </row>
    <row r="7">
      <c r="A7" s="32" t="inlineStr">
        <is>
          <t>' is the only thing missing.</t>
        </is>
      </c>
    </row>
    <row r="8">
      <c r="A8" s="32" t="inlineStr">
        <is>
          <t>'</t>
        </is>
      </c>
    </row>
    <row r="9">
      <c r="A9" s="32" t="inlineStr">
        <is>
          <t>' "Extract" (run ExtractFiles, or the ExtractAndRun alias, via Alt+F8):</t>
        </is>
      </c>
    </row>
    <row r="10">
      <c r="A10" s="32" t="inlineStr">
        <is>
          <t>'   1. Writes runner.py from the _code_py tab into the workbook's folder.</t>
        </is>
      </c>
    </row>
    <row r="11">
      <c r="A11" s="32" t="inlineStr">
        <is>
          <t>'   2. Writes requirements.txt (the Python dependencies).</t>
        </is>
      </c>
    </row>
    <row r="12">
      <c r="A12" s="32" t="inlineStr">
        <is>
          <t>'   3. Writes RUN.txt (the exact PowerShell commands, incl. --lookup).</t>
        </is>
      </c>
    </row>
    <row r="13">
      <c r="A13" s="32" t="inlineStr">
        <is>
          <t>'</t>
        </is>
      </c>
    </row>
    <row r="14">
      <c r="A14" s="32" t="inlineStr">
        <is>
          <t>' NOTHING runs inside Excel (no shell-out, no xlwings, no save-from-VBA). After</t>
        </is>
      </c>
    </row>
    <row r="15">
      <c r="A15" s="32" t="inlineStr">
        <is>
          <t>' extracting: SAVE and CLOSE the workbook, then follow RUN.txt from PowerShell.</t>
        </is>
      </c>
    </row>
    <row r="16">
      <c r="A16" s="32" t="inlineStr">
        <is>
          <t>' runner.py writes the data into the CLOSED workbook via openpyxl. Reopen and</t>
        </is>
      </c>
    </row>
    <row r="17">
      <c r="A17" s="32" t="inlineStr">
        <is>
          <t>' the formulas recalc into the finished dashboards.</t>
        </is>
      </c>
    </row>
    <row r="18">
      <c r="A18" s="32" t="inlineStr">
        <is>
          <t>'</t>
        </is>
      </c>
    </row>
    <row r="19">
      <c r="A19" s="32" t="inlineStr">
        <is>
          <t>' This is a readable/portable reference copy; the identical text lives in the</t>
        </is>
      </c>
    </row>
    <row r="20">
      <c r="A20" s="32" t="inlineStr">
        <is>
          <t>' _code_vba tab so the workbook stays the single source of truth.</t>
        </is>
      </c>
    </row>
    <row r="21">
      <c r="A21" s="32" t="inlineStr">
        <is>
          <t>'================================================================================</t>
        </is>
      </c>
    </row>
    <row r="22">
      <c r="A22" s="32" t="inlineStr">
        <is>
          <t>Option Explicit</t>
        </is>
      </c>
    </row>
    <row r="23">
      <c r="A23" s="32" t="inlineStr"/>
    </row>
    <row r="24">
      <c r="A24" s="32" t="inlineStr">
        <is>
          <t>Private Const STATUS_SHEET As String = "Dashboard_AssetQuality"</t>
        </is>
      </c>
    </row>
    <row r="25">
      <c r="A25" s="32" t="inlineStr"/>
    </row>
    <row r="26">
      <c r="A26" s="32" t="inlineStr">
        <is>
          <t>' Kept as an alias so the old name / any assigned button still works.</t>
        </is>
      </c>
    </row>
    <row r="27">
      <c r="A27" s="32" t="inlineStr">
        <is>
          <t>Public Sub ExtractAndRun()</t>
        </is>
      </c>
    </row>
    <row r="28">
      <c r="A28" s="32" t="inlineStr">
        <is>
          <t xml:space="preserve">    ExtractFiles</t>
        </is>
      </c>
    </row>
    <row r="29">
      <c r="A29" s="32" t="inlineStr">
        <is>
          <t>End Sub</t>
        </is>
      </c>
    </row>
    <row r="30">
      <c r="A30" s="32" t="inlineStr"/>
    </row>
    <row r="31">
      <c r="A31" s="32" t="inlineStr">
        <is>
          <t>Public Sub ExtractFiles()</t>
        </is>
      </c>
    </row>
    <row r="32">
      <c r="A32" s="32" t="inlineStr">
        <is>
          <t xml:space="preserve">    Dim folder As String, sep As String</t>
        </is>
      </c>
    </row>
    <row r="33">
      <c r="A33" s="32" t="inlineStr">
        <is>
          <t xml:space="preserve">    On Error GoTo Fail</t>
        </is>
      </c>
    </row>
    <row r="34">
      <c r="A34" s="32" t="inlineStr"/>
    </row>
    <row r="35">
      <c r="A35" s="32" t="inlineStr">
        <is>
          <t xml:space="preserve">    folder = ThisWorkbook.Path</t>
        </is>
      </c>
    </row>
    <row r="36">
      <c r="A36" s="32" t="inlineStr">
        <is>
          <t xml:space="preserve">    If Len(folder) = 0 Then</t>
        </is>
      </c>
    </row>
    <row r="37">
      <c r="A37" s="32" t="inlineStr">
        <is>
          <t xml:space="preserve">        MsgBox "Save the workbook to a folder first, then run ExtractFiles.", vbExclamation</t>
        </is>
      </c>
    </row>
    <row r="38">
      <c r="A38" s="32" t="inlineStr">
        <is>
          <t xml:space="preserve">        Exit Sub</t>
        </is>
      </c>
    </row>
    <row r="39">
      <c r="A39" s="32" t="inlineStr">
        <is>
          <t xml:space="preserve">    End If</t>
        </is>
      </c>
    </row>
    <row r="40">
      <c r="A40" s="32" t="inlineStr">
        <is>
          <t xml:space="preserve">    sep = Application.PathSeparator</t>
        </is>
      </c>
    </row>
    <row r="41">
      <c r="A41" s="32" t="inlineStr"/>
    </row>
    <row r="42">
      <c r="A42" s="32" t="inlineStr">
        <is>
          <t xml:space="preserve">    WriteTabToFile "_code_py", folder &amp; sep &amp; "runner.py"          ' the data-path script</t>
        </is>
      </c>
    </row>
    <row r="43">
      <c r="A43" s="32" t="inlineStr">
        <is>
          <t xml:space="preserve">    WriteTextFile folder &amp; sep &amp; "requirements.txt", RequirementsText()</t>
        </is>
      </c>
    </row>
    <row r="44">
      <c r="A44" s="32" t="inlineStr">
        <is>
          <t xml:space="preserve">    WriteTextFile folder &amp; sep &amp; "RUN.txt", RunText()             ' the PowerShell commands</t>
        </is>
      </c>
    </row>
    <row r="45">
      <c r="A45" s="32" t="inlineStr"/>
    </row>
    <row r="46">
      <c r="A46" s="32" t="inlineStr">
        <is>
          <t xml:space="preserve">    SetStatus "Extracted", "runner.py + requirements.txt + RUN.txt written -- see RUN.txt."</t>
        </is>
      </c>
    </row>
    <row r="47">
      <c r="A47" s="32" t="inlineStr">
        <is>
          <t xml:space="preserve">    MsgBox "Extracted next to this workbook:" &amp; vbCrLf &amp; _</t>
        </is>
      </c>
    </row>
    <row r="48">
      <c r="A48" s="32" t="inlineStr">
        <is>
          <t xml:space="preserve">           "    runner.py" &amp; vbCrLf &amp; _</t>
        </is>
      </c>
    </row>
    <row r="49">
      <c r="A49" s="32" t="inlineStr">
        <is>
          <t xml:space="preserve">           "    requirements.txt" &amp; vbCrLf &amp; _</t>
        </is>
      </c>
    </row>
    <row r="50">
      <c r="A50" s="32" t="inlineStr">
        <is>
          <t xml:space="preserve">           "    RUN.txt   (the PowerShell commands)" &amp; vbCrLf &amp; vbCrLf &amp; _</t>
        </is>
      </c>
    </row>
    <row r="51">
      <c r="A51" s="32" t="inlineStr">
        <is>
          <t xml:space="preserve">           "Open RUN.txt and follow it: install the deps, then run runner.py from " &amp; _</t>
        </is>
      </c>
    </row>
    <row r="52">
      <c r="A52" s="32" t="inlineStr">
        <is>
          <t xml:space="preserve">           "PowerShell with this workbook CLOSED. Reopen to see the dashboards." &amp; vbCrLf &amp; vbCrLf &amp; _</t>
        </is>
      </c>
    </row>
    <row r="53">
      <c r="A53" s="32" t="inlineStr">
        <is>
          <t xml:space="preserve">           "Just trying it out? Use the --demo command in RUN.txt (offline). " &amp; _</t>
        </is>
      </c>
    </row>
    <row r="54">
      <c r="A54" s="32" t="inlineStr">
        <is>
          <t xml:space="preserve">           "Live pulls need NO API key -- the FDIC API is keyless.", _</t>
        </is>
      </c>
    </row>
    <row r="55">
      <c r="A55" s="32" t="inlineStr">
        <is>
          <t xml:space="preserve">           vbInformation, "Extract complete"</t>
        </is>
      </c>
    </row>
    <row r="56">
      <c r="A56" s="32" t="inlineStr">
        <is>
          <t xml:space="preserve">    Exit Sub</t>
        </is>
      </c>
    </row>
    <row r="57">
      <c r="A57" s="32" t="inlineStr"/>
    </row>
    <row r="58">
      <c r="A58" s="32" t="inlineStr">
        <is>
          <t>Fail:</t>
        </is>
      </c>
    </row>
    <row r="59">
      <c r="A59" s="32" t="inlineStr">
        <is>
          <t xml:space="preserve">    MsgBox "Extract failed: " &amp; Err.Description, vbCritical</t>
        </is>
      </c>
    </row>
    <row r="60">
      <c r="A60" s="32" t="inlineStr">
        <is>
          <t>End Sub</t>
        </is>
      </c>
    </row>
    <row r="61">
      <c r="A61" s="32" t="inlineStr"/>
    </row>
    <row r="62">
      <c r="A62" s="32" t="inlineStr">
        <is>
          <t>Private Function RequirementsText() As String</t>
        </is>
      </c>
    </row>
    <row r="63">
      <c r="A63" s="32" t="inlineStr">
        <is>
          <t xml:space="preserve">    Dim nl As String</t>
        </is>
      </c>
    </row>
    <row r="64">
      <c r="A64" s="32" t="inlineStr">
        <is>
          <t xml:space="preserve">    nl = vbCrLf</t>
        </is>
      </c>
    </row>
    <row r="65">
      <c r="A65" s="32" t="inlineStr">
        <is>
          <t xml:space="preserve">    RequirementsText = "pandas&gt;=1.5" &amp; nl &amp; "openpyxl&gt;=3.0" &amp; nl</t>
        </is>
      </c>
    </row>
    <row r="66">
      <c r="A66" s="32" t="inlineStr">
        <is>
          <t>End Function</t>
        </is>
      </c>
    </row>
    <row r="67">
      <c r="A67" s="32" t="inlineStr"/>
    </row>
    <row r="68">
      <c r="A68" s="32" t="inlineStr">
        <is>
          <t>Private Function RunText() As String</t>
        </is>
      </c>
    </row>
    <row r="69">
      <c r="A69" s="32" t="inlineStr">
        <is>
          <t xml:space="preserve">    Dim nl As String, q As String, wb As String</t>
        </is>
      </c>
    </row>
    <row r="70">
      <c r="A70" s="32" t="inlineStr">
        <is>
          <t xml:space="preserve">    nl = vbCrLf</t>
        </is>
      </c>
    </row>
    <row r="71">
      <c r="A71" s="32" t="inlineStr">
        <is>
          <t xml:space="preserve">    q = Chr(34)</t>
        </is>
      </c>
    </row>
    <row r="72">
      <c r="A72" s="32" t="inlineStr">
        <is>
          <t xml:space="preserve">    wb = ThisWorkbook.Name</t>
        </is>
      </c>
    </row>
    <row r="73">
      <c r="A73" s="32" t="inlineStr">
        <is>
          <t xml:space="preserve">    RunText = _</t>
        </is>
      </c>
    </row>
    <row r="74">
      <c r="A74" s="32" t="inlineStr">
        <is>
          <t xml:space="preserve">        "Bank Counterparty &amp; Peer Monitor -- run from PowerShell (workbook must be CLOSED)" &amp; nl &amp; nl &amp; _</t>
        </is>
      </c>
    </row>
    <row r="75">
      <c r="A75" s="32" t="inlineStr">
        <is>
          <t xml:space="preserve">        "1) Install dependencies (once):" &amp; nl &amp; _</t>
        </is>
      </c>
    </row>
    <row r="76">
      <c r="A76" s="32" t="inlineStr">
        <is>
          <t xml:space="preserve">        "   python -m pip install -r requirements.txt" &amp; nl &amp; nl &amp; _</t>
        </is>
      </c>
    </row>
    <row r="77">
      <c r="A77" s="32" t="inlineStr">
        <is>
          <t xml:space="preserve">        "2) Try-the-button demo data (offline, deterministic):" &amp; nl &amp; _</t>
        </is>
      </c>
    </row>
    <row r="78">
      <c r="A78" s="32" t="inlineStr">
        <is>
          <t xml:space="preserve">        "   python .\runner.py --workbook " &amp; q &amp; ".\" &amp; wb &amp; q &amp; " --demo" &amp; nl &amp; nl &amp; _</t>
        </is>
      </c>
    </row>
    <row r="79">
      <c r="A79" s="32" t="inlineStr">
        <is>
          <t xml:space="preserve">        "3) Live data (FDIC BankFind API -- KEYLESS, no API key or account needed):" &amp; nl &amp; _</t>
        </is>
      </c>
    </row>
    <row r="80">
      <c r="A80" s="32" t="inlineStr">
        <is>
          <t xml:space="preserve">        "   python .\runner.py --workbook " &amp; q &amp; ".\" &amp; wb &amp; q &amp; nl &amp; nl &amp; _</t>
        </is>
      </c>
    </row>
    <row r="81">
      <c r="A81" s="32" t="inlineStr">
        <is>
          <t xml:space="preserve">        "4) Find a bank's CERT to add to the _config [PEERS] table (live-only):" &amp; nl &amp; _</t>
        </is>
      </c>
    </row>
    <row r="82">
      <c r="A82" s="32" t="inlineStr">
        <is>
          <t xml:space="preserve">        "   python .\runner.py --lookup " &amp; q &amp; "Frost Bank" &amp; q &amp; nl &amp; nl &amp; _</t>
        </is>
      </c>
    </row>
    <row r="83">
      <c r="A83" s="32" t="inlineStr">
        <is>
          <t xml:space="preserve">        "The peer list is the _config [PEERS] table: slot | cert | name | group | active." &amp; nl &amp; _</t>
        </is>
      </c>
    </row>
    <row r="84">
      <c r="A84" s="32" t="inlineStr">
        <is>
          <t xml:space="preserve">        "Add a bank = fill a free slot row + re-run (no rebuild). Remove = active FALSE." &amp; nl &amp; _</t>
        </is>
      </c>
    </row>
    <row r="85">
      <c r="A85" s="32" t="inlineStr">
        <is>
          <t xml:space="preserve">        "More banks than built slots and the runner tells you the exact rebuild command." &amp; nl &amp; nl &amp; _</t>
        </is>
      </c>
    </row>
    <row r="86">
      <c r="A86" s="32" t="inlineStr">
        <is>
          <t xml:space="preserve">        "If 'python' is not found, use 'py' instead. Reopen the workbook afterward." &amp; nl</t>
        </is>
      </c>
    </row>
    <row r="87">
      <c r="A87" s="32" t="inlineStr">
        <is>
          <t>End Function</t>
        </is>
      </c>
    </row>
    <row r="88">
      <c r="A88" s="32" t="inlineStr"/>
    </row>
    <row r="89">
      <c r="A89" s="32" t="inlineStr">
        <is>
          <t>Private Sub WriteTextFile(filePath As String, content As String)</t>
        </is>
      </c>
    </row>
    <row r="90">
      <c r="A90" s="32" t="inlineStr">
        <is>
          <t xml:space="preserve">    Dim fso As Object, ts As Object</t>
        </is>
      </c>
    </row>
    <row r="91">
      <c r="A91" s="32" t="inlineStr">
        <is>
          <t xml:space="preserve">    Set fso = CreateObject("Scripting.FileSystemObject")</t>
        </is>
      </c>
    </row>
    <row r="92">
      <c r="A92" s="32" t="inlineStr">
        <is>
          <t xml:space="preserve">    Set ts = fso.CreateTextFile(filePath, True, False)</t>
        </is>
      </c>
    </row>
    <row r="93">
      <c r="A93" s="32" t="inlineStr">
        <is>
          <t xml:space="preserve">    ts.Write content</t>
        </is>
      </c>
    </row>
    <row r="94">
      <c r="A94" s="32" t="inlineStr">
        <is>
          <t xml:space="preserve">    ts.Close</t>
        </is>
      </c>
    </row>
    <row r="95">
      <c r="A95" s="32" t="inlineStr">
        <is>
          <t>End Sub</t>
        </is>
      </c>
    </row>
    <row r="96">
      <c r="A96" s="32" t="inlineStr"/>
    </row>
    <row r="97">
      <c r="A97" s="32" t="inlineStr">
        <is>
          <t>' Write one tab's column A (one source line per cell) to a UTF-8 text file.</t>
        </is>
      </c>
    </row>
    <row r="98">
      <c r="A98" s="32" t="inlineStr">
        <is>
          <t>' ADODB.Stream writes real UTF-8 (FSO would write ANSI, and Python, which reads</t>
        </is>
      </c>
    </row>
    <row r="99">
      <c r="A99" s="32" t="inlineStr">
        <is>
          <t>' source as UTF-8, would raise SyntaxError on any non-ASCII byte).</t>
        </is>
      </c>
    </row>
    <row r="100">
      <c r="A100" s="32" t="inlineStr">
        <is>
          <t>Private Sub WriteTabToFile(tabName As String, filePath As String)</t>
        </is>
      </c>
    </row>
    <row r="101">
      <c r="A101" s="32" t="inlineStr">
        <is>
          <t xml:space="preserve">    Dim ws As Worksheet, lastRow As Long, r As Long, body As String</t>
        </is>
      </c>
    </row>
    <row r="102">
      <c r="A102" s="32" t="inlineStr">
        <is>
          <t xml:space="preserve">    Set ws = ThisWorkbook.Worksheets(tabName)</t>
        </is>
      </c>
    </row>
    <row r="103">
      <c r="A103" s="32" t="inlineStr">
        <is>
          <t xml:space="preserve">    lastRow = ws.Cells(ws.Rows.Count, 1).End(xlUp).Row</t>
        </is>
      </c>
    </row>
    <row r="104">
      <c r="A104" s="32" t="inlineStr">
        <is>
          <t xml:space="preserve">    For r = 1 To lastRow</t>
        </is>
      </c>
    </row>
    <row r="105">
      <c r="A105" s="32" t="inlineStr">
        <is>
          <t xml:space="preserve">        body = body &amp; CStr(ws.Cells(r, 1).Value) &amp; vbLf</t>
        </is>
      </c>
    </row>
    <row r="106">
      <c r="A106" s="32" t="inlineStr">
        <is>
          <t xml:space="preserve">    Next r</t>
        </is>
      </c>
    </row>
    <row r="107">
      <c r="A107" s="32" t="inlineStr">
        <is>
          <t xml:space="preserve">    Dim stm As Object</t>
        </is>
      </c>
    </row>
    <row r="108">
      <c r="A108" s="32" t="inlineStr">
        <is>
          <t xml:space="preserve">    Set stm = CreateObject("ADODB.Stream")</t>
        </is>
      </c>
    </row>
    <row r="109">
      <c r="A109" s="32" t="inlineStr">
        <is>
          <t xml:space="preserve">    stm.Type = 2                 ' adTypeText</t>
        </is>
      </c>
    </row>
    <row r="110">
      <c r="A110" s="32" t="inlineStr">
        <is>
          <t xml:space="preserve">    stm.Charset = "utf-8"</t>
        </is>
      </c>
    </row>
    <row r="111">
      <c r="A111" s="32" t="inlineStr">
        <is>
          <t xml:space="preserve">    stm.Open</t>
        </is>
      </c>
    </row>
    <row r="112">
      <c r="A112" s="32" t="inlineStr">
        <is>
          <t xml:space="preserve">    stm.WriteText body</t>
        </is>
      </c>
    </row>
    <row r="113">
      <c r="A113" s="32" t="inlineStr">
        <is>
          <t xml:space="preserve">    stm.SaveToFile filePath, 2   ' adSaveCreateOverWrite</t>
        </is>
      </c>
    </row>
    <row r="114">
      <c r="A114" s="32" t="inlineStr">
        <is>
          <t xml:space="preserve">    stm.Close</t>
        </is>
      </c>
    </row>
    <row r="115">
      <c r="A115" s="32" t="inlineStr">
        <is>
          <t>End Sub</t>
        </is>
      </c>
    </row>
    <row r="116">
      <c r="A116" s="32" t="inlineStr"/>
    </row>
    <row r="117">
      <c r="A117" s="32" t="inlineStr">
        <is>
          <t>Private Sub SetStatus(state As String, msg As String)</t>
        </is>
      </c>
    </row>
    <row r="118">
      <c r="A118" s="32" t="inlineStr">
        <is>
          <t xml:space="preserve">    Dim ws As Worksheet</t>
        </is>
      </c>
    </row>
    <row r="119">
      <c r="A119" s="32" t="inlineStr">
        <is>
          <t xml:space="preserve">    On Error Resume Next</t>
        </is>
      </c>
    </row>
    <row r="120">
      <c r="A120" s="32" t="inlineStr">
        <is>
          <t xml:space="preserve">    Set ws = ThisWorkbook.Worksheets(STATUS_SHEET)</t>
        </is>
      </c>
    </row>
    <row r="121">
      <c r="A121" s="32" t="inlineStr">
        <is>
          <t xml:space="preserve">    If ws Is Nothing Then Exit Sub</t>
        </is>
      </c>
    </row>
    <row r="122">
      <c r="A122" s="32" t="inlineStr">
        <is>
          <t xml:space="preserve">    ' Column L (12), row 4 -- the masthead status panel (free of the merged</t>
        </is>
      </c>
    </row>
    <row r="123">
      <c r="A123" s="32" t="inlineStr">
        <is>
          <t xml:space="preserve">    ' banner/KPI cells; the runner fills rows 1-3).</t>
        </is>
      </c>
    </row>
    <row r="124">
      <c r="A124" s="32" t="inlineStr">
        <is>
          <t xml:space="preserve">    ws.Cells(4, 12).Value = state &amp; " -- " &amp; msg</t>
        </is>
      </c>
    </row>
    <row r="125">
      <c r="A125" s="32" t="inlineStr">
        <is>
          <t>End Sub</t>
        </is>
      </c>
    </row>
  </sheetData>
  <pageMargins left="0.75" right="0.75" top="1" bottom="1" header="0.5" footer="0.5"/>
</worksheet>
</file>

<file path=xl/worksheets/sheet11.xml><?xml version="1.0" encoding="utf-8"?>
<worksheet xmlns="http://schemas.openxmlformats.org/spreadsheetml/2006/main">
  <sheetPr>
    <outlinePr summaryBelow="1" summaryRight="1"/>
    <pageSetUpPr/>
  </sheetPr>
  <dimension ref="A1:A189"/>
  <sheetViews>
    <sheetView showGridLines="0" workbookViewId="0">
      <selection activeCell="A1" sqref="A1"/>
    </sheetView>
  </sheetViews>
  <sheetFormatPr baseColWidth="8" defaultRowHeight="15"/>
  <cols>
    <col width="100" customWidth="1" min="1" max="1"/>
  </cols>
  <sheetData>
    <row r="1">
      <c r="A1" t="inlineStr">
        <is>
          <t>BANK COUNTERPARTY &amp; PEER MONITOR (FDIC BankFind) -- README</t>
        </is>
      </c>
    </row>
    <row r="2">
      <c r="A2" t="inlineStr">
        <is>
          <t>==========================================================</t>
        </is>
      </c>
    </row>
    <row r="3">
      <c r="A3" t="inlineStr"/>
    </row>
    <row r="4">
      <c r="A4" s="29" t="inlineStr">
        <is>
          <t>WHAT THIS IS</t>
        </is>
      </c>
    </row>
    <row r="5">
      <c r="A5" t="inlineStr">
        <is>
          <t xml:space="preserve">  A self-contained, reusable template for CREDIT-RISK REVIEW of BANKS: your</t>
        </is>
      </c>
    </row>
    <row r="6">
      <c r="A6" t="inlineStr">
        <is>
          <t xml:space="preserve">  hand-picked peer/counterparty list IS the watchlist, keyed by FDIC CERT.</t>
        </is>
      </c>
    </row>
    <row r="7">
      <c r="A7" t="inlineStr">
        <is>
          <t xml:space="preserve">  One workbook pulls quarterly Call-Report-derived metrics for every active</t>
        </is>
      </c>
    </row>
    <row r="8">
      <c r="A8" t="inlineStr">
        <is>
          <t xml:space="preserve">  bank in the _config [PEERS] table from the FDIC BankFind API (public</t>
        </is>
      </c>
    </row>
    <row r="9">
      <c r="A9" t="inlineStr">
        <is>
          <t xml:space="preserve">  domain, KEYLESS -- no API key, no account), lands every raw field as an</t>
        </is>
      </c>
    </row>
    <row r="10">
      <c r="A10" t="inlineStr">
        <is>
          <t xml:space="preserve">  audit trail, and presents banks-as-rows dashboards with per-metric</t>
        </is>
      </c>
    </row>
    <row r="11">
      <c r="A11" t="inlineStr">
        <is>
          <t xml:space="preserve">  threshold coloring, peer medians, and a ranked Watchlist.</t>
        </is>
      </c>
    </row>
    <row r="12">
      <c r="A12" t="inlineStr"/>
    </row>
    <row r="13">
      <c r="A13" t="inlineStr">
        <is>
          <t>THE FLEXIBLE PEER LIST (the point of this template)</t>
        </is>
      </c>
    </row>
    <row r="14">
      <c r="A14" t="inlineStr">
        <is>
          <t xml:space="preserve">  [PEERS] in _config: slot | cert | name | group | active.</t>
        </is>
      </c>
    </row>
    <row r="15">
      <c r="A15" t="inlineStr">
        <is>
          <t xml:space="preserve">  - ADD a bank: type its CERT/name/group/active=TRUE on a free slot row,</t>
        </is>
      </c>
    </row>
    <row r="16">
      <c r="A16" t="inlineStr">
        <is>
          <t xml:space="preserve">    re-run the runner. No rebuild. Find CERTs from PowerShell:</t>
        </is>
      </c>
    </row>
    <row r="17">
      <c r="A17" t="inlineStr">
        <is>
          <t xml:space="preserve">        python runner.py --lookup "Frost Bank"</t>
        </is>
      </c>
    </row>
    <row r="18">
      <c r="A18" t="inlineStr">
        <is>
          <t xml:space="preserve">  - REMOVE a bank: set active=FALSE (or clear the row); the slot blanks on</t>
        </is>
      </c>
    </row>
    <row r="19">
      <c r="A19" t="inlineStr">
        <is>
          <t xml:space="preserve">    the next run (stateless clearing -- never last run's values).</t>
        </is>
      </c>
    </row>
    <row r="20">
      <c r="A20" t="inlineStr">
        <is>
          <t xml:space="preserve">  - CAPACITY is built in (this workbook: see peer_slots in [SETTINGS]).</t>
        </is>
      </c>
    </row>
    <row r="21">
      <c r="A21" t="inlineStr">
        <is>
          <t xml:space="preserve">    More banks than slots = the runner REFUSES with the exact rebuild</t>
        </is>
      </c>
    </row>
    <row r="22">
      <c r="A22" t="inlineStr">
        <is>
          <t xml:space="preserve">    command (make_workbook.py --peer-slots N). It never truncates.</t>
        </is>
      </c>
    </row>
    <row r="23">
      <c r="A23" t="inlineStr">
        <is>
          <t xml:space="preserve">  Bank identity flows into every tab BY FORMULA from the [PEERS] cells, and</t>
        </is>
      </c>
    </row>
    <row r="24">
      <c r="A24" t="inlineStr">
        <is>
          <t xml:space="preserve">  raw-data anchors depend only on the SLOT -- so a swap re-labels and</t>
        </is>
      </c>
    </row>
    <row r="25">
      <c r="A25" t="inlineStr">
        <is>
          <t xml:space="preserve">  re-points everything on recalc.</t>
        </is>
      </c>
    </row>
    <row r="26">
      <c r="A26" t="inlineStr"/>
    </row>
    <row r="27">
      <c r="A27" t="inlineStr">
        <is>
          <t>PROVIDERS (the adapter seam -- one provider per class)</t>
        </is>
      </c>
    </row>
    <row r="28">
      <c r="A28" t="inlineStr">
        <is>
          <t xml:space="preserve">  Class A (public, KEYLESS):</t>
        </is>
      </c>
    </row>
    <row r="29">
      <c r="A29" t="inlineStr">
        <is>
          <t xml:space="preserve">    - FdicProvider     -- LIVE plain-urllib REST against api.fdic.gov/banks.</t>
        </is>
      </c>
    </row>
    <row r="30">
      <c r="A30" t="inlineStr">
        <is>
          <t xml:space="preserve">                          ONE bulk /financials request per refresh (whole</t>
        </is>
      </c>
    </row>
    <row r="31">
      <c r="A31" t="inlineStr">
        <is>
          <t xml:space="preserve">                          peer set), one /institutions roster call (merger</t>
        </is>
      </c>
    </row>
    <row r="32">
      <c r="A32" t="inlineStr">
        <is>
          <t xml:space="preserve">                          detection). Throttled 0.6s, backoff on 429/5xx.</t>
        </is>
      </c>
    </row>
    <row r="33">
      <c r="A33" t="inlineStr">
        <is>
          <t xml:space="preserve">                          NO API KEY NEEDED -- nothing to configure.</t>
        </is>
      </c>
    </row>
    <row r="34">
      <c r="A34" t="inlineStr">
        <is>
          <t xml:space="preserve">    - FdicDemoProvider -- deterministic OFFLINE stand-in; used by every test</t>
        </is>
      </c>
    </row>
    <row r="35">
      <c r="A35" t="inlineStr">
        <is>
          <t xml:space="preserve">                          and the --demo flag. Demo banks are illustrative:</t>
        </is>
      </c>
    </row>
    <row r="36">
      <c r="A36" t="inlineStr">
        <is>
          <t xml:space="preserve">                          the stressed ones are FICTION assigned by a hash,</t>
        </is>
      </c>
    </row>
    <row r="37">
      <c r="A37" t="inlineStr">
        <is>
          <t xml:space="preserve">                          not a statement about any real bank.</t>
        </is>
      </c>
    </row>
    <row r="38">
      <c r="A38" t="inlineStr">
        <is>
          <t xml:space="preserve">  Class C (licensed): NOT admitted anywhere in this template -- the gates</t>
        </is>
      </c>
    </row>
    <row r="39">
      <c r="A39" t="inlineStr">
        <is>
          <t xml:space="preserve">  admit only Class A, and a licensed swap requires its own review.</t>
        </is>
      </c>
    </row>
    <row r="40">
      <c r="A40" t="inlineStr"/>
    </row>
    <row r="41">
      <c r="A41" s="29" t="inlineStr">
        <is>
          <t>ONE-TIME SETUP</t>
        </is>
      </c>
    </row>
    <row r="42">
      <c r="A42" t="inlineStr">
        <is>
          <t xml:space="preserve">  1. Install Python 3 (add it to PATH) and the dependencies:</t>
        </is>
      </c>
    </row>
    <row r="43">
      <c r="A43" t="inlineStr">
        <is>
          <t xml:space="preserve">         pip install pandas openpyxl</t>
        </is>
      </c>
    </row>
    <row r="44">
      <c r="A44" t="inlineStr">
        <is>
          <t xml:space="preserve">  2. Enable macros when prompted (the Extract button needs them).</t>
        </is>
      </c>
    </row>
    <row r="45">
      <c r="A45" t="inlineStr">
        <is>
          <t xml:space="preserve">  That is all -- the live API needs NO key.</t>
        </is>
      </c>
    </row>
    <row r="46">
      <c r="A46" t="inlineStr"/>
    </row>
    <row r="47">
      <c r="A47" t="inlineStr">
        <is>
          <t>RUN IT  (the workbook is the finished product; you only add data)</t>
        </is>
      </c>
    </row>
    <row r="48">
      <c r="A48" t="inlineStr">
        <is>
          <t xml:space="preserve">  1. In Excel press Alt+F8 -&gt; run ExtractFiles. It writes runner.py (from</t>
        </is>
      </c>
    </row>
    <row r="49">
      <c r="A49" t="inlineStr">
        <is>
          <t xml:space="preserve">     _code_py), requirements.txt, and RUN.txt next to the workbook.</t>
        </is>
      </c>
    </row>
    <row r="50">
      <c r="A50" t="inlineStr">
        <is>
          <t xml:space="preserve">     NOTHING runs inside Excel.</t>
        </is>
      </c>
    </row>
    <row r="51">
      <c r="A51" t="inlineStr">
        <is>
          <t xml:space="preserve">  2. SAVE and CLOSE the workbook.</t>
        </is>
      </c>
    </row>
    <row r="52">
      <c r="A52" t="inlineStr">
        <is>
          <t xml:space="preserve">  3. From PowerShell (see RUN.txt):</t>
        </is>
      </c>
    </row>
    <row r="53">
      <c r="A53" t="inlineStr">
        <is>
          <t xml:space="preserve">       - Try-the-button (offline): python runner.py -w &lt;book&gt;.xlsm --demo</t>
        </is>
      </c>
    </row>
    <row r="54">
      <c r="A54" t="inlineStr">
        <is>
          <t xml:space="preserve">       - Live FDIC (keyless):      python runner.py -w &lt;book&gt;.xlsm</t>
        </is>
      </c>
    </row>
    <row r="55">
      <c r="A55" t="inlineStr">
        <is>
          <t xml:space="preserve">       - Find a CERT:              python runner.py --lookup "&lt;bank name&gt;"</t>
        </is>
      </c>
    </row>
    <row r="56">
      <c r="A56" t="inlineStr">
        <is>
          <t xml:space="preserve">  4. Reopen the workbook -- the formulas recalc into the populated tabs.</t>
        </is>
      </c>
    </row>
    <row r="57">
      <c r="A57" t="inlineStr"/>
    </row>
    <row r="58">
      <c r="A58" t="inlineStr">
        <is>
          <t>THE METRICS (authorities named; "heuristic" means exactly that)</t>
        </is>
      </c>
    </row>
    <row r="59">
      <c r="A59" t="inlineStr">
        <is>
          <t xml:space="preserve">  Asset quality: NCLNLSR (noncurrent %), NTLNLSQR (QUARTERLY net charge-off</t>
        </is>
      </c>
    </row>
    <row r="60">
      <c r="A60" t="inlineStr">
        <is>
          <t xml:space="preserve">    % -- the YTD variant is deliberately excluded, trap F1; Q4 is seasonally</t>
        </is>
      </c>
    </row>
    <row r="61">
      <c r="A61" t="inlineStr">
        <is>
          <t xml:space="preserve">    heavy, compare YoY -- F7), PD3089R = P3LNLS/LNLSGR*100 (computed; no API</t>
        </is>
      </c>
    </row>
    <row r="62">
      <c r="A62" t="inlineStr">
        <is>
          <t xml:space="preserve">    ratio exists), LNATRESR (allowance/loans), LNRESNCR (coverage of</t>
        </is>
      </c>
    </row>
    <row r="63">
      <c r="A63" t="inlineStr">
        <is>
          <t xml:space="preserve">    noncurrents; below-is-bad).</t>
        </is>
      </c>
    </row>
    <row r="64">
      <c r="A64" t="inlineStr">
        <is>
          <t xml:space="preserve">  TEXAS RATIO -- VARIANT (documented): NCLNLS/(EQ+LNATRES)*100. The</t>
        </is>
      </c>
    </row>
    <row r="65">
      <c r="A65" t="inlineStr">
        <is>
          <t xml:space="preserve">    canonical Cassidy/RBC formulation adds OREO to the numerator and nets</t>
        </is>
      </c>
    </row>
    <row r="66">
      <c r="A66" t="inlineStr">
        <is>
          <t xml:space="preserve">    intangibles from equity; the ORE/INTAN field ids are UNVERIFIED, so v1</t>
        </is>
      </c>
    </row>
    <row r="67">
      <c r="A67" t="inlineStr">
        <is>
          <t xml:space="preserve">    computes the variant from verified fields only. Bands: 50 WATCH / 100</t>
        </is>
      </c>
    </row>
    <row r="68">
      <c r="A68" t="inlineStr">
        <is>
          <t xml:space="preserve">    ALERT (StL Fed 2025: 50-100 significant stress, &gt;100 historic failure</t>
        </is>
      </c>
    </row>
    <row r="69">
      <c r="A69" t="inlineStr">
        <is>
          <t xml:space="preserve">    signal).</t>
        </is>
      </c>
    </row>
    <row r="70">
      <c r="A70" t="inlineStr">
        <is>
          <t xml:space="preserve">  Capital: RBC1AAJ (Tier 1 leverage -- universal incl. CBLR electors; PCA</t>
        </is>
      </c>
    </row>
    <row r="71">
      <c r="A71" t="inlineStr">
        <is>
          <t xml:space="preserve">    well-capitalized 5%; CBLR floor 8% EFFECTIVE JULY 1 2026 -- vintage</t>
        </is>
      </c>
    </row>
    <row r="72">
      <c r="A72" t="inlineStr">
        <is>
          <t xml:space="preserve">    dated, F8), RBCRWAJ (total risk-based; PCA well-cap 10%; JSON NULL for</t>
        </is>
      </c>
    </row>
    <row r="73">
      <c r="A73" t="inlineStr">
        <is>
          <t xml:space="preserve">    CBLR electors -- rendered blank, never zero, trap F3), EQV.</t>
        </is>
      </c>
    </row>
    <row r="74">
      <c r="A74" t="inlineStr">
        <is>
          <t xml:space="preserve">  Earnings: ROAQ (QUARTERLY ROA -- trap F1), NIMY, EEFFR (above-is-bad).</t>
        </is>
      </c>
    </row>
    <row r="75">
      <c r="A75" t="inlineStr">
        <is>
          <t xml:space="preserve">    QBP Q1'26 industry references: ROA 1.26%, NIM 3.31%, NCO 0.59%.</t>
        </is>
      </c>
    </row>
    <row r="76">
      <c r="A76" t="inlineStr">
        <is>
          <t xml:space="preserve">  Funding/concentration: LNDEPR = LNLSNET/DEP*100, BRODEPR = BRO/DEP*100</t>
        </is>
      </c>
    </row>
    <row r="77">
      <c r="A77" t="inlineStr">
        <is>
          <t xml:space="preserve">    (brokered deposits are restricted below well-capitalized -- FDI Act s29 /</t>
        </is>
      </c>
    </row>
    <row r="78">
      <c r="A78" t="inlineStr">
        <is>
          <t xml:space="preserve">    12 CFR 337.6; the healthy-bank bands are heuristic), CRECONR =</t>
        </is>
      </c>
    </row>
    <row r="79">
      <c r="A79" t="inlineStr">
        <is>
          <t xml:space="preserve">    (LNRECONS+LNRENRES+LNREMULT)/(EQ+LNATRES)*100 -- the 2006 interagency</t>
        </is>
      </c>
    </row>
    <row r="80">
      <c r="A80" t="inlineStr">
        <is>
          <t xml:space="preserve">    guidance screens total CRE &gt;= 300% of TOTAL RISK-BASED CAPITAL; CBLR</t>
        </is>
      </c>
    </row>
    <row r="81">
      <c r="A81" t="inlineStr">
        <is>
          <t xml:space="preserve">    electors report none, so v1 uses the documented PROXY denominator</t>
        </is>
      </c>
    </row>
    <row r="82">
      <c r="A82" t="inlineStr">
        <is>
          <t xml:space="preserve">    EQ+LNATRES until the tier-1 dollar field is verified live. The</t>
        </is>
      </c>
    </row>
    <row r="83">
      <c r="A83" t="inlineStr">
        <is>
          <t xml:space="preserve">    guidance's 36-month growth leg is omitted (merger-distorted, F6).</t>
        </is>
      </c>
    </row>
    <row r="84">
      <c r="A84" t="inlineStr"/>
    </row>
    <row r="85">
      <c r="A85" t="inlineStr">
        <is>
          <t>THE v1.1 COMPETITOR PACK (SPEC_COMPETITOR_PACK.md; fields verified 93/93)</t>
        </is>
      </c>
    </row>
    <row r="86">
      <c r="A86" t="inlineStr">
        <is>
          <t xml:space="preserve">  TWO-TRACK LOAN BOOK (Dashboard_LoanBook, one tab, two bands):</t>
        </is>
      </c>
    </row>
    <row r="87">
      <c r="A87" t="inlineStr">
        <is>
          <t xml:space="preserve">  - CONSUMER track (cards CRCD, auto AUTO, other consumer CONOTH, 1-4</t>
        </is>
      </c>
    </row>
    <row r="88">
      <c r="A88" t="inlineStr">
        <is>
          <t xml:space="preserve">    family RERES + a HELOC RELOC drill-in): 30-89 PD / 90+ PD (still</t>
        </is>
      </c>
    </row>
    <row r="89">
      <c r="A89" t="inlineStr">
        <is>
          <t xml:space="preserve">    accruing -- DISJOINT from nonaccrual) / nonaccrual / QUARTERLY NCO</t>
        </is>
      </c>
    </row>
    <row r="90">
      <c r="A90" t="inlineStr">
        <is>
          <t xml:space="preserve">    annualized x4 (the FDIC's own NTLNLSQR convention; the YTD NT{c} flow</t>
        </is>
      </c>
    </row>
    <row r="91">
      <c r="A91" t="inlineStr">
        <is>
          <t xml:space="preserve">    is never fetched -- F1). Retail classification is DPD-formula-driven</t>
        </is>
      </c>
    </row>
    <row r="92">
      <c r="A92" t="inlineStr">
        <is>
          <t xml:space="preserve">    (Uniform Retail Credit Classification), so delinquency IS the</t>
        </is>
      </c>
    </row>
    <row r="93">
      <c r="A93" t="inlineStr">
        <is>
          <t xml:space="preserve">    classification story. Card bands sit high on purpose (QBP context).</t>
        </is>
      </c>
    </row>
    <row r="94">
      <c r="A94" t="inlineStr">
        <is>
          <t xml:space="preserve">  - COMMERCIAL floor (construction RECONS, nonfarm-nonres CRE RENRES,</t>
        </is>
      </c>
    </row>
    <row r="95">
      <c r="A95" t="inlineStr">
        <is>
          <t xml:space="preserve">    multifamily REMULT, C&amp;I CI), same four rates -- honestly subtitled:</t>
        </is>
      </c>
    </row>
    <row r="96">
      <c r="A96" t="inlineStr">
        <is>
          <t xml:space="preserve">    a public Call-Report PROXY; commercial risk ratings lead delinquency;</t>
        </is>
      </c>
    </row>
    <row r="97">
      <c r="A97" t="inlineStr">
        <is>
          <t xml:space="preserve">    the criticized/classified view arrives via the EDGAR tracker (#6).</t>
        </is>
      </c>
    </row>
    <row r="98">
      <c r="A98" t="inlineStr">
        <is>
          <t xml:space="preserve">  - Naming honesty: verified R ratio twins consumed directly ONLY where</t>
        </is>
      </c>
    </row>
    <row r="99">
      <c r="A99" t="inlineStr">
        <is>
          <t xml:space="preserve">    the twin name fits the legacy 8-char field limit (P3CRCDR yes,</t>
        </is>
      </c>
    </row>
    <row r="100">
      <c r="A100" t="inlineStr">
        <is>
          <t xml:space="preserve">    P3CONOTHR no -- computed from the verified dollar triple + balance);</t>
        </is>
      </c>
    </row>
    <row r="101">
      <c r="A101" t="inlineStr">
        <is>
          <t xml:space="preserve">    quarterly NCO names are 8-char truncated (NTRECONQ, never NTRECONSQ).</t>
        </is>
      </c>
    </row>
    <row r="102">
      <c r="A102" t="inlineStr">
        <is>
          <t xml:space="preserve">  - HELOC has NO NCO column: LNRELOC is not in the verified balance list.</t>
        </is>
      </c>
    </row>
    <row r="103">
      <c r="A103" t="inlineStr">
        <is>
          <t xml:space="preserve">  SVB / FUNDING-STRESS metrics (on Dashboard_Funding_Concentration):</t>
        </is>
      </c>
    </row>
    <row r="104">
      <c r="A104" t="inlineStr">
        <is>
          <t xml:space="preserve">  - UNINSDEPR = DEPUNINS/DEP*100. RC-O Mem 2 is FILED by $1B+ reporters</t>
        </is>
      </c>
    </row>
    <row r="105">
      <c r="A105" t="inlineStr">
        <is>
          <t xml:space="preserve">    only -- a null renders BLANK plus a digest note, NEVER 0 (F3).</t>
        </is>
      </c>
    </row>
    <row r="106">
      <c r="A106" t="inlineStr">
        <is>
          <t xml:space="preserve">    Bands 40/60 heuristic (2023 failures: SVB ~94% uninsured).</t>
        </is>
      </c>
    </row>
    <row r="107">
      <c r="A107" t="inlineStr">
        <is>
          <t xml:space="preserve">  - UNRLZCAPR = ((SCHA-SCHF)+(SCAA-SCAF))/(EQ+LNATRES)*100 -- BOTH legs</t>
        </is>
      </c>
    </row>
    <row r="108">
      <c r="A108" t="inlineStr">
        <is>
          <t xml:space="preserve">    COMPUTED from the RC-B fair/amortized pairs (no named unrealized field</t>
        </is>
      </c>
    </row>
    <row r="109">
      <c r="A109" t="inlineStr">
        <is>
          <t xml:space="preserve">    exists). EQCCOMPI is the YTD OCI FLOW, not the AOCI stock -- it is</t>
        </is>
      </c>
    </row>
    <row r="110">
      <c r="A110" t="inlineStr">
        <is>
          <t xml:space="preserve">    deliberately NOT used. Bands 25/50 heuristic (SVB ran &gt;100%).</t>
        </is>
      </c>
    </row>
    <row r="111">
      <c r="A111" t="inlineStr">
        <is>
          <t xml:space="preserve">  - FHLBASSR = OTHBFHLB/ASSET*100 (RC-M 5.a maturity lines summed; the</t>
        </is>
      </c>
    </row>
    <row r="112">
      <c r="A112" t="inlineStr">
        <is>
          <t xml:space="preserve">    structured-advance of-which line is NOT added). Bands 10/20 heuristic.</t>
        </is>
      </c>
    </row>
    <row r="113">
      <c r="A113" t="inlineStr">
        <is>
          <t xml:space="preserve">  Field vintages (null-tolerant, F-traps): *AUTO from 2011; construction</t>
        </is>
      </c>
    </row>
    <row r="114">
      <c r="A114" t="inlineStr">
        <is>
          <t xml:space="preserve">  splits from ~2007-08; DEPUNINS materially populated for larger reporters.</t>
        </is>
      </c>
    </row>
    <row r="115">
      <c r="A115" t="inlineStr"/>
    </row>
    <row r="116">
      <c r="A116" t="inlineStr">
        <is>
          <t>PROVENANCE &amp; TIE-OUT (contract sec 12 -- verify against the OFFICIAL record)</t>
        </is>
      </c>
    </row>
    <row r="117">
      <c r="A117" t="inlineStr">
        <is>
          <t xml:space="preserve">  The _provenance tab maps EVERY landed field and EVERY metric to its Call</t>
        </is>
      </c>
    </row>
    <row r="118">
      <c r="A118" t="inlineStr">
        <is>
          <t xml:space="preserve">  Report schedule + line/caption + MDRM code, with per-row honesty flags</t>
        </is>
      </c>
    </row>
    <row r="119">
      <c r="A119" t="inlineStr">
        <is>
          <t xml:space="preserve">  ([V] verified against FFIEC captions; [~] match by caption). It carries</t>
        </is>
      </c>
    </row>
    <row r="120">
      <c r="A120" t="inlineStr">
        <is>
          <t xml:space="preserve">  the citations of record and the facsimile URL pattern:</t>
        </is>
      </c>
    </row>
    <row r="121">
      <c r="A121" t="inlineStr">
        <is>
          <t xml:space="preserve">    https://cdr.ffiec.gov/Public/ViewFacsimileDirect.aspx?ds=call</t>
        </is>
      </c>
    </row>
    <row r="122">
      <c r="A122" t="inlineStr">
        <is>
          <t xml:space="preserve">        &amp;idType=fdiccert&amp;id={CERT}&amp;date={MMDDYYYY}</t>
        </is>
      </c>
    </row>
    <row r="123">
      <c r="A123" t="inlineStr">
        <is>
          <t xml:space="preserve">  Sample-verify any bank-quarter in minutes from PowerShell:</t>
        </is>
      </c>
    </row>
    <row r="124">
      <c r="A124" t="inlineStr">
        <is>
          <t xml:space="preserve">    python runner.py -w &lt;book&gt;.xlsm --tieout 628 2026-03-31</t>
        </is>
      </c>
    </row>
    <row r="125">
      <c r="A125" t="inlineStr">
        <is>
          <t xml:space="preserve">  prints each metric's value + schedule/line/MDRM + the facsimile and</t>
        </is>
      </c>
    </row>
    <row r="126">
      <c r="A126" t="inlineStr">
        <is>
          <t xml:space="preserve">  BankFind URLs. Works with --demo too (values labeled as demo fiction;</t>
        </is>
      </c>
    </row>
    <row r="127">
      <c r="A127" t="inlineStr">
        <is>
          <t xml:space="preserve">  the provenance columns are the real map either way).</t>
        </is>
      </c>
    </row>
    <row r="128">
      <c r="A128" t="inlineStr"/>
    </row>
    <row r="129">
      <c r="A129" t="inlineStr">
        <is>
          <t>REGULATORY VINTAGES (dated -- trap F8)</t>
        </is>
      </c>
    </row>
    <row r="130">
      <c r="A130" t="inlineStr">
        <is>
          <t xml:space="preserve">  - CBLR floor lowered 9% -&gt; 8% effective July 1, 2026 (OCC NR 2026-30 /</t>
        </is>
      </c>
    </row>
    <row r="131">
      <c r="A131" t="inlineStr">
        <is>
          <t xml:space="preserve">    FDIC FIL). The RBC1AAJ WATCH band of 8 reflects the NEW floor.</t>
        </is>
      </c>
    </row>
    <row r="132">
      <c r="A132" t="inlineStr">
        <is>
          <t xml:space="preserve">  - UBPR peer groups changed Feb 26, 2026: commercial banks now 8 groups by</t>
        </is>
      </c>
    </row>
    <row r="133">
      <c r="A133" t="inlineStr">
        <is>
          <t xml:space="preserve">    asset size only. Any future peer-band logic must record this vintage.</t>
        </is>
      </c>
    </row>
    <row r="134">
      <c r="A134" t="inlineStr">
        <is>
          <t xml:space="preserve">  - PCA thresholds per 12 CFR 324.403 (well-capitalized: total RBC &gt;= 10,</t>
        </is>
      </c>
    </row>
    <row r="135">
      <c r="A135" t="inlineStr">
        <is>
          <t xml:space="preserve">    tier 1 &gt;= 8, CET1 &gt;= 6.5, leverage &gt;= 5).</t>
        </is>
      </c>
    </row>
    <row r="136">
      <c r="A136" t="inlineStr"/>
    </row>
    <row r="137">
      <c r="A137" t="inlineStr">
        <is>
          <t>STALENESS IS A FIRST-CLASS FAILURE (trap F2 -- the merged-bank lesson)</t>
        </is>
      </c>
    </row>
    <row r="138">
      <c r="A138" t="inlineStr">
        <is>
          <t xml:space="preserve">  A merged-away or closed bank keeps returning its FINAL REPDTE with no</t>
        </is>
      </c>
    </row>
    <row r="139">
      <c r="A139" t="inlineStr">
        <is>
          <t xml:space="preserve">  error. Every run, the runner compares each bank's latest REPDTE to the</t>
        </is>
      </c>
    </row>
    <row r="140">
      <c r="A140" t="inlineStr">
        <is>
          <t xml:space="preserve">  peer-set max; a bank more than stale_multiplier quarters behind is marked</t>
        </is>
      </c>
    </row>
    <row r="141">
      <c r="A141" t="inlineStr">
        <is>
          <t xml:space="preserve">  STALE in the digest and status line, EXCLUDED from the alert counts, and</t>
        </is>
      </c>
    </row>
    <row r="142">
      <c r="A142" t="inlineStr">
        <is>
          <t xml:space="preserve">  annotated "possible merger/closure -- check /institutions ACTIVE,</t>
        </is>
      </c>
    </row>
    <row r="143">
      <c r="A143" t="inlineStr">
        <is>
          <t xml:space="preserve">  /history". The roster call surfaces ACTIVE=0/ENDEFYMD directly.</t>
        </is>
      </c>
    </row>
    <row r="144">
      <c r="A144" t="inlineStr">
        <is>
          <t xml:space="preserve">  KNOWN v1 DIVERGENCE (deliberate, documented): the PEER MEDIAN rows in the</t>
        </is>
      </c>
    </row>
    <row r="145">
      <c r="A145" t="inlineStr">
        <is>
          <t xml:space="preserve">  dashboards are Excel MEDIAN() formulas over the landed slot rows -- Excel</t>
        </is>
      </c>
    </row>
    <row r="146">
      <c r="A146" t="inlineStr">
        <is>
          <t xml:space="preserve">  cannot see runtime staleness, so a STALE bank's last-landed values still</t>
        </is>
      </c>
    </row>
    <row r="147">
      <c r="A147" t="inlineStr">
        <is>
          <t xml:space="preserve">  enter the WORKBOOK medians, while the runner's DIGEST medians exclude</t>
        </is>
      </c>
    </row>
    <row r="148">
      <c r="A148" t="inlineStr">
        <is>
          <t xml:space="preserve">  them. The digest is authoritative for alerting; treat workbook medians as</t>
        </is>
      </c>
    </row>
    <row r="149">
      <c r="A149" t="inlineStr">
        <is>
          <t xml:space="preserve">  approximate whenever the status line shows STALE &gt; 0. (v1.1 candidate:</t>
        </is>
      </c>
    </row>
    <row r="150">
      <c r="A150" t="inlineStr">
        <is>
          <t xml:space="preserve">  blank stale slots' latest-quarter cells at land time.)</t>
        </is>
      </c>
    </row>
    <row r="151">
      <c r="A151" t="inlineStr"/>
    </row>
    <row r="152">
      <c r="A152" t="inlineStr">
        <is>
          <t>THE WATCHLIST BOUNDARY (default-deny, defense in depth)</t>
        </is>
      </c>
    </row>
    <row r="153">
      <c r="A153" t="inlineStr">
        <is>
          <t xml:space="preserve">  A [PEERS] row is admitted ONLY if: the slot is active=TRUE, every metric</t>
        </is>
      </c>
    </row>
    <row r="154">
      <c r="A154" t="inlineStr">
        <is>
          <t xml:space="preserve">  row is Class A, and the entity key built from the cert cell matches</t>
        </is>
      </c>
    </row>
    <row r="155">
      <c r="A155" t="inlineStr">
        <is>
          <t xml:space="preserve">  cert:NNNNNNN. Blank/malformed CERTs are refused BY NAME with the --lookup</t>
        </is>
      </c>
    </row>
    <row r="156">
      <c r="A156" t="inlineStr">
        <is>
          <t xml:space="preserve">  hint (and the Watchlist Status column shows REFUSED by formula).</t>
        </is>
      </c>
    </row>
    <row r="157">
      <c r="A157" t="inlineStr">
        <is>
          <t xml:space="preserve">  Aggregates, holding companies and name-only rows cannot be monitored as</t>
        </is>
      </c>
    </row>
    <row r="158">
      <c r="A158" t="inlineStr">
        <is>
          <t xml:space="preserve">  counterparties. A build-time hard gate backs the runtime gate.</t>
        </is>
      </c>
    </row>
    <row r="159">
      <c r="A159" t="inlineStr"/>
    </row>
    <row r="160">
      <c r="A160" t="inlineStr">
        <is>
          <t>NOT AVAILABLE (honestly out of scope -- verified)</t>
        </is>
      </c>
    </row>
    <row r="161">
      <c r="A161" t="inlineStr">
        <is>
          <t xml:space="preserve">  - CAMELS/UFIRS ratings: CONFIDENTIAL, never public. The quantitative</t>
        </is>
      </c>
    </row>
    <row r="162">
      <c r="A162" t="inlineStr">
        <is>
          <t xml:space="preserve">    lanes mirror C-A-E-L + concentration; M/S are not computable.</t>
        </is>
      </c>
    </row>
    <row r="163">
      <c r="A163" t="inlineStr">
        <is>
          <t xml:space="preserve">  - Problem-bank NAMES: the QBP publishes only the count (54 in Q1 2026).</t>
        </is>
      </c>
    </row>
    <row r="164">
      <c r="A164" t="inlineStr">
        <is>
          <t xml:space="preserve">  - Holding-company (FR Y-9C) consolidated data: FFIEC/Chicago Fed, not</t>
        </is>
      </c>
    </row>
    <row r="165">
      <c r="A165" t="inlineStr">
        <is>
          <t xml:space="preserve">    this API. This template monitors the BANK (CERT) level only (the EDGAR</t>
        </is>
      </c>
    </row>
    <row r="166">
      <c r="A166" t="inlineStr">
        <is>
          <t xml:space="preserve">    template covers the HC view).</t>
        </is>
      </c>
    </row>
    <row r="167">
      <c r="A167" t="inlineStr">
        <is>
          <t xml:space="preserve">  - Category-level loan YIELDS and UBPR peer PERCENTILES: verified ABSENT</t>
        </is>
      </c>
    </row>
    <row r="168">
      <c r="A168" t="inlineStr">
        <is>
          <t xml:space="preserve">    from the FDIC API (an FFIEC bulk-ZIP ingest job if ever needed).</t>
        </is>
      </c>
    </row>
    <row r="169">
      <c r="A169" t="inlineStr">
        <is>
          <t xml:space="preserve">  - AOCI as a STOCK (EQCCOMPI is the YTD flow); OREO/intangibles for the</t>
        </is>
      </c>
    </row>
    <row r="170">
      <c r="A170" t="inlineStr">
        <is>
          <t xml:space="preserve">    canonical Texas ratio -- still unverified, never approximated.</t>
        </is>
      </c>
    </row>
    <row r="171">
      <c r="A171" t="inlineStr">
        <is>
          <t xml:space="preserve">  - Commercial criticized/classified loans: not public in Call Reports;</t>
        </is>
      </c>
    </row>
    <row r="172">
      <c r="A172" t="inlineStr">
        <is>
          <t xml:space="preserve">    the EDGAR tracker (#6) carries that view.</t>
        </is>
      </c>
    </row>
    <row r="173">
      <c r="A173" t="inlineStr">
        <is>
          <t xml:space="preserve">  - Intraquarter data: none exists publicly; call reports land ~35-60 days</t>
        </is>
      </c>
    </row>
    <row r="174">
      <c r="A174" t="inlineStr">
        <is>
          <t xml:space="preserve">    after quarter-end.</t>
        </is>
      </c>
    </row>
    <row r="175">
      <c r="A175" t="inlineStr"/>
    </row>
    <row r="176">
      <c r="A176" t="inlineStr">
        <is>
          <t>DATA-QUALITY TRAPS (baked in -- F1-F8)</t>
        </is>
      </c>
    </row>
    <row r="177">
      <c r="A177" t="inlineStr">
        <is>
          <t xml:space="preserve">  F1 YTD-vs-quarterly variants (ROAQ/NTLNLSQR used, never ROA/NTLNLSR)</t>
        </is>
      </c>
    </row>
    <row r="178">
      <c r="A178" t="inlineStr">
        <is>
          <t xml:space="preserve">  F2 merged-bank stale REPDTEs (staleness guard + roster ACTIVE check)</t>
        </is>
      </c>
    </row>
    <row r="179">
      <c r="A179" t="inlineStr">
        <is>
          <t xml:space="preserve">  F3 JSON null != 0 (CBLR ratios, BRO) -- blank cells, never zeros</t>
        </is>
      </c>
    </row>
    <row r="180">
      <c r="A180" t="inlineStr">
        <is>
          <t xml:space="preserve">  F4 mixed units in one record ($000 vs %) -- units carried per field</t>
        </is>
      </c>
    </row>
    <row r="181">
      <c r="A181" t="inlineStr">
        <is>
          <t xml:space="preserve">  F5 computed-ratio parity (Python == Excel, machine-tested)</t>
        </is>
      </c>
    </row>
    <row r="182">
      <c r="A182" t="inlineStr">
        <is>
          <t xml:space="preserve">  F6 merger survivorship (&gt;25% single-quarter asset jump flagged in digest)</t>
        </is>
      </c>
    </row>
    <row r="183">
      <c r="A183" t="inlineStr">
        <is>
          <t xml:space="preserve">  F7 NCO Q4 seasonality (compare YoY -- subtitle note)</t>
        </is>
      </c>
    </row>
    <row r="184">
      <c r="A184" t="inlineStr">
        <is>
          <t xml:space="preserve">  F8 regulatory vintages dated (CBLR 8% 7/2026; UBPR 8-band 2/2026)</t>
        </is>
      </c>
    </row>
    <row r="185">
      <c r="A185" t="inlineStr"/>
    </row>
    <row r="186">
      <c r="A186" t="inlineStr">
        <is>
          <t>NO AI IS INVOLVED IN THE DATA PATH. The gates, metric functions, thresholds</t>
        </is>
      </c>
    </row>
    <row r="187">
      <c r="A187" t="inlineStr">
        <is>
          <t>and staleness guard are deterministic and config-driven: the same input</t>
        </is>
      </c>
    </row>
    <row r="188">
      <c r="A188" t="inlineStr">
        <is>
          <t>always yields the same workbook.</t>
        </is>
      </c>
    </row>
    <row r="189">
      <c r="A189" t="inlineStr"/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openpyxl</dc:creator>
  <dcterms:created xsi:type="dcterms:W3CDTF">2026-07-06T21:49:29Z</dcterms:created>
  <dcterms:modified xsi:type="dcterms:W3CDTF">2026-07-06T21:49:29Z</dcterms:modified>
</cp:coreProperties>
</file>